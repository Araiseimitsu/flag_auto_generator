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seizo\my_projects\1\flag_auto_generator\"/>
    </mc:Choice>
  </mc:AlternateContent>
  <xr:revisionPtr revIDLastSave="0" documentId="13_ncr:1_{C06A3E25-5DC5-4D2C-A37B-A7443CD59BED}" xr6:coauthVersionLast="47" xr6:coauthVersionMax="47" xr10:uidLastSave="{00000000-0000-0000-0000-000000000000}"/>
  <bookViews>
    <workbookView xWindow="-98" yWindow="-98" windowWidth="21795" windowHeight="12975" tabRatio="793" firstSheet="4" activeTab="4" xr2:uid="{98A8ED6B-3C1D-4D0E-8288-2B1BA994B1D3}"/>
  </bookViews>
  <sheets>
    <sheet name="条件付き書式メモ" sheetId="8" state="hidden" r:id="rId1"/>
    <sheet name="集計1" sheetId="7" state="hidden" r:id="rId2"/>
    <sheet name="集計2" sheetId="9" state="hidden" r:id="rId3"/>
    <sheet name="集計3" sheetId="14" state="hidden" r:id="rId4"/>
    <sheet name="工程内検査シート" sheetId="6" r:id="rId5"/>
    <sheet name="DATA" sheetId="1" r:id="rId6"/>
    <sheet name="検査項目設定" sheetId="4" state="hidden" r:id="rId7"/>
    <sheet name="D-2" sheetId="23" state="hidden" r:id="rId8"/>
    <sheet name="番号図面" sheetId="24" state="hidden" r:id="rId9"/>
    <sheet name="検査表" sheetId="12" state="hidden" r:id="rId10"/>
  </sheets>
  <externalReferences>
    <externalReference r:id="rId11"/>
  </externalReferences>
  <definedNames>
    <definedName name="_xlnm.Print_Area" localSheetId="9">検査表!$A$1:$AR$273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10" i="12" l="1"/>
  <c r="DD31" i="24"/>
  <c r="DC31" i="24"/>
  <c r="DB31" i="24"/>
  <c r="DA31" i="24"/>
  <c r="CZ31" i="24"/>
  <c r="CY31" i="24"/>
  <c r="CX31" i="24"/>
  <c r="CW31" i="24"/>
  <c r="CV31" i="24"/>
  <c r="CU31" i="24"/>
  <c r="CT31" i="24"/>
  <c r="CS31" i="24"/>
  <c r="CR31" i="24"/>
  <c r="CQ31" i="24"/>
  <c r="CP31" i="24"/>
  <c r="CO31" i="24"/>
  <c r="CN31" i="24"/>
  <c r="CM31" i="24"/>
  <c r="CL31" i="24"/>
  <c r="CK31" i="24"/>
  <c r="CJ31" i="24"/>
  <c r="CI31" i="24"/>
  <c r="CH31" i="24"/>
  <c r="CG31" i="24"/>
  <c r="CF31" i="24"/>
  <c r="CE31" i="24"/>
  <c r="CD31" i="24"/>
  <c r="CC31" i="24"/>
  <c r="CB31" i="24"/>
  <c r="CA31" i="24"/>
  <c r="BZ31" i="24"/>
  <c r="BY31" i="24"/>
  <c r="BX31" i="24"/>
  <c r="BW31" i="24"/>
  <c r="BV31" i="24"/>
  <c r="BU31" i="24"/>
  <c r="BT31" i="24"/>
  <c r="BS31" i="24"/>
  <c r="BR31" i="24"/>
  <c r="BQ31" i="24"/>
  <c r="BP31" i="24"/>
  <c r="BO31" i="24"/>
  <c r="BN31" i="24"/>
  <c r="BM31" i="24"/>
  <c r="BL31" i="24"/>
  <c r="BK31" i="24"/>
  <c r="BJ31" i="24"/>
  <c r="BI31" i="24"/>
  <c r="BH31" i="24"/>
  <c r="BG31" i="24"/>
  <c r="BF31" i="24" l="1"/>
  <c r="BE31" i="24"/>
  <c r="BD31" i="24"/>
  <c r="BC31" i="24"/>
  <c r="BB31" i="24"/>
  <c r="BA31" i="24"/>
  <c r="AZ31" i="24"/>
  <c r="AY31" i="24"/>
  <c r="AX31" i="24"/>
  <c r="AW31" i="24"/>
  <c r="AV31" i="24"/>
  <c r="AU31" i="24"/>
  <c r="AT31" i="24"/>
  <c r="AS31" i="24"/>
  <c r="AR31" i="24"/>
  <c r="AQ31" i="24"/>
  <c r="AP31" i="24"/>
  <c r="AO31" i="24"/>
  <c r="AN31" i="24"/>
  <c r="AM31" i="24"/>
  <c r="AL31" i="24"/>
  <c r="AK31"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L31" i="24"/>
  <c r="K31" i="24"/>
  <c r="J31" i="24"/>
  <c r="I31" i="24"/>
  <c r="K5" i="4" l="1"/>
  <c r="SR2" i="6" a="1"/>
  <c r="SR2" i="6" s="1"/>
  <c r="C14" i="14" a="1"/>
  <c r="C14" i="14" s="1"/>
  <c r="C13" i="14" a="1"/>
  <c r="C13" i="14" s="1"/>
  <c r="C12" i="14" a="1"/>
  <c r="C12" i="14" s="1"/>
  <c r="A2" i="23" a="1"/>
  <c r="A2" i="23" s="1"/>
  <c r="AI2" i="12"/>
  <c r="X2" i="12"/>
  <c r="P1" i="6" a="1"/>
  <c r="P1" i="6" s="1"/>
  <c r="Q1" i="6" a="1"/>
  <c r="Q1" i="6" s="1"/>
  <c r="R1" i="6" a="1"/>
  <c r="R1" i="6" s="1"/>
  <c r="S1" i="6" a="1"/>
  <c r="S1" i="6" s="1"/>
  <c r="T1" i="6" a="1"/>
  <c r="T1" i="6" s="1"/>
  <c r="U1" i="6" a="1"/>
  <c r="U1" i="6"/>
  <c r="V1" i="6" a="1"/>
  <c r="V1" i="6" s="1"/>
  <c r="W1" i="6" a="1"/>
  <c r="W1" i="6" s="1"/>
  <c r="X1" i="6" a="1"/>
  <c r="X1" i="6" s="1"/>
  <c r="Y1" i="6" a="1"/>
  <c r="Y1" i="6" s="1"/>
  <c r="Z1" i="6" a="1"/>
  <c r="Z1" i="6" s="1"/>
  <c r="AA1" i="6" a="1"/>
  <c r="AA1" i="6" s="1"/>
  <c r="AB1" i="6" a="1"/>
  <c r="AB1" i="6" s="1"/>
  <c r="AC1" i="6" a="1"/>
  <c r="AC1" i="6" s="1"/>
  <c r="AD1" i="6" a="1"/>
  <c r="AD1" i="6"/>
  <c r="AE1" i="6" a="1"/>
  <c r="AE1" i="6" s="1"/>
  <c r="AF1" i="6" a="1"/>
  <c r="AF1" i="6" s="1"/>
  <c r="AG1" i="6" a="1"/>
  <c r="AG1" i="6" s="1"/>
  <c r="AH1" i="6" a="1"/>
  <c r="AH1" i="6" s="1"/>
  <c r="AI1" i="6" a="1"/>
  <c r="AI1" i="6" s="1"/>
  <c r="AJ1" i="6" a="1"/>
  <c r="AJ1" i="6" s="1"/>
  <c r="AK1" i="6" a="1"/>
  <c r="AK1" i="6" s="1"/>
  <c r="AL1" i="6" a="1"/>
  <c r="AL1" i="6" s="1"/>
  <c r="AM1" i="6" a="1"/>
  <c r="AM1" i="6" s="1"/>
  <c r="AN1" i="6" a="1"/>
  <c r="AN1" i="6" s="1"/>
  <c r="AO1" i="6" a="1"/>
  <c r="AO1" i="6" s="1"/>
  <c r="AP1" i="6" a="1"/>
  <c r="AP1" i="6" s="1"/>
  <c r="AQ1" i="6" a="1"/>
  <c r="AQ1" i="6" s="1"/>
  <c r="AR1" i="6" a="1"/>
  <c r="AR1" i="6" s="1"/>
  <c r="AS1" i="6" a="1"/>
  <c r="AS1" i="6" s="1"/>
  <c r="AT1" i="6" a="1"/>
  <c r="AT1" i="6" s="1"/>
  <c r="AU1" i="6" a="1"/>
  <c r="AU1" i="6" s="1"/>
  <c r="AV1" i="6" a="1"/>
  <c r="AV1" i="6" s="1"/>
  <c r="AW1" i="6" a="1"/>
  <c r="AW1" i="6" s="1"/>
  <c r="AX1" i="6" a="1"/>
  <c r="AX1" i="6" s="1"/>
  <c r="AY1" i="6" a="1"/>
  <c r="AY1" i="6" s="1"/>
  <c r="AZ1" i="6" a="1"/>
  <c r="AZ1" i="6" s="1"/>
  <c r="BA1" i="6" a="1"/>
  <c r="BA1" i="6" s="1"/>
  <c r="BB1" i="6" a="1"/>
  <c r="BB1" i="6" s="1"/>
  <c r="BC1" i="6" a="1"/>
  <c r="BC1" i="6" s="1"/>
  <c r="BD1" i="6" a="1"/>
  <c r="BD1" i="6"/>
  <c r="BE1" i="6" a="1"/>
  <c r="BE1" i="6" s="1"/>
  <c r="BF1" i="6" a="1"/>
  <c r="BF1" i="6" s="1"/>
  <c r="BG1" i="6" a="1"/>
  <c r="BG1" i="6" s="1"/>
  <c r="BH1" i="6" a="1"/>
  <c r="BH1" i="6" s="1"/>
  <c r="BI1" i="6" a="1"/>
  <c r="BI1" i="6" s="1"/>
  <c r="BJ1" i="6" a="1"/>
  <c r="BJ1" i="6" s="1"/>
  <c r="BK1" i="6" a="1"/>
  <c r="BK1" i="6" s="1"/>
  <c r="BL1" i="6" a="1"/>
  <c r="BL1" i="6" s="1"/>
  <c r="BM1" i="6" a="1"/>
  <c r="BM1" i="6" s="1"/>
  <c r="BN1" i="6" a="1"/>
  <c r="BN1" i="6" s="1"/>
  <c r="BO1" i="6" a="1"/>
  <c r="BO1" i="6" s="1"/>
  <c r="BP1" i="6" a="1"/>
  <c r="BP1" i="6" s="1"/>
  <c r="BQ1" i="6" a="1"/>
  <c r="BQ1" i="6" s="1"/>
  <c r="BR1" i="6" a="1"/>
  <c r="BR1" i="6" s="1"/>
  <c r="BS1" i="6" a="1"/>
  <c r="BS1" i="6" s="1"/>
  <c r="BT1" i="6" a="1"/>
  <c r="BT1" i="6" s="1"/>
  <c r="BU1" i="6" a="1"/>
  <c r="BU1" i="6" s="1"/>
  <c r="BV1" i="6" a="1"/>
  <c r="BV1" i="6" s="1"/>
  <c r="BW1" i="6" a="1"/>
  <c r="BW1" i="6" s="1"/>
  <c r="BX1" i="6" a="1"/>
  <c r="BX1" i="6" s="1"/>
  <c r="BY1" i="6" a="1"/>
  <c r="BY1" i="6" s="1"/>
  <c r="BZ1" i="6" a="1"/>
  <c r="BZ1" i="6" s="1"/>
  <c r="CA1" i="6" a="1"/>
  <c r="CA1" i="6" s="1"/>
  <c r="CB1" i="6" a="1"/>
  <c r="CB1" i="6" s="1"/>
  <c r="CC1" i="6" a="1"/>
  <c r="CC1" i="6" s="1"/>
  <c r="CD1" i="6" a="1"/>
  <c r="CD1" i="6" s="1"/>
  <c r="CE1" i="6" a="1"/>
  <c r="CE1" i="6" s="1"/>
  <c r="CF1" i="6" a="1"/>
  <c r="CF1" i="6" s="1"/>
  <c r="CG1" i="6" a="1"/>
  <c r="CG1" i="6" s="1"/>
  <c r="CH1" i="6" a="1"/>
  <c r="CH1" i="6" s="1"/>
  <c r="CI1" i="6" a="1"/>
  <c r="CI1" i="6" s="1"/>
  <c r="CJ1" i="6" a="1"/>
  <c r="CJ1" i="6" s="1"/>
  <c r="CK1" i="6" a="1"/>
  <c r="CK1" i="6" s="1"/>
  <c r="CL1" i="6" a="1"/>
  <c r="CL1" i="6"/>
  <c r="CM1" i="6" a="1"/>
  <c r="CM1" i="6" s="1"/>
  <c r="CN1" i="6" a="1"/>
  <c r="CN1" i="6" s="1"/>
  <c r="CO1" i="6" a="1"/>
  <c r="CO1" i="6" s="1"/>
  <c r="CP1" i="6" a="1"/>
  <c r="CP1" i="6" s="1"/>
  <c r="CQ1" i="6" a="1"/>
  <c r="CQ1" i="6" s="1"/>
  <c r="CR1" i="6" a="1"/>
  <c r="CR1" i="6" s="1"/>
  <c r="CS1" i="6" a="1"/>
  <c r="CS1" i="6" s="1"/>
  <c r="CT1" i="6" a="1"/>
  <c r="CT1" i="6" s="1"/>
  <c r="CU1" i="6" a="1"/>
  <c r="CU1" i="6" s="1"/>
  <c r="CV1" i="6" a="1"/>
  <c r="CV1" i="6" s="1"/>
  <c r="CW1" i="6" a="1"/>
  <c r="CW1" i="6" s="1"/>
  <c r="CX1" i="6" a="1"/>
  <c r="CX1" i="6" s="1"/>
  <c r="CY1" i="6" a="1"/>
  <c r="CY1" i="6" s="1"/>
  <c r="CZ1" i="6" a="1"/>
  <c r="CZ1" i="6" s="1"/>
  <c r="DA1" i="6" a="1"/>
  <c r="DA1" i="6" s="1"/>
  <c r="DB1" i="6" a="1"/>
  <c r="DB1" i="6" s="1"/>
  <c r="DC1" i="6" a="1"/>
  <c r="DC1" i="6" s="1"/>
  <c r="DD1" i="6" a="1"/>
  <c r="DD1" i="6" s="1"/>
  <c r="DE1" i="6" a="1"/>
  <c r="DE1" i="6" s="1"/>
  <c r="DF1" i="6" a="1"/>
  <c r="DF1" i="6" s="1"/>
  <c r="DG1" i="6" a="1"/>
  <c r="DG1" i="6" s="1"/>
  <c r="DH1" i="6" a="1"/>
  <c r="DH1" i="6" s="1"/>
  <c r="DI1" i="6" a="1"/>
  <c r="DI1" i="6" s="1"/>
  <c r="DJ1" i="6" a="1"/>
  <c r="DJ1" i="6" s="1"/>
  <c r="DK1" i="6" a="1"/>
  <c r="DK1" i="6" s="1"/>
  <c r="DL1" i="6" a="1"/>
  <c r="DL1" i="6" s="1"/>
  <c r="DM1" i="6" a="1"/>
  <c r="DM1" i="6" s="1"/>
  <c r="DN1" i="6" a="1"/>
  <c r="DN1" i="6" s="1"/>
  <c r="DO1" i="6" a="1"/>
  <c r="DO1" i="6" s="1"/>
  <c r="DP1" i="6" a="1"/>
  <c r="DP1" i="6"/>
  <c r="DQ1" i="6" a="1"/>
  <c r="DQ1" i="6" s="1"/>
  <c r="DR1" i="6" a="1"/>
  <c r="DR1" i="6" s="1"/>
  <c r="DS1" i="6" a="1"/>
  <c r="DS1" i="6" s="1"/>
  <c r="DT1" i="6" a="1"/>
  <c r="DT1" i="6" s="1"/>
  <c r="DU1" i="6" a="1"/>
  <c r="DU1" i="6" s="1"/>
  <c r="DV1" i="6" a="1"/>
  <c r="DV1" i="6" s="1"/>
  <c r="DW1" i="6" a="1"/>
  <c r="DW1" i="6" s="1"/>
  <c r="DX1" i="6" a="1"/>
  <c r="DX1" i="6" s="1"/>
  <c r="DY1" i="6" a="1"/>
  <c r="DY1" i="6" s="1"/>
  <c r="DZ1" i="6" a="1"/>
  <c r="DZ1" i="6" s="1"/>
  <c r="EA1" i="6" a="1"/>
  <c r="EA1" i="6" s="1"/>
  <c r="EB1" i="6" a="1"/>
  <c r="EB1" i="6" s="1"/>
  <c r="EC1" i="6" a="1"/>
  <c r="EC1" i="6" s="1"/>
  <c r="ED1" i="6" a="1"/>
  <c r="ED1" i="6" s="1"/>
  <c r="EE1" i="6" a="1"/>
  <c r="EE1" i="6" s="1"/>
  <c r="EF1" i="6" a="1"/>
  <c r="EF1" i="6" s="1"/>
  <c r="EG1" i="6" a="1"/>
  <c r="EG1" i="6" s="1"/>
  <c r="EH1" i="6" a="1"/>
  <c r="EH1" i="6" s="1"/>
  <c r="EI1" i="6" a="1"/>
  <c r="EI1" i="6" s="1"/>
  <c r="EJ1" i="6" a="1"/>
  <c r="EJ1" i="6"/>
  <c r="EK1" i="6" a="1"/>
  <c r="EK1" i="6" s="1"/>
  <c r="EL1" i="6" a="1"/>
  <c r="EL1" i="6" s="1"/>
  <c r="EM1" i="6" a="1"/>
  <c r="EM1" i="6" s="1"/>
  <c r="EN1" i="6" a="1"/>
  <c r="EN1" i="6" s="1"/>
  <c r="EO1" i="6" a="1"/>
  <c r="EO1" i="6" s="1"/>
  <c r="EP1" i="6" a="1"/>
  <c r="EP1" i="6" s="1"/>
  <c r="EQ1" i="6" a="1"/>
  <c r="EQ1" i="6" s="1"/>
  <c r="ER1" i="6" a="1"/>
  <c r="ER1" i="6" s="1"/>
  <c r="ES1" i="6" a="1"/>
  <c r="ES1" i="6" s="1"/>
  <c r="ET1" i="6" a="1"/>
  <c r="ET1" i="6" s="1"/>
  <c r="EU1" i="6" a="1"/>
  <c r="EU1" i="6" s="1"/>
  <c r="EV1" i="6" a="1"/>
  <c r="EV1" i="6" s="1"/>
  <c r="EW1" i="6" a="1"/>
  <c r="EW1" i="6" s="1"/>
  <c r="EX1" i="6" a="1"/>
  <c r="EX1" i="6" s="1"/>
  <c r="EY1" i="6" a="1"/>
  <c r="EY1" i="6" s="1"/>
  <c r="EZ1" i="6" a="1"/>
  <c r="EZ1" i="6"/>
  <c r="FA1" i="6" a="1"/>
  <c r="FA1" i="6" s="1"/>
  <c r="FB1" i="6" a="1"/>
  <c r="FB1" i="6" s="1"/>
  <c r="FC1" i="6" a="1"/>
  <c r="FC1" i="6" s="1"/>
  <c r="FD1" i="6" a="1"/>
  <c r="FD1" i="6" s="1"/>
  <c r="FE1" i="6" a="1"/>
  <c r="FE1" i="6" s="1"/>
  <c r="FF1" i="6" a="1"/>
  <c r="FF1" i="6" s="1"/>
  <c r="FG1" i="6" a="1"/>
  <c r="FG1" i="6" s="1"/>
  <c r="FH1" i="6" a="1"/>
  <c r="FH1" i="6" s="1"/>
  <c r="FI1" i="6" a="1"/>
  <c r="FI1" i="6" s="1"/>
  <c r="FJ1" i="6" a="1"/>
  <c r="FJ1" i="6" s="1"/>
  <c r="FK1" i="6" a="1"/>
  <c r="FK1" i="6" s="1"/>
  <c r="FL1" i="6" a="1"/>
  <c r="FL1" i="6" s="1"/>
  <c r="FM1" i="6" a="1"/>
  <c r="FM1" i="6"/>
  <c r="FN1" i="6" a="1"/>
  <c r="FN1" i="6" s="1"/>
  <c r="FO1" i="6" a="1"/>
  <c r="FO1" i="6" s="1"/>
  <c r="FP1" i="6" a="1"/>
  <c r="FP1" i="6" s="1"/>
  <c r="FQ1" i="6" a="1"/>
  <c r="FQ1" i="6" s="1"/>
  <c r="FR1" i="6" a="1"/>
  <c r="FR1" i="6" s="1"/>
  <c r="FS1" i="6" a="1"/>
  <c r="FS1" i="6" s="1"/>
  <c r="FT1" i="6" a="1"/>
  <c r="FT1" i="6" s="1"/>
  <c r="FU1" i="6" a="1"/>
  <c r="FU1" i="6"/>
  <c r="FV1" i="6" a="1"/>
  <c r="FV1" i="6" s="1"/>
  <c r="FW1" i="6" a="1"/>
  <c r="FW1" i="6" s="1"/>
  <c r="FX1" i="6" a="1"/>
  <c r="FX1" i="6" s="1"/>
  <c r="FY1" i="6" a="1"/>
  <c r="FY1" i="6" s="1"/>
  <c r="FZ1" i="6" a="1"/>
  <c r="FZ1" i="6" s="1"/>
  <c r="GA1" i="6" a="1"/>
  <c r="GA1" i="6" s="1"/>
  <c r="GB1" i="6" a="1"/>
  <c r="GB1" i="6" s="1"/>
  <c r="GC1" i="6" a="1"/>
  <c r="GC1" i="6" s="1"/>
  <c r="GD1" i="6" a="1"/>
  <c r="GD1" i="6" s="1"/>
  <c r="GE1" i="6" a="1"/>
  <c r="GE1" i="6" s="1"/>
  <c r="GF1" i="6" a="1"/>
  <c r="GF1" i="6" s="1"/>
  <c r="GG1" i="6" a="1"/>
  <c r="GG1" i="6" s="1"/>
  <c r="GH1" i="6" a="1"/>
  <c r="GH1" i="6" s="1"/>
  <c r="GI1" i="6" a="1"/>
  <c r="GI1" i="6" s="1"/>
  <c r="GJ1" i="6" a="1"/>
  <c r="GJ1" i="6" s="1"/>
  <c r="GK1" i="6" a="1"/>
  <c r="GK1" i="6" s="1"/>
  <c r="GL1" i="6" a="1"/>
  <c r="GL1" i="6" s="1"/>
  <c r="GM1" i="6" a="1"/>
  <c r="GM1" i="6" s="1"/>
  <c r="GN1" i="6" a="1"/>
  <c r="GN1" i="6" s="1"/>
  <c r="GO1" i="6" a="1"/>
  <c r="GO1" i="6" s="1"/>
  <c r="GP1" i="6" a="1"/>
  <c r="GP1" i="6" s="1"/>
  <c r="GQ1" i="6" a="1"/>
  <c r="GQ1" i="6"/>
  <c r="GR1" i="6" a="1"/>
  <c r="GR1" i="6" s="1"/>
  <c r="GS1" i="6" a="1"/>
  <c r="GS1" i="6" s="1"/>
  <c r="GT1" i="6" a="1"/>
  <c r="GT1" i="6" s="1"/>
  <c r="GU1" i="6" a="1"/>
  <c r="GU1" i="6" s="1"/>
  <c r="GV1" i="6" a="1"/>
  <c r="GV1" i="6" s="1"/>
  <c r="GW1" i="6" a="1"/>
  <c r="GW1" i="6" s="1"/>
  <c r="GX1" i="6" a="1"/>
  <c r="GX1" i="6" s="1"/>
  <c r="GY1" i="6" a="1"/>
  <c r="GY1" i="6" s="1"/>
  <c r="GZ1" i="6" a="1"/>
  <c r="GZ1" i="6" s="1"/>
  <c r="HA1" i="6" a="1"/>
  <c r="HA1" i="6" s="1"/>
  <c r="HB1" i="6" a="1"/>
  <c r="HB1" i="6" s="1"/>
  <c r="HC1" i="6" a="1"/>
  <c r="HC1" i="6"/>
  <c r="HD1" i="6" a="1"/>
  <c r="HD1" i="6" s="1"/>
  <c r="HE1" i="6" a="1"/>
  <c r="HE1" i="6" s="1"/>
  <c r="HF1" i="6" a="1"/>
  <c r="HF1" i="6" s="1"/>
  <c r="HG1" i="6" a="1"/>
  <c r="HG1" i="6" s="1"/>
  <c r="HH1" i="6" a="1"/>
  <c r="HH1" i="6"/>
  <c r="HI1" i="6" a="1"/>
  <c r="HI1" i="6" s="1"/>
  <c r="HJ1" i="6" a="1"/>
  <c r="HJ1" i="6"/>
  <c r="HK1" i="6" a="1"/>
  <c r="HK1" i="6" s="1"/>
  <c r="HL1" i="6" a="1"/>
  <c r="HL1" i="6" s="1"/>
  <c r="HM1" i="6" a="1"/>
  <c r="HM1" i="6" s="1"/>
  <c r="HN1" i="6" a="1"/>
  <c r="HN1" i="6" s="1"/>
  <c r="HO1" i="6" a="1"/>
  <c r="HO1" i="6" s="1"/>
  <c r="HP1" i="6" a="1"/>
  <c r="HP1" i="6" s="1"/>
  <c r="HQ1" i="6" a="1"/>
  <c r="HQ1" i="6" s="1"/>
  <c r="HR1" i="6" a="1"/>
  <c r="HR1" i="6" s="1"/>
  <c r="HS1" i="6" a="1"/>
  <c r="HS1" i="6" s="1"/>
  <c r="HT1" i="6" a="1"/>
  <c r="HT1" i="6" s="1"/>
  <c r="HU1" i="6" a="1"/>
  <c r="HU1" i="6" s="1"/>
  <c r="HV1" i="6" a="1"/>
  <c r="HV1" i="6" s="1"/>
  <c r="HW1" i="6" a="1"/>
  <c r="HW1" i="6" s="1"/>
  <c r="HX1" i="6" a="1"/>
  <c r="HX1" i="6" s="1"/>
  <c r="HY1" i="6" a="1"/>
  <c r="HY1" i="6" s="1"/>
  <c r="HZ1" i="6" a="1"/>
  <c r="HZ1" i="6" s="1"/>
  <c r="IA1" i="6" a="1"/>
  <c r="IA1" i="6" s="1"/>
  <c r="IB1" i="6" a="1"/>
  <c r="IB1" i="6" s="1"/>
  <c r="IC1" i="6" a="1"/>
  <c r="IC1" i="6" s="1"/>
  <c r="ID1" i="6" a="1"/>
  <c r="ID1" i="6"/>
  <c r="IE1" i="6" a="1"/>
  <c r="IE1" i="6" s="1"/>
  <c r="IF1" i="6" a="1"/>
  <c r="IF1" i="6" s="1"/>
  <c r="IG1" i="6" a="1"/>
  <c r="IG1" i="6" s="1"/>
  <c r="IH1" i="6" a="1"/>
  <c r="IH1" i="6" s="1"/>
  <c r="II1" i="6" a="1"/>
  <c r="II1" i="6" s="1"/>
  <c r="IJ1" i="6" a="1"/>
  <c r="IJ1" i="6" s="1"/>
  <c r="IK1" i="6" a="1"/>
  <c r="IK1" i="6" s="1"/>
  <c r="IL1" i="6" a="1"/>
  <c r="IL1" i="6" s="1"/>
  <c r="IM1" i="6" a="1"/>
  <c r="IM1" i="6" s="1"/>
  <c r="IN1" i="6" a="1"/>
  <c r="IN1" i="6" s="1"/>
  <c r="IO1" i="6" a="1"/>
  <c r="IO1" i="6" s="1"/>
  <c r="IP1" i="6" a="1"/>
  <c r="IP1" i="6" s="1"/>
  <c r="IQ1" i="6" a="1"/>
  <c r="IQ1" i="6" s="1"/>
  <c r="IR1" i="6" a="1"/>
  <c r="IR1" i="6" s="1"/>
  <c r="IS1" i="6" a="1"/>
  <c r="IS1" i="6" s="1"/>
  <c r="IT1" i="6" a="1"/>
  <c r="IT1" i="6" s="1"/>
  <c r="IU1" i="6" a="1"/>
  <c r="IU1" i="6" s="1"/>
  <c r="IV1" i="6" a="1"/>
  <c r="IV1" i="6" s="1"/>
  <c r="IW1" i="6" a="1"/>
  <c r="IW1" i="6" s="1"/>
  <c r="IX1" i="6" a="1"/>
  <c r="IX1" i="6" s="1"/>
  <c r="IY1" i="6" a="1"/>
  <c r="IY1" i="6" s="1"/>
  <c r="IZ1" i="6" a="1"/>
  <c r="IZ1" i="6" s="1"/>
  <c r="JA1" i="6" a="1"/>
  <c r="JA1" i="6" s="1"/>
  <c r="JB1" i="6" a="1"/>
  <c r="JB1" i="6" s="1"/>
  <c r="JC1" i="6" a="1"/>
  <c r="JC1" i="6" s="1"/>
  <c r="JD1" i="6" a="1"/>
  <c r="JD1" i="6" s="1"/>
  <c r="JE1" i="6" a="1"/>
  <c r="JE1" i="6" s="1"/>
  <c r="JF1" i="6" a="1"/>
  <c r="JF1" i="6" s="1"/>
  <c r="JG1" i="6" a="1"/>
  <c r="JG1" i="6"/>
  <c r="JH1" i="6" a="1"/>
  <c r="JH1" i="6" s="1"/>
  <c r="JI1" i="6" a="1"/>
  <c r="JI1" i="6" s="1"/>
  <c r="JJ1" i="6" a="1"/>
  <c r="JJ1" i="6" s="1"/>
  <c r="JK1" i="6" a="1"/>
  <c r="JK1" i="6" s="1"/>
  <c r="JL1" i="6" a="1"/>
  <c r="JL1" i="6" s="1"/>
  <c r="JM1" i="6" a="1"/>
  <c r="JM1" i="6" s="1"/>
  <c r="JN1" i="6" a="1"/>
  <c r="JN1" i="6" s="1"/>
  <c r="JO1" i="6" a="1"/>
  <c r="JO1" i="6" s="1"/>
  <c r="JP1" i="6" a="1"/>
  <c r="JP1" i="6" s="1"/>
  <c r="JQ1" i="6" a="1"/>
  <c r="JQ1" i="6" s="1"/>
  <c r="JR1" i="6" a="1"/>
  <c r="JR1" i="6" s="1"/>
  <c r="JS1" i="6" a="1"/>
  <c r="JS1" i="6" s="1"/>
  <c r="JT1" i="6" a="1"/>
  <c r="JT1" i="6" s="1"/>
  <c r="JU1" i="6" a="1"/>
  <c r="JU1" i="6" s="1"/>
  <c r="JV1" i="6" a="1"/>
  <c r="JV1" i="6" s="1"/>
  <c r="JW1" i="6" a="1"/>
  <c r="JW1" i="6" s="1"/>
  <c r="JX1" i="6" a="1"/>
  <c r="JX1" i="6" s="1"/>
  <c r="JY1" i="6" a="1"/>
  <c r="JY1" i="6" s="1"/>
  <c r="JZ1" i="6" a="1"/>
  <c r="JZ1" i="6" s="1"/>
  <c r="KA1" i="6" a="1"/>
  <c r="KA1" i="6" s="1"/>
  <c r="KB1" i="6" a="1"/>
  <c r="KB1" i="6" s="1"/>
  <c r="KC1" i="6" a="1"/>
  <c r="KC1" i="6" s="1"/>
  <c r="KD1" i="6" a="1"/>
  <c r="KD1" i="6" s="1"/>
  <c r="KE1" i="6" a="1"/>
  <c r="KE1" i="6" s="1"/>
  <c r="KF1" i="6" a="1"/>
  <c r="KF1" i="6" s="1"/>
  <c r="KG1" i="6" a="1"/>
  <c r="KG1" i="6" s="1"/>
  <c r="KH1" i="6" a="1"/>
  <c r="KH1" i="6" s="1"/>
  <c r="KI1" i="6" a="1"/>
  <c r="KI1" i="6" s="1"/>
  <c r="KJ1" i="6" a="1"/>
  <c r="KJ1" i="6" s="1"/>
  <c r="KK1" i="6" a="1"/>
  <c r="KK1" i="6" s="1"/>
  <c r="KL1" i="6" a="1"/>
  <c r="KL1" i="6" s="1"/>
  <c r="KM1" i="6" a="1"/>
  <c r="KM1" i="6" s="1"/>
  <c r="KN1" i="6" a="1"/>
  <c r="KN1" i="6" s="1"/>
  <c r="KO1" i="6" a="1"/>
  <c r="KO1" i="6" s="1"/>
  <c r="KP1" i="6" a="1"/>
  <c r="KP1" i="6" s="1"/>
  <c r="KQ1" i="6" a="1"/>
  <c r="KQ1" i="6" s="1"/>
  <c r="KR1" i="6" a="1"/>
  <c r="KR1" i="6" s="1"/>
  <c r="KS1" i="6" a="1"/>
  <c r="KS1" i="6" s="1"/>
  <c r="KT1" i="6" a="1"/>
  <c r="KT1" i="6" s="1"/>
  <c r="KU1" i="6" a="1"/>
  <c r="KU1" i="6" s="1"/>
  <c r="KV1" i="6" a="1"/>
  <c r="KV1" i="6" s="1"/>
  <c r="KW1" i="6" a="1"/>
  <c r="KW1" i="6" s="1"/>
  <c r="KX1" i="6" a="1"/>
  <c r="KX1" i="6" s="1"/>
  <c r="KY1" i="6" a="1"/>
  <c r="KY1" i="6" s="1"/>
  <c r="KZ1" i="6" a="1"/>
  <c r="KZ1" i="6" s="1"/>
  <c r="LA1" i="6" a="1"/>
  <c r="LA1" i="6" s="1"/>
  <c r="LB1" i="6" a="1"/>
  <c r="LB1" i="6" s="1"/>
  <c r="LC1" i="6" a="1"/>
  <c r="LC1" i="6" s="1"/>
  <c r="LD1" i="6" a="1"/>
  <c r="LD1" i="6" s="1"/>
  <c r="LE1" i="6" a="1"/>
  <c r="LE1" i="6" s="1"/>
  <c r="LF1" i="6" a="1"/>
  <c r="LF1" i="6" s="1"/>
  <c r="LG1" i="6" a="1"/>
  <c r="LG1" i="6"/>
  <c r="LH1" i="6" a="1"/>
  <c r="LH1" i="6" s="1"/>
  <c r="LI1" i="6" a="1"/>
  <c r="LI1" i="6"/>
  <c r="LJ1" i="6" a="1"/>
  <c r="LJ1" i="6" s="1"/>
  <c r="LK1" i="6" a="1"/>
  <c r="LK1" i="6" s="1"/>
  <c r="LL1" i="6" a="1"/>
  <c r="LL1" i="6" s="1"/>
  <c r="LM1" i="6" a="1"/>
  <c r="LM1" i="6" s="1"/>
  <c r="LN1" i="6" a="1"/>
  <c r="LN1" i="6" s="1"/>
  <c r="LO1" i="6" a="1"/>
  <c r="LO1" i="6" s="1"/>
  <c r="LP1" i="6" a="1"/>
  <c r="LP1" i="6" s="1"/>
  <c r="LQ1" i="6" a="1"/>
  <c r="LQ1" i="6" s="1"/>
  <c r="LR1" i="6" a="1"/>
  <c r="LR1" i="6" s="1"/>
  <c r="LS1" i="6" a="1"/>
  <c r="LS1" i="6" s="1"/>
  <c r="LT1" i="6" a="1"/>
  <c r="LT1" i="6" s="1"/>
  <c r="LU1" i="6" a="1"/>
  <c r="LU1" i="6" s="1"/>
  <c r="LV1" i="6" a="1"/>
  <c r="LV1" i="6" s="1"/>
  <c r="LW1" i="6" a="1"/>
  <c r="LW1" i="6" s="1"/>
  <c r="LX1" i="6" a="1"/>
  <c r="LX1" i="6" s="1"/>
  <c r="LY1" i="6" a="1"/>
  <c r="LY1" i="6" s="1"/>
  <c r="LZ1" i="6" a="1"/>
  <c r="LZ1" i="6" s="1"/>
  <c r="MA1" i="6" a="1"/>
  <c r="MA1" i="6" s="1"/>
  <c r="MB1" i="6" a="1"/>
  <c r="MB1" i="6"/>
  <c r="MC1" i="6" a="1"/>
  <c r="MC1" i="6" s="1"/>
  <c r="MD1" i="6" a="1"/>
  <c r="MD1" i="6" s="1"/>
  <c r="ME1" i="6" a="1"/>
  <c r="ME1" i="6" s="1"/>
  <c r="MF1" i="6" a="1"/>
  <c r="MF1" i="6"/>
  <c r="MG1" i="6" a="1"/>
  <c r="MG1" i="6" s="1"/>
  <c r="MH1" i="6" a="1"/>
  <c r="MH1" i="6" s="1"/>
  <c r="MI1" i="6" a="1"/>
  <c r="MI1" i="6" s="1"/>
  <c r="MJ1" i="6" a="1"/>
  <c r="MJ1" i="6" s="1"/>
  <c r="MK1" i="6" a="1"/>
  <c r="MK1" i="6" s="1"/>
  <c r="ML1" i="6" a="1"/>
  <c r="ML1" i="6" s="1"/>
  <c r="MM1" i="6" a="1"/>
  <c r="MM1" i="6" s="1"/>
  <c r="MN1" i="6" a="1"/>
  <c r="MN1" i="6" s="1"/>
  <c r="MO1" i="6" a="1"/>
  <c r="MO1" i="6" s="1"/>
  <c r="MP1" i="6" a="1"/>
  <c r="MP1" i="6" s="1"/>
  <c r="MQ1" i="6" a="1"/>
  <c r="MQ1" i="6"/>
  <c r="MR1" i="6" a="1"/>
  <c r="MR1" i="6" s="1"/>
  <c r="MS1" i="6" a="1"/>
  <c r="MS1" i="6"/>
  <c r="MT1" i="6" a="1"/>
  <c r="MT1" i="6" s="1"/>
  <c r="MU1" i="6" a="1"/>
  <c r="MU1" i="6" s="1"/>
  <c r="MV1" i="6" a="1"/>
  <c r="MV1" i="6"/>
  <c r="MW1" i="6" a="1"/>
  <c r="MW1" i="6" s="1"/>
  <c r="MX1" i="6" a="1"/>
  <c r="MX1" i="6" s="1"/>
  <c r="MY1" i="6" a="1"/>
  <c r="MY1" i="6" s="1"/>
  <c r="MZ1" i="6" a="1"/>
  <c r="MZ1" i="6" s="1"/>
  <c r="NA1" i="6" a="1"/>
  <c r="NA1" i="6" s="1"/>
  <c r="NB1" i="6" a="1"/>
  <c r="NB1" i="6" s="1"/>
  <c r="NC1" i="6" a="1"/>
  <c r="NC1" i="6" s="1"/>
  <c r="ND1" i="6" a="1"/>
  <c r="ND1" i="6" s="1"/>
  <c r="NE1" i="6" a="1"/>
  <c r="NE1" i="6" s="1"/>
  <c r="NF1" i="6" a="1"/>
  <c r="NF1" i="6" s="1"/>
  <c r="NG1" i="6" a="1"/>
  <c r="NG1" i="6" s="1"/>
  <c r="NH1" i="6" a="1"/>
  <c r="NH1" i="6" s="1"/>
  <c r="NI1" i="6" a="1"/>
  <c r="NI1" i="6" s="1"/>
  <c r="NJ1" i="6" a="1"/>
  <c r="NJ1" i="6" s="1"/>
  <c r="NK1" i="6" a="1"/>
  <c r="NK1" i="6" s="1"/>
  <c r="NL1" i="6" a="1"/>
  <c r="NL1" i="6" s="1"/>
  <c r="NM1" i="6" a="1"/>
  <c r="NM1" i="6" s="1"/>
  <c r="NN1" i="6" a="1"/>
  <c r="NN1" i="6" s="1"/>
  <c r="NO1" i="6" a="1"/>
  <c r="NO1" i="6" s="1"/>
  <c r="NP1" i="6" a="1"/>
  <c r="NP1" i="6" s="1"/>
  <c r="NQ1" i="6" a="1"/>
  <c r="NQ1" i="6" s="1"/>
  <c r="NR1" i="6" a="1"/>
  <c r="NR1" i="6" s="1"/>
  <c r="NS1" i="6" a="1"/>
  <c r="NS1" i="6" s="1"/>
  <c r="NT1" i="6" a="1"/>
  <c r="NT1" i="6" s="1"/>
  <c r="NU1" i="6" a="1"/>
  <c r="NU1" i="6" s="1"/>
  <c r="NV1" i="6" a="1"/>
  <c r="NV1" i="6"/>
  <c r="NW1" i="6" a="1"/>
  <c r="NW1" i="6" s="1"/>
  <c r="NX1" i="6" a="1"/>
  <c r="NX1" i="6" s="1"/>
  <c r="NY1" i="6" a="1"/>
  <c r="NY1" i="6" s="1"/>
  <c r="NZ1" i="6" a="1"/>
  <c r="NZ1" i="6" s="1"/>
  <c r="OA1" i="6" a="1"/>
  <c r="OA1" i="6" s="1"/>
  <c r="OB1" i="6" a="1"/>
  <c r="OB1" i="6" s="1"/>
  <c r="OC1" i="6" a="1"/>
  <c r="OC1" i="6" s="1"/>
  <c r="OD1" i="6" a="1"/>
  <c r="OD1" i="6" s="1"/>
  <c r="OE1" i="6" a="1"/>
  <c r="OE1" i="6" s="1"/>
  <c r="OF1" i="6" a="1"/>
  <c r="OF1" i="6" s="1"/>
  <c r="OG1" i="6" a="1"/>
  <c r="OG1" i="6" s="1"/>
  <c r="OH1" i="6" a="1"/>
  <c r="OH1" i="6" s="1"/>
  <c r="OI1" i="6" a="1"/>
  <c r="OI1" i="6"/>
  <c r="OJ1" i="6" a="1"/>
  <c r="OJ1" i="6" s="1"/>
  <c r="OK1" i="6" a="1"/>
  <c r="OK1" i="6" s="1"/>
  <c r="OL1" i="6" a="1"/>
  <c r="OL1" i="6" s="1"/>
  <c r="OM1" i="6" a="1"/>
  <c r="OM1" i="6" s="1"/>
  <c r="ON1" i="6" a="1"/>
  <c r="ON1" i="6" s="1"/>
  <c r="OO1" i="6" a="1"/>
  <c r="OO1" i="6" s="1"/>
  <c r="OP1" i="6" a="1"/>
  <c r="OP1" i="6" s="1"/>
  <c r="OQ1" i="6" a="1"/>
  <c r="OQ1" i="6" s="1"/>
  <c r="OR1" i="6" a="1"/>
  <c r="OR1" i="6" s="1"/>
  <c r="OS1" i="6" a="1"/>
  <c r="OS1" i="6" s="1"/>
  <c r="OT1" i="6" a="1"/>
  <c r="OT1" i="6" s="1"/>
  <c r="OU1" i="6" a="1"/>
  <c r="OU1" i="6" s="1"/>
  <c r="OV1" i="6" a="1"/>
  <c r="OV1" i="6" s="1"/>
  <c r="OW1" i="6" a="1"/>
  <c r="OW1" i="6" s="1"/>
  <c r="OX1" i="6" a="1"/>
  <c r="OX1" i="6" s="1"/>
  <c r="OY1" i="6" a="1"/>
  <c r="OY1" i="6" s="1"/>
  <c r="OZ1" i="6" a="1"/>
  <c r="OZ1" i="6" s="1"/>
  <c r="PA1" i="6" a="1"/>
  <c r="PA1" i="6"/>
  <c r="PB1" i="6" a="1"/>
  <c r="PB1" i="6" s="1"/>
  <c r="PC1" i="6" a="1"/>
  <c r="PC1" i="6" s="1"/>
  <c r="PD1" i="6" a="1"/>
  <c r="PD1" i="6" s="1"/>
  <c r="PE1" i="6" a="1"/>
  <c r="PE1" i="6" s="1"/>
  <c r="PF1" i="6" a="1"/>
  <c r="PF1" i="6" s="1"/>
  <c r="PG1" i="6" a="1"/>
  <c r="PG1" i="6" s="1"/>
  <c r="PH1" i="6" a="1"/>
  <c r="PH1" i="6"/>
  <c r="PI1" i="6" a="1"/>
  <c r="PI1" i="6" s="1"/>
  <c r="PJ1" i="6" a="1"/>
  <c r="PJ1" i="6"/>
  <c r="PK1" i="6" a="1"/>
  <c r="PK1" i="6"/>
  <c r="PL1" i="6" a="1"/>
  <c r="PL1" i="6" s="1"/>
  <c r="PM1" i="6" a="1"/>
  <c r="PM1" i="6" s="1"/>
  <c r="PN1" i="6" a="1"/>
  <c r="PN1" i="6" s="1"/>
  <c r="PO1" i="6" a="1"/>
  <c r="PO1" i="6" s="1"/>
  <c r="PP1" i="6" a="1"/>
  <c r="PP1" i="6" s="1"/>
  <c r="PQ1" i="6" a="1"/>
  <c r="PQ1" i="6" s="1"/>
  <c r="PR1" i="6" a="1"/>
  <c r="PR1" i="6" s="1"/>
  <c r="PS1" i="6" a="1"/>
  <c r="PS1" i="6" s="1"/>
  <c r="PT1" i="6" a="1"/>
  <c r="PT1" i="6" s="1"/>
  <c r="PU1" i="6" a="1"/>
  <c r="PU1" i="6" s="1"/>
  <c r="PV1" i="6" a="1"/>
  <c r="PV1" i="6" s="1"/>
  <c r="PW1" i="6" a="1"/>
  <c r="PW1" i="6" s="1"/>
  <c r="PX1" i="6" a="1"/>
  <c r="PX1" i="6" s="1"/>
  <c r="PY1" i="6" a="1"/>
  <c r="PY1" i="6"/>
  <c r="PZ1" i="6" a="1"/>
  <c r="PZ1" i="6" s="1"/>
  <c r="QA1" i="6" a="1"/>
  <c r="QA1" i="6" s="1"/>
  <c r="QB1" i="6" a="1"/>
  <c r="QB1" i="6" s="1"/>
  <c r="QC1" i="6" a="1"/>
  <c r="QC1" i="6" s="1"/>
  <c r="QD1" i="6" a="1"/>
  <c r="QD1" i="6" s="1"/>
  <c r="QE1" i="6" a="1"/>
  <c r="QE1" i="6" s="1"/>
  <c r="QF1" i="6" a="1"/>
  <c r="QF1" i="6" s="1"/>
  <c r="QG1" i="6" a="1"/>
  <c r="QG1" i="6" s="1"/>
  <c r="QH1" i="6" a="1"/>
  <c r="QH1" i="6" s="1"/>
  <c r="QI1" i="6" a="1"/>
  <c r="QI1" i="6" s="1"/>
  <c r="QJ1" i="6" a="1"/>
  <c r="QJ1" i="6" s="1"/>
  <c r="QK1" i="6" a="1"/>
  <c r="QK1" i="6" s="1"/>
  <c r="QL1" i="6" a="1"/>
  <c r="QL1" i="6" s="1"/>
  <c r="QM1" i="6" a="1"/>
  <c r="QM1" i="6" s="1"/>
  <c r="QN1" i="6" a="1"/>
  <c r="QN1" i="6" s="1"/>
  <c r="QO1" i="6" a="1"/>
  <c r="QO1" i="6" s="1"/>
  <c r="QP1" i="6" a="1"/>
  <c r="QP1" i="6"/>
  <c r="QQ1" i="6" a="1"/>
  <c r="QQ1" i="6" s="1"/>
  <c r="QR1" i="6" a="1"/>
  <c r="QR1" i="6" s="1"/>
  <c r="QS1" i="6" a="1"/>
  <c r="QS1" i="6" s="1"/>
  <c r="QT1" i="6" a="1"/>
  <c r="QT1" i="6" s="1"/>
  <c r="QU1" i="6" a="1"/>
  <c r="QU1" i="6" s="1"/>
  <c r="QV1" i="6" a="1"/>
  <c r="QV1" i="6" s="1"/>
  <c r="QW1" i="6" a="1"/>
  <c r="QW1" i="6" s="1"/>
  <c r="QX1" i="6" a="1"/>
  <c r="QX1" i="6" s="1"/>
  <c r="QY1" i="6" a="1"/>
  <c r="QY1" i="6" s="1"/>
  <c r="QZ1" i="6" a="1"/>
  <c r="QZ1" i="6" s="1"/>
  <c r="RA1" i="6" a="1"/>
  <c r="RA1" i="6" s="1"/>
  <c r="RB1" i="6" a="1"/>
  <c r="RB1" i="6" s="1"/>
  <c r="RC1" i="6" a="1"/>
  <c r="RC1" i="6" s="1"/>
  <c r="RD1" i="6" a="1"/>
  <c r="RD1" i="6" s="1"/>
  <c r="RE1" i="6" a="1"/>
  <c r="RE1" i="6" s="1"/>
  <c r="RF1" i="6" a="1"/>
  <c r="RF1" i="6" s="1"/>
  <c r="RG1" i="6" a="1"/>
  <c r="RG1" i="6" s="1"/>
  <c r="RH1" i="6" a="1"/>
  <c r="RH1" i="6" s="1"/>
  <c r="RI1" i="6" a="1"/>
  <c r="RI1" i="6" s="1"/>
  <c r="RJ1" i="6" a="1"/>
  <c r="RJ1" i="6" s="1"/>
  <c r="RK1" i="6" a="1"/>
  <c r="RK1" i="6" s="1"/>
  <c r="RL1" i="6" a="1"/>
  <c r="RL1" i="6" s="1"/>
  <c r="RM1" i="6" a="1"/>
  <c r="RM1" i="6" s="1"/>
  <c r="RN1" i="6" a="1"/>
  <c r="RN1" i="6" s="1"/>
  <c r="RO1" i="6" a="1"/>
  <c r="RO1" i="6" s="1"/>
  <c r="RP1" i="6" a="1"/>
  <c r="RP1" i="6"/>
  <c r="RQ1" i="6" a="1"/>
  <c r="RQ1" i="6" s="1"/>
  <c r="RR1" i="6" a="1"/>
  <c r="RR1" i="6" s="1"/>
  <c r="RS1" i="6" a="1"/>
  <c r="RS1" i="6"/>
  <c r="RT1" i="6" a="1"/>
  <c r="RT1" i="6" s="1"/>
  <c r="RU1" i="6" a="1"/>
  <c r="RU1" i="6" s="1"/>
  <c r="RV1" i="6" a="1"/>
  <c r="RV1" i="6" s="1"/>
  <c r="RW1" i="6" a="1"/>
  <c r="RW1" i="6" s="1"/>
  <c r="RX1" i="6" a="1"/>
  <c r="RX1" i="6"/>
  <c r="RY1" i="6" a="1"/>
  <c r="RY1" i="6" s="1"/>
  <c r="RZ1" i="6" a="1"/>
  <c r="RZ1" i="6" s="1"/>
  <c r="SA1" i="6" a="1"/>
  <c r="SA1" i="6" s="1"/>
  <c r="SB1" i="6" a="1"/>
  <c r="SB1" i="6" s="1"/>
  <c r="SC1" i="6" a="1"/>
  <c r="SC1" i="6" s="1"/>
  <c r="SD1" i="6" a="1"/>
  <c r="SD1" i="6" s="1"/>
  <c r="SE1" i="6" a="1"/>
  <c r="SE1" i="6" s="1"/>
  <c r="SF1" i="6" a="1"/>
  <c r="SF1" i="6" s="1"/>
  <c r="SG1" i="6" a="1"/>
  <c r="SG1" i="6" s="1"/>
  <c r="SH1" i="6" a="1"/>
  <c r="SH1" i="6"/>
  <c r="SI1" i="6" a="1"/>
  <c r="SI1" i="6" s="1"/>
  <c r="SJ1" i="6" a="1"/>
  <c r="SJ1" i="6"/>
  <c r="SK1" i="6" a="1"/>
  <c r="SK1" i="6" s="1"/>
  <c r="SL1" i="6" a="1"/>
  <c r="SL1" i="6" s="1"/>
  <c r="SM1" i="6" a="1"/>
  <c r="SM1" i="6" s="1"/>
  <c r="SN1" i="6" a="1"/>
  <c r="SN1" i="6" s="1"/>
  <c r="SO1" i="6" a="1"/>
  <c r="SO1" i="6" s="1"/>
  <c r="SP1" i="6" a="1"/>
  <c r="SP1" i="6" s="1"/>
  <c r="SQ1" i="6" a="1"/>
  <c r="SQ1" i="6" s="1"/>
  <c r="SR1" i="6" a="1"/>
  <c r="SR1" i="6" s="1"/>
  <c r="P2" i="6" a="1"/>
  <c r="P2" i="6" s="1"/>
  <c r="Q2" i="6" a="1"/>
  <c r="Q2" i="6" s="1"/>
  <c r="R2" i="6" a="1"/>
  <c r="R2" i="6" s="1"/>
  <c r="S2" i="6" a="1"/>
  <c r="S2" i="6" s="1"/>
  <c r="T2" i="6" a="1"/>
  <c r="T2" i="6" s="1"/>
  <c r="U2" i="6" a="1"/>
  <c r="U2" i="6" s="1"/>
  <c r="V2" i="6" a="1"/>
  <c r="V2" i="6" s="1"/>
  <c r="W2" i="6" a="1"/>
  <c r="W2" i="6" s="1"/>
  <c r="X2" i="6" a="1"/>
  <c r="X2" i="6" s="1"/>
  <c r="Y2" i="6" a="1"/>
  <c r="Y2" i="6" s="1"/>
  <c r="Z2" i="6" a="1"/>
  <c r="Z2" i="6" s="1"/>
  <c r="AA2" i="6" a="1"/>
  <c r="AA2" i="6" s="1"/>
  <c r="AB2" i="6" a="1"/>
  <c r="AB2" i="6" s="1"/>
  <c r="AC2" i="6" a="1"/>
  <c r="AC2" i="6" s="1"/>
  <c r="AD2" i="6" a="1"/>
  <c r="AD2" i="6" s="1"/>
  <c r="AE2" i="6" a="1"/>
  <c r="AE2" i="6" s="1"/>
  <c r="AF2" i="6" a="1"/>
  <c r="AF2" i="6" s="1"/>
  <c r="AG2" i="6" a="1"/>
  <c r="AG2" i="6" s="1"/>
  <c r="AH2" i="6" a="1"/>
  <c r="AH2" i="6" s="1"/>
  <c r="AI2" i="6" a="1"/>
  <c r="AI2" i="6" s="1"/>
  <c r="AJ2" i="6" a="1"/>
  <c r="AJ2" i="6" s="1"/>
  <c r="AK2" i="6" a="1"/>
  <c r="AK2" i="6" s="1"/>
  <c r="AL2" i="6" a="1"/>
  <c r="AL2" i="6" s="1"/>
  <c r="AM2" i="6" a="1"/>
  <c r="AM2" i="6" s="1"/>
  <c r="AN2" i="6" a="1"/>
  <c r="AN2" i="6" s="1"/>
  <c r="AO2" i="6" a="1"/>
  <c r="AO2" i="6" s="1"/>
  <c r="AP2" i="6" a="1"/>
  <c r="AP2" i="6" s="1"/>
  <c r="AQ2" i="6" a="1"/>
  <c r="AQ2" i="6" s="1"/>
  <c r="AR2" i="6" a="1"/>
  <c r="AR2" i="6" s="1"/>
  <c r="AS2" i="6" a="1"/>
  <c r="AS2" i="6" s="1"/>
  <c r="AT2" i="6" a="1"/>
  <c r="AT2" i="6" s="1"/>
  <c r="AU2" i="6" a="1"/>
  <c r="AU2" i="6" s="1"/>
  <c r="AV2" i="6" a="1"/>
  <c r="AV2" i="6" s="1"/>
  <c r="AW2" i="6" a="1"/>
  <c r="AW2" i="6" s="1"/>
  <c r="AX2" i="6" a="1"/>
  <c r="AX2" i="6" s="1"/>
  <c r="AY2" i="6" a="1"/>
  <c r="AY2" i="6" s="1"/>
  <c r="AZ2" i="6" a="1"/>
  <c r="AZ2" i="6" s="1"/>
  <c r="BA2" i="6" a="1"/>
  <c r="BA2" i="6" s="1"/>
  <c r="BB2" i="6" a="1"/>
  <c r="BB2" i="6" s="1"/>
  <c r="BC2" i="6" a="1"/>
  <c r="BC2" i="6" s="1"/>
  <c r="BD2" i="6" a="1"/>
  <c r="BD2" i="6" s="1"/>
  <c r="BE2" i="6" a="1"/>
  <c r="BE2" i="6" s="1"/>
  <c r="BF2" i="6" a="1"/>
  <c r="BF2" i="6" s="1"/>
  <c r="BG2" i="6" a="1"/>
  <c r="BG2" i="6" s="1"/>
  <c r="BH2" i="6" a="1"/>
  <c r="BH2" i="6" s="1"/>
  <c r="BI2" i="6" a="1"/>
  <c r="BI2" i="6" s="1"/>
  <c r="BJ2" i="6" a="1"/>
  <c r="BJ2" i="6" s="1"/>
  <c r="BK2" i="6" a="1"/>
  <c r="BK2" i="6" s="1"/>
  <c r="BL2" i="6" a="1"/>
  <c r="BL2" i="6" s="1"/>
  <c r="BM2" i="6" a="1"/>
  <c r="BM2" i="6" s="1"/>
  <c r="BN2" i="6" a="1"/>
  <c r="BN2" i="6" s="1"/>
  <c r="BO2" i="6" a="1"/>
  <c r="BO2" i="6" s="1"/>
  <c r="BP2" i="6" a="1"/>
  <c r="BP2" i="6" s="1"/>
  <c r="BQ2" i="6" a="1"/>
  <c r="BQ2" i="6" s="1"/>
  <c r="BR2" i="6" a="1"/>
  <c r="BR2" i="6" s="1"/>
  <c r="BS2" i="6" a="1"/>
  <c r="BS2" i="6" s="1"/>
  <c r="BT2" i="6" a="1"/>
  <c r="BT2" i="6" s="1"/>
  <c r="BU2" i="6" a="1"/>
  <c r="BU2" i="6" s="1"/>
  <c r="BV2" i="6" a="1"/>
  <c r="BV2" i="6" s="1"/>
  <c r="BW2" i="6" a="1"/>
  <c r="BW2" i="6" s="1"/>
  <c r="BX2" i="6" a="1"/>
  <c r="BX2" i="6" s="1"/>
  <c r="BY2" i="6" a="1"/>
  <c r="BY2" i="6" s="1"/>
  <c r="BZ2" i="6" a="1"/>
  <c r="BZ2" i="6" s="1"/>
  <c r="CA2" i="6" a="1"/>
  <c r="CA2" i="6" s="1"/>
  <c r="CB2" i="6" a="1"/>
  <c r="CB2" i="6" s="1"/>
  <c r="CC2" i="6" a="1"/>
  <c r="CC2" i="6" s="1"/>
  <c r="CD2" i="6" a="1"/>
  <c r="CD2" i="6" s="1"/>
  <c r="CE2" i="6" a="1"/>
  <c r="CE2" i="6" s="1"/>
  <c r="CF2" i="6" a="1"/>
  <c r="CF2" i="6" s="1"/>
  <c r="CG2" i="6" a="1"/>
  <c r="CG2" i="6" s="1"/>
  <c r="CH2" i="6" a="1"/>
  <c r="CH2" i="6" s="1"/>
  <c r="CI2" i="6" a="1"/>
  <c r="CI2" i="6" s="1"/>
  <c r="CJ2" i="6" a="1"/>
  <c r="CJ2" i="6" s="1"/>
  <c r="CK2" i="6" a="1"/>
  <c r="CK2" i="6" s="1"/>
  <c r="CL2" i="6" a="1"/>
  <c r="CL2" i="6" s="1"/>
  <c r="CM2" i="6" a="1"/>
  <c r="CM2" i="6" s="1"/>
  <c r="CN2" i="6" a="1"/>
  <c r="CN2" i="6" s="1"/>
  <c r="CO2" i="6" a="1"/>
  <c r="CO2" i="6" s="1"/>
  <c r="CP2" i="6" a="1"/>
  <c r="CP2" i="6" s="1"/>
  <c r="CQ2" i="6" a="1"/>
  <c r="CQ2" i="6" s="1"/>
  <c r="CR2" i="6" a="1"/>
  <c r="CR2" i="6" s="1"/>
  <c r="CS2" i="6" a="1"/>
  <c r="CS2" i="6" s="1"/>
  <c r="CT2" i="6" a="1"/>
  <c r="CT2" i="6" s="1"/>
  <c r="CU2" i="6" a="1"/>
  <c r="CU2" i="6" s="1"/>
  <c r="CV2" i="6" a="1"/>
  <c r="CV2" i="6" s="1"/>
  <c r="CW2" i="6" a="1"/>
  <c r="CW2" i="6" s="1"/>
  <c r="CX2" i="6" a="1"/>
  <c r="CX2" i="6"/>
  <c r="CY2" i="6" a="1"/>
  <c r="CY2" i="6" s="1"/>
  <c r="CZ2" i="6" a="1"/>
  <c r="CZ2" i="6" s="1"/>
  <c r="DA2" i="6" a="1"/>
  <c r="DA2" i="6" s="1"/>
  <c r="DB2" i="6" a="1"/>
  <c r="DB2" i="6" s="1"/>
  <c r="DC2" i="6" a="1"/>
  <c r="DC2" i="6" s="1"/>
  <c r="DD2" i="6" a="1"/>
  <c r="DD2" i="6" s="1"/>
  <c r="DE2" i="6" a="1"/>
  <c r="DE2" i="6" s="1"/>
  <c r="DF2" i="6" a="1"/>
  <c r="DF2" i="6" s="1"/>
  <c r="DG2" i="6" a="1"/>
  <c r="DG2" i="6" s="1"/>
  <c r="DH2" i="6" a="1"/>
  <c r="DH2" i="6" s="1"/>
  <c r="DI2" i="6" a="1"/>
  <c r="DI2" i="6" s="1"/>
  <c r="DJ2" i="6" a="1"/>
  <c r="DJ2" i="6" s="1"/>
  <c r="DK2" i="6" a="1"/>
  <c r="DK2" i="6" s="1"/>
  <c r="DL2" i="6" a="1"/>
  <c r="DL2" i="6" s="1"/>
  <c r="DM2" i="6" a="1"/>
  <c r="DM2" i="6" s="1"/>
  <c r="DN2" i="6" a="1"/>
  <c r="DN2" i="6" s="1"/>
  <c r="DO2" i="6" a="1"/>
  <c r="DO2" i="6" s="1"/>
  <c r="DP2" i="6" a="1"/>
  <c r="DP2" i="6" s="1"/>
  <c r="DQ2" i="6" a="1"/>
  <c r="DQ2" i="6" s="1"/>
  <c r="DR2" i="6" a="1"/>
  <c r="DR2" i="6" s="1"/>
  <c r="DS2" i="6" a="1"/>
  <c r="DS2" i="6" s="1"/>
  <c r="DT2" i="6" a="1"/>
  <c r="DT2" i="6" s="1"/>
  <c r="DU2" i="6" a="1"/>
  <c r="DU2" i="6" s="1"/>
  <c r="DV2" i="6" a="1"/>
  <c r="DV2" i="6" s="1"/>
  <c r="DW2" i="6" a="1"/>
  <c r="DW2" i="6" s="1"/>
  <c r="DX2" i="6" a="1"/>
  <c r="DX2" i="6" s="1"/>
  <c r="DY2" i="6" a="1"/>
  <c r="DY2" i="6" s="1"/>
  <c r="DZ2" i="6" a="1"/>
  <c r="DZ2" i="6" s="1"/>
  <c r="EA2" i="6" a="1"/>
  <c r="EA2" i="6" s="1"/>
  <c r="EB2" i="6" a="1"/>
  <c r="EB2" i="6" s="1"/>
  <c r="EC2" i="6" a="1"/>
  <c r="EC2" i="6" s="1"/>
  <c r="ED2" i="6" a="1"/>
  <c r="ED2" i="6"/>
  <c r="EE2" i="6" a="1"/>
  <c r="EE2" i="6" s="1"/>
  <c r="EF2" i="6" a="1"/>
  <c r="EF2" i="6" s="1"/>
  <c r="EG2" i="6" a="1"/>
  <c r="EG2" i="6" s="1"/>
  <c r="EH2" i="6" a="1"/>
  <c r="EH2" i="6" s="1"/>
  <c r="EI2" i="6" a="1"/>
  <c r="EI2" i="6" s="1"/>
  <c r="EJ2" i="6" a="1"/>
  <c r="EJ2" i="6" s="1"/>
  <c r="EK2" i="6" a="1"/>
  <c r="EK2" i="6" s="1"/>
  <c r="EL2" i="6" a="1"/>
  <c r="EL2" i="6" s="1"/>
  <c r="EM2" i="6" a="1"/>
  <c r="EM2" i="6" s="1"/>
  <c r="EN2" i="6" a="1"/>
  <c r="EN2" i="6" s="1"/>
  <c r="EO2" i="6" a="1"/>
  <c r="EO2" i="6" s="1"/>
  <c r="EP2" i="6" a="1"/>
  <c r="EP2" i="6" s="1"/>
  <c r="EQ2" i="6" a="1"/>
  <c r="EQ2" i="6" s="1"/>
  <c r="ER2" i="6" a="1"/>
  <c r="ER2" i="6" s="1"/>
  <c r="ES2" i="6" a="1"/>
  <c r="ES2" i="6" s="1"/>
  <c r="ET2" i="6" a="1"/>
  <c r="ET2" i="6" s="1"/>
  <c r="EU2" i="6" a="1"/>
  <c r="EU2" i="6" s="1"/>
  <c r="EV2" i="6" a="1"/>
  <c r="EV2" i="6" s="1"/>
  <c r="EW2" i="6" a="1"/>
  <c r="EW2" i="6" s="1"/>
  <c r="EX2" i="6" a="1"/>
  <c r="EX2" i="6" s="1"/>
  <c r="EY2" i="6" a="1"/>
  <c r="EY2" i="6" s="1"/>
  <c r="EZ2" i="6" a="1"/>
  <c r="EZ2" i="6" s="1"/>
  <c r="FA2" i="6" a="1"/>
  <c r="FA2" i="6" s="1"/>
  <c r="FB2" i="6" a="1"/>
  <c r="FB2" i="6" s="1"/>
  <c r="FC2" i="6" a="1"/>
  <c r="FC2" i="6" s="1"/>
  <c r="FD2" i="6" a="1"/>
  <c r="FD2" i="6" s="1"/>
  <c r="FE2" i="6" a="1"/>
  <c r="FE2" i="6" s="1"/>
  <c r="FF2" i="6" a="1"/>
  <c r="FF2" i="6" s="1"/>
  <c r="FG2" i="6" a="1"/>
  <c r="FG2" i="6" s="1"/>
  <c r="FH2" i="6" a="1"/>
  <c r="FH2" i="6" s="1"/>
  <c r="FI2" i="6" a="1"/>
  <c r="FI2" i="6"/>
  <c r="FJ2" i="6" a="1"/>
  <c r="FJ2" i="6" s="1"/>
  <c r="FK2" i="6" a="1"/>
  <c r="FK2" i="6" s="1"/>
  <c r="FL2" i="6" a="1"/>
  <c r="FL2" i="6" s="1"/>
  <c r="FM2" i="6" a="1"/>
  <c r="FM2" i="6" s="1"/>
  <c r="FN2" i="6" a="1"/>
  <c r="FN2" i="6" s="1"/>
  <c r="FO2" i="6" a="1"/>
  <c r="FO2" i="6" s="1"/>
  <c r="FP2" i="6" a="1"/>
  <c r="FP2" i="6" s="1"/>
  <c r="FQ2" i="6" a="1"/>
  <c r="FQ2" i="6" s="1"/>
  <c r="FR2" i="6" a="1"/>
  <c r="FR2" i="6" s="1"/>
  <c r="FS2" i="6" a="1"/>
  <c r="FS2" i="6" s="1"/>
  <c r="FT2" i="6" a="1"/>
  <c r="FT2" i="6" s="1"/>
  <c r="FU2" i="6" a="1"/>
  <c r="FU2" i="6" s="1"/>
  <c r="FV2" i="6" a="1"/>
  <c r="FV2" i="6" s="1"/>
  <c r="FW2" i="6" a="1"/>
  <c r="FW2" i="6" s="1"/>
  <c r="FX2" i="6" a="1"/>
  <c r="FX2" i="6" s="1"/>
  <c r="FY2" i="6" a="1"/>
  <c r="FY2" i="6" s="1"/>
  <c r="FZ2" i="6" a="1"/>
  <c r="FZ2" i="6" s="1"/>
  <c r="GA2" i="6" a="1"/>
  <c r="GA2" i="6" s="1"/>
  <c r="GB2" i="6" a="1"/>
  <c r="GB2" i="6" s="1"/>
  <c r="GC2" i="6" a="1"/>
  <c r="GC2" i="6" s="1"/>
  <c r="GD2" i="6" a="1"/>
  <c r="GD2" i="6" s="1"/>
  <c r="GE2" i="6" a="1"/>
  <c r="GE2" i="6" s="1"/>
  <c r="GF2" i="6" a="1"/>
  <c r="GF2" i="6" s="1"/>
  <c r="GG2" i="6" a="1"/>
  <c r="GG2" i="6" s="1"/>
  <c r="GH2" i="6" a="1"/>
  <c r="GH2" i="6" s="1"/>
  <c r="GI2" i="6" a="1"/>
  <c r="GI2" i="6" s="1"/>
  <c r="GJ2" i="6" a="1"/>
  <c r="GJ2" i="6" s="1"/>
  <c r="GK2" i="6" a="1"/>
  <c r="GK2" i="6" s="1"/>
  <c r="GL2" i="6" a="1"/>
  <c r="GL2" i="6" s="1"/>
  <c r="GM2" i="6" a="1"/>
  <c r="GM2" i="6" s="1"/>
  <c r="GN2" i="6" a="1"/>
  <c r="GN2" i="6" s="1"/>
  <c r="GO2" i="6" a="1"/>
  <c r="GO2" i="6" s="1"/>
  <c r="GP2" i="6" a="1"/>
  <c r="GP2" i="6" s="1"/>
  <c r="GQ2" i="6" a="1"/>
  <c r="GQ2" i="6" s="1"/>
  <c r="GR2" i="6" a="1"/>
  <c r="GR2" i="6" s="1"/>
  <c r="GS2" i="6" a="1"/>
  <c r="GS2" i="6" s="1"/>
  <c r="GT2" i="6" a="1"/>
  <c r="GT2" i="6" s="1"/>
  <c r="GU2" i="6" a="1"/>
  <c r="GU2" i="6" s="1"/>
  <c r="GV2" i="6" a="1"/>
  <c r="GV2" i="6" s="1"/>
  <c r="GW2" i="6" a="1"/>
  <c r="GW2" i="6" s="1"/>
  <c r="GX2" i="6" a="1"/>
  <c r="GX2" i="6" s="1"/>
  <c r="GY2" i="6" a="1"/>
  <c r="GY2" i="6"/>
  <c r="GZ2" i="6" a="1"/>
  <c r="GZ2" i="6" s="1"/>
  <c r="HA2" i="6" a="1"/>
  <c r="HA2" i="6" s="1"/>
  <c r="HB2" i="6" a="1"/>
  <c r="HB2" i="6" s="1"/>
  <c r="HC2" i="6" a="1"/>
  <c r="HC2" i="6" s="1"/>
  <c r="HD2" i="6" a="1"/>
  <c r="HD2" i="6" s="1"/>
  <c r="HE2" i="6" a="1"/>
  <c r="HE2" i="6" s="1"/>
  <c r="HF2" i="6" a="1"/>
  <c r="HF2" i="6"/>
  <c r="HG2" i="6" a="1"/>
  <c r="HG2" i="6" s="1"/>
  <c r="HH2" i="6" a="1"/>
  <c r="HH2" i="6" s="1"/>
  <c r="HI2" i="6" a="1"/>
  <c r="HI2" i="6" s="1"/>
  <c r="HJ2" i="6" a="1"/>
  <c r="HJ2" i="6" s="1"/>
  <c r="HK2" i="6" a="1"/>
  <c r="HK2" i="6" s="1"/>
  <c r="HL2" i="6" a="1"/>
  <c r="HL2" i="6" s="1"/>
  <c r="HM2" i="6" a="1"/>
  <c r="HM2" i="6" s="1"/>
  <c r="HN2" i="6" a="1"/>
  <c r="HN2" i="6" s="1"/>
  <c r="HO2" i="6" a="1"/>
  <c r="HO2" i="6" s="1"/>
  <c r="HP2" i="6" a="1"/>
  <c r="HP2" i="6" s="1"/>
  <c r="HQ2" i="6" a="1"/>
  <c r="HQ2" i="6" s="1"/>
  <c r="HR2" i="6" a="1"/>
  <c r="HR2" i="6" s="1"/>
  <c r="HS2" i="6" a="1"/>
  <c r="HS2" i="6" s="1"/>
  <c r="HT2" i="6" a="1"/>
  <c r="HT2" i="6" s="1"/>
  <c r="HU2" i="6" a="1"/>
  <c r="HU2" i="6" s="1"/>
  <c r="HV2" i="6" a="1"/>
  <c r="HV2" i="6" s="1"/>
  <c r="HW2" i="6" a="1"/>
  <c r="HW2" i="6" s="1"/>
  <c r="HX2" i="6" a="1"/>
  <c r="HX2" i="6" s="1"/>
  <c r="HY2" i="6" a="1"/>
  <c r="HY2" i="6" s="1"/>
  <c r="HZ2" i="6" a="1"/>
  <c r="HZ2" i="6" s="1"/>
  <c r="IA2" i="6" a="1"/>
  <c r="IA2" i="6" s="1"/>
  <c r="IB2" i="6" a="1"/>
  <c r="IB2" i="6" s="1"/>
  <c r="IC2" i="6" a="1"/>
  <c r="IC2" i="6" s="1"/>
  <c r="ID2" i="6" a="1"/>
  <c r="ID2" i="6" s="1"/>
  <c r="IE2" i="6" a="1"/>
  <c r="IE2" i="6" s="1"/>
  <c r="IF2" i="6" a="1"/>
  <c r="IF2" i="6" s="1"/>
  <c r="IG2" i="6" a="1"/>
  <c r="IG2" i="6" s="1"/>
  <c r="IH2" i="6" a="1"/>
  <c r="IH2" i="6"/>
  <c r="II2" i="6" a="1"/>
  <c r="II2" i="6" s="1"/>
  <c r="IJ2" i="6" a="1"/>
  <c r="IJ2" i="6" s="1"/>
  <c r="IK2" i="6" a="1"/>
  <c r="IK2" i="6" s="1"/>
  <c r="IL2" i="6" a="1"/>
  <c r="IL2" i="6" s="1"/>
  <c r="IM2" i="6" a="1"/>
  <c r="IM2" i="6" s="1"/>
  <c r="IN2" i="6" a="1"/>
  <c r="IN2" i="6" s="1"/>
  <c r="IO2" i="6" a="1"/>
  <c r="IO2" i="6" s="1"/>
  <c r="IP2" i="6" a="1"/>
  <c r="IP2" i="6"/>
  <c r="IQ2" i="6" a="1"/>
  <c r="IQ2" i="6" s="1"/>
  <c r="IR2" i="6" a="1"/>
  <c r="IR2" i="6" s="1"/>
  <c r="IS2" i="6" a="1"/>
  <c r="IS2" i="6" s="1"/>
  <c r="IT2" i="6" a="1"/>
  <c r="IT2" i="6" s="1"/>
  <c r="IU2" i="6" a="1"/>
  <c r="IU2" i="6" s="1"/>
  <c r="IV2" i="6" a="1"/>
  <c r="IV2" i="6" s="1"/>
  <c r="IW2" i="6" a="1"/>
  <c r="IW2" i="6"/>
  <c r="IX2" i="6" a="1"/>
  <c r="IX2" i="6" s="1"/>
  <c r="IY2" i="6" a="1"/>
  <c r="IY2" i="6" s="1"/>
  <c r="IZ2" i="6" a="1"/>
  <c r="IZ2" i="6" s="1"/>
  <c r="JA2" i="6" a="1"/>
  <c r="JA2" i="6" s="1"/>
  <c r="JB2" i="6" a="1"/>
  <c r="JB2" i="6" s="1"/>
  <c r="JC2" i="6" a="1"/>
  <c r="JC2" i="6" s="1"/>
  <c r="JD2" i="6" a="1"/>
  <c r="JD2" i="6" s="1"/>
  <c r="JE2" i="6" a="1"/>
  <c r="JE2" i="6" s="1"/>
  <c r="JF2" i="6" a="1"/>
  <c r="JF2" i="6" s="1"/>
  <c r="JG2" i="6" a="1"/>
  <c r="JG2" i="6" s="1"/>
  <c r="JH2" i="6" a="1"/>
  <c r="JH2" i="6" s="1"/>
  <c r="JI2" i="6" a="1"/>
  <c r="JI2" i="6" s="1"/>
  <c r="JJ2" i="6" a="1"/>
  <c r="JJ2" i="6" s="1"/>
  <c r="JK2" i="6" a="1"/>
  <c r="JK2" i="6" s="1"/>
  <c r="JL2" i="6" a="1"/>
  <c r="JL2" i="6" s="1"/>
  <c r="JM2" i="6" a="1"/>
  <c r="JM2" i="6" s="1"/>
  <c r="JN2" i="6" a="1"/>
  <c r="JN2" i="6" s="1"/>
  <c r="JO2" i="6" a="1"/>
  <c r="JO2" i="6" s="1"/>
  <c r="JP2" i="6" a="1"/>
  <c r="JP2" i="6"/>
  <c r="JQ2" i="6" a="1"/>
  <c r="JQ2" i="6" s="1"/>
  <c r="JR2" i="6" a="1"/>
  <c r="JR2" i="6"/>
  <c r="JS2" i="6" a="1"/>
  <c r="JS2" i="6" s="1"/>
  <c r="JT2" i="6" a="1"/>
  <c r="JT2" i="6" s="1"/>
  <c r="JU2" i="6" a="1"/>
  <c r="JU2" i="6" s="1"/>
  <c r="JV2" i="6" a="1"/>
  <c r="JV2" i="6" s="1"/>
  <c r="JW2" i="6" a="1"/>
  <c r="JW2" i="6" s="1"/>
  <c r="JX2" i="6" a="1"/>
  <c r="JX2" i="6" s="1"/>
  <c r="JY2" i="6" a="1"/>
  <c r="JY2" i="6" s="1"/>
  <c r="JZ2" i="6" a="1"/>
  <c r="JZ2" i="6"/>
  <c r="KA2" i="6" a="1"/>
  <c r="KA2" i="6" s="1"/>
  <c r="KB2" i="6" a="1"/>
  <c r="KB2" i="6" s="1"/>
  <c r="KC2" i="6" a="1"/>
  <c r="KC2" i="6" s="1"/>
  <c r="KD2" i="6" a="1"/>
  <c r="KD2" i="6" s="1"/>
  <c r="KE2" i="6" a="1"/>
  <c r="KE2" i="6" s="1"/>
  <c r="KF2" i="6" a="1"/>
  <c r="KF2" i="6" s="1"/>
  <c r="KG2" i="6" a="1"/>
  <c r="KG2" i="6" s="1"/>
  <c r="KH2" i="6" a="1"/>
  <c r="KH2" i="6" s="1"/>
  <c r="KI2" i="6" a="1"/>
  <c r="KI2" i="6" s="1"/>
  <c r="KJ2" i="6" a="1"/>
  <c r="KJ2" i="6" s="1"/>
  <c r="KK2" i="6" a="1"/>
  <c r="KK2" i="6" s="1"/>
  <c r="KL2" i="6" a="1"/>
  <c r="KL2" i="6" s="1"/>
  <c r="KM2" i="6" a="1"/>
  <c r="KM2" i="6" s="1"/>
  <c r="KN2" i="6" a="1"/>
  <c r="KN2" i="6" s="1"/>
  <c r="KO2" i="6" a="1"/>
  <c r="KO2" i="6" s="1"/>
  <c r="KP2" i="6" a="1"/>
  <c r="KP2" i="6" s="1"/>
  <c r="KQ2" i="6" a="1"/>
  <c r="KQ2" i="6"/>
  <c r="KR2" i="6" a="1"/>
  <c r="KR2" i="6" s="1"/>
  <c r="KS2" i="6" a="1"/>
  <c r="KS2" i="6" s="1"/>
  <c r="KT2" i="6" a="1"/>
  <c r="KT2" i="6" s="1"/>
  <c r="KU2" i="6" a="1"/>
  <c r="KU2" i="6" s="1"/>
  <c r="KV2" i="6" a="1"/>
  <c r="KV2" i="6" s="1"/>
  <c r="KW2" i="6" a="1"/>
  <c r="KW2" i="6" s="1"/>
  <c r="KX2" i="6" a="1"/>
  <c r="KX2" i="6" s="1"/>
  <c r="KY2" i="6" a="1"/>
  <c r="KY2" i="6" s="1"/>
  <c r="KZ2" i="6" a="1"/>
  <c r="KZ2" i="6" s="1"/>
  <c r="LA2" i="6" a="1"/>
  <c r="LA2" i="6" s="1"/>
  <c r="LB2" i="6" a="1"/>
  <c r="LB2" i="6" s="1"/>
  <c r="LC2" i="6" a="1"/>
  <c r="LC2" i="6" s="1"/>
  <c r="LD2" i="6" a="1"/>
  <c r="LD2" i="6" s="1"/>
  <c r="LE2" i="6" a="1"/>
  <c r="LE2" i="6" s="1"/>
  <c r="LF2" i="6" a="1"/>
  <c r="LF2" i="6" s="1"/>
  <c r="LG2" i="6" a="1"/>
  <c r="LG2" i="6" s="1"/>
  <c r="LH2" i="6" a="1"/>
  <c r="LH2" i="6" s="1"/>
  <c r="LI2" i="6" a="1"/>
  <c r="LI2" i="6" s="1"/>
  <c r="LJ2" i="6" a="1"/>
  <c r="LJ2" i="6"/>
  <c r="LK2" i="6" a="1"/>
  <c r="LK2" i="6" s="1"/>
  <c r="LL2" i="6" a="1"/>
  <c r="LL2" i="6" s="1"/>
  <c r="LM2" i="6" a="1"/>
  <c r="LM2" i="6" s="1"/>
  <c r="LN2" i="6" a="1"/>
  <c r="LN2" i="6" s="1"/>
  <c r="LO2" i="6" a="1"/>
  <c r="LO2" i="6" s="1"/>
  <c r="LP2" i="6" a="1"/>
  <c r="LP2" i="6"/>
  <c r="LQ2" i="6" a="1"/>
  <c r="LQ2" i="6" s="1"/>
  <c r="LR2" i="6" a="1"/>
  <c r="LR2" i="6" s="1"/>
  <c r="LS2" i="6" a="1"/>
  <c r="LS2" i="6" s="1"/>
  <c r="LT2" i="6" a="1"/>
  <c r="LT2" i="6" s="1"/>
  <c r="LU2" i="6" a="1"/>
  <c r="LU2" i="6" s="1"/>
  <c r="LV2" i="6" a="1"/>
  <c r="LV2" i="6" s="1"/>
  <c r="LW2" i="6" a="1"/>
  <c r="LW2" i="6" s="1"/>
  <c r="LX2" i="6" a="1"/>
  <c r="LX2" i="6" s="1"/>
  <c r="LY2" i="6" a="1"/>
  <c r="LY2" i="6" s="1"/>
  <c r="LZ2" i="6" a="1"/>
  <c r="LZ2" i="6" s="1"/>
  <c r="MA2" i="6" a="1"/>
  <c r="MA2" i="6" s="1"/>
  <c r="MB2" i="6" a="1"/>
  <c r="MB2" i="6" s="1"/>
  <c r="MC2" i="6" a="1"/>
  <c r="MC2" i="6" s="1"/>
  <c r="MD2" i="6" a="1"/>
  <c r="MD2" i="6" s="1"/>
  <c r="ME2" i="6" a="1"/>
  <c r="ME2" i="6" s="1"/>
  <c r="MF2" i="6" a="1"/>
  <c r="MF2" i="6" s="1"/>
  <c r="MG2" i="6" a="1"/>
  <c r="MG2" i="6"/>
  <c r="MH2" i="6" a="1"/>
  <c r="MH2" i="6" s="1"/>
  <c r="MI2" i="6" a="1"/>
  <c r="MI2" i="6" s="1"/>
  <c r="MJ2" i="6" a="1"/>
  <c r="MJ2" i="6" s="1"/>
  <c r="MK2" i="6" a="1"/>
  <c r="MK2" i="6" s="1"/>
  <c r="ML2" i="6" a="1"/>
  <c r="ML2" i="6" s="1"/>
  <c r="MM2" i="6" a="1"/>
  <c r="MM2" i="6" s="1"/>
  <c r="MN2" i="6" a="1"/>
  <c r="MN2" i="6" s="1"/>
  <c r="MO2" i="6" a="1"/>
  <c r="MO2" i="6" s="1"/>
  <c r="MP2" i="6" a="1"/>
  <c r="MP2" i="6" s="1"/>
  <c r="MQ2" i="6" a="1"/>
  <c r="MQ2" i="6" s="1"/>
  <c r="MR2" i="6" a="1"/>
  <c r="MR2" i="6" s="1"/>
  <c r="MS2" i="6" a="1"/>
  <c r="MS2" i="6" s="1"/>
  <c r="MT2" i="6" a="1"/>
  <c r="MT2" i="6" s="1"/>
  <c r="MU2" i="6" a="1"/>
  <c r="MU2" i="6" s="1"/>
  <c r="MV2" i="6" a="1"/>
  <c r="MV2" i="6" s="1"/>
  <c r="MW2" i="6" a="1"/>
  <c r="MW2" i="6" s="1"/>
  <c r="MX2" i="6" a="1"/>
  <c r="MX2" i="6" s="1"/>
  <c r="MY2" i="6" a="1"/>
  <c r="MY2" i="6" s="1"/>
  <c r="MZ2" i="6" a="1"/>
  <c r="MZ2" i="6" s="1"/>
  <c r="NA2" i="6" a="1"/>
  <c r="NA2" i="6" s="1"/>
  <c r="NB2" i="6" a="1"/>
  <c r="NB2" i="6" s="1"/>
  <c r="NC2" i="6" a="1"/>
  <c r="NC2" i="6" s="1"/>
  <c r="ND2" i="6" a="1"/>
  <c r="ND2" i="6" s="1"/>
  <c r="NE2" i="6" a="1"/>
  <c r="NE2" i="6" s="1"/>
  <c r="NF2" i="6" a="1"/>
  <c r="NF2" i="6" s="1"/>
  <c r="NG2" i="6" a="1"/>
  <c r="NG2" i="6" s="1"/>
  <c r="NH2" i="6" a="1"/>
  <c r="NH2" i="6" s="1"/>
  <c r="NI2" i="6" a="1"/>
  <c r="NI2" i="6" s="1"/>
  <c r="NJ2" i="6" a="1"/>
  <c r="NJ2" i="6" s="1"/>
  <c r="NK2" i="6" a="1"/>
  <c r="NK2" i="6" s="1"/>
  <c r="NL2" i="6" a="1"/>
  <c r="NL2" i="6" s="1"/>
  <c r="NM2" i="6" a="1"/>
  <c r="NM2" i="6" s="1"/>
  <c r="NN2" i="6" a="1"/>
  <c r="NN2" i="6" s="1"/>
  <c r="NO2" i="6" a="1"/>
  <c r="NO2" i="6" s="1"/>
  <c r="NP2" i="6" a="1"/>
  <c r="NP2" i="6" s="1"/>
  <c r="NQ2" i="6" a="1"/>
  <c r="NQ2" i="6" s="1"/>
  <c r="NR2" i="6" a="1"/>
  <c r="NR2" i="6" s="1"/>
  <c r="NS2" i="6" a="1"/>
  <c r="NS2" i="6" s="1"/>
  <c r="NT2" i="6" a="1"/>
  <c r="NT2" i="6" s="1"/>
  <c r="NU2" i="6" a="1"/>
  <c r="NU2" i="6" s="1"/>
  <c r="NV2" i="6" a="1"/>
  <c r="NV2" i="6"/>
  <c r="NW2" i="6" a="1"/>
  <c r="NW2" i="6" s="1"/>
  <c r="NX2" i="6" a="1"/>
  <c r="NX2" i="6" s="1"/>
  <c r="NY2" i="6" a="1"/>
  <c r="NY2" i="6" s="1"/>
  <c r="NZ2" i="6" a="1"/>
  <c r="NZ2" i="6" s="1"/>
  <c r="OA2" i="6" a="1"/>
  <c r="OA2" i="6" s="1"/>
  <c r="OB2" i="6" a="1"/>
  <c r="OB2" i="6" s="1"/>
  <c r="OC2" i="6" a="1"/>
  <c r="OC2" i="6" s="1"/>
  <c r="OD2" i="6" a="1"/>
  <c r="OD2" i="6" s="1"/>
  <c r="OE2" i="6" a="1"/>
  <c r="OE2" i="6" s="1"/>
  <c r="OF2" i="6" a="1"/>
  <c r="OF2" i="6" s="1"/>
  <c r="OG2" i="6" a="1"/>
  <c r="OG2" i="6" s="1"/>
  <c r="OH2" i="6" a="1"/>
  <c r="OH2" i="6" s="1"/>
  <c r="OI2" i="6" a="1"/>
  <c r="OI2" i="6" s="1"/>
  <c r="OJ2" i="6" a="1"/>
  <c r="OJ2" i="6" s="1"/>
  <c r="OK2" i="6" a="1"/>
  <c r="OK2" i="6" s="1"/>
  <c r="OL2" i="6" a="1"/>
  <c r="OL2" i="6" s="1"/>
  <c r="OM2" i="6" a="1"/>
  <c r="OM2" i="6" s="1"/>
  <c r="ON2" i="6" a="1"/>
  <c r="ON2" i="6" s="1"/>
  <c r="OO2" i="6" a="1"/>
  <c r="OO2" i="6" s="1"/>
  <c r="OP2" i="6" a="1"/>
  <c r="OP2" i="6" s="1"/>
  <c r="OQ2" i="6" a="1"/>
  <c r="OQ2" i="6" s="1"/>
  <c r="OR2" i="6" a="1"/>
  <c r="OR2" i="6" s="1"/>
  <c r="OS2" i="6" a="1"/>
  <c r="OS2" i="6" s="1"/>
  <c r="OT2" i="6" a="1"/>
  <c r="OT2" i="6" s="1"/>
  <c r="OU2" i="6" a="1"/>
  <c r="OU2" i="6" s="1"/>
  <c r="OV2" i="6" a="1"/>
  <c r="OV2" i="6" s="1"/>
  <c r="OW2" i="6" a="1"/>
  <c r="OW2" i="6" s="1"/>
  <c r="OX2" i="6" a="1"/>
  <c r="OX2" i="6" s="1"/>
  <c r="OY2" i="6" a="1"/>
  <c r="OY2" i="6" s="1"/>
  <c r="OZ2" i="6" a="1"/>
  <c r="OZ2" i="6"/>
  <c r="PA2" i="6" a="1"/>
  <c r="PA2" i="6" s="1"/>
  <c r="PB2" i="6" a="1"/>
  <c r="PB2" i="6" s="1"/>
  <c r="PC2" i="6" a="1"/>
  <c r="PC2" i="6" s="1"/>
  <c r="PD2" i="6" a="1"/>
  <c r="PD2" i="6"/>
  <c r="PE2" i="6" a="1"/>
  <c r="PE2" i="6" s="1"/>
  <c r="PF2" i="6" a="1"/>
  <c r="PF2" i="6" s="1"/>
  <c r="PG2" i="6" a="1"/>
  <c r="PG2" i="6" s="1"/>
  <c r="PH2" i="6" a="1"/>
  <c r="PH2" i="6" s="1"/>
  <c r="PI2" i="6" a="1"/>
  <c r="PI2" i="6" s="1"/>
  <c r="PJ2" i="6" a="1"/>
  <c r="PJ2" i="6" s="1"/>
  <c r="PK2" i="6" a="1"/>
  <c r="PK2" i="6" s="1"/>
  <c r="PL2" i="6" a="1"/>
  <c r="PL2" i="6" s="1"/>
  <c r="PM2" i="6" a="1"/>
  <c r="PM2" i="6" s="1"/>
  <c r="PN2" i="6" a="1"/>
  <c r="PN2" i="6" s="1"/>
  <c r="PO2" i="6" a="1"/>
  <c r="PO2" i="6" s="1"/>
  <c r="PP2" i="6" a="1"/>
  <c r="PP2" i="6" s="1"/>
  <c r="PQ2" i="6" a="1"/>
  <c r="PQ2" i="6" s="1"/>
  <c r="PR2" i="6" a="1"/>
  <c r="PR2" i="6" s="1"/>
  <c r="PS2" i="6" a="1"/>
  <c r="PS2" i="6" s="1"/>
  <c r="PT2" i="6" a="1"/>
  <c r="PT2" i="6" s="1"/>
  <c r="PU2" i="6" a="1"/>
  <c r="PU2" i="6" s="1"/>
  <c r="PV2" i="6" a="1"/>
  <c r="PV2" i="6" s="1"/>
  <c r="PW2" i="6" a="1"/>
  <c r="PW2" i="6" s="1"/>
  <c r="PX2" i="6" a="1"/>
  <c r="PX2" i="6" s="1"/>
  <c r="PY2" i="6" a="1"/>
  <c r="PY2" i="6" s="1"/>
  <c r="PZ2" i="6" a="1"/>
  <c r="PZ2" i="6" s="1"/>
  <c r="QA2" i="6" a="1"/>
  <c r="QA2" i="6" s="1"/>
  <c r="QB2" i="6" a="1"/>
  <c r="QB2" i="6" s="1"/>
  <c r="QC2" i="6" a="1"/>
  <c r="QC2" i="6" s="1"/>
  <c r="QD2" i="6" a="1"/>
  <c r="QD2" i="6" s="1"/>
  <c r="QE2" i="6" a="1"/>
  <c r="QE2" i="6" s="1"/>
  <c r="QF2" i="6" a="1"/>
  <c r="QF2" i="6"/>
  <c r="QG2" i="6" a="1"/>
  <c r="QG2" i="6" s="1"/>
  <c r="QH2" i="6" a="1"/>
  <c r="QH2" i="6" s="1"/>
  <c r="QI2" i="6" a="1"/>
  <c r="QI2" i="6" s="1"/>
  <c r="QJ2" i="6" a="1"/>
  <c r="QJ2" i="6" s="1"/>
  <c r="QK2" i="6" a="1"/>
  <c r="QK2" i="6" s="1"/>
  <c r="QL2" i="6" a="1"/>
  <c r="QL2" i="6" s="1"/>
  <c r="QM2" i="6" a="1"/>
  <c r="QM2" i="6" s="1"/>
  <c r="QN2" i="6" a="1"/>
  <c r="QN2" i="6" s="1"/>
  <c r="QO2" i="6" a="1"/>
  <c r="QO2" i="6" s="1"/>
  <c r="QP2" i="6" a="1"/>
  <c r="QP2" i="6" s="1"/>
  <c r="QQ2" i="6" a="1"/>
  <c r="QQ2" i="6" s="1"/>
  <c r="QR2" i="6" a="1"/>
  <c r="QR2" i="6" s="1"/>
  <c r="QS2" i="6" a="1"/>
  <c r="QS2" i="6" s="1"/>
  <c r="QT2" i="6" a="1"/>
  <c r="QT2" i="6" s="1"/>
  <c r="QU2" i="6" a="1"/>
  <c r="QU2" i="6" s="1"/>
  <c r="QV2" i="6" a="1"/>
  <c r="QV2" i="6" s="1"/>
  <c r="QW2" i="6" a="1"/>
  <c r="QW2" i="6" s="1"/>
  <c r="QX2" i="6" a="1"/>
  <c r="QX2" i="6" s="1"/>
  <c r="QY2" i="6" a="1"/>
  <c r="QY2" i="6" s="1"/>
  <c r="QZ2" i="6" a="1"/>
  <c r="QZ2" i="6"/>
  <c r="RA2" i="6" a="1"/>
  <c r="RA2" i="6" s="1"/>
  <c r="RB2" i="6" a="1"/>
  <c r="RB2" i="6" s="1"/>
  <c r="RC2" i="6" a="1"/>
  <c r="RC2" i="6" s="1"/>
  <c r="RD2" i="6" a="1"/>
  <c r="RD2" i="6"/>
  <c r="RE2" i="6" a="1"/>
  <c r="RE2" i="6" s="1"/>
  <c r="RF2" i="6" a="1"/>
  <c r="RF2" i="6" s="1"/>
  <c r="RG2" i="6" a="1"/>
  <c r="RG2" i="6"/>
  <c r="RH2" i="6" a="1"/>
  <c r="RH2" i="6" s="1"/>
  <c r="RI2" i="6" a="1"/>
  <c r="RI2" i="6" s="1"/>
  <c r="RJ2" i="6" a="1"/>
  <c r="RJ2" i="6" s="1"/>
  <c r="RK2" i="6" a="1"/>
  <c r="RK2" i="6" s="1"/>
  <c r="RL2" i="6" a="1"/>
  <c r="RL2" i="6" s="1"/>
  <c r="RM2" i="6" a="1"/>
  <c r="RM2" i="6" s="1"/>
  <c r="RN2" i="6" a="1"/>
  <c r="RN2" i="6" s="1"/>
  <c r="RO2" i="6" a="1"/>
  <c r="RO2" i="6" s="1"/>
  <c r="RP2" i="6" a="1"/>
  <c r="RP2" i="6" s="1"/>
  <c r="RQ2" i="6" a="1"/>
  <c r="RQ2" i="6" s="1"/>
  <c r="RR2" i="6" a="1"/>
  <c r="RR2" i="6" s="1"/>
  <c r="RS2" i="6" a="1"/>
  <c r="RS2" i="6" s="1"/>
  <c r="RT2" i="6" a="1"/>
  <c r="RT2" i="6" s="1"/>
  <c r="RU2" i="6" a="1"/>
  <c r="RU2" i="6" s="1"/>
  <c r="RV2" i="6" a="1"/>
  <c r="RV2" i="6" s="1"/>
  <c r="RW2" i="6" a="1"/>
  <c r="RW2" i="6" s="1"/>
  <c r="RX2" i="6" a="1"/>
  <c r="RX2" i="6" s="1"/>
  <c r="RY2" i="6" a="1"/>
  <c r="RY2" i="6" s="1"/>
  <c r="RZ2" i="6" a="1"/>
  <c r="RZ2" i="6" s="1"/>
  <c r="SA2" i="6" a="1"/>
  <c r="SA2" i="6" s="1"/>
  <c r="SB2" i="6" a="1"/>
  <c r="SB2" i="6" s="1"/>
  <c r="SC2" i="6" a="1"/>
  <c r="SC2" i="6" s="1"/>
  <c r="SD2" i="6" a="1"/>
  <c r="SD2" i="6" s="1"/>
  <c r="SE2" i="6" a="1"/>
  <c r="SE2" i="6" s="1"/>
  <c r="SF2" i="6" a="1"/>
  <c r="SF2" i="6" s="1"/>
  <c r="SG2" i="6" a="1"/>
  <c r="SG2" i="6" s="1"/>
  <c r="SH2" i="6" a="1"/>
  <c r="SH2" i="6"/>
  <c r="SI2" i="6" a="1"/>
  <c r="SI2" i="6" s="1"/>
  <c r="SJ2" i="6" a="1"/>
  <c r="SJ2" i="6" s="1"/>
  <c r="SK2" i="6" a="1"/>
  <c r="SK2" i="6"/>
  <c r="SL2" i="6" a="1"/>
  <c r="SL2" i="6" s="1"/>
  <c r="SM2" i="6" a="1"/>
  <c r="SM2" i="6"/>
  <c r="SN2" i="6" a="1"/>
  <c r="SN2" i="6" s="1"/>
  <c r="SO2" i="6" a="1"/>
  <c r="SO2" i="6" s="1"/>
  <c r="SP2" i="6" a="1"/>
  <c r="SP2" i="6" s="1"/>
  <c r="SQ2" i="6" a="1"/>
  <c r="SQ2" i="6" s="1"/>
  <c r="P3" i="6" a="1"/>
  <c r="P3" i="6" s="1"/>
  <c r="Q3" i="6" a="1"/>
  <c r="Q3" i="6" s="1"/>
  <c r="R3" i="6" a="1"/>
  <c r="R3" i="6" s="1"/>
  <c r="S3" i="6" a="1"/>
  <c r="S3" i="6" s="1"/>
  <c r="T3" i="6" a="1"/>
  <c r="T3" i="6" s="1"/>
  <c r="U3" i="6" a="1"/>
  <c r="U3" i="6" s="1"/>
  <c r="V3" i="6" a="1"/>
  <c r="V3" i="6" s="1"/>
  <c r="W3" i="6" a="1"/>
  <c r="W3" i="6" s="1"/>
  <c r="X3" i="6" a="1"/>
  <c r="X3" i="6" s="1"/>
  <c r="Y3" i="6" a="1"/>
  <c r="Y3" i="6" s="1"/>
  <c r="Z3" i="6" a="1"/>
  <c r="Z3" i="6" s="1"/>
  <c r="AA3" i="6" a="1"/>
  <c r="AA3" i="6" s="1"/>
  <c r="AB3" i="6" a="1"/>
  <c r="AB3" i="6" s="1"/>
  <c r="AC3" i="6" a="1"/>
  <c r="AC3" i="6" s="1"/>
  <c r="AD3" i="6" a="1"/>
  <c r="AD3" i="6" s="1"/>
  <c r="AE3" i="6" a="1"/>
  <c r="AE3" i="6" s="1"/>
  <c r="AF3" i="6" a="1"/>
  <c r="AF3" i="6" s="1"/>
  <c r="AG3" i="6" a="1"/>
  <c r="AG3" i="6" s="1"/>
  <c r="AH3" i="6" a="1"/>
  <c r="AH3" i="6" s="1"/>
  <c r="AI3" i="6" a="1"/>
  <c r="AI3" i="6" s="1"/>
  <c r="AJ3" i="6" a="1"/>
  <c r="AJ3" i="6" s="1"/>
  <c r="AK3" i="6" a="1"/>
  <c r="AK3" i="6" s="1"/>
  <c r="AL3" i="6" a="1"/>
  <c r="AL3" i="6" s="1"/>
  <c r="AM3" i="6" a="1"/>
  <c r="AM3" i="6" s="1"/>
  <c r="AN3" i="6" a="1"/>
  <c r="AN3" i="6" s="1"/>
  <c r="AO3" i="6" a="1"/>
  <c r="AO3" i="6" s="1"/>
  <c r="AP3" i="6" a="1"/>
  <c r="AP3" i="6" s="1"/>
  <c r="AQ3" i="6" a="1"/>
  <c r="AQ3" i="6" s="1"/>
  <c r="AR3" i="6" a="1"/>
  <c r="AR3" i="6" s="1"/>
  <c r="AS3" i="6" a="1"/>
  <c r="AS3" i="6" s="1"/>
  <c r="AT3" i="6" a="1"/>
  <c r="AT3" i="6" s="1"/>
  <c r="AU3" i="6" a="1"/>
  <c r="AU3" i="6" s="1"/>
  <c r="AV3" i="6" a="1"/>
  <c r="AV3" i="6" s="1"/>
  <c r="AW3" i="6" a="1"/>
  <c r="AW3" i="6" s="1"/>
  <c r="AX3" i="6" a="1"/>
  <c r="AX3" i="6" s="1"/>
  <c r="AY3" i="6" a="1"/>
  <c r="AY3" i="6" s="1"/>
  <c r="AZ3" i="6" a="1"/>
  <c r="AZ3" i="6" s="1"/>
  <c r="BA3" i="6" a="1"/>
  <c r="BA3" i="6" s="1"/>
  <c r="BB3" i="6" a="1"/>
  <c r="BB3" i="6" s="1"/>
  <c r="BC3" i="6" a="1"/>
  <c r="BC3" i="6" s="1"/>
  <c r="BD3" i="6" a="1"/>
  <c r="BD3" i="6" s="1"/>
  <c r="BE3" i="6" a="1"/>
  <c r="BE3" i="6" s="1"/>
  <c r="BF3" i="6" a="1"/>
  <c r="BF3" i="6" s="1"/>
  <c r="BG3" i="6" a="1"/>
  <c r="BG3" i="6" s="1"/>
  <c r="BH3" i="6" a="1"/>
  <c r="BH3" i="6" s="1"/>
  <c r="BI3" i="6" a="1"/>
  <c r="BI3" i="6" s="1"/>
  <c r="BJ3" i="6" a="1"/>
  <c r="BJ3" i="6" s="1"/>
  <c r="BK3" i="6" a="1"/>
  <c r="BK3" i="6" s="1"/>
  <c r="BL3" i="6" a="1"/>
  <c r="BL3" i="6" s="1"/>
  <c r="BM3" i="6" a="1"/>
  <c r="BM3" i="6" s="1"/>
  <c r="BN3" i="6" a="1"/>
  <c r="BN3" i="6"/>
  <c r="BO3" i="6" a="1"/>
  <c r="BO3" i="6" s="1"/>
  <c r="BP3" i="6" a="1"/>
  <c r="BP3" i="6" s="1"/>
  <c r="BQ3" i="6" a="1"/>
  <c r="BQ3" i="6" s="1"/>
  <c r="BR3" i="6" a="1"/>
  <c r="BR3" i="6" s="1"/>
  <c r="BS3" i="6" a="1"/>
  <c r="BS3" i="6" s="1"/>
  <c r="BT3" i="6" a="1"/>
  <c r="BT3" i="6" s="1"/>
  <c r="BU3" i="6" a="1"/>
  <c r="BU3" i="6" s="1"/>
  <c r="BV3" i="6" a="1"/>
  <c r="BV3" i="6" s="1"/>
  <c r="BW3" i="6" a="1"/>
  <c r="BW3" i="6" s="1"/>
  <c r="BX3" i="6" a="1"/>
  <c r="BX3" i="6" s="1"/>
  <c r="BY3" i="6" a="1"/>
  <c r="BY3" i="6" s="1"/>
  <c r="BZ3" i="6" a="1"/>
  <c r="BZ3" i="6" s="1"/>
  <c r="CA3" i="6" a="1"/>
  <c r="CA3" i="6" s="1"/>
  <c r="CB3" i="6" a="1"/>
  <c r="CB3" i="6" s="1"/>
  <c r="CC3" i="6" a="1"/>
  <c r="CC3" i="6" s="1"/>
  <c r="CD3" i="6" a="1"/>
  <c r="CD3" i="6" s="1"/>
  <c r="CE3" i="6" a="1"/>
  <c r="CE3" i="6" s="1"/>
  <c r="CF3" i="6" a="1"/>
  <c r="CF3" i="6" s="1"/>
  <c r="CG3" i="6" a="1"/>
  <c r="CG3" i="6" s="1"/>
  <c r="CH3" i="6" a="1"/>
  <c r="CH3" i="6" s="1"/>
  <c r="CI3" i="6" a="1"/>
  <c r="CI3" i="6" s="1"/>
  <c r="CJ3" i="6" a="1"/>
  <c r="CJ3" i="6" s="1"/>
  <c r="CK3" i="6" a="1"/>
  <c r="CK3" i="6" s="1"/>
  <c r="CL3" i="6" a="1"/>
  <c r="CL3" i="6" s="1"/>
  <c r="CM3" i="6" a="1"/>
  <c r="CM3" i="6" s="1"/>
  <c r="CN3" i="6" a="1"/>
  <c r="CN3" i="6" s="1"/>
  <c r="CO3" i="6" a="1"/>
  <c r="CO3" i="6" s="1"/>
  <c r="CP3" i="6" a="1"/>
  <c r="CP3" i="6" s="1"/>
  <c r="CQ3" i="6" a="1"/>
  <c r="CQ3" i="6" s="1"/>
  <c r="CR3" i="6" a="1"/>
  <c r="CR3" i="6"/>
  <c r="CS3" i="6" a="1"/>
  <c r="CS3" i="6" s="1"/>
  <c r="CT3" i="6" a="1"/>
  <c r="CT3" i="6" s="1"/>
  <c r="CU3" i="6" a="1"/>
  <c r="CU3" i="6" s="1"/>
  <c r="CV3" i="6" a="1"/>
  <c r="CV3" i="6" s="1"/>
  <c r="CW3" i="6" a="1"/>
  <c r="CW3" i="6" s="1"/>
  <c r="CX3" i="6" a="1"/>
  <c r="CX3" i="6" s="1"/>
  <c r="CY3" i="6" a="1"/>
  <c r="CY3" i="6" s="1"/>
  <c r="CZ3" i="6" a="1"/>
  <c r="CZ3" i="6" s="1"/>
  <c r="DA3" i="6" a="1"/>
  <c r="DA3" i="6" s="1"/>
  <c r="DB3" i="6" a="1"/>
  <c r="DB3" i="6" s="1"/>
  <c r="DC3" i="6" a="1"/>
  <c r="DC3" i="6" s="1"/>
  <c r="DD3" i="6" a="1"/>
  <c r="DD3" i="6" s="1"/>
  <c r="DE3" i="6" a="1"/>
  <c r="DE3" i="6" s="1"/>
  <c r="DF3" i="6" a="1"/>
  <c r="DF3" i="6" s="1"/>
  <c r="DG3" i="6" a="1"/>
  <c r="DG3" i="6" s="1"/>
  <c r="DH3" i="6" a="1"/>
  <c r="DH3" i="6" s="1"/>
  <c r="DI3" i="6" a="1"/>
  <c r="DI3" i="6" s="1"/>
  <c r="DJ3" i="6" a="1"/>
  <c r="DJ3" i="6" s="1"/>
  <c r="DK3" i="6" a="1"/>
  <c r="DK3" i="6" s="1"/>
  <c r="DL3" i="6" a="1"/>
  <c r="DL3" i="6" s="1"/>
  <c r="DM3" i="6" a="1"/>
  <c r="DM3" i="6" s="1"/>
  <c r="DN3" i="6" a="1"/>
  <c r="DN3" i="6" s="1"/>
  <c r="DO3" i="6" a="1"/>
  <c r="DO3" i="6" s="1"/>
  <c r="DP3" i="6" a="1"/>
  <c r="DP3" i="6" s="1"/>
  <c r="DQ3" i="6" a="1"/>
  <c r="DQ3" i="6" s="1"/>
  <c r="DR3" i="6" a="1"/>
  <c r="DR3" i="6" s="1"/>
  <c r="DS3" i="6" a="1"/>
  <c r="DS3" i="6" s="1"/>
  <c r="DT3" i="6" a="1"/>
  <c r="DT3" i="6" s="1"/>
  <c r="DU3" i="6" a="1"/>
  <c r="DU3" i="6" s="1"/>
  <c r="DV3" i="6" a="1"/>
  <c r="DV3" i="6" s="1"/>
  <c r="DW3" i="6" a="1"/>
  <c r="DW3" i="6" s="1"/>
  <c r="DX3" i="6" a="1"/>
  <c r="DX3" i="6" s="1"/>
  <c r="DY3" i="6" a="1"/>
  <c r="DY3" i="6" s="1"/>
  <c r="DZ3" i="6" a="1"/>
  <c r="DZ3" i="6" s="1"/>
  <c r="EA3" i="6" a="1"/>
  <c r="EA3" i="6" s="1"/>
  <c r="EB3" i="6" a="1"/>
  <c r="EB3" i="6" s="1"/>
  <c r="EC3" i="6" a="1"/>
  <c r="EC3" i="6" s="1"/>
  <c r="ED3" i="6" a="1"/>
  <c r="ED3" i="6" s="1"/>
  <c r="EE3" i="6" a="1"/>
  <c r="EE3" i="6" s="1"/>
  <c r="EF3" i="6" a="1"/>
  <c r="EF3" i="6" s="1"/>
  <c r="EG3" i="6" a="1"/>
  <c r="EG3" i="6" s="1"/>
  <c r="EH3" i="6" a="1"/>
  <c r="EH3" i="6" s="1"/>
  <c r="EI3" i="6" a="1"/>
  <c r="EI3" i="6" s="1"/>
  <c r="EJ3" i="6" a="1"/>
  <c r="EJ3" i="6" s="1"/>
  <c r="EK3" i="6" a="1"/>
  <c r="EK3" i="6" s="1"/>
  <c r="EL3" i="6" a="1"/>
  <c r="EL3" i="6" s="1"/>
  <c r="EM3" i="6" a="1"/>
  <c r="EM3" i="6" s="1"/>
  <c r="EN3" i="6" a="1"/>
  <c r="EN3" i="6" s="1"/>
  <c r="EO3" i="6" a="1"/>
  <c r="EO3" i="6" s="1"/>
  <c r="EP3" i="6" a="1"/>
  <c r="EP3" i="6" s="1"/>
  <c r="EQ3" i="6" a="1"/>
  <c r="EQ3" i="6" s="1"/>
  <c r="ER3" i="6" a="1"/>
  <c r="ER3" i="6" s="1"/>
  <c r="ES3" i="6" a="1"/>
  <c r="ES3" i="6" s="1"/>
  <c r="ET3" i="6" a="1"/>
  <c r="ET3" i="6" s="1"/>
  <c r="EU3" i="6" a="1"/>
  <c r="EU3" i="6" s="1"/>
  <c r="EV3" i="6" a="1"/>
  <c r="EV3" i="6" s="1"/>
  <c r="EW3" i="6" a="1"/>
  <c r="EW3" i="6" s="1"/>
  <c r="EX3" i="6" a="1"/>
  <c r="EX3" i="6" s="1"/>
  <c r="EY3" i="6" a="1"/>
  <c r="EY3" i="6" s="1"/>
  <c r="EZ3" i="6" a="1"/>
  <c r="EZ3" i="6" s="1"/>
  <c r="FA3" i="6" a="1"/>
  <c r="FA3" i="6" s="1"/>
  <c r="FB3" i="6" a="1"/>
  <c r="FB3" i="6" s="1"/>
  <c r="FC3" i="6" a="1"/>
  <c r="FC3" i="6" s="1"/>
  <c r="FD3" i="6" a="1"/>
  <c r="FD3" i="6" s="1"/>
  <c r="FE3" i="6" a="1"/>
  <c r="FE3" i="6" s="1"/>
  <c r="FF3" i="6" a="1"/>
  <c r="FF3" i="6" s="1"/>
  <c r="FG3" i="6" a="1"/>
  <c r="FG3" i="6" s="1"/>
  <c r="FH3" i="6" a="1"/>
  <c r="FH3" i="6"/>
  <c r="FI3" i="6" a="1"/>
  <c r="FI3" i="6" s="1"/>
  <c r="FJ3" i="6" a="1"/>
  <c r="FJ3" i="6" s="1"/>
  <c r="FK3" i="6" a="1"/>
  <c r="FK3" i="6" s="1"/>
  <c r="FL3" i="6" a="1"/>
  <c r="FL3" i="6"/>
  <c r="FM3" i="6" a="1"/>
  <c r="FM3" i="6" s="1"/>
  <c r="FN3" i="6" a="1"/>
  <c r="FN3" i="6" s="1"/>
  <c r="FO3" i="6" a="1"/>
  <c r="FO3" i="6" s="1"/>
  <c r="FP3" i="6" a="1"/>
  <c r="FP3" i="6" s="1"/>
  <c r="FQ3" i="6" a="1"/>
  <c r="FQ3" i="6" s="1"/>
  <c r="FR3" i="6" a="1"/>
  <c r="FR3" i="6" s="1"/>
  <c r="FS3" i="6" a="1"/>
  <c r="FS3" i="6" s="1"/>
  <c r="FT3" i="6" a="1"/>
  <c r="FT3" i="6" s="1"/>
  <c r="FU3" i="6" a="1"/>
  <c r="FU3" i="6" s="1"/>
  <c r="FV3" i="6" a="1"/>
  <c r="FV3" i="6" s="1"/>
  <c r="FW3" i="6" a="1"/>
  <c r="FW3" i="6" s="1"/>
  <c r="FX3" i="6" a="1"/>
  <c r="FX3" i="6" s="1"/>
  <c r="FY3" i="6" a="1"/>
  <c r="FY3" i="6" s="1"/>
  <c r="FZ3" i="6" a="1"/>
  <c r="FZ3" i="6"/>
  <c r="GA3" i="6" a="1"/>
  <c r="GA3" i="6" s="1"/>
  <c r="GB3" i="6" a="1"/>
  <c r="GB3" i="6" s="1"/>
  <c r="GC3" i="6" a="1"/>
  <c r="GC3" i="6" s="1"/>
  <c r="GD3" i="6" a="1"/>
  <c r="GD3" i="6" s="1"/>
  <c r="GE3" i="6" a="1"/>
  <c r="GE3" i="6" s="1"/>
  <c r="GF3" i="6" a="1"/>
  <c r="GF3" i="6" s="1"/>
  <c r="GG3" i="6" a="1"/>
  <c r="GG3" i="6" s="1"/>
  <c r="GH3" i="6" a="1"/>
  <c r="GH3" i="6" s="1"/>
  <c r="GI3" i="6" a="1"/>
  <c r="GI3" i="6" s="1"/>
  <c r="GJ3" i="6" a="1"/>
  <c r="GJ3" i="6" s="1"/>
  <c r="GK3" i="6" a="1"/>
  <c r="GK3" i="6"/>
  <c r="GL3" i="6" a="1"/>
  <c r="GL3" i="6" s="1"/>
  <c r="GM3" i="6" a="1"/>
  <c r="GM3" i="6" s="1"/>
  <c r="GN3" i="6" a="1"/>
  <c r="GN3" i="6" s="1"/>
  <c r="GO3" i="6" a="1"/>
  <c r="GO3" i="6" s="1"/>
  <c r="GP3" i="6" a="1"/>
  <c r="GP3" i="6" s="1"/>
  <c r="GQ3" i="6" a="1"/>
  <c r="GQ3" i="6" s="1"/>
  <c r="GR3" i="6" a="1"/>
  <c r="GR3" i="6" s="1"/>
  <c r="GS3" i="6" a="1"/>
  <c r="GS3" i="6" s="1"/>
  <c r="GT3" i="6" a="1"/>
  <c r="GT3" i="6" s="1"/>
  <c r="GU3" i="6" a="1"/>
  <c r="GU3" i="6" s="1"/>
  <c r="GV3" i="6" a="1"/>
  <c r="GV3" i="6" s="1"/>
  <c r="GW3" i="6" a="1"/>
  <c r="GW3" i="6"/>
  <c r="GX3" i="6" a="1"/>
  <c r="GX3" i="6"/>
  <c r="GY3" i="6" a="1"/>
  <c r="GY3" i="6" s="1"/>
  <c r="GZ3" i="6" a="1"/>
  <c r="GZ3" i="6" s="1"/>
  <c r="HA3" i="6" a="1"/>
  <c r="HA3" i="6" s="1"/>
  <c r="HB3" i="6" a="1"/>
  <c r="HB3" i="6" s="1"/>
  <c r="HC3" i="6" a="1"/>
  <c r="HC3" i="6" s="1"/>
  <c r="HD3" i="6" a="1"/>
  <c r="HD3" i="6" s="1"/>
  <c r="HE3" i="6" a="1"/>
  <c r="HE3" i="6" s="1"/>
  <c r="HF3" i="6" a="1"/>
  <c r="HF3" i="6" s="1"/>
  <c r="HG3" i="6" a="1"/>
  <c r="HG3" i="6" s="1"/>
  <c r="HH3" i="6" a="1"/>
  <c r="HH3" i="6" s="1"/>
  <c r="HI3" i="6" a="1"/>
  <c r="HI3" i="6"/>
  <c r="HJ3" i="6" a="1"/>
  <c r="HJ3" i="6" s="1"/>
  <c r="HK3" i="6" a="1"/>
  <c r="HK3" i="6" s="1"/>
  <c r="HL3" i="6" a="1"/>
  <c r="HL3" i="6" s="1"/>
  <c r="HM3" i="6" a="1"/>
  <c r="HM3" i="6" s="1"/>
  <c r="HN3" i="6" a="1"/>
  <c r="HN3" i="6" s="1"/>
  <c r="HO3" i="6" a="1"/>
  <c r="HO3" i="6" s="1"/>
  <c r="HP3" i="6" a="1"/>
  <c r="HP3" i="6" s="1"/>
  <c r="HQ3" i="6" a="1"/>
  <c r="HQ3" i="6" s="1"/>
  <c r="HR3" i="6" a="1"/>
  <c r="HR3" i="6" s="1"/>
  <c r="HS3" i="6" a="1"/>
  <c r="HS3" i="6" s="1"/>
  <c r="HT3" i="6" a="1"/>
  <c r="HT3" i="6" s="1"/>
  <c r="HU3" i="6" a="1"/>
  <c r="HU3" i="6"/>
  <c r="HV3" i="6" a="1"/>
  <c r="HV3" i="6"/>
  <c r="HW3" i="6" a="1"/>
  <c r="HW3" i="6" s="1"/>
  <c r="HX3" i="6" a="1"/>
  <c r="HX3" i="6" s="1"/>
  <c r="HY3" i="6" a="1"/>
  <c r="HY3" i="6" s="1"/>
  <c r="HZ3" i="6" a="1"/>
  <c r="HZ3" i="6" s="1"/>
  <c r="IA3" i="6" a="1"/>
  <c r="IA3" i="6" s="1"/>
  <c r="IB3" i="6" a="1"/>
  <c r="IB3" i="6" s="1"/>
  <c r="IC3" i="6" a="1"/>
  <c r="IC3" i="6" s="1"/>
  <c r="ID3" i="6" a="1"/>
  <c r="ID3" i="6" s="1"/>
  <c r="IE3" i="6" a="1"/>
  <c r="IE3" i="6" s="1"/>
  <c r="IF3" i="6" a="1"/>
  <c r="IF3" i="6" s="1"/>
  <c r="IG3" i="6" a="1"/>
  <c r="IG3" i="6" s="1"/>
  <c r="IH3" i="6" a="1"/>
  <c r="IH3" i="6" s="1"/>
  <c r="II3" i="6" a="1"/>
  <c r="II3" i="6" s="1"/>
  <c r="IJ3" i="6" a="1"/>
  <c r="IJ3" i="6" s="1"/>
  <c r="IK3" i="6" a="1"/>
  <c r="IK3" i="6" s="1"/>
  <c r="IL3" i="6" a="1"/>
  <c r="IL3" i="6"/>
  <c r="IM3" i="6" a="1"/>
  <c r="IM3" i="6" s="1"/>
  <c r="IN3" i="6" a="1"/>
  <c r="IN3" i="6" s="1"/>
  <c r="IO3" i="6" a="1"/>
  <c r="IO3" i="6" s="1"/>
  <c r="IP3" i="6" a="1"/>
  <c r="IP3" i="6" s="1"/>
  <c r="IQ3" i="6" a="1"/>
  <c r="IQ3" i="6" s="1"/>
  <c r="IR3" i="6" a="1"/>
  <c r="IR3" i="6" s="1"/>
  <c r="IS3" i="6" a="1"/>
  <c r="IS3" i="6"/>
  <c r="IT3" i="6" a="1"/>
  <c r="IT3" i="6"/>
  <c r="IU3" i="6" a="1"/>
  <c r="IU3" i="6" s="1"/>
  <c r="IV3" i="6" a="1"/>
  <c r="IV3" i="6" s="1"/>
  <c r="IW3" i="6" a="1"/>
  <c r="IW3" i="6" s="1"/>
  <c r="IX3" i="6" a="1"/>
  <c r="IX3" i="6" s="1"/>
  <c r="IY3" i="6" a="1"/>
  <c r="IY3" i="6" s="1"/>
  <c r="IZ3" i="6" a="1"/>
  <c r="IZ3" i="6" s="1"/>
  <c r="JA3" i="6" a="1"/>
  <c r="JA3" i="6" s="1"/>
  <c r="JB3" i="6" a="1"/>
  <c r="JB3" i="6" s="1"/>
  <c r="JC3" i="6" a="1"/>
  <c r="JC3" i="6" s="1"/>
  <c r="JD3" i="6" a="1"/>
  <c r="JD3" i="6" s="1"/>
  <c r="JE3" i="6" a="1"/>
  <c r="JE3" i="6"/>
  <c r="JF3" i="6" a="1"/>
  <c r="JF3" i="6" s="1"/>
  <c r="JG3" i="6" a="1"/>
  <c r="JG3" i="6" s="1"/>
  <c r="JH3" i="6" a="1"/>
  <c r="JH3" i="6" s="1"/>
  <c r="JI3" i="6" a="1"/>
  <c r="JI3" i="6" s="1"/>
  <c r="JJ3" i="6" a="1"/>
  <c r="JJ3" i="6" s="1"/>
  <c r="JK3" i="6" a="1"/>
  <c r="JK3" i="6" s="1"/>
  <c r="JL3" i="6" a="1"/>
  <c r="JL3" i="6" s="1"/>
  <c r="JM3" i="6" a="1"/>
  <c r="JM3" i="6" s="1"/>
  <c r="JN3" i="6" a="1"/>
  <c r="JN3" i="6" s="1"/>
  <c r="JO3" i="6" a="1"/>
  <c r="JO3" i="6" s="1"/>
  <c r="JP3" i="6" a="1"/>
  <c r="JP3" i="6" s="1"/>
  <c r="JQ3" i="6" a="1"/>
  <c r="JQ3" i="6"/>
  <c r="JR3" i="6" a="1"/>
  <c r="JR3" i="6" s="1"/>
  <c r="JS3" i="6" a="1"/>
  <c r="JS3" i="6" s="1"/>
  <c r="JT3" i="6" a="1"/>
  <c r="JT3" i="6" s="1"/>
  <c r="JU3" i="6" a="1"/>
  <c r="JU3" i="6" s="1"/>
  <c r="JV3" i="6" a="1"/>
  <c r="JV3" i="6" s="1"/>
  <c r="JW3" i="6" a="1"/>
  <c r="JW3" i="6" s="1"/>
  <c r="JX3" i="6" a="1"/>
  <c r="JX3" i="6" s="1"/>
  <c r="JY3" i="6" a="1"/>
  <c r="JY3" i="6" s="1"/>
  <c r="JZ3" i="6" a="1"/>
  <c r="JZ3" i="6" s="1"/>
  <c r="KA3" i="6" a="1"/>
  <c r="KA3" i="6" s="1"/>
  <c r="KB3" i="6" a="1"/>
  <c r="KB3" i="6" s="1"/>
  <c r="KC3" i="6" a="1"/>
  <c r="KC3" i="6"/>
  <c r="KD3" i="6" a="1"/>
  <c r="KD3" i="6" s="1"/>
  <c r="KE3" i="6" a="1"/>
  <c r="KE3" i="6" s="1"/>
  <c r="KF3" i="6" a="1"/>
  <c r="KF3" i="6" s="1"/>
  <c r="KG3" i="6" a="1"/>
  <c r="KG3" i="6" s="1"/>
  <c r="KH3" i="6" a="1"/>
  <c r="KH3" i="6" s="1"/>
  <c r="KI3" i="6" a="1"/>
  <c r="KI3" i="6"/>
  <c r="KJ3" i="6" a="1"/>
  <c r="KJ3" i="6" s="1"/>
  <c r="KK3" i="6" a="1"/>
  <c r="KK3" i="6" s="1"/>
  <c r="KL3" i="6" a="1"/>
  <c r="KL3" i="6" s="1"/>
  <c r="KM3" i="6" a="1"/>
  <c r="KM3" i="6" s="1"/>
  <c r="KN3" i="6" a="1"/>
  <c r="KN3" i="6" s="1"/>
  <c r="KO3" i="6" a="1"/>
  <c r="KO3" i="6" s="1"/>
  <c r="KP3" i="6" a="1"/>
  <c r="KP3" i="6" s="1"/>
  <c r="KQ3" i="6" a="1"/>
  <c r="KQ3" i="6" s="1"/>
  <c r="KR3" i="6" a="1"/>
  <c r="KR3" i="6" s="1"/>
  <c r="KS3" i="6" a="1"/>
  <c r="KS3" i="6" s="1"/>
  <c r="KT3" i="6" a="1"/>
  <c r="KT3" i="6" s="1"/>
  <c r="KU3" i="6" a="1"/>
  <c r="KU3" i="6"/>
  <c r="KV3" i="6" a="1"/>
  <c r="KV3" i="6" s="1"/>
  <c r="KW3" i="6" a="1"/>
  <c r="KW3" i="6" s="1"/>
  <c r="KX3" i="6" a="1"/>
  <c r="KX3" i="6" s="1"/>
  <c r="KY3" i="6" a="1"/>
  <c r="KY3" i="6" s="1"/>
  <c r="KZ3" i="6" a="1"/>
  <c r="KZ3" i="6" s="1"/>
  <c r="LA3" i="6" a="1"/>
  <c r="LA3" i="6"/>
  <c r="LB3" i="6" a="1"/>
  <c r="LB3" i="6" s="1"/>
  <c r="LC3" i="6" a="1"/>
  <c r="LC3" i="6" s="1"/>
  <c r="LD3" i="6" a="1"/>
  <c r="LD3" i="6" s="1"/>
  <c r="LE3" i="6" a="1"/>
  <c r="LE3" i="6" s="1"/>
  <c r="LF3" i="6" a="1"/>
  <c r="LF3" i="6" s="1"/>
  <c r="LG3" i="6" a="1"/>
  <c r="LG3" i="6" s="1"/>
  <c r="LH3" i="6" a="1"/>
  <c r="LH3" i="6" s="1"/>
  <c r="LI3" i="6" a="1"/>
  <c r="LI3" i="6" s="1"/>
  <c r="LJ3" i="6" a="1"/>
  <c r="LJ3" i="6" s="1"/>
  <c r="LK3" i="6" a="1"/>
  <c r="LK3" i="6" s="1"/>
  <c r="LL3" i="6" a="1"/>
  <c r="LL3" i="6" s="1"/>
  <c r="LM3" i="6" a="1"/>
  <c r="LM3" i="6" s="1"/>
  <c r="LN3" i="6" a="1"/>
  <c r="LN3" i="6" s="1"/>
  <c r="LO3" i="6" a="1"/>
  <c r="LO3" i="6" s="1"/>
  <c r="LP3" i="6" a="1"/>
  <c r="LP3" i="6" s="1"/>
  <c r="LQ3" i="6" a="1"/>
  <c r="LQ3" i="6" s="1"/>
  <c r="LR3" i="6" a="1"/>
  <c r="LR3" i="6" s="1"/>
  <c r="LS3" i="6" a="1"/>
  <c r="LS3" i="6" s="1"/>
  <c r="LT3" i="6" a="1"/>
  <c r="LT3" i="6"/>
  <c r="LU3" i="6" a="1"/>
  <c r="LU3" i="6" s="1"/>
  <c r="LV3" i="6" a="1"/>
  <c r="LV3" i="6" s="1"/>
  <c r="LW3" i="6" a="1"/>
  <c r="LW3" i="6" s="1"/>
  <c r="LX3" i="6" a="1"/>
  <c r="LX3" i="6" s="1"/>
  <c r="LY3" i="6" a="1"/>
  <c r="LY3" i="6" s="1"/>
  <c r="LZ3" i="6" a="1"/>
  <c r="LZ3" i="6" s="1"/>
  <c r="MA3" i="6" a="1"/>
  <c r="MA3" i="6" s="1"/>
  <c r="MB3" i="6" a="1"/>
  <c r="MB3" i="6" s="1"/>
  <c r="MC3" i="6" a="1"/>
  <c r="MC3" i="6" s="1"/>
  <c r="MD3" i="6" a="1"/>
  <c r="MD3" i="6" s="1"/>
  <c r="ME3" i="6" a="1"/>
  <c r="ME3" i="6" s="1"/>
  <c r="MF3" i="6" a="1"/>
  <c r="MF3" i="6" s="1"/>
  <c r="MG3" i="6" a="1"/>
  <c r="MG3" i="6" s="1"/>
  <c r="MH3" i="6" a="1"/>
  <c r="MH3" i="6" s="1"/>
  <c r="MI3" i="6" a="1"/>
  <c r="MI3" i="6" s="1"/>
  <c r="MJ3" i="6" a="1"/>
  <c r="MJ3" i="6" s="1"/>
  <c r="MK3" i="6" a="1"/>
  <c r="MK3" i="6" s="1"/>
  <c r="ML3" i="6" a="1"/>
  <c r="ML3" i="6" s="1"/>
  <c r="MM3" i="6" a="1"/>
  <c r="MM3" i="6" s="1"/>
  <c r="MN3" i="6" a="1"/>
  <c r="MN3" i="6" s="1"/>
  <c r="MO3" i="6" a="1"/>
  <c r="MO3" i="6" s="1"/>
  <c r="MP3" i="6" a="1"/>
  <c r="MP3" i="6" s="1"/>
  <c r="MQ3" i="6" a="1"/>
  <c r="MQ3" i="6" s="1"/>
  <c r="MR3" i="6" a="1"/>
  <c r="MR3" i="6"/>
  <c r="MS3" i="6" a="1"/>
  <c r="MS3" i="6" s="1"/>
  <c r="MT3" i="6" a="1"/>
  <c r="MT3" i="6" s="1"/>
  <c r="MU3" i="6" a="1"/>
  <c r="MU3" i="6" s="1"/>
  <c r="MV3" i="6" a="1"/>
  <c r="MV3" i="6" s="1"/>
  <c r="MW3" i="6" a="1"/>
  <c r="MW3" i="6" s="1"/>
  <c r="MX3" i="6" a="1"/>
  <c r="MX3" i="6" s="1"/>
  <c r="MY3" i="6" a="1"/>
  <c r="MY3" i="6" s="1"/>
  <c r="MZ3" i="6" a="1"/>
  <c r="MZ3" i="6" s="1"/>
  <c r="NA3" i="6" a="1"/>
  <c r="NA3" i="6" s="1"/>
  <c r="NB3" i="6" a="1"/>
  <c r="NB3" i="6" s="1"/>
  <c r="NC3" i="6" a="1"/>
  <c r="NC3" i="6" s="1"/>
  <c r="ND3" i="6" a="1"/>
  <c r="ND3" i="6" s="1"/>
  <c r="NE3" i="6" a="1"/>
  <c r="NE3" i="6" s="1"/>
  <c r="NF3" i="6" a="1"/>
  <c r="NF3" i="6" s="1"/>
  <c r="NG3" i="6" a="1"/>
  <c r="NG3" i="6" s="1"/>
  <c r="NH3" i="6" a="1"/>
  <c r="NH3" i="6" s="1"/>
  <c r="NI3" i="6" a="1"/>
  <c r="NI3" i="6" s="1"/>
  <c r="NJ3" i="6" a="1"/>
  <c r="NJ3" i="6" s="1"/>
  <c r="NK3" i="6" a="1"/>
  <c r="NK3" i="6" s="1"/>
  <c r="NL3" i="6" a="1"/>
  <c r="NL3" i="6" s="1"/>
  <c r="NM3" i="6" a="1"/>
  <c r="NM3" i="6" s="1"/>
  <c r="NN3" i="6" a="1"/>
  <c r="NN3" i="6" s="1"/>
  <c r="NO3" i="6" a="1"/>
  <c r="NO3" i="6" s="1"/>
  <c r="NP3" i="6" a="1"/>
  <c r="NP3" i="6"/>
  <c r="NQ3" i="6" a="1"/>
  <c r="NQ3" i="6" s="1"/>
  <c r="NR3" i="6" a="1"/>
  <c r="NR3" i="6" s="1"/>
  <c r="NS3" i="6" a="1"/>
  <c r="NS3" i="6" s="1"/>
  <c r="NT3" i="6" a="1"/>
  <c r="NT3" i="6" s="1"/>
  <c r="NU3" i="6" a="1"/>
  <c r="NU3" i="6" s="1"/>
  <c r="NV3" i="6" a="1"/>
  <c r="NV3" i="6" s="1"/>
  <c r="NW3" i="6" a="1"/>
  <c r="NW3" i="6" s="1"/>
  <c r="NX3" i="6" a="1"/>
  <c r="NX3" i="6" s="1"/>
  <c r="NY3" i="6" a="1"/>
  <c r="NY3" i="6" s="1"/>
  <c r="NZ3" i="6" a="1"/>
  <c r="NZ3" i="6" s="1"/>
  <c r="OA3" i="6" a="1"/>
  <c r="OA3" i="6" s="1"/>
  <c r="OB3" i="6" a="1"/>
  <c r="OB3" i="6" s="1"/>
  <c r="OC3" i="6" a="1"/>
  <c r="OC3" i="6" s="1"/>
  <c r="OD3" i="6" a="1"/>
  <c r="OD3" i="6" s="1"/>
  <c r="OE3" i="6" a="1"/>
  <c r="OE3" i="6" s="1"/>
  <c r="OF3" i="6" a="1"/>
  <c r="OF3" i="6" s="1"/>
  <c r="OG3" i="6" a="1"/>
  <c r="OG3" i="6" s="1"/>
  <c r="OH3" i="6" a="1"/>
  <c r="OH3" i="6" s="1"/>
  <c r="OI3" i="6" a="1"/>
  <c r="OI3" i="6" s="1"/>
  <c r="OJ3" i="6" a="1"/>
  <c r="OJ3" i="6" s="1"/>
  <c r="OK3" i="6" a="1"/>
  <c r="OK3" i="6" s="1"/>
  <c r="OL3" i="6" a="1"/>
  <c r="OL3" i="6" s="1"/>
  <c r="OM3" i="6" a="1"/>
  <c r="OM3" i="6" s="1"/>
  <c r="ON3" i="6" a="1"/>
  <c r="ON3" i="6"/>
  <c r="OO3" i="6" a="1"/>
  <c r="OO3" i="6" s="1"/>
  <c r="OP3" i="6" a="1"/>
  <c r="OP3" i="6" s="1"/>
  <c r="OQ3" i="6" a="1"/>
  <c r="OQ3" i="6" s="1"/>
  <c r="OR3" i="6" a="1"/>
  <c r="OR3" i="6" s="1"/>
  <c r="OS3" i="6" a="1"/>
  <c r="OS3" i="6" s="1"/>
  <c r="OT3" i="6" a="1"/>
  <c r="OT3" i="6" s="1"/>
  <c r="OU3" i="6" a="1"/>
  <c r="OU3" i="6" s="1"/>
  <c r="OV3" i="6" a="1"/>
  <c r="OV3" i="6" s="1"/>
  <c r="OW3" i="6" a="1"/>
  <c r="OW3" i="6" s="1"/>
  <c r="OX3" i="6" a="1"/>
  <c r="OX3" i="6" s="1"/>
  <c r="OY3" i="6" a="1"/>
  <c r="OY3" i="6" s="1"/>
  <c r="OZ3" i="6" a="1"/>
  <c r="OZ3" i="6" s="1"/>
  <c r="PA3" i="6" a="1"/>
  <c r="PA3" i="6" s="1"/>
  <c r="PB3" i="6" a="1"/>
  <c r="PB3" i="6" s="1"/>
  <c r="PC3" i="6" a="1"/>
  <c r="PC3" i="6" s="1"/>
  <c r="PD3" i="6" a="1"/>
  <c r="PD3" i="6" s="1"/>
  <c r="PE3" i="6" a="1"/>
  <c r="PE3" i="6" s="1"/>
  <c r="PF3" i="6" a="1"/>
  <c r="PF3" i="6"/>
  <c r="PG3" i="6" a="1"/>
  <c r="PG3" i="6" s="1"/>
  <c r="PH3" i="6" a="1"/>
  <c r="PH3" i="6" s="1"/>
  <c r="PI3" i="6" a="1"/>
  <c r="PI3" i="6" s="1"/>
  <c r="PJ3" i="6" a="1"/>
  <c r="PJ3" i="6" s="1"/>
  <c r="PK3" i="6" a="1"/>
  <c r="PK3" i="6" s="1"/>
  <c r="PL3" i="6" a="1"/>
  <c r="PL3" i="6" s="1"/>
  <c r="PM3" i="6" a="1"/>
  <c r="PM3" i="6" s="1"/>
  <c r="PN3" i="6" a="1"/>
  <c r="PN3" i="6" s="1"/>
  <c r="PO3" i="6" a="1"/>
  <c r="PO3" i="6" s="1"/>
  <c r="PP3" i="6" a="1"/>
  <c r="PP3" i="6" s="1"/>
  <c r="PQ3" i="6" a="1"/>
  <c r="PQ3" i="6" s="1"/>
  <c r="PR3" i="6" a="1"/>
  <c r="PR3" i="6"/>
  <c r="PS3" i="6" a="1"/>
  <c r="PS3" i="6" s="1"/>
  <c r="PT3" i="6" a="1"/>
  <c r="PT3" i="6" s="1"/>
  <c r="PU3" i="6" a="1"/>
  <c r="PU3" i="6" s="1"/>
  <c r="PV3" i="6" a="1"/>
  <c r="PV3" i="6" s="1"/>
  <c r="PW3" i="6" a="1"/>
  <c r="PW3" i="6" s="1"/>
  <c r="PX3" i="6" a="1"/>
  <c r="PX3" i="6"/>
  <c r="PY3" i="6" a="1"/>
  <c r="PY3" i="6" s="1"/>
  <c r="PZ3" i="6" a="1"/>
  <c r="PZ3" i="6" s="1"/>
  <c r="QA3" i="6" a="1"/>
  <c r="QA3" i="6" s="1"/>
  <c r="QB3" i="6" a="1"/>
  <c r="QB3" i="6" s="1"/>
  <c r="QC3" i="6" a="1"/>
  <c r="QC3" i="6" s="1"/>
  <c r="QD3" i="6" a="1"/>
  <c r="QD3" i="6" s="1"/>
  <c r="QE3" i="6" a="1"/>
  <c r="QE3" i="6" s="1"/>
  <c r="QF3" i="6" a="1"/>
  <c r="QF3" i="6" s="1"/>
  <c r="QG3" i="6" a="1"/>
  <c r="QG3" i="6" s="1"/>
  <c r="QH3" i="6" a="1"/>
  <c r="QH3" i="6" s="1"/>
  <c r="QI3" i="6" a="1"/>
  <c r="QI3" i="6" s="1"/>
  <c r="QJ3" i="6" a="1"/>
  <c r="QJ3" i="6" s="1"/>
  <c r="QK3" i="6" a="1"/>
  <c r="QK3" i="6" s="1"/>
  <c r="QL3" i="6" a="1"/>
  <c r="QL3" i="6" s="1"/>
  <c r="QM3" i="6" a="1"/>
  <c r="QM3" i="6" s="1"/>
  <c r="QN3" i="6" a="1"/>
  <c r="QN3" i="6" s="1"/>
  <c r="QO3" i="6" a="1"/>
  <c r="QO3" i="6" s="1"/>
  <c r="QP3" i="6" a="1"/>
  <c r="QP3" i="6"/>
  <c r="QQ3" i="6" a="1"/>
  <c r="QQ3" i="6" s="1"/>
  <c r="QR3" i="6" a="1"/>
  <c r="QR3" i="6" s="1"/>
  <c r="QS3" i="6" a="1"/>
  <c r="QS3" i="6" s="1"/>
  <c r="QT3" i="6" a="1"/>
  <c r="QT3" i="6" s="1"/>
  <c r="QU3" i="6" a="1"/>
  <c r="QU3" i="6" s="1"/>
  <c r="QV3" i="6" a="1"/>
  <c r="QV3" i="6" s="1"/>
  <c r="QW3" i="6" a="1"/>
  <c r="QW3" i="6" s="1"/>
  <c r="QX3" i="6" a="1"/>
  <c r="QX3" i="6" s="1"/>
  <c r="QY3" i="6" a="1"/>
  <c r="QY3" i="6" s="1"/>
  <c r="QZ3" i="6" a="1"/>
  <c r="QZ3" i="6" s="1"/>
  <c r="RA3" i="6" a="1"/>
  <c r="RA3" i="6" s="1"/>
  <c r="RB3" i="6" a="1"/>
  <c r="RB3" i="6" s="1"/>
  <c r="RC3" i="6" a="1"/>
  <c r="RC3" i="6" s="1"/>
  <c r="RD3" i="6" a="1"/>
  <c r="RD3" i="6" s="1"/>
  <c r="RE3" i="6" a="1"/>
  <c r="RE3" i="6" s="1"/>
  <c r="RF3" i="6" a="1"/>
  <c r="RF3" i="6" s="1"/>
  <c r="RG3" i="6" a="1"/>
  <c r="RG3" i="6" s="1"/>
  <c r="RH3" i="6" a="1"/>
  <c r="RH3" i="6"/>
  <c r="RI3" i="6" a="1"/>
  <c r="RI3" i="6" s="1"/>
  <c r="RJ3" i="6" a="1"/>
  <c r="RJ3" i="6" s="1"/>
  <c r="RK3" i="6" a="1"/>
  <c r="RK3" i="6" s="1"/>
  <c r="RL3" i="6" a="1"/>
  <c r="RL3" i="6" s="1"/>
  <c r="RM3" i="6" a="1"/>
  <c r="RM3" i="6" s="1"/>
  <c r="RN3" i="6" a="1"/>
  <c r="RN3" i="6" s="1"/>
  <c r="RO3" i="6" a="1"/>
  <c r="RO3" i="6" s="1"/>
  <c r="RP3" i="6" a="1"/>
  <c r="RP3" i="6" s="1"/>
  <c r="RQ3" i="6" a="1"/>
  <c r="RQ3" i="6" s="1"/>
  <c r="RR3" i="6" a="1"/>
  <c r="RR3" i="6" s="1"/>
  <c r="RS3" i="6" a="1"/>
  <c r="RS3" i="6" s="1"/>
  <c r="RT3" i="6" a="1"/>
  <c r="RT3" i="6" s="1"/>
  <c r="RU3" i="6" a="1"/>
  <c r="RU3" i="6" s="1"/>
  <c r="RV3" i="6" a="1"/>
  <c r="RV3" i="6" s="1"/>
  <c r="RW3" i="6" a="1"/>
  <c r="RW3" i="6" s="1"/>
  <c r="RX3" i="6" a="1"/>
  <c r="RX3" i="6" s="1"/>
  <c r="RY3" i="6" a="1"/>
  <c r="RY3" i="6" s="1"/>
  <c r="RZ3" i="6" a="1"/>
  <c r="RZ3" i="6" s="1"/>
  <c r="SA3" i="6" a="1"/>
  <c r="SA3" i="6" s="1"/>
  <c r="SB3" i="6" a="1"/>
  <c r="SB3" i="6" s="1"/>
  <c r="SC3" i="6" a="1"/>
  <c r="SC3" i="6" s="1"/>
  <c r="SD3" i="6" a="1"/>
  <c r="SD3" i="6" s="1"/>
  <c r="SE3" i="6" a="1"/>
  <c r="SE3" i="6" s="1"/>
  <c r="SF3" i="6" a="1"/>
  <c r="SF3" i="6"/>
  <c r="SG3" i="6" a="1"/>
  <c r="SG3" i="6" s="1"/>
  <c r="SH3" i="6" a="1"/>
  <c r="SH3" i="6" s="1"/>
  <c r="SI3" i="6" a="1"/>
  <c r="SI3" i="6" s="1"/>
  <c r="SJ3" i="6" a="1"/>
  <c r="SJ3" i="6" s="1"/>
  <c r="SK3" i="6" a="1"/>
  <c r="SK3" i="6" s="1"/>
  <c r="SL3" i="6" a="1"/>
  <c r="SL3" i="6"/>
  <c r="SM3" i="6" a="1"/>
  <c r="SM3" i="6" s="1"/>
  <c r="SN3" i="6" a="1"/>
  <c r="SN3" i="6" s="1"/>
  <c r="SO3" i="6" a="1"/>
  <c r="SO3" i="6" s="1"/>
  <c r="SP3" i="6" a="1"/>
  <c r="SP3" i="6" s="1"/>
  <c r="SQ3" i="6" a="1"/>
  <c r="SQ3" i="6" s="1"/>
  <c r="SR3" i="6" a="1"/>
  <c r="SR3" i="6" s="1"/>
  <c r="A3" i="14"/>
  <c r="A15" i="23" l="1"/>
  <c r="A51" i="23"/>
  <c r="A87" i="23"/>
  <c r="A123" i="23"/>
  <c r="A159" i="23"/>
  <c r="A195" i="23"/>
  <c r="A231" i="23"/>
  <c r="A267" i="23"/>
  <c r="A303" i="23"/>
  <c r="A339" i="23"/>
  <c r="A375" i="23"/>
  <c r="A411" i="23"/>
  <c r="A447" i="23"/>
  <c r="A483" i="23"/>
  <c r="A18" i="23"/>
  <c r="A90" i="23"/>
  <c r="A126" i="23"/>
  <c r="A162" i="23"/>
  <c r="A198" i="23"/>
  <c r="A234" i="23"/>
  <c r="A270" i="23"/>
  <c r="A306" i="23"/>
  <c r="A342" i="23"/>
  <c r="A378" i="23"/>
  <c r="A414" i="23"/>
  <c r="A450" i="23"/>
  <c r="A486" i="23"/>
  <c r="A21" i="23"/>
  <c r="A57" i="23"/>
  <c r="A93" i="23"/>
  <c r="A129" i="23"/>
  <c r="A165" i="23"/>
  <c r="A201" i="23"/>
  <c r="A237" i="23"/>
  <c r="A273" i="23"/>
  <c r="A309" i="23"/>
  <c r="A345" i="23"/>
  <c r="A381" i="23"/>
  <c r="A417" i="23"/>
  <c r="A453" i="23"/>
  <c r="A489" i="23"/>
  <c r="A24" i="23"/>
  <c r="A96" i="23"/>
  <c r="A168" i="23"/>
  <c r="A204" i="23"/>
  <c r="A276" i="23"/>
  <c r="A312" i="23"/>
  <c r="A384" i="23"/>
  <c r="A420" i="23"/>
  <c r="A492" i="23"/>
  <c r="A63" i="23"/>
  <c r="A99" i="23"/>
  <c r="A171" i="23"/>
  <c r="A243" i="23"/>
  <c r="A315" i="23"/>
  <c r="A387" i="23"/>
  <c r="A459" i="23"/>
  <c r="A495" i="23"/>
  <c r="A66" i="23"/>
  <c r="A138" i="23"/>
  <c r="A174" i="23"/>
  <c r="A282" i="23"/>
  <c r="A354" i="23"/>
  <c r="A426" i="23"/>
  <c r="A33" i="23"/>
  <c r="A105" i="23"/>
  <c r="A177" i="23"/>
  <c r="A249" i="23"/>
  <c r="A321" i="23"/>
  <c r="A429" i="23"/>
  <c r="A501" i="23"/>
  <c r="A72" i="23"/>
  <c r="A144" i="23"/>
  <c r="A216" i="23"/>
  <c r="A288" i="23"/>
  <c r="A360" i="23"/>
  <c r="A432" i="23"/>
  <c r="A504" i="23"/>
  <c r="A75" i="23"/>
  <c r="A111" i="23"/>
  <c r="A183" i="23"/>
  <c r="A291" i="23"/>
  <c r="A363" i="23"/>
  <c r="A435" i="23"/>
  <c r="A78" i="23"/>
  <c r="A54" i="23"/>
  <c r="A60" i="23"/>
  <c r="A132" i="23"/>
  <c r="A240" i="23"/>
  <c r="A348" i="23"/>
  <c r="A456" i="23"/>
  <c r="A27" i="23"/>
  <c r="A135" i="23"/>
  <c r="A207" i="23"/>
  <c r="A279" i="23"/>
  <c r="A351" i="23"/>
  <c r="A423" i="23"/>
  <c r="A30" i="23"/>
  <c r="A102" i="23"/>
  <c r="A210" i="23"/>
  <c r="A246" i="23"/>
  <c r="A318" i="23"/>
  <c r="A390" i="23"/>
  <c r="A462" i="23"/>
  <c r="A498" i="23"/>
  <c r="A69" i="23"/>
  <c r="A141" i="23"/>
  <c r="A213" i="23"/>
  <c r="A285" i="23"/>
  <c r="A357" i="23"/>
  <c r="A393" i="23"/>
  <c r="A465" i="23"/>
  <c r="A36" i="23"/>
  <c r="A108" i="23"/>
  <c r="A180" i="23"/>
  <c r="A252" i="23"/>
  <c r="A324" i="23"/>
  <c r="A396" i="23"/>
  <c r="A468" i="23"/>
  <c r="A39" i="23"/>
  <c r="A147" i="23"/>
  <c r="A219" i="23"/>
  <c r="A255" i="23"/>
  <c r="A327" i="23"/>
  <c r="A399" i="23"/>
  <c r="A471" i="23"/>
  <c r="A42" i="23"/>
  <c r="A114" i="23"/>
  <c r="A186" i="23"/>
  <c r="A45" i="23"/>
  <c r="A225" i="23"/>
  <c r="A369" i="23"/>
  <c r="A48" i="23"/>
  <c r="A228" i="23"/>
  <c r="A372" i="23"/>
  <c r="A81" i="23"/>
  <c r="A258" i="23"/>
  <c r="A402" i="23"/>
  <c r="A84" i="23"/>
  <c r="A261" i="23"/>
  <c r="A405" i="23"/>
  <c r="A117" i="23"/>
  <c r="A264" i="23"/>
  <c r="A408" i="23"/>
  <c r="A120" i="23"/>
  <c r="A294" i="23"/>
  <c r="A438" i="23"/>
  <c r="A150" i="23"/>
  <c r="A297" i="23"/>
  <c r="A441" i="23"/>
  <c r="A153" i="23"/>
  <c r="A300" i="23"/>
  <c r="A444" i="23"/>
  <c r="A156" i="23"/>
  <c r="A474" i="23"/>
  <c r="A189" i="23"/>
  <c r="A477" i="23"/>
  <c r="A336" i="23"/>
  <c r="A222" i="23"/>
  <c r="A330" i="23"/>
  <c r="A333" i="23"/>
  <c r="A192" i="23"/>
  <c r="A480" i="23"/>
  <c r="A366" i="23"/>
  <c r="AI150" i="12"/>
  <c r="AI225" i="12"/>
  <c r="X225" i="12"/>
  <c r="X150" i="12"/>
  <c r="X75" i="12"/>
  <c r="A12" i="23"/>
  <c r="A9" i="14"/>
  <c r="A6" i="14"/>
  <c r="AI8" i="12"/>
  <c r="A12" i="14" l="1"/>
  <c r="A1" i="14" l="1"/>
  <c r="AI75" i="12" l="1"/>
  <c r="U72" i="12"/>
  <c r="I72" i="12"/>
  <c r="U70" i="12"/>
  <c r="AI16" i="12"/>
  <c r="AI14" i="12"/>
  <c r="AI11" i="12"/>
  <c r="O3" i="6" l="1" a="1"/>
  <c r="O3" i="6" s="1"/>
  <c r="N3" i="6" a="1"/>
  <c r="N3" i="6" s="1"/>
  <c r="M3" i="6" a="1"/>
  <c r="M3" i="6" s="1"/>
  <c r="L3" i="6" a="1"/>
  <c r="L3" i="6" s="1"/>
  <c r="O2" i="6" a="1"/>
  <c r="O2" i="6" s="1"/>
  <c r="N2" i="6" a="1"/>
  <c r="N2" i="6" s="1"/>
  <c r="M2" i="6" a="1"/>
  <c r="M2" i="6" s="1"/>
  <c r="L2" i="6" a="1"/>
  <c r="L2" i="6" s="1"/>
  <c r="O1" i="6" a="1"/>
  <c r="O1" i="6" s="1"/>
  <c r="N1" i="6" a="1"/>
  <c r="N1" i="6" s="1"/>
  <c r="M1" i="6" a="1"/>
  <c r="M1" i="6" s="1"/>
  <c r="C8" i="14" a="1"/>
  <c r="C10" i="14" a="1"/>
  <c r="C11" i="14" a="1"/>
  <c r="U266" i="12" a="1"/>
  <c r="AK237" i="12" a="1"/>
  <c r="AC239" i="12" a="1"/>
  <c r="I241" i="12" a="1"/>
  <c r="AG218" i="12" a="1"/>
  <c r="Y267" i="12" a="1"/>
  <c r="AO163" i="12" a="1"/>
  <c r="AK167" i="12" a="1"/>
  <c r="AG169" i="12" a="1"/>
  <c r="Q162" i="12" a="1"/>
  <c r="Q194" i="12" a="1"/>
  <c r="AO166" i="12" a="1"/>
  <c r="AO188" i="12" a="1"/>
  <c r="Y186" i="12" a="1"/>
  <c r="I215" i="12" a="1"/>
  <c r="Q191" i="12" a="1"/>
  <c r="Y213" i="12" a="1"/>
  <c r="AC261" i="12" a="1"/>
  <c r="Y263" i="12" a="1"/>
  <c r="M164" i="12" a="1"/>
  <c r="Y190" i="12" a="1"/>
  <c r="Y269" i="12" a="1"/>
  <c r="AK189" i="12" a="1"/>
  <c r="E265" i="12" a="1"/>
  <c r="Y240" i="12" a="1"/>
  <c r="M167" i="12" a="1"/>
  <c r="Q239" i="12" a="1"/>
  <c r="AK241" i="12" a="1"/>
  <c r="AK242" i="12" a="1"/>
  <c r="AK240" i="12" a="1"/>
  <c r="M263" i="12" a="1"/>
  <c r="AO190" i="12" a="1"/>
  <c r="Q166" i="12" a="1"/>
  <c r="U268" i="12" a="1"/>
  <c r="M165" i="12" a="1"/>
  <c r="U263" i="12" a="1"/>
  <c r="E245" i="12" a="1"/>
  <c r="E187" i="12" a="1"/>
  <c r="Y187" i="12" a="1"/>
  <c r="Y215" i="12" a="1"/>
  <c r="AK261" i="12" a="1"/>
  <c r="M190" i="12" a="1"/>
  <c r="AO164" i="12" a="1"/>
  <c r="AG238" i="12" a="1"/>
  <c r="AO211" i="12" a="1"/>
  <c r="AG165" i="12" a="1"/>
  <c r="Q188" i="12" a="1"/>
  <c r="M187" i="12" a="1"/>
  <c r="AG267" i="12" a="1"/>
  <c r="U189" i="12" a="1"/>
  <c r="AK218" i="12" a="1"/>
  <c r="Y164" i="12" a="1"/>
  <c r="I170" i="12" a="1"/>
  <c r="Y167" i="12" a="1"/>
  <c r="AK266" i="12" a="1"/>
  <c r="AG186" i="12" a="1"/>
  <c r="AC210" i="12" a="1"/>
  <c r="AK190" i="12" a="1"/>
  <c r="AG167" i="12" a="1"/>
  <c r="AG245" i="12" a="1"/>
  <c r="Q189" i="12" a="1"/>
  <c r="Q245" i="12" a="1"/>
  <c r="U216" i="12" a="1"/>
  <c r="AC189" i="12" a="1"/>
  <c r="AO192" i="12" a="1"/>
  <c r="I245" i="12" a="1"/>
  <c r="E188" i="12" a="1"/>
  <c r="AK186" i="12" a="1"/>
  <c r="AO245" i="12" a="1"/>
  <c r="I239" i="12" a="1"/>
  <c r="U168" i="12" a="1"/>
  <c r="AG268" i="12" a="1"/>
  <c r="AO213" i="12" a="1"/>
  <c r="E243" i="12" a="1"/>
  <c r="I244" i="12" a="1"/>
  <c r="AG192" i="12" a="1"/>
  <c r="E215" i="12" a="1"/>
  <c r="AK211" i="12" a="1"/>
  <c r="E263" i="12" a="1"/>
  <c r="AG189" i="12" a="1"/>
  <c r="E170" i="12" a="1"/>
  <c r="AG170" i="12" a="1"/>
  <c r="AC245" i="12" a="1"/>
  <c r="E268" i="12" a="1"/>
  <c r="E164" i="12" a="1"/>
  <c r="Q264" i="12" a="1"/>
  <c r="AC193" i="12" a="1"/>
  <c r="Y217" i="12" a="1"/>
  <c r="E168" i="12" a="1"/>
  <c r="U217" i="12" a="1"/>
  <c r="AO266" i="12" a="1"/>
  <c r="AK187" i="12" a="1"/>
  <c r="U190" i="12" a="1"/>
  <c r="AG240" i="12" a="1"/>
  <c r="M268" i="12" a="1"/>
  <c r="U213" i="12" a="1"/>
  <c r="AO241" i="12" a="1"/>
  <c r="AK239" i="12" a="1"/>
  <c r="E237" i="12" a="1"/>
  <c r="I212" i="12" a="1"/>
  <c r="AO186" i="12" a="1"/>
  <c r="E218" i="12" a="1"/>
  <c r="Q268" i="12" a="1"/>
  <c r="E240" i="12" a="1"/>
  <c r="AK269" i="12" a="1"/>
  <c r="U193" i="12" a="1"/>
  <c r="Y245" i="12" a="1"/>
  <c r="I192" i="12" a="1"/>
  <c r="AO243" i="12" a="1"/>
  <c r="Q168" i="12" a="1"/>
  <c r="AO165" i="12" a="1"/>
  <c r="M237" i="12" a="1"/>
  <c r="I214" i="12" a="1"/>
  <c r="AG188" i="12" a="1"/>
  <c r="I162" i="12" a="1"/>
  <c r="I167" i="12" a="1"/>
  <c r="U210" i="12" a="1"/>
  <c r="E186" i="12" a="1"/>
  <c r="AG216" i="12" a="1"/>
  <c r="E214" i="12" a="1"/>
  <c r="I268" i="12" a="1"/>
  <c r="U194" i="12" a="1"/>
  <c r="AK268" i="12" a="1"/>
  <c r="E166" i="12" a="1"/>
  <c r="E189" i="12" a="1"/>
  <c r="AO191" i="12" a="1"/>
  <c r="E192" i="12" a="1"/>
  <c r="I193" i="12" a="1"/>
  <c r="Y214" i="12" a="1"/>
  <c r="AC168" i="12" a="1"/>
  <c r="U169" i="12" a="1"/>
  <c r="AG168" i="12" a="1"/>
  <c r="Y237" i="12" a="1"/>
  <c r="U242" i="12" a="1"/>
  <c r="Y238" i="12" a="1"/>
  <c r="E194" i="12" a="1"/>
  <c r="U237" i="12" a="1"/>
  <c r="AC211" i="12" a="1"/>
  <c r="AO193" i="12" a="1"/>
  <c r="M245" i="12" a="1"/>
  <c r="Q213" i="12" a="1"/>
  <c r="M193" i="12" a="1"/>
  <c r="M168" i="12" a="1"/>
  <c r="Y165" i="12" a="1"/>
  <c r="Y168" i="12" a="1"/>
  <c r="Q212" i="12" a="1"/>
  <c r="I213" i="12" a="1"/>
  <c r="M264" i="12" a="1"/>
  <c r="U218" i="12" a="1"/>
  <c r="Q187" i="12" a="1"/>
  <c r="AK213" i="12" a="1"/>
  <c r="AK191" i="12" a="1"/>
  <c r="Q261" i="12" a="1"/>
  <c r="U269" i="12" a="1"/>
  <c r="Y244" i="12" a="1"/>
  <c r="M186" i="12" a="1"/>
  <c r="AK188" i="12" a="1"/>
  <c r="AO218" i="12" a="1"/>
  <c r="AG241" i="12" a="1"/>
  <c r="AC163" i="12" a="1"/>
  <c r="AC212" i="12" a="1"/>
  <c r="E269" i="12" a="1"/>
  <c r="M214" i="12" a="1"/>
  <c r="AK245" i="12" a="1"/>
  <c r="M162" i="12" a="1"/>
  <c r="AO210" i="12" a="1"/>
  <c r="AO214" i="12" a="1"/>
  <c r="E190" i="12" a="1"/>
  <c r="E169" i="12" a="1"/>
  <c r="E193" i="12" a="1"/>
  <c r="Y170" i="12" a="1"/>
  <c r="M244" i="12" a="1"/>
  <c r="U192" i="12" a="1"/>
  <c r="AK212" i="12" a="1"/>
  <c r="Q240" i="12" a="1"/>
  <c r="U212" i="12" a="1"/>
  <c r="Y241" i="12" a="1"/>
  <c r="I165" i="12" a="1"/>
  <c r="U239" i="12" a="1"/>
  <c r="M213" i="12" a="1"/>
  <c r="Q265" i="12" a="1"/>
  <c r="Y191" i="12" a="1"/>
  <c r="AG262" i="12" a="1"/>
  <c r="AC214" i="12" a="1"/>
  <c r="I266" i="12" a="1"/>
  <c r="U187" i="12" a="1"/>
  <c r="M218" i="12" a="1"/>
  <c r="U188" i="12" a="1"/>
  <c r="AO265" i="12" a="1"/>
  <c r="AC170" i="12" a="1"/>
  <c r="AC266" i="12" a="1"/>
  <c r="AG164" i="12" a="1"/>
  <c r="AG215" i="12" a="1"/>
  <c r="AC264" i="12" a="1"/>
  <c r="AG244" i="12" a="1"/>
  <c r="Y218" i="12" a="1"/>
  <c r="E163" i="12" a="1"/>
  <c r="U262" i="12" a="1"/>
  <c r="E266" i="12" a="1"/>
  <c r="I265" i="12" a="1"/>
  <c r="Q237" i="12" a="1"/>
  <c r="I269" i="12" a="1"/>
  <c r="Y162" i="12" a="1"/>
  <c r="Q190" i="12" a="1"/>
  <c r="E217" i="12" a="1"/>
  <c r="AC191" i="12" a="1"/>
  <c r="AC268" i="12" a="1"/>
  <c r="M242" i="12" a="1"/>
  <c r="Q211" i="12" a="1"/>
  <c r="AG191" i="12" a="1"/>
  <c r="AG237" i="12" a="1"/>
  <c r="AC194" i="12" a="1"/>
  <c r="Y211" i="12" a="1"/>
  <c r="E262" i="12" a="1"/>
  <c r="AO240" i="12" a="1"/>
  <c r="AG163" i="12" a="1"/>
  <c r="I267" i="12" a="1"/>
  <c r="E264" i="12" a="1"/>
  <c r="AG213" i="12" a="1"/>
  <c r="AC265" i="12" a="1"/>
  <c r="Q164" i="12" a="1"/>
  <c r="Q165" i="12" a="1"/>
  <c r="AC267" i="12" a="1"/>
  <c r="AG239" i="12" a="1"/>
  <c r="AC269" i="12" a="1"/>
  <c r="AG265" i="12" a="1"/>
  <c r="Y163" i="12" a="1"/>
  <c r="Y188" i="12" a="1"/>
  <c r="M269" i="12" a="1"/>
  <c r="I189" i="12" a="1"/>
  <c r="U261" i="12" a="1"/>
  <c r="E238" i="12" a="1"/>
  <c r="I186" i="12" a="1"/>
  <c r="M265" i="12" a="1"/>
  <c r="AO215" i="12" a="1"/>
  <c r="Y169" i="12" a="1"/>
  <c r="AG193" i="12" a="1"/>
  <c r="U244" i="12" a="1"/>
  <c r="M194" i="12" a="1"/>
  <c r="E261" i="12" a="1"/>
  <c r="AG214" i="12" a="1"/>
  <c r="AG162" i="12" a="1"/>
  <c r="AK194" i="12" a="1"/>
  <c r="M191" i="12" a="1"/>
  <c r="I216" i="12" a="1"/>
  <c r="AC244" i="12" a="1"/>
  <c r="M241" i="12" a="1"/>
  <c r="E167" i="12" a="1"/>
  <c r="U164" i="12" a="1"/>
  <c r="AC216" i="12" a="1"/>
  <c r="E165" i="12" a="1"/>
  <c r="AO217" i="12" a="1"/>
  <c r="AK267" i="12" a="1"/>
  <c r="Q266" i="12" a="1"/>
  <c r="AC164" i="12" a="1"/>
  <c r="Y166" i="12" a="1"/>
  <c r="AK163" i="12" a="1"/>
  <c r="I168" i="12" a="1"/>
  <c r="U191" i="12" a="1"/>
  <c r="AC240" i="12" a="1"/>
  <c r="I240" i="12" a="1"/>
  <c r="M217" i="12" a="1"/>
  <c r="Y261" i="12" a="1"/>
  <c r="AC188" i="12" a="1"/>
  <c r="AG263" i="12" a="1"/>
  <c r="E244" i="12" a="1"/>
  <c r="AK162" i="12" a="1"/>
  <c r="AG194" i="12" a="1"/>
  <c r="E191" i="12" a="1"/>
  <c r="Y239" i="12" a="1"/>
  <c r="AG212" i="12" a="1"/>
  <c r="M262" i="12" a="1"/>
  <c r="M215" i="12" a="1"/>
  <c r="Q269" i="12" a="1"/>
  <c r="E239" i="12" a="1"/>
  <c r="E267" i="12" a="1"/>
  <c r="M239" i="12" a="1"/>
  <c r="U245" i="12" a="1"/>
  <c r="Y194" i="12" a="1"/>
  <c r="AG242" i="12" a="1"/>
  <c r="U166" i="12" a="1"/>
  <c r="I166" i="12" a="1"/>
  <c r="M261" i="12" a="1"/>
  <c r="E216" i="12" a="1"/>
  <c r="U265" i="12" a="1"/>
  <c r="AO238" i="12" a="1"/>
  <c r="AO237" i="12" a="1"/>
  <c r="I210" i="12" a="1"/>
  <c r="Q238" i="12" a="1"/>
  <c r="U215" i="12" a="1"/>
  <c r="M212" i="12" a="1"/>
  <c r="AK217" i="12" a="1"/>
  <c r="E211" i="12" a="1"/>
  <c r="U243" i="12" a="1"/>
  <c r="I262" i="12" a="1"/>
  <c r="AG266" i="12" a="1"/>
  <c r="I191" i="12" a="1"/>
  <c r="Y212" i="12" a="1"/>
  <c r="Q241" i="12" a="1"/>
  <c r="AO244" i="12" a="1"/>
  <c r="U167" i="12" a="1"/>
  <c r="AC238" i="12" a="1"/>
  <c r="AC215" i="12" a="1"/>
  <c r="AO267" i="12" a="1"/>
  <c r="AO162" i="12" a="1"/>
  <c r="I188" i="12" a="1"/>
  <c r="AG210" i="12" a="1"/>
  <c r="AC169" i="12" a="1"/>
  <c r="AG187" i="12" a="1"/>
  <c r="M189" i="12" a="1"/>
  <c r="AO167" i="12" a="1"/>
  <c r="AK265" i="12" a="1"/>
  <c r="AK262" i="12" a="1"/>
  <c r="M240" i="12" a="1"/>
  <c r="Y262" i="12" a="1"/>
  <c r="U214" i="12" a="1"/>
  <c r="AC262" i="12" a="1"/>
  <c r="AK166" i="12" a="1"/>
  <c r="AC162" i="12" a="1"/>
  <c r="I164" i="12" a="1"/>
  <c r="Y243" i="12" a="1"/>
  <c r="U170" i="12" a="1"/>
  <c r="U241" i="12" a="1"/>
  <c r="I217" i="12" a="1"/>
  <c r="AO194" i="12" a="1"/>
  <c r="I261" i="12" a="1"/>
  <c r="AO212" i="12" a="1"/>
  <c r="AK243" i="12" a="1"/>
  <c r="AG243" i="12" a="1"/>
  <c r="U240" i="12" a="1"/>
  <c r="M169" i="12" a="1"/>
  <c r="M211" i="12" a="1"/>
  <c r="M163" i="12" a="1"/>
  <c r="I169" i="12" a="1"/>
  <c r="Y265" i="12" a="1"/>
  <c r="Q215" i="12" a="1"/>
  <c r="Q262" i="12" a="1"/>
  <c r="Q263" i="12" a="1"/>
  <c r="M266" i="12" a="1"/>
  <c r="Y242" i="12" a="1"/>
  <c r="AK244" i="12" a="1"/>
  <c r="I242" i="12" a="1"/>
  <c r="AO189" i="12" a="1"/>
  <c r="M238" i="12" a="1"/>
  <c r="I243" i="12" a="1"/>
  <c r="Y268" i="12" a="1"/>
  <c r="Y216" i="12" a="1"/>
  <c r="AK192" i="12" a="1"/>
  <c r="AO168" i="12" a="1"/>
  <c r="AG264" i="12" a="1"/>
  <c r="AO264" i="12" a="1"/>
  <c r="E162" i="12" a="1"/>
  <c r="AC242" i="12" a="1"/>
  <c r="Q214" i="12" a="1"/>
  <c r="I194" i="12" a="1"/>
  <c r="Q193" i="12" a="1"/>
  <c r="Y193" i="12" a="1"/>
  <c r="E242" i="12" a="1"/>
  <c r="U238" i="12" a="1"/>
  <c r="E241" i="12" a="1"/>
  <c r="Q192" i="12" a="1"/>
  <c r="AC165" i="12" a="1"/>
  <c r="E210" i="12" a="1"/>
  <c r="AG190" i="12" a="1"/>
  <c r="U163" i="12" a="1"/>
  <c r="Q210" i="12" a="1"/>
  <c r="AC167" i="12" a="1"/>
  <c r="M210" i="12" a="1"/>
  <c r="AC243" i="12" a="1"/>
  <c r="AK214" i="12" a="1"/>
  <c r="M216" i="12" a="1"/>
  <c r="AC237" i="12" a="1"/>
  <c r="Y210" i="12" a="1"/>
  <c r="AC187" i="12" a="1"/>
  <c r="AC263" i="12" a="1"/>
  <c r="I263" i="12" a="1"/>
  <c r="U165" i="12" a="1"/>
  <c r="U211" i="12" a="1"/>
  <c r="AO170" i="12" a="1"/>
  <c r="AO169" i="12" a="1"/>
  <c r="Q217" i="12" a="1"/>
  <c r="Q243" i="12" a="1"/>
  <c r="Q169" i="12" a="1"/>
  <c r="I163" i="12" a="1"/>
  <c r="AK264" i="12" a="1"/>
  <c r="AC218" i="12" a="1"/>
  <c r="M243" i="12" a="1"/>
  <c r="AG217" i="12" a="1"/>
  <c r="AC166" i="12" a="1"/>
  <c r="AC190" i="12" a="1"/>
  <c r="Q244" i="12" a="1"/>
  <c r="Y266" i="12" a="1"/>
  <c r="AK238" i="12" a="1"/>
  <c r="AO263" i="12" a="1"/>
  <c r="Y192" i="12" a="1"/>
  <c r="AK165" i="12" a="1"/>
  <c r="AC217" i="12" a="1"/>
  <c r="I237" i="12" a="1"/>
  <c r="AC241" i="12" a="1"/>
  <c r="AC192" i="12" a="1"/>
  <c r="I190" i="12" a="1"/>
  <c r="Q267" i="12" a="1"/>
  <c r="M166" i="12" a="1"/>
  <c r="Q242" i="12" a="1"/>
  <c r="AK164" i="12" a="1"/>
  <c r="E212" i="12" a="1"/>
  <c r="I218" i="12" a="1"/>
  <c r="U264" i="12" a="1"/>
  <c r="I264" i="12" a="1"/>
  <c r="I211" i="12" a="1"/>
  <c r="M188" i="12" a="1"/>
  <c r="AK216" i="12" a="1"/>
  <c r="U267" i="12" a="1"/>
  <c r="AC213" i="12" a="1"/>
  <c r="Q186" i="12" a="1"/>
  <c r="AG211" i="12" a="1"/>
  <c r="U186" i="12" a="1"/>
  <c r="AO216" i="12" a="1"/>
  <c r="AO269" i="12" a="1"/>
  <c r="AO242" i="12" a="1"/>
  <c r="AO239" i="12" a="1"/>
  <c r="Q216" i="12" a="1"/>
  <c r="AK170" i="12" a="1"/>
  <c r="AK169" i="12" a="1"/>
  <c r="Q170" i="12" a="1"/>
  <c r="I187" i="12" a="1"/>
  <c r="AK210" i="12" a="1"/>
  <c r="AG166" i="12" a="1"/>
  <c r="Q167" i="12" a="1"/>
  <c r="M267" i="12" a="1"/>
  <c r="Q218" i="12" a="1"/>
  <c r="AC186" i="12" a="1"/>
  <c r="U162" i="12" a="1"/>
  <c r="AG261" i="12" a="1"/>
  <c r="AO268" i="12" a="1"/>
  <c r="AG269" i="12" a="1"/>
  <c r="M170" i="12" a="1"/>
  <c r="Y189" i="12" a="1"/>
  <c r="I238" i="12" a="1"/>
  <c r="Y264" i="12" a="1"/>
  <c r="M192" i="12" a="1"/>
  <c r="Q163" i="12" a="1"/>
  <c r="AK263" i="12" a="1"/>
  <c r="AO187" i="12" a="1"/>
  <c r="E213" i="12" a="1"/>
  <c r="AK168" i="12" a="1"/>
  <c r="AK193" i="12" a="1"/>
  <c r="AK215" i="12" a="1"/>
  <c r="AK215" i="12" l="1"/>
  <c r="AK193" i="12"/>
  <c r="AK168" i="12"/>
  <c r="E213" i="12"/>
  <c r="AO187" i="12"/>
  <c r="AK263" i="12"/>
  <c r="Q163" i="12"/>
  <c r="M192" i="12"/>
  <c r="Y264" i="12"/>
  <c r="I238" i="12"/>
  <c r="Y189" i="12"/>
  <c r="M170" i="12"/>
  <c r="AG269" i="12"/>
  <c r="AO268" i="12"/>
  <c r="AG261" i="12"/>
  <c r="U162" i="12"/>
  <c r="AC186" i="12"/>
  <c r="Q218" i="12"/>
  <c r="M267" i="12"/>
  <c r="Q167" i="12"/>
  <c r="AG166" i="12"/>
  <c r="AK210" i="12"/>
  <c r="I187" i="12"/>
  <c r="Q170" i="12"/>
  <c r="AK169" i="12"/>
  <c r="AK170" i="12"/>
  <c r="Q216" i="12"/>
  <c r="AO239" i="12"/>
  <c r="AO242" i="12"/>
  <c r="AO269" i="12"/>
  <c r="AO216" i="12"/>
  <c r="U186" i="12"/>
  <c r="AG211" i="12"/>
  <c r="Q186" i="12"/>
  <c r="AC213" i="12"/>
  <c r="U267" i="12"/>
  <c r="AK216" i="12"/>
  <c r="M188" i="12"/>
  <c r="I211" i="12"/>
  <c r="I264" i="12"/>
  <c r="U264" i="12"/>
  <c r="I218" i="12"/>
  <c r="E212" i="12"/>
  <c r="AK164" i="12"/>
  <c r="Q242" i="12"/>
  <c r="M166" i="12"/>
  <c r="Q267" i="12"/>
  <c r="I190" i="12"/>
  <c r="AC192" i="12"/>
  <c r="AC241" i="12"/>
  <c r="I237" i="12"/>
  <c r="AC217" i="12"/>
  <c r="AK165" i="12"/>
  <c r="Y192" i="12"/>
  <c r="AO263" i="12"/>
  <c r="AK238" i="12"/>
  <c r="Y266" i="12"/>
  <c r="Q244" i="12"/>
  <c r="AC190" i="12"/>
  <c r="AC166" i="12"/>
  <c r="AG217" i="12"/>
  <c r="M243" i="12"/>
  <c r="AC218" i="12"/>
  <c r="AK264" i="12"/>
  <c r="I163" i="12"/>
  <c r="Q169" i="12"/>
  <c r="Q243" i="12"/>
  <c r="Q217" i="12"/>
  <c r="AO169" i="12"/>
  <c r="AO170" i="12"/>
  <c r="U211" i="12"/>
  <c r="U165" i="12"/>
  <c r="I263" i="12"/>
  <c r="AC263" i="12"/>
  <c r="AC187" i="12"/>
  <c r="Y210" i="12"/>
  <c r="AC237" i="12"/>
  <c r="M216" i="12"/>
  <c r="AK214" i="12"/>
  <c r="AC243" i="12"/>
  <c r="M210" i="12"/>
  <c r="AC167" i="12"/>
  <c r="Q210" i="12"/>
  <c r="U163" i="12"/>
  <c r="AG190" i="12"/>
  <c r="E210" i="12"/>
  <c r="AC165" i="12"/>
  <c r="Q192" i="12"/>
  <c r="E241" i="12"/>
  <c r="U238" i="12"/>
  <c r="E242" i="12"/>
  <c r="Y193" i="12"/>
  <c r="Q193" i="12"/>
  <c r="I194" i="12"/>
  <c r="Q214" i="12"/>
  <c r="AC242" i="12"/>
  <c r="E162" i="12"/>
  <c r="AO264" i="12"/>
  <c r="AG264" i="12"/>
  <c r="AO168" i="12"/>
  <c r="AK192" i="12"/>
  <c r="Y216" i="12"/>
  <c r="Y268" i="12"/>
  <c r="I243" i="12"/>
  <c r="M238" i="12"/>
  <c r="AO189" i="12"/>
  <c r="I242" i="12"/>
  <c r="AK244" i="12"/>
  <c r="Y242" i="12"/>
  <c r="M266" i="12"/>
  <c r="Q263" i="12"/>
  <c r="Q262" i="12"/>
  <c r="Q215" i="12"/>
  <c r="Y265" i="12"/>
  <c r="I169" i="12"/>
  <c r="M163" i="12"/>
  <c r="M211" i="12"/>
  <c r="M169" i="12"/>
  <c r="U240" i="12"/>
  <c r="AG243" i="12"/>
  <c r="AK243" i="12"/>
  <c r="AO212" i="12"/>
  <c r="I261" i="12"/>
  <c r="AO194" i="12"/>
  <c r="I217" i="12"/>
  <c r="U241" i="12"/>
  <c r="U170" i="12"/>
  <c r="Y243" i="12"/>
  <c r="I164" i="12"/>
  <c r="AC162" i="12"/>
  <c r="AK166" i="12"/>
  <c r="AC262" i="12"/>
  <c r="U214" i="12"/>
  <c r="Y262" i="12"/>
  <c r="M240" i="12"/>
  <c r="AK262" i="12"/>
  <c r="AK265" i="12"/>
  <c r="AO167" i="12"/>
  <c r="M189" i="12"/>
  <c r="AG187" i="12"/>
  <c r="AC169" i="12"/>
  <c r="AG210" i="12"/>
  <c r="I188" i="12"/>
  <c r="AO162" i="12"/>
  <c r="AO267" i="12"/>
  <c r="AC215" i="12"/>
  <c r="AC238" i="12"/>
  <c r="U167" i="12"/>
  <c r="AO244" i="12"/>
  <c r="Q241" i="12"/>
  <c r="Y212" i="12"/>
  <c r="I191" i="12"/>
  <c r="AG266" i="12"/>
  <c r="I262" i="12"/>
  <c r="U243" i="12"/>
  <c r="E211" i="12"/>
  <c r="AK217" i="12"/>
  <c r="M212" i="12"/>
  <c r="U215" i="12"/>
  <c r="Q238" i="12"/>
  <c r="I210" i="12"/>
  <c r="AO237" i="12"/>
  <c r="AO238" i="12"/>
  <c r="U265" i="12"/>
  <c r="E216" i="12"/>
  <c r="M261" i="12"/>
  <c r="I166" i="12"/>
  <c r="U166" i="12"/>
  <c r="AG242" i="12"/>
  <c r="Y194" i="12"/>
  <c r="U245" i="12"/>
  <c r="M239" i="12"/>
  <c r="E267" i="12"/>
  <c r="E239" i="12"/>
  <c r="Q269" i="12"/>
  <c r="M215" i="12"/>
  <c r="M262" i="12"/>
  <c r="AG212" i="12"/>
  <c r="Y239" i="12"/>
  <c r="E191" i="12"/>
  <c r="AG194" i="12"/>
  <c r="AK162" i="12"/>
  <c r="E244" i="12"/>
  <c r="AG263" i="12"/>
  <c r="AC188" i="12"/>
  <c r="Y261" i="12"/>
  <c r="M217" i="12"/>
  <c r="I240" i="12"/>
  <c r="AC240" i="12"/>
  <c r="U191" i="12"/>
  <c r="I168" i="12"/>
  <c r="AK163" i="12"/>
  <c r="Y166" i="12"/>
  <c r="AC164" i="12"/>
  <c r="Q266" i="12"/>
  <c r="AK267" i="12"/>
  <c r="AO217" i="12"/>
  <c r="E165" i="12"/>
  <c r="AC216" i="12"/>
  <c r="U164" i="12"/>
  <c r="E167" i="12"/>
  <c r="M241" i="12"/>
  <c r="AC244" i="12"/>
  <c r="I216" i="12"/>
  <c r="M191" i="12"/>
  <c r="AK194" i="12"/>
  <c r="AG162" i="12"/>
  <c r="AG214" i="12"/>
  <c r="E261" i="12"/>
  <c r="M194" i="12"/>
  <c r="U244" i="12"/>
  <c r="AG193" i="12"/>
  <c r="Y169" i="12"/>
  <c r="AO215" i="12"/>
  <c r="M265" i="12"/>
  <c r="I186" i="12"/>
  <c r="E238" i="12"/>
  <c r="U261" i="12"/>
  <c r="I189" i="12"/>
  <c r="M269" i="12"/>
  <c r="Y188" i="12"/>
  <c r="Y163" i="12"/>
  <c r="AG265" i="12"/>
  <c r="AC269" i="12"/>
  <c r="AG239" i="12"/>
  <c r="AC267" i="12"/>
  <c r="Q165" i="12"/>
  <c r="Q164" i="12"/>
  <c r="AC265" i="12"/>
  <c r="AG213" i="12"/>
  <c r="E264" i="12"/>
  <c r="I267" i="12"/>
  <c r="AG163" i="12"/>
  <c r="AO240" i="12"/>
  <c r="E262" i="12"/>
  <c r="Y211" i="12"/>
  <c r="AC194" i="12"/>
  <c r="AG237" i="12"/>
  <c r="AG191" i="12"/>
  <c r="Q211" i="12"/>
  <c r="M242" i="12"/>
  <c r="AC268" i="12"/>
  <c r="AC191" i="12"/>
  <c r="E217" i="12"/>
  <c r="Q190" i="12"/>
  <c r="Y162" i="12"/>
  <c r="I269" i="12"/>
  <c r="Q237" i="12"/>
  <c r="I265" i="12"/>
  <c r="E266" i="12"/>
  <c r="U262" i="12"/>
  <c r="E163" i="12"/>
  <c r="Y218" i="12"/>
  <c r="AG244" i="12"/>
  <c r="AC264" i="12"/>
  <c r="AG215" i="12"/>
  <c r="AG164" i="12"/>
  <c r="AC266" i="12"/>
  <c r="AC170" i="12"/>
  <c r="AO265" i="12"/>
  <c r="U188" i="12"/>
  <c r="M218" i="12"/>
  <c r="U187" i="12"/>
  <c r="I266" i="12"/>
  <c r="AC214" i="12"/>
  <c r="AG262" i="12"/>
  <c r="Y191" i="12"/>
  <c r="Q265" i="12"/>
  <c r="M213" i="12"/>
  <c r="U239" i="12"/>
  <c r="I165" i="12"/>
  <c r="Y241" i="12"/>
  <c r="U212" i="12"/>
  <c r="Q240" i="12"/>
  <c r="AK212" i="12"/>
  <c r="U192" i="12"/>
  <c r="M244" i="12"/>
  <c r="Y170" i="12"/>
  <c r="E193" i="12"/>
  <c r="E169" i="12"/>
  <c r="E190" i="12"/>
  <c r="AO214" i="12"/>
  <c r="AO210" i="12"/>
  <c r="M162" i="12"/>
  <c r="AK245" i="12"/>
  <c r="M214" i="12"/>
  <c r="E269" i="12"/>
  <c r="AC212" i="12"/>
  <c r="AC163" i="12"/>
  <c r="AG241" i="12"/>
  <c r="AO218" i="12"/>
  <c r="AK188" i="12"/>
  <c r="M186" i="12"/>
  <c r="Y244" i="12"/>
  <c r="U269" i="12"/>
  <c r="Q261" i="12"/>
  <c r="AK191" i="12"/>
  <c r="AK213" i="12"/>
  <c r="Q187" i="12"/>
  <c r="U218" i="12"/>
  <c r="M264" i="12"/>
  <c r="I213" i="12"/>
  <c r="Q212" i="12"/>
  <c r="Y168" i="12"/>
  <c r="Y165" i="12"/>
  <c r="M168" i="12"/>
  <c r="M193" i="12"/>
  <c r="Q213" i="12"/>
  <c r="M245" i="12"/>
  <c r="AO193" i="12"/>
  <c r="AC211" i="12"/>
  <c r="U237" i="12"/>
  <c r="E194" i="12"/>
  <c r="Y238" i="12"/>
  <c r="U242" i="12"/>
  <c r="Y237" i="12"/>
  <c r="AG168" i="12"/>
  <c r="U169" i="12"/>
  <c r="AC168" i="12"/>
  <c r="Y214" i="12"/>
  <c r="I193" i="12"/>
  <c r="E192" i="12"/>
  <c r="AO191" i="12"/>
  <c r="E189" i="12"/>
  <c r="E166" i="12"/>
  <c r="AK268" i="12"/>
  <c r="U194" i="12"/>
  <c r="I268" i="12"/>
  <c r="E214" i="12"/>
  <c r="AG216" i="12"/>
  <c r="E186" i="12"/>
  <c r="U210" i="12"/>
  <c r="I167" i="12"/>
  <c r="I162" i="12"/>
  <c r="AG188" i="12"/>
  <c r="I214" i="12"/>
  <c r="M237" i="12"/>
  <c r="AO165" i="12"/>
  <c r="Q168" i="12"/>
  <c r="AO243" i="12"/>
  <c r="I192" i="12"/>
  <c r="Y245" i="12"/>
  <c r="U193" i="12"/>
  <c r="AK269" i="12"/>
  <c r="E240" i="12"/>
  <c r="Q268" i="12"/>
  <c r="E218" i="12"/>
  <c r="AO186" i="12"/>
  <c r="I212" i="12"/>
  <c r="E237" i="12"/>
  <c r="AK239" i="12"/>
  <c r="AO241" i="12"/>
  <c r="U213" i="12"/>
  <c r="M268" i="12"/>
  <c r="AG240" i="12"/>
  <c r="U190" i="12"/>
  <c r="AK187" i="12"/>
  <c r="AO266" i="12"/>
  <c r="U217" i="12"/>
  <c r="E168" i="12"/>
  <c r="Y217" i="12"/>
  <c r="AC193" i="12"/>
  <c r="Q264" i="12"/>
  <c r="E164" i="12"/>
  <c r="E268" i="12"/>
  <c r="AC245" i="12"/>
  <c r="AG170" i="12"/>
  <c r="E170" i="12"/>
  <c r="AG189" i="12"/>
  <c r="E263" i="12"/>
  <c r="AK211" i="12"/>
  <c r="E215" i="12"/>
  <c r="AG192" i="12"/>
  <c r="I244" i="12"/>
  <c r="E243" i="12"/>
  <c r="AO213" i="12"/>
  <c r="AG268" i="12"/>
  <c r="U168" i="12"/>
  <c r="I239" i="12"/>
  <c r="AO245" i="12"/>
  <c r="AK186" i="12"/>
  <c r="E188" i="12"/>
  <c r="I245" i="12"/>
  <c r="AO192" i="12"/>
  <c r="AC189" i="12"/>
  <c r="U216" i="12"/>
  <c r="Q245" i="12"/>
  <c r="Q189" i="12"/>
  <c r="AG245" i="12"/>
  <c r="AG167" i="12"/>
  <c r="AK190" i="12"/>
  <c r="AC210" i="12"/>
  <c r="AG186" i="12"/>
  <c r="AK266" i="12"/>
  <c r="Y167" i="12"/>
  <c r="I170" i="12"/>
  <c r="Y164" i="12"/>
  <c r="AK218" i="12"/>
  <c r="U189" i="12"/>
  <c r="AG267" i="12"/>
  <c r="M187" i="12"/>
  <c r="Q188" i="12"/>
  <c r="AG165" i="12"/>
  <c r="AO211" i="12"/>
  <c r="AG238" i="12"/>
  <c r="AO164" i="12"/>
  <c r="M190" i="12"/>
  <c r="AK261" i="12"/>
  <c r="Y215" i="12"/>
  <c r="Y187" i="12"/>
  <c r="E187" i="12"/>
  <c r="E245" i="12"/>
  <c r="U263" i="12"/>
  <c r="M165" i="12"/>
  <c r="U268" i="12"/>
  <c r="Q166" i="12"/>
  <c r="AO190" i="12"/>
  <c r="M263" i="12"/>
  <c r="AK240" i="12"/>
  <c r="AK242" i="12"/>
  <c r="AK241" i="12"/>
  <c r="Q239" i="12"/>
  <c r="M167" i="12"/>
  <c r="Y240" i="12"/>
  <c r="E265" i="12"/>
  <c r="AK189" i="12"/>
  <c r="Y269" i="12"/>
  <c r="Y190" i="12"/>
  <c r="M164" i="12"/>
  <c r="Y263" i="12"/>
  <c r="AC261" i="12"/>
  <c r="Y213" i="12"/>
  <c r="Q191" i="12"/>
  <c r="I215" i="12"/>
  <c r="Y186" i="12"/>
  <c r="AO188" i="12"/>
  <c r="AO166" i="12"/>
  <c r="Q194" i="12"/>
  <c r="Q162" i="12"/>
  <c r="AG169" i="12"/>
  <c r="AK167" i="12"/>
  <c r="AO163" i="12"/>
  <c r="Y267" i="12"/>
  <c r="AG218" i="12"/>
  <c r="I241" i="12"/>
  <c r="AC239" i="12"/>
  <c r="AK237" i="12"/>
  <c r="U266" i="12"/>
  <c r="C8" i="14"/>
  <c r="C11" i="14"/>
  <c r="C10" i="14"/>
  <c r="O1" i="9" l="1" a="1"/>
  <c r="O1" i="9" s="1"/>
  <c r="T1" i="9" l="1" a="1"/>
  <c r="T1" i="9" s="1"/>
  <c r="Y1" i="9" a="1"/>
  <c r="Y1" i="9" s="1"/>
  <c r="S1" i="9" a="1"/>
  <c r="S1" i="9" s="1"/>
  <c r="R1" i="9" a="1"/>
  <c r="R1" i="9" s="1"/>
  <c r="W1" i="9" a="1"/>
  <c r="W1" i="9" s="1"/>
  <c r="Q1" i="9" a="1"/>
  <c r="Q1" i="9" s="1"/>
  <c r="P1" i="9" a="1"/>
  <c r="P1" i="9" s="1"/>
  <c r="U1" i="9" a="1"/>
  <c r="U1" i="9" s="1"/>
  <c r="V1" i="9" a="1"/>
  <c r="V1" i="9" s="1"/>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O1" i="7" l="1" a="1"/>
  <c r="O1" i="7" s="1"/>
  <c r="U1" i="7" s="1" a="1"/>
  <c r="U1" i="7" s="1"/>
  <c r="W1" i="7" l="1" a="1"/>
  <c r="W1" i="7" s="1"/>
  <c r="P1" i="7" a="1"/>
  <c r="P1" i="7" s="1"/>
  <c r="V1" i="7" a="1"/>
  <c r="V1" i="7" s="1"/>
  <c r="T1" i="7" a="1"/>
  <c r="T1" i="7" s="1"/>
  <c r="S1" i="7" a="1"/>
  <c r="S1" i="7" s="1"/>
  <c r="R1" i="7" a="1"/>
  <c r="R1" i="7" s="1"/>
  <c r="Q1" i="7" a="1"/>
  <c r="Q1" i="7" s="1"/>
  <c r="Y1" i="7" a="1"/>
  <c r="Y1" i="7" s="1"/>
  <c r="K4" i="4"/>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G30" i="1"/>
  <c r="N29" i="1"/>
  <c r="G29" i="1"/>
  <c r="N28" i="1"/>
  <c r="G28" i="1"/>
  <c r="N27" i="1"/>
  <c r="G27" i="1"/>
  <c r="N26" i="1"/>
  <c r="G26" i="1"/>
  <c r="N25" i="1"/>
  <c r="K26" i="1"/>
  <c r="I25" i="1"/>
  <c r="H25" i="1"/>
  <c r="G25" i="1"/>
  <c r="N24" i="1"/>
  <c r="K25" i="1"/>
  <c r="I24" i="1"/>
  <c r="H24" i="1"/>
  <c r="G24" i="1"/>
  <c r="N23" i="1"/>
  <c r="K24" i="1"/>
  <c r="I23" i="1"/>
  <c r="H23" i="1"/>
  <c r="G23" i="1"/>
  <c r="N22" i="1"/>
  <c r="K23" i="1"/>
  <c r="I22" i="1"/>
  <c r="H22" i="1"/>
  <c r="G22" i="1"/>
  <c r="N21" i="1"/>
  <c r="K22" i="1"/>
  <c r="I21" i="1"/>
  <c r="H21" i="1"/>
  <c r="G21" i="1"/>
  <c r="N20" i="1"/>
  <c r="K21" i="1"/>
  <c r="I20" i="1"/>
  <c r="H20" i="1"/>
  <c r="G20" i="1"/>
  <c r="N19" i="1"/>
  <c r="K20" i="1"/>
  <c r="I19" i="1"/>
  <c r="H19" i="1"/>
  <c r="G19" i="1"/>
  <c r="N18" i="1"/>
  <c r="K19" i="1"/>
  <c r="I18" i="1"/>
  <c r="H18" i="1"/>
  <c r="G18" i="1"/>
  <c r="N17" i="1"/>
  <c r="K18" i="1"/>
  <c r="I17" i="1"/>
  <c r="H17" i="1"/>
  <c r="G17" i="1"/>
  <c r="N16" i="1"/>
  <c r="K17" i="1"/>
  <c r="H16" i="1"/>
  <c r="G16" i="1"/>
  <c r="N15" i="1"/>
  <c r="K16" i="1"/>
  <c r="H15" i="1"/>
  <c r="G15" i="1"/>
  <c r="N14" i="1"/>
  <c r="K15" i="1"/>
  <c r="H14" i="1"/>
  <c r="G14" i="1"/>
  <c r="N13" i="1"/>
  <c r="K14" i="1"/>
  <c r="H13" i="1"/>
  <c r="G13" i="1"/>
  <c r="N12" i="1"/>
  <c r="K13" i="1"/>
  <c r="H12" i="1"/>
  <c r="G12" i="1"/>
  <c r="N11" i="1"/>
  <c r="K12" i="1"/>
  <c r="H11" i="1"/>
  <c r="G11" i="1"/>
  <c r="N10" i="1"/>
  <c r="K11" i="1"/>
  <c r="H10" i="1"/>
  <c r="G10" i="1"/>
  <c r="N9" i="1"/>
  <c r="K10" i="1"/>
  <c r="H9" i="1"/>
  <c r="G9" i="1"/>
  <c r="N8" i="1"/>
  <c r="K9" i="1"/>
  <c r="H8" i="1"/>
  <c r="G8" i="1"/>
  <c r="N7" i="1"/>
  <c r="K8" i="1"/>
  <c r="H7" i="1"/>
  <c r="G7" i="1"/>
  <c r="N6" i="1"/>
  <c r="M6" i="1"/>
  <c r="K7" i="1"/>
  <c r="H6" i="1"/>
  <c r="G6" i="1"/>
  <c r="N5" i="1"/>
  <c r="M5" i="1"/>
  <c r="K6" i="1"/>
  <c r="H5" i="1"/>
  <c r="G5" i="1"/>
  <c r="N4" i="1"/>
  <c r="M4" i="1"/>
  <c r="K5" i="1"/>
  <c r="H4" i="1"/>
  <c r="G4" i="1"/>
  <c r="N3" i="1"/>
  <c r="M3" i="1"/>
  <c r="K4" i="1"/>
  <c r="H3" i="1"/>
  <c r="G3" i="1"/>
  <c r="N2" i="1"/>
  <c r="M2" i="1"/>
  <c r="K3" i="1"/>
  <c r="H2" i="1"/>
  <c r="G2" i="1"/>
  <c r="N1" i="1"/>
  <c r="M1" i="1"/>
  <c r="K2" i="1"/>
  <c r="H1" i="1"/>
  <c r="G1" i="1"/>
  <c r="U117" i="12" a="1"/>
  <c r="M117" i="12" a="1"/>
  <c r="AC112" i="12" a="1"/>
  <c r="AG63" i="12" a="1"/>
  <c r="B3" i="14" a="1"/>
  <c r="AK136" i="12" a="1"/>
  <c r="Y58" i="12" a="1"/>
  <c r="AC63" i="12" a="1"/>
  <c r="Y143" i="12" a="1"/>
  <c r="I93" i="12" a="1"/>
  <c r="AO90" i="12" a="1"/>
  <c r="I112" i="12" a="1"/>
  <c r="AC94" i="12" a="1"/>
  <c r="AG91" i="12" a="1"/>
  <c r="AC92" i="12" a="1"/>
  <c r="I91" i="12" a="1"/>
  <c r="AO59" i="12" a="1"/>
  <c r="AK111" i="12" a="1"/>
  <c r="AC88" i="12" a="1"/>
  <c r="M119" i="12" a="1"/>
  <c r="AC62" i="12" a="1"/>
  <c r="M92" i="12" a="1"/>
  <c r="U139" i="12" a="1"/>
  <c r="Y60" i="12" a="1"/>
  <c r="AK88" i="12" a="1"/>
  <c r="I141" i="12" a="1"/>
  <c r="U89" i="12" a="1"/>
  <c r="M138" i="12" a="1"/>
  <c r="U140" i="12" a="1"/>
  <c r="AC59" i="12" a="1"/>
  <c r="E135" i="12" a="1"/>
  <c r="AO117" i="12" a="1"/>
  <c r="I136" i="12" a="1"/>
  <c r="AO89" i="12" a="1"/>
  <c r="AO114" i="12" a="1"/>
  <c r="E94" i="12" a="1"/>
  <c r="Y57" i="12" a="1"/>
  <c r="U111" i="12" a="1"/>
  <c r="AK59" i="12" a="1"/>
  <c r="AC115" i="12" a="1"/>
  <c r="AC119" i="12" a="1"/>
  <c r="AO118" i="12" a="1"/>
  <c r="AG57" i="12" a="1"/>
  <c r="Q114" i="12" a="1"/>
  <c r="M137" i="12" a="1"/>
  <c r="AG89" i="12" a="1"/>
  <c r="Q118" i="12" a="1"/>
  <c r="U65" i="12" a="1"/>
  <c r="AO58" i="12" a="1"/>
  <c r="AO57" i="12" a="1"/>
  <c r="AO139" i="12" a="1"/>
  <c r="I114" i="12" a="1"/>
  <c r="AG92" i="12" a="1"/>
  <c r="Y117" i="12" a="1"/>
  <c r="AC58" i="12" a="1"/>
  <c r="AC138" i="12" a="1"/>
  <c r="AC91" i="12" a="1"/>
  <c r="E143" i="12" a="1"/>
  <c r="Y136" i="12" a="1"/>
  <c r="E89" i="12" a="1"/>
  <c r="I138" i="12" a="1"/>
  <c r="AK119" i="12" a="1"/>
  <c r="AC143" i="12" a="1"/>
  <c r="AC60" i="12" a="1"/>
  <c r="AO88" i="12" a="1"/>
  <c r="Q89" i="12" a="1"/>
  <c r="Q137" i="12" a="1"/>
  <c r="AO111" i="12" a="1"/>
  <c r="Q94" i="12" a="1"/>
  <c r="AO143" i="12" a="1"/>
  <c r="Y135" i="12" a="1"/>
  <c r="U57" i="12" a="1"/>
  <c r="Q141" i="12" a="1"/>
  <c r="AC65" i="12" a="1"/>
  <c r="E141" i="12" a="1"/>
  <c r="I142" i="12" a="1"/>
  <c r="I137" i="12" a="1"/>
  <c r="AK115" i="12" a="1"/>
  <c r="AG143" i="12" a="1"/>
  <c r="E140" i="12" a="1"/>
  <c r="AK140" i="12" a="1"/>
  <c r="Q111" i="12" a="1"/>
  <c r="AC95" i="12" a="1"/>
  <c r="AC57" i="12" a="1"/>
  <c r="AC141" i="12" a="1"/>
  <c r="U88" i="12" a="1"/>
  <c r="AO113" i="12" a="1"/>
  <c r="E113" i="12" a="1"/>
  <c r="AK95" i="12" a="1"/>
  <c r="U114" i="12" a="1"/>
  <c r="Y62" i="12" a="1"/>
  <c r="M141" i="12" a="1"/>
  <c r="I118" i="12" a="1"/>
  <c r="AC61" i="12" a="1"/>
  <c r="U137" i="12" a="1"/>
  <c r="U60" i="12" a="1"/>
  <c r="Y88" i="12" a="1"/>
  <c r="I143" i="12" a="1"/>
  <c r="U112" i="12" a="1"/>
  <c r="AK143" i="12" a="1"/>
  <c r="AG111" i="12" a="1"/>
  <c r="Y95" i="12" a="1"/>
  <c r="Y63" i="12" a="1"/>
  <c r="U61" i="12" a="1"/>
  <c r="Q139" i="12" a="1"/>
  <c r="AO60" i="12" a="1"/>
  <c r="AO136" i="12" a="1"/>
  <c r="U143" i="12" a="1"/>
  <c r="M111" i="12" a="1"/>
  <c r="M90" i="12" a="1"/>
  <c r="AO140" i="12" a="1"/>
  <c r="U93" i="12" a="1"/>
  <c r="Y140" i="12" a="1"/>
  <c r="E112" i="12" a="1"/>
  <c r="M114" i="12" a="1"/>
  <c r="U94" i="12" a="1"/>
  <c r="E118" i="12" a="1"/>
  <c r="I92" i="12" a="1"/>
  <c r="AO65" i="12" a="1"/>
  <c r="AG88" i="12" a="1"/>
  <c r="Y111" i="12" a="1"/>
  <c r="AO142" i="12" a="1"/>
  <c r="AG65" i="12" a="1"/>
  <c r="Y65" i="12" a="1"/>
  <c r="I139" i="12" a="1"/>
  <c r="E88" i="12" a="1"/>
  <c r="AK117" i="12" a="1"/>
  <c r="I140" i="12" a="1"/>
  <c r="AG113" i="12" a="1"/>
  <c r="AG136" i="12" a="1"/>
  <c r="Y114" i="12" a="1"/>
  <c r="AK138" i="12" a="1"/>
  <c r="Y92" i="12" a="1"/>
  <c r="AG94" i="12" a="1"/>
  <c r="E138" i="12" a="1"/>
  <c r="AK94" i="12" a="1"/>
  <c r="U136" i="12" a="1"/>
  <c r="AG59" i="12" a="1"/>
  <c r="U113" i="12" a="1"/>
  <c r="AK61" i="12" a="1"/>
  <c r="E117" i="12" a="1"/>
  <c r="Q87" i="12" a="1"/>
  <c r="E116" i="12" a="1"/>
  <c r="E93" i="12" a="1"/>
  <c r="B6" i="14" a="1"/>
  <c r="U63" i="12" a="1"/>
  <c r="Y59" i="12" a="1"/>
  <c r="AC90" i="12" a="1"/>
  <c r="Q92" i="12" a="1"/>
  <c r="AK60" i="12" a="1"/>
  <c r="U58" i="12" a="1"/>
  <c r="AO112" i="12" a="1"/>
  <c r="I111" i="12" a="1"/>
  <c r="E136" i="12" a="1"/>
  <c r="E139" i="12" a="1"/>
  <c r="Q116" i="12" a="1"/>
  <c r="AG64" i="12" a="1"/>
  <c r="AO138" i="12" a="1"/>
  <c r="AG87" i="12" a="1"/>
  <c r="Q119" i="12" a="1"/>
  <c r="Y141" i="12" a="1"/>
  <c r="U115" i="12" a="1"/>
  <c r="AC136" i="12" a="1"/>
  <c r="I87" i="12" a="1"/>
  <c r="AK57" i="12" a="1"/>
  <c r="I135" i="12" a="1"/>
  <c r="Q113" i="12" a="1"/>
  <c r="AG60" i="12" a="1"/>
  <c r="AK92" i="12" a="1"/>
  <c r="Q88" i="12" a="1"/>
  <c r="AK118" i="12" a="1"/>
  <c r="AG141" i="12" a="1"/>
  <c r="I113" i="12" a="1"/>
  <c r="AK87" i="12" a="1"/>
  <c r="Y93" i="12" a="1"/>
  <c r="AG139" i="12" a="1"/>
  <c r="AC111" i="12" a="1"/>
  <c r="M93" i="12" a="1"/>
  <c r="I116" i="12" a="1"/>
  <c r="Y61" i="12" a="1"/>
  <c r="AO116" i="12" a="1"/>
  <c r="Y112" i="12" a="1"/>
  <c r="AK91" i="12" a="1"/>
  <c r="AC137" i="12" a="1"/>
  <c r="AG135" i="12" a="1"/>
  <c r="E92" i="12" a="1"/>
  <c r="Q91" i="12" a="1"/>
  <c r="AO62" i="12" a="1"/>
  <c r="AK135" i="12" a="1"/>
  <c r="E142" i="12" a="1"/>
  <c r="AC114" i="12" a="1"/>
  <c r="AG62" i="12" a="1"/>
  <c r="M87" i="12" a="1"/>
  <c r="M115" i="12" a="1"/>
  <c r="U116" i="12" a="1"/>
  <c r="AG61" i="12" a="1"/>
  <c r="AK62" i="12" a="1"/>
  <c r="AK139" i="12" a="1"/>
  <c r="AG118" i="12" a="1"/>
  <c r="AC117" i="12" a="1"/>
  <c r="U141" i="12" a="1"/>
  <c r="AG138" i="12" a="1"/>
  <c r="AG93" i="12" a="1"/>
  <c r="AK89" i="12" a="1"/>
  <c r="U64" i="12" a="1"/>
  <c r="AO64" i="12" a="1"/>
  <c r="AO95" i="12" a="1"/>
  <c r="AO119" i="12" a="1"/>
  <c r="Y87" i="12" a="1"/>
  <c r="AO63" i="12" a="1"/>
  <c r="M143" i="12" a="1"/>
  <c r="U90" i="12" a="1"/>
  <c r="AO115" i="12" a="1"/>
  <c r="AG115" i="12" a="1"/>
  <c r="Y115" i="12" a="1"/>
  <c r="AK141" i="12" a="1"/>
  <c r="Y89" i="12" a="1"/>
  <c r="AO137" i="12" a="1"/>
  <c r="M139" i="12" a="1"/>
  <c r="B9" i="14" a="1"/>
  <c r="M95" i="12" a="1"/>
  <c r="AG116" i="12" a="1"/>
  <c r="AC116" i="12" a="1"/>
  <c r="E95" i="12" a="1"/>
  <c r="I94" i="12" a="1"/>
  <c r="Q117" i="12" a="1"/>
  <c r="Y91" i="12" a="1"/>
  <c r="AC89" i="12" a="1"/>
  <c r="M89" i="12" a="1"/>
  <c r="E114" i="12" a="1"/>
  <c r="AK112" i="12" a="1"/>
  <c r="U119" i="12" a="1"/>
  <c r="I115" i="12" a="1"/>
  <c r="U91" i="12" a="1"/>
  <c r="AK58" i="12" a="1"/>
  <c r="Q95" i="12" a="1"/>
  <c r="B12" i="14" a="1"/>
  <c r="Y119" i="12" a="1"/>
  <c r="AK64" i="12" a="1"/>
  <c r="E91" i="12" a="1"/>
  <c r="E87" i="12" a="1"/>
  <c r="Q138" i="12" a="1"/>
  <c r="Q140" i="12" a="1"/>
  <c r="I88" i="12" a="1"/>
  <c r="AC135" i="12" a="1"/>
  <c r="U62" i="12" a="1"/>
  <c r="Q112" i="12" a="1"/>
  <c r="M118" i="12" a="1"/>
  <c r="I119" i="12" a="1"/>
  <c r="Y94" i="12" a="1"/>
  <c r="E119" i="12" a="1"/>
  <c r="AG58" i="12" a="1"/>
  <c r="AG112" i="12" a="1"/>
  <c r="M94" i="12" a="1"/>
  <c r="AG119" i="12" a="1"/>
  <c r="U87" i="12" a="1"/>
  <c r="M116" i="12" a="1"/>
  <c r="AG114" i="12" a="1"/>
  <c r="AG90" i="12" a="1"/>
  <c r="AC93" i="12" a="1"/>
  <c r="I89" i="12" a="1"/>
  <c r="M91" i="12" a="1"/>
  <c r="Y118" i="12" a="1"/>
  <c r="Y64" i="12" a="1"/>
  <c r="AO141" i="12" a="1"/>
  <c r="Y116" i="12" a="1"/>
  <c r="AO87" i="12" a="1"/>
  <c r="U95" i="12" a="1"/>
  <c r="AC140" i="12" a="1"/>
  <c r="AC142" i="12" a="1"/>
  <c r="E115" i="12" a="1"/>
  <c r="I117" i="12" a="1"/>
  <c r="AG142" i="12" a="1"/>
  <c r="M136" i="12" a="1"/>
  <c r="Q136" i="12" a="1"/>
  <c r="AO91" i="12" a="1"/>
  <c r="AK113" i="12" a="1"/>
  <c r="AG137" i="12" a="1"/>
  <c r="M142" i="12" a="1"/>
  <c r="AK93" i="12" a="1"/>
  <c r="Q115" i="12" a="1"/>
  <c r="E137" i="12" a="1"/>
  <c r="M113" i="12" a="1"/>
  <c r="U138" i="12" a="1"/>
  <c r="I90" i="12" a="1"/>
  <c r="AK116" i="12" a="1"/>
  <c r="AC118" i="12" a="1"/>
  <c r="AG95" i="12" a="1"/>
  <c r="Y113" i="12" a="1"/>
  <c r="U118" i="12" a="1"/>
  <c r="M140" i="12" a="1"/>
  <c r="Y138" i="12" a="1"/>
  <c r="U142" i="12" a="1"/>
  <c r="AK114" i="12" a="1"/>
  <c r="AO135" i="12" a="1"/>
  <c r="Y139" i="12" a="1"/>
  <c r="M112" i="12" a="1"/>
  <c r="AK65" i="12" a="1"/>
  <c r="I95" i="12" a="1"/>
  <c r="U92" i="12" a="1"/>
  <c r="E90" i="12" a="1"/>
  <c r="Q142" i="12" a="1"/>
  <c r="AC113" i="12" a="1"/>
  <c r="AG140" i="12" a="1"/>
  <c r="U135" i="12" a="1"/>
  <c r="AO61" i="12" a="1"/>
  <c r="Y137" i="12" a="1"/>
  <c r="AO94" i="12" a="1"/>
  <c r="M135" i="12" a="1"/>
  <c r="AK63" i="12" a="1"/>
  <c r="AC139" i="12" a="1"/>
  <c r="Y90" i="12" a="1"/>
  <c r="AG117" i="12" a="1"/>
  <c r="AO93" i="12" a="1"/>
  <c r="AK137" i="12" a="1"/>
  <c r="Q90" i="12" a="1"/>
  <c r="AO92" i="12" a="1"/>
  <c r="M88" i="12" a="1"/>
  <c r="AK142" i="12" a="1"/>
  <c r="Q135" i="12" a="1"/>
  <c r="Q143" i="12" a="1"/>
  <c r="U59" i="12" a="1"/>
  <c r="AC64" i="12" a="1"/>
  <c r="Y142" i="12" a="1"/>
  <c r="E111" i="12" a="1"/>
  <c r="AK90" i="12" a="1"/>
  <c r="Q93" i="12" a="1"/>
  <c r="AC87" i="12" a="1"/>
  <c r="AC65" i="12" l="1"/>
  <c r="Y92" i="12"/>
  <c r="U94" i="12"/>
  <c r="AC119" i="12"/>
  <c r="Q116" i="12"/>
  <c r="Y138" i="12"/>
  <c r="AO95" i="12"/>
  <c r="Q88" i="12"/>
  <c r="Q135" i="12"/>
  <c r="E91" i="12"/>
  <c r="M115" i="12"/>
  <c r="Q89" i="12"/>
  <c r="AG90" i="12"/>
  <c r="Y57" i="12"/>
  <c r="M138" i="12"/>
  <c r="I95" i="12"/>
  <c r="AC138" i="12"/>
  <c r="U143" i="12"/>
  <c r="Y114" i="12"/>
  <c r="U138" i="12"/>
  <c r="AC93" i="12"/>
  <c r="E95" i="12"/>
  <c r="Q142" i="12"/>
  <c r="U116" i="12"/>
  <c r="AK94" i="12"/>
  <c r="Y142" i="12"/>
  <c r="M118" i="12"/>
  <c r="I115" i="12"/>
  <c r="Q138" i="12"/>
  <c r="Y60" i="12"/>
  <c r="I142" i="12"/>
  <c r="I94" i="12"/>
  <c r="U62" i="12"/>
  <c r="I88" i="12"/>
  <c r="Y94" i="12"/>
  <c r="E92" i="12"/>
  <c r="AO64" i="12"/>
  <c r="Q87" i="12"/>
  <c r="U118" i="12"/>
  <c r="AO136" i="12"/>
  <c r="E119" i="12"/>
  <c r="AK89" i="12"/>
  <c r="Y141" i="12"/>
  <c r="E93" i="12"/>
  <c r="AG95" i="12"/>
  <c r="Q137" i="12"/>
  <c r="AK59" i="12"/>
  <c r="AO142" i="12"/>
  <c r="AG139" i="12"/>
  <c r="I116" i="12"/>
  <c r="Q141" i="12"/>
  <c r="Y90" i="12"/>
  <c r="AC141" i="12"/>
  <c r="AK117" i="12"/>
  <c r="Y111" i="12"/>
  <c r="AO90" i="12"/>
  <c r="AC60" i="12"/>
  <c r="I136" i="12"/>
  <c r="M87" i="12"/>
  <c r="AK64" i="12"/>
  <c r="AG112" i="12"/>
  <c r="M135" i="12"/>
  <c r="AC64" i="12"/>
  <c r="B3" i="14"/>
  <c r="B5" i="14" s="1"/>
  <c r="AC61" i="12"/>
  <c r="M136" i="12"/>
  <c r="E87" i="12"/>
  <c r="AO113" i="12"/>
  <c r="AK91" i="12"/>
  <c r="AC88" i="12"/>
  <c r="AK61" i="12"/>
  <c r="AC90" i="12"/>
  <c r="AC135" i="12"/>
  <c r="I119" i="12"/>
  <c r="U95" i="12"/>
  <c r="M90" i="12"/>
  <c r="AG115" i="12"/>
  <c r="Q91" i="12"/>
  <c r="AO114" i="12"/>
  <c r="U89" i="12"/>
  <c r="E139" i="12"/>
  <c r="AC63" i="12"/>
  <c r="AK112" i="12"/>
  <c r="Y91" i="12"/>
  <c r="AG136" i="12"/>
  <c r="E118" i="12"/>
  <c r="AO65" i="12"/>
  <c r="AO112" i="12"/>
  <c r="AO111" i="12"/>
  <c r="U65" i="12"/>
  <c r="U139" i="12"/>
  <c r="AC112" i="12"/>
  <c r="AG94" i="12"/>
  <c r="AC142" i="12"/>
  <c r="AG137" i="12"/>
  <c r="AC137" i="12"/>
  <c r="AG119" i="12"/>
  <c r="AG62" i="12"/>
  <c r="M94" i="12"/>
  <c r="I113" i="12"/>
  <c r="Q143" i="12"/>
  <c r="M89" i="12"/>
  <c r="AG140" i="12"/>
  <c r="AG118" i="12"/>
  <c r="Q119" i="12"/>
  <c r="AK95" i="12"/>
  <c r="AG93" i="12"/>
  <c r="M143" i="12"/>
  <c r="Q92" i="12"/>
  <c r="AO143" i="12"/>
  <c r="U119" i="12"/>
  <c r="Y63" i="12"/>
  <c r="M119" i="12"/>
  <c r="AC87" i="12"/>
  <c r="Q112" i="12"/>
  <c r="AK88" i="12"/>
  <c r="AG142" i="12"/>
  <c r="Q115" i="12"/>
  <c r="I141" i="12"/>
  <c r="M92" i="12"/>
  <c r="M141" i="12"/>
  <c r="AO57" i="12"/>
  <c r="U93" i="12"/>
  <c r="AG58" i="12"/>
  <c r="AO115" i="12"/>
  <c r="AK113" i="12"/>
  <c r="U92" i="12"/>
  <c r="M114" i="12"/>
  <c r="AG89" i="12"/>
  <c r="AO59" i="12"/>
  <c r="I93" i="12"/>
  <c r="AG64" i="12"/>
  <c r="Q139" i="12"/>
  <c r="AG63" i="12"/>
  <c r="AO118" i="12"/>
  <c r="Y115" i="12"/>
  <c r="AK142" i="12"/>
  <c r="AO63" i="12"/>
  <c r="AK60" i="12"/>
  <c r="AG117" i="12"/>
  <c r="AK116" i="12"/>
  <c r="B9" i="14"/>
  <c r="B10" i="14" s="1"/>
  <c r="I89" i="12"/>
  <c r="AG88" i="12"/>
  <c r="U142" i="12"/>
  <c r="Y61" i="12"/>
  <c r="AG59" i="12"/>
  <c r="M88" i="12"/>
  <c r="AG138" i="12"/>
  <c r="E90" i="12"/>
  <c r="E94" i="12"/>
  <c r="M137" i="12"/>
  <c r="Y139" i="12"/>
  <c r="Y116" i="12"/>
  <c r="AG135" i="12"/>
  <c r="Y136" i="12"/>
  <c r="M93" i="12"/>
  <c r="Y140" i="12"/>
  <c r="M111" i="12"/>
  <c r="Q93" i="12"/>
  <c r="AG57" i="12"/>
  <c r="U140" i="12"/>
  <c r="Y137" i="12"/>
  <c r="AO93" i="12"/>
  <c r="AK92" i="12"/>
  <c r="Q111" i="12"/>
  <c r="AC58" i="12"/>
  <c r="M140" i="12"/>
  <c r="U87" i="12"/>
  <c r="AO117" i="12"/>
  <c r="AK114" i="12"/>
  <c r="AC95" i="12"/>
  <c r="AK136" i="12"/>
  <c r="AO89" i="12"/>
  <c r="AG143" i="12"/>
  <c r="AG111" i="12"/>
  <c r="AC111" i="12"/>
  <c r="I118" i="12"/>
  <c r="M139" i="12"/>
  <c r="AG116" i="12"/>
  <c r="Y89" i="12"/>
  <c r="M116" i="12"/>
  <c r="U141" i="12"/>
  <c r="E113" i="12"/>
  <c r="M91" i="12"/>
  <c r="U112" i="12"/>
  <c r="AG87" i="12"/>
  <c r="AC113" i="12"/>
  <c r="AK90" i="12"/>
  <c r="Q113" i="12"/>
  <c r="U117" i="12"/>
  <c r="M142" i="12"/>
  <c r="Y95" i="12"/>
  <c r="U60" i="12"/>
  <c r="M113" i="12"/>
  <c r="E142" i="12"/>
  <c r="Q136" i="12"/>
  <c r="B6" i="14"/>
  <c r="AC118" i="12"/>
  <c r="AO139" i="12"/>
  <c r="AO60" i="12"/>
  <c r="AK118" i="12"/>
  <c r="I90" i="12"/>
  <c r="M117" i="12"/>
  <c r="Y93" i="12"/>
  <c r="I91" i="12"/>
  <c r="U57" i="12"/>
  <c r="AC139" i="12"/>
  <c r="U91" i="12"/>
  <c r="U113" i="12"/>
  <c r="AK138" i="12"/>
  <c r="AC57" i="12"/>
  <c r="U137" i="12"/>
  <c r="AK137" i="12"/>
  <c r="U63" i="12"/>
  <c r="AC62" i="12"/>
  <c r="AG60" i="12"/>
  <c r="AO135" i="12"/>
  <c r="Y87" i="12"/>
  <c r="AK140" i="12"/>
  <c r="I87" i="12"/>
  <c r="E89" i="12"/>
  <c r="Y119" i="12"/>
  <c r="E111" i="12"/>
  <c r="Y135" i="12"/>
  <c r="I135" i="12"/>
  <c r="AO58" i="12"/>
  <c r="M95" i="12"/>
  <c r="Y112" i="12"/>
  <c r="I92" i="12"/>
  <c r="U59" i="12"/>
  <c r="E88" i="12"/>
  <c r="AG114" i="12"/>
  <c r="Y62" i="12"/>
  <c r="AO61" i="12"/>
  <c r="Y88" i="12"/>
  <c r="I112" i="12"/>
  <c r="Q90" i="12"/>
  <c r="Y143" i="12"/>
  <c r="AG141" i="12"/>
  <c r="AO119" i="12"/>
  <c r="E115" i="12"/>
  <c r="AK87" i="12"/>
  <c r="AK93" i="12"/>
  <c r="U61" i="12"/>
  <c r="Y64" i="12"/>
  <c r="AC115" i="12"/>
  <c r="Q118" i="12"/>
  <c r="AC140" i="12"/>
  <c r="U111" i="12"/>
  <c r="I139" i="12"/>
  <c r="E138" i="12"/>
  <c r="E114" i="12"/>
  <c r="E116" i="12"/>
  <c r="AO138" i="12"/>
  <c r="AC143" i="12"/>
  <c r="Q117" i="12"/>
  <c r="AO91" i="12"/>
  <c r="Y59" i="12"/>
  <c r="AG113" i="12"/>
  <c r="AC117" i="12"/>
  <c r="AK57" i="12"/>
  <c r="Q140" i="12"/>
  <c r="AK119" i="12"/>
  <c r="AC136" i="12"/>
  <c r="U88" i="12"/>
  <c r="AG92" i="12"/>
  <c r="E143" i="12"/>
  <c r="AK115" i="12"/>
  <c r="I138" i="12"/>
  <c r="E141" i="12"/>
  <c r="M112" i="12"/>
  <c r="AK143" i="12"/>
  <c r="Y113" i="12"/>
  <c r="Q114" i="12"/>
  <c r="AO88" i="12"/>
  <c r="I143" i="12"/>
  <c r="U115" i="12"/>
  <c r="I114" i="12"/>
  <c r="Q95" i="12"/>
  <c r="U90" i="12"/>
  <c r="AC116" i="12"/>
  <c r="AC114" i="12"/>
  <c r="AC92" i="12"/>
  <c r="Y58" i="12"/>
  <c r="AC89" i="12"/>
  <c r="U136" i="12"/>
  <c r="E135" i="12"/>
  <c r="AK111" i="12"/>
  <c r="U135" i="12"/>
  <c r="AO87" i="12"/>
  <c r="E137" i="12"/>
  <c r="AG65" i="12"/>
  <c r="AG61" i="12"/>
  <c r="AO94" i="12"/>
  <c r="E117" i="12"/>
  <c r="B12" i="14"/>
  <c r="Y117" i="12"/>
  <c r="AO137" i="12"/>
  <c r="AK135" i="12"/>
  <c r="AK58" i="12"/>
  <c r="Q94" i="12"/>
  <c r="AO116" i="12"/>
  <c r="AO62" i="12"/>
  <c r="AK139" i="12"/>
  <c r="AG91" i="12"/>
  <c r="E140" i="12"/>
  <c r="AC91" i="12"/>
  <c r="AK65" i="12"/>
  <c r="U58" i="12"/>
  <c r="AC94" i="12"/>
  <c r="Y118" i="12"/>
  <c r="I137" i="12"/>
  <c r="AK141" i="12"/>
  <c r="U64" i="12"/>
  <c r="AK62" i="12"/>
  <c r="I140" i="12"/>
  <c r="E112" i="12"/>
  <c r="AO141" i="12"/>
  <c r="AC59" i="12"/>
  <c r="AK63" i="12"/>
  <c r="E136" i="12"/>
  <c r="Y65" i="12"/>
  <c r="I111" i="12"/>
  <c r="AO140" i="12"/>
  <c r="I117" i="12"/>
  <c r="U114" i="12"/>
  <c r="AO92" i="12"/>
  <c r="X1" i="7" a="1"/>
  <c r="X1" i="7" s="1"/>
  <c r="A2" i="7" s="1" a="1"/>
  <c r="X1" i="9" a="1"/>
  <c r="X1" i="9" s="1"/>
  <c r="A1" i="9" s="1" a="1"/>
  <c r="B4" i="14" l="1"/>
  <c r="B14" i="14"/>
  <c r="B13" i="14"/>
  <c r="B7" i="14"/>
  <c r="B8" i="14"/>
  <c r="B11" i="14"/>
  <c r="M2" i="7" a="1"/>
  <c r="M2" i="7" s="1"/>
  <c r="M1" i="9" a="1"/>
  <c r="M1" i="9" s="1"/>
  <c r="C9" i="23" a="1"/>
  <c r="C9" i="23" s="1"/>
  <c r="C6" i="23" a="1"/>
  <c r="C6" i="23" s="1"/>
  <c r="C5" i="23" a="1"/>
  <c r="C5" i="23" s="1"/>
  <c r="C3" i="23" a="1"/>
  <c r="C3" i="23" s="1"/>
  <c r="C2" i="23" a="1"/>
  <c r="C2" i="23" s="1"/>
  <c r="A1" i="9"/>
  <c r="B1" i="7"/>
  <c r="A2" i="7"/>
  <c r="C9" i="14" a="1"/>
  <c r="C7" i="14" a="1"/>
  <c r="C5" i="14" a="1"/>
  <c r="C4" i="14" a="1"/>
  <c r="C3" i="14" a="1"/>
  <c r="C6" i="14" a="1"/>
  <c r="AZ16" i="14" l="1" a="1"/>
  <c r="AZ16" i="14" s="1"/>
  <c r="AA16" i="14" a="1"/>
  <c r="AA16" i="14" s="1"/>
  <c r="AX16" i="14" a="1"/>
  <c r="AX16" i="14" s="1"/>
  <c r="BC16" i="14" a="1"/>
  <c r="BC16" i="14" s="1"/>
  <c r="CM16" i="14" a="1"/>
  <c r="CM16" i="14" s="1"/>
  <c r="X16" i="14" a="1"/>
  <c r="X16" i="14" s="1"/>
  <c r="AN16" i="14" a="1"/>
  <c r="AN16" i="14" s="1"/>
  <c r="BJ16" i="14" a="1"/>
  <c r="BJ16" i="14" s="1"/>
  <c r="Z16" i="14" a="1"/>
  <c r="Z16" i="14" s="1"/>
  <c r="BK16" i="14" a="1"/>
  <c r="BK16" i="14" s="1"/>
  <c r="CO16" i="14" a="1"/>
  <c r="CO16" i="14" s="1"/>
  <c r="Y16" i="14" a="1"/>
  <c r="Y16" i="14" s="1"/>
  <c r="BQ16" i="14" a="1"/>
  <c r="BQ16" i="14" s="1"/>
  <c r="BV16" i="14" a="1"/>
  <c r="BV16" i="14" s="1"/>
  <c r="AH16" i="14" a="1"/>
  <c r="AH16" i="14" s="1"/>
  <c r="AY16" i="14" a="1"/>
  <c r="AY16" i="14" s="1"/>
  <c r="AB16" i="14" a="1"/>
  <c r="AB16" i="14" s="1"/>
  <c r="CX16" i="14" a="1"/>
  <c r="BL16" i="14" a="1"/>
  <c r="BL16" i="14" s="1"/>
  <c r="BW16" i="14" a="1"/>
  <c r="BW16" i="14" s="1"/>
  <c r="CI16" i="14" a="1"/>
  <c r="CI16" i="14" s="1"/>
  <c r="AM16" i="14" a="1"/>
  <c r="AM16" i="14" s="1"/>
  <c r="CF16" i="14" a="1"/>
  <c r="CF16" i="14" s="1"/>
  <c r="Q16" i="14" a="1"/>
  <c r="Q16" i="14" s="1"/>
  <c r="AG16" i="14" a="1"/>
  <c r="AG16" i="14" s="1"/>
  <c r="BZ16" i="14" a="1"/>
  <c r="BZ16" i="14" s="1"/>
  <c r="BR16" i="14" a="1"/>
  <c r="BR16" i="14" s="1"/>
  <c r="CD16" i="14" a="1"/>
  <c r="CD16" i="14" s="1"/>
  <c r="BO16" i="14" a="1"/>
  <c r="BO16" i="14" s="1"/>
  <c r="BP16" i="14" a="1"/>
  <c r="BP16" i="14" s="1"/>
  <c r="CV16" i="14" a="1"/>
  <c r="CV16" i="14" s="1"/>
  <c r="W16" i="14" a="1"/>
  <c r="W16" i="14" s="1"/>
  <c r="AU16" i="14" a="1"/>
  <c r="AU16" i="14" s="1"/>
  <c r="S16" i="14" a="1"/>
  <c r="S16" i="14" s="1"/>
  <c r="BT16" i="14" a="1"/>
  <c r="BT16" i="14" s="1"/>
  <c r="R16" i="14" a="1"/>
  <c r="R16" i="14" s="1"/>
  <c r="AW16" i="14" a="1"/>
  <c r="AW16" i="14" s="1"/>
  <c r="BA16" i="14" a="1"/>
  <c r="BA16" i="14" s="1"/>
  <c r="CT16" i="14" a="1"/>
  <c r="CT16" i="14" s="1"/>
  <c r="U16" i="14" a="1"/>
  <c r="U16" i="14" s="1"/>
  <c r="AC16" i="14" a="1"/>
  <c r="AC16" i="14" s="1"/>
  <c r="BH16" i="14" a="1"/>
  <c r="BH16" i="14" s="1"/>
  <c r="AI16" i="14" a="1"/>
  <c r="AI16" i="14" s="1"/>
  <c r="BI16" i="14" a="1"/>
  <c r="BI16" i="14" s="1"/>
  <c r="CB16" i="14" a="1"/>
  <c r="CB16" i="14" s="1"/>
  <c r="AP16" i="14" a="1"/>
  <c r="AP16" i="14" s="1"/>
  <c r="AR16" i="14" a="1"/>
  <c r="AR16" i="14" s="1"/>
  <c r="CQ16" i="14" a="1"/>
  <c r="CQ16" i="14" s="1"/>
  <c r="CJ16" i="14" a="1"/>
  <c r="CJ16" i="14" s="1"/>
  <c r="CU16" i="14" a="1"/>
  <c r="CU16" i="14" s="1"/>
  <c r="AV16" i="14" a="1"/>
  <c r="AV16" i="14" s="1"/>
  <c r="AQ16" i="14" a="1"/>
  <c r="AQ16" i="14" s="1"/>
  <c r="CC16" i="14" a="1"/>
  <c r="CC16" i="14" s="1"/>
  <c r="V16" i="14" a="1"/>
  <c r="V16" i="14" s="1"/>
  <c r="BF16" i="14" a="1"/>
  <c r="BF16" i="14" s="1"/>
  <c r="CP16" i="14" a="1"/>
  <c r="CP16" i="14" s="1"/>
  <c r="BD16" i="14" a="1"/>
  <c r="BD16" i="14" s="1"/>
  <c r="BG16" i="14" a="1"/>
  <c r="BG16" i="14" s="1"/>
  <c r="BN16" i="14" a="1"/>
  <c r="BN16" i="14" s="1"/>
  <c r="AL16" i="14" a="1"/>
  <c r="AL16" i="14" s="1"/>
  <c r="BM16" i="14" a="1"/>
  <c r="BM16" i="14" s="1"/>
  <c r="CA16" i="14" a="1"/>
  <c r="CA16" i="14" s="1"/>
  <c r="CG16" i="14" a="1"/>
  <c r="CG16" i="14" s="1"/>
  <c r="BB16" i="14" a="1"/>
  <c r="BB16" i="14" s="1"/>
  <c r="AD16" i="14" a="1"/>
  <c r="AD16" i="14" s="1"/>
  <c r="CW16" i="14" a="1"/>
  <c r="CW16" i="14" s="1"/>
  <c r="CR16" i="14" a="1"/>
  <c r="CR16" i="14" s="1"/>
  <c r="CL16" i="14" a="1"/>
  <c r="CL16" i="14" s="1"/>
  <c r="AJ16" i="14" a="1"/>
  <c r="AJ16" i="14" s="1"/>
  <c r="CN16" i="14" a="1"/>
  <c r="CN16" i="14" s="1"/>
  <c r="CH16" i="14" a="1"/>
  <c r="CH16" i="14" s="1"/>
  <c r="AO16" i="14" a="1"/>
  <c r="AO16" i="14" s="1"/>
  <c r="AT16" i="14" a="1"/>
  <c r="AT16" i="14" s="1"/>
  <c r="CS16" i="14" a="1"/>
  <c r="CS16" i="14" s="1"/>
  <c r="BX16" i="14" a="1"/>
  <c r="BX16" i="14" s="1"/>
  <c r="CE16" i="14" a="1"/>
  <c r="CE16" i="14" s="1"/>
  <c r="BY16" i="14" a="1"/>
  <c r="BY16" i="14" s="1"/>
  <c r="AE16" i="14" a="1"/>
  <c r="AE16" i="14" s="1"/>
  <c r="BE16" i="14" a="1"/>
  <c r="BE16" i="14" s="1"/>
  <c r="BU16" i="14" a="1"/>
  <c r="BU16" i="14" s="1"/>
  <c r="BS16" i="14" a="1"/>
  <c r="BS16" i="14" s="1"/>
  <c r="T16" i="14" a="1"/>
  <c r="T16" i="14" s="1"/>
  <c r="AS16" i="14" a="1"/>
  <c r="AS16" i="14" s="1"/>
  <c r="AK16" i="14" a="1"/>
  <c r="AK16" i="14" s="1"/>
  <c r="AF16" i="14" a="1"/>
  <c r="AF16" i="14" s="1"/>
  <c r="CK16" i="14" a="1"/>
  <c r="CK16" i="14" s="1"/>
  <c r="C5" i="14"/>
  <c r="C4" i="23" a="1"/>
  <c r="C4" i="23" s="1"/>
  <c r="C6" i="14"/>
  <c r="C9" i="14"/>
  <c r="C3" i="14"/>
  <c r="C7" i="14"/>
  <c r="C4" i="14"/>
  <c r="C10" i="23" a="1"/>
  <c r="C10" i="23" s="1"/>
  <c r="C7" i="23" a="1"/>
  <c r="C7" i="23" s="1"/>
  <c r="C8" i="23" a="1"/>
  <c r="C8" i="23" s="1"/>
  <c r="C11" i="23" a="1"/>
  <c r="C11" i="23" s="1"/>
  <c r="CX16" i="14" l="1"/>
  <c r="L1" i="6" a="1"/>
  <c r="L1" i="6" s="1"/>
  <c r="D16" i="14" a="1"/>
  <c r="D16" i="14" s="1"/>
  <c r="J16" i="14" a="1"/>
  <c r="J16" i="14" s="1"/>
  <c r="P16" i="14" a="1"/>
  <c r="E16" i="14" a="1"/>
  <c r="E16" i="14" s="1"/>
  <c r="K16" i="14" a="1"/>
  <c r="K16" i="14" s="1"/>
  <c r="O16" i="14" a="1"/>
  <c r="F16" i="14" a="1"/>
  <c r="F16" i="14" s="1"/>
  <c r="L16" i="14" a="1"/>
  <c r="L16" i="14" s="1"/>
  <c r="M16" i="14" a="1"/>
  <c r="I16" i="14" a="1"/>
  <c r="I16" i="14" s="1"/>
  <c r="G16" i="14" a="1"/>
  <c r="G16" i="14" s="1"/>
  <c r="H16" i="14" a="1"/>
  <c r="N16" i="14" a="1"/>
  <c r="Q161" i="12" a="1"/>
  <c r="I183" i="12" a="1"/>
  <c r="AC253" i="12" a="1"/>
  <c r="AA231" i="12" a="1"/>
  <c r="AO185" i="12" a="1"/>
  <c r="AM156" i="12" a="1"/>
  <c r="AE129" i="12" a="1"/>
  <c r="W51" i="12" a="1"/>
  <c r="AO257" i="12" a="1"/>
  <c r="K105" i="12" a="1"/>
  <c r="M86" i="12" a="1"/>
  <c r="E256" i="12" a="1"/>
  <c r="Y229" i="12" a="1"/>
  <c r="AC181" i="12" a="1"/>
  <c r="M182" i="12" a="1"/>
  <c r="AC157" i="12" a="1"/>
  <c r="I129" i="12" a="1"/>
  <c r="N158" i="12" a="1"/>
  <c r="AC202" i="12" a="1"/>
  <c r="E159" i="12" a="1"/>
  <c r="E231" i="12" a="1"/>
  <c r="J233" i="12" a="1"/>
  <c r="Q127" i="12" a="1"/>
  <c r="AK258" i="12" a="1"/>
  <c r="Y56" i="12" a="1"/>
  <c r="AO178" i="12" a="1"/>
  <c r="M232" i="12" a="1"/>
  <c r="AP182" i="12" a="1"/>
  <c r="U229" i="12" a="1"/>
  <c r="W180" i="12" a="1"/>
  <c r="I159" i="12" a="1"/>
  <c r="AC108" i="12" a="1"/>
  <c r="AE105" i="12" a="1"/>
  <c r="AK181" i="12" a="1"/>
  <c r="S27" i="12" a="1"/>
  <c r="AO86" i="12" a="1"/>
  <c r="M49" i="12" a="1"/>
  <c r="AG256" i="12" a="1"/>
  <c r="AK110" i="12" a="1"/>
  <c r="M161" i="12" a="1"/>
  <c r="U157" i="12" a="1"/>
  <c r="E49" i="12" a="1"/>
  <c r="AA129" i="12" a="1"/>
  <c r="AO158" i="12" a="1"/>
  <c r="V157" i="12" a="1"/>
  <c r="W255" i="12" a="1"/>
  <c r="I127" i="12" a="1"/>
  <c r="K180" i="12" a="1"/>
  <c r="AQ105" i="12" a="1"/>
  <c r="AG185" i="12" a="1"/>
  <c r="AE81" i="12" a="1"/>
  <c r="R257" i="12" a="1"/>
  <c r="M154" i="12" a="1"/>
  <c r="M209" i="12" a="1"/>
  <c r="AD233" i="12" a="1"/>
  <c r="I30" i="12" a="1"/>
  <c r="AP157" i="12" a="1"/>
  <c r="E234" i="12" a="1"/>
  <c r="AK158" i="12" a="1"/>
  <c r="U204" i="12" a="1"/>
  <c r="AH233" i="12" a="1"/>
  <c r="AL158" i="12" a="1"/>
  <c r="AI255" i="12" a="1"/>
  <c r="AC209" i="12" a="1"/>
  <c r="K81" i="12" a="1"/>
  <c r="I258" i="12" a="1"/>
  <c r="U79" i="12" a="1"/>
  <c r="AA204" i="12" a="1"/>
  <c r="I207" i="12" a="1"/>
  <c r="E255" i="12" a="1"/>
  <c r="AK161" i="12" a="1"/>
  <c r="AI129" i="12" a="1"/>
  <c r="I110" i="12" a="1"/>
  <c r="AM204" i="12" a="1"/>
  <c r="U161" i="12" a="1"/>
  <c r="U110" i="12" a="1"/>
  <c r="M103" i="12" a="1"/>
  <c r="M205" i="12" a="1"/>
  <c r="U236" i="12" a="1"/>
  <c r="AO157" i="12" a="1"/>
  <c r="Y54" i="12" a="1"/>
  <c r="AM129" i="12" a="1"/>
  <c r="M127" i="12" a="1"/>
  <c r="U255" i="12" a="1"/>
  <c r="AK134" i="12" a="1"/>
  <c r="E51" i="12" a="1"/>
  <c r="AH257" i="12" a="1"/>
  <c r="I209" i="12" a="1"/>
  <c r="M51" i="12" a="1"/>
  <c r="G156" i="12" a="1"/>
  <c r="AC129" i="12" a="1"/>
  <c r="AO134" i="12" a="1"/>
  <c r="E54" i="12" a="1"/>
  <c r="AG132" i="12" a="1"/>
  <c r="AC54" i="12" a="1"/>
  <c r="Q232" i="12" a="1"/>
  <c r="U134" i="12" a="1"/>
  <c r="Q134" i="12" a="1"/>
  <c r="I202" i="12" a="1"/>
  <c r="AC161" i="12" a="1"/>
  <c r="U132" i="12" a="1"/>
  <c r="AC86" i="12" a="1"/>
  <c r="G27" i="12" a="1"/>
  <c r="AO182" i="12" a="1"/>
  <c r="AA51" i="12" a="1"/>
  <c r="AG236" i="12" a="1"/>
  <c r="G81" i="12" a="1"/>
  <c r="AC81" i="12" a="1"/>
  <c r="U202" i="12" a="1"/>
  <c r="I185" i="12" a="1"/>
  <c r="O255" i="12" a="1"/>
  <c r="AP181" i="12" a="1"/>
  <c r="AK231" i="12" a="1"/>
  <c r="U49" i="12" a="1"/>
  <c r="AK256" i="12" a="1"/>
  <c r="E108" i="12" a="1"/>
  <c r="M233" i="12" a="1"/>
  <c r="E27" i="12" a="1"/>
  <c r="E183" i="12" a="1"/>
  <c r="AK84" i="12" a="1"/>
  <c r="R205" i="12" a="1"/>
  <c r="AG182" i="12" a="1"/>
  <c r="Q231" i="12" a="1"/>
  <c r="AI180" i="12" a="1"/>
  <c r="Y256" i="12" a="1"/>
  <c r="AK159" i="12" a="1"/>
  <c r="Q182" i="12" a="1"/>
  <c r="Q132" i="12" a="1"/>
  <c r="Q25" i="12" a="1"/>
  <c r="A7" i="14" a="1"/>
  <c r="M134" i="12" a="1"/>
  <c r="AC159" i="12" a="1"/>
  <c r="AO236" i="12" a="1"/>
  <c r="AD206" i="12" a="1"/>
  <c r="AK25" i="12" a="1"/>
  <c r="E132" i="12" a="1"/>
  <c r="AA27" i="12" a="1"/>
  <c r="Q253" i="12" a="1"/>
  <c r="AC30" i="12" a="1"/>
  <c r="AQ27" i="12" a="1"/>
  <c r="AO233" i="12" a="1"/>
  <c r="I49" i="12" a="1"/>
  <c r="AA255" i="12" a="1"/>
  <c r="AC234" i="12" a="1"/>
  <c r="AG30" i="12" a="1"/>
  <c r="M110" i="12" a="1"/>
  <c r="G180" i="12" a="1"/>
  <c r="O156" i="12" a="1"/>
  <c r="Q49" i="12" a="1"/>
  <c r="R206" i="12" a="1"/>
  <c r="I231" i="12" a="1"/>
  <c r="AL182" i="12" a="1"/>
  <c r="AA180" i="12" a="1"/>
  <c r="AK129" i="12" a="1"/>
  <c r="Q178" i="12" a="1"/>
  <c r="AG205" i="12" a="1"/>
  <c r="W231" i="12" a="1"/>
  <c r="E79" i="12" a="1"/>
  <c r="Y79" i="12" a="1"/>
  <c r="Y110" i="12" a="1"/>
  <c r="M258" i="12" a="1"/>
  <c r="M207" i="12" a="1"/>
  <c r="V205" i="12" a="1"/>
  <c r="AI204" i="12" a="1"/>
  <c r="E204" i="12" a="1"/>
  <c r="AG110" i="12" a="1"/>
  <c r="N257" i="12" a="1"/>
  <c r="AQ231" i="12" a="1"/>
  <c r="AO25" i="12" a="1"/>
  <c r="AC127" i="12" a="1"/>
  <c r="U178" i="12" a="1"/>
  <c r="E157" i="12" a="1"/>
  <c r="I154" i="12" a="1"/>
  <c r="O51" i="12" a="1"/>
  <c r="M206" i="12" a="1"/>
  <c r="E178" i="12" a="1"/>
  <c r="Q236" i="12" a="1"/>
  <c r="I232" i="12" a="1"/>
  <c r="I205" i="12" a="1"/>
  <c r="AO84" i="12" a="1"/>
  <c r="M236" i="12" a="1"/>
  <c r="M255" i="12" a="1"/>
  <c r="R232" i="12" a="1"/>
  <c r="A5" i="14" a="1"/>
  <c r="AG183" i="12" a="1"/>
  <c r="Q84" i="12" a="1"/>
  <c r="O27" i="12" a="1"/>
  <c r="E232" i="12" a="1"/>
  <c r="U158" i="12" a="1"/>
  <c r="A8" i="14" a="1"/>
  <c r="AH232" i="12" a="1"/>
  <c r="AD182" i="12" a="1"/>
  <c r="E25" i="12" a="1"/>
  <c r="AE156" i="12" a="1"/>
  <c r="Q202" i="12" a="1"/>
  <c r="F205" i="12" a="1"/>
  <c r="AG154" i="12" a="1"/>
  <c r="O180" i="12" a="1"/>
  <c r="W27" i="12" a="1"/>
  <c r="Y129" i="12" a="1"/>
  <c r="U156" i="12" a="1"/>
  <c r="M157" i="12" a="1"/>
  <c r="AG158" i="12" a="1"/>
  <c r="Y185" i="12" a="1"/>
  <c r="AC233" i="12" a="1"/>
  <c r="U86" i="12" a="1"/>
  <c r="Y154" i="12" a="1"/>
  <c r="O105" i="12" a="1"/>
  <c r="AK56" i="12" a="1"/>
  <c r="W105" i="12" a="1"/>
  <c r="Y231" i="12" a="1"/>
  <c r="Q181" i="12" a="1"/>
  <c r="AC185" i="12" a="1"/>
  <c r="AG103" i="12" a="1"/>
  <c r="AK236" i="12" a="1"/>
  <c r="AG232" i="12" a="1"/>
  <c r="AC25" i="12" a="1"/>
  <c r="AC206" i="12" a="1"/>
  <c r="Y232" i="12" a="1"/>
  <c r="AO129" i="12" a="1"/>
  <c r="AG206" i="12" a="1"/>
  <c r="Q257" i="12" a="1"/>
  <c r="AC231" i="12" a="1"/>
  <c r="I51" i="12" a="1"/>
  <c r="W81" i="12" a="1"/>
  <c r="AC183" i="12" a="1"/>
  <c r="U205" i="12" a="1"/>
  <c r="AI231" i="12" a="1"/>
  <c r="AG231" i="12" a="1"/>
  <c r="K129" i="12" a="1"/>
  <c r="Q185" i="12" a="1"/>
  <c r="AD232" i="12" a="1"/>
  <c r="AC236" i="12" a="1"/>
  <c r="I233" i="12" a="1"/>
  <c r="E180" i="12" a="1"/>
  <c r="I81" i="12" a="1"/>
  <c r="AO204" i="12" a="1"/>
  <c r="E236" i="12" a="1"/>
  <c r="U256" i="12" a="1"/>
  <c r="AG159" i="12" a="1"/>
  <c r="U159" i="12" a="1"/>
  <c r="M30" i="12" a="1"/>
  <c r="AG86" i="12" a="1"/>
  <c r="AO261" i="12" a="1"/>
  <c r="M158" i="12" a="1"/>
  <c r="AO180" i="12" a="1"/>
  <c r="I236" i="12" a="1"/>
  <c r="W129" i="12" a="1"/>
  <c r="M178" i="12" a="1"/>
  <c r="AC207" i="12" a="1"/>
  <c r="E257" i="12" a="1"/>
  <c r="AK205" i="12" a="1"/>
  <c r="AQ129" i="12" a="1"/>
  <c r="AK51" i="12" a="1"/>
  <c r="E161" i="12" a="1"/>
  <c r="Q51" i="12" a="1"/>
  <c r="AE180" i="12" a="1"/>
  <c r="AO110" i="12" a="1"/>
  <c r="F232" i="12" a="1"/>
  <c r="N181" i="12" a="1"/>
  <c r="AI27" i="12" a="1"/>
  <c r="Q157" i="12" a="1"/>
  <c r="AG204" i="12" a="1"/>
  <c r="U180" i="12" a="1"/>
  <c r="U258" i="12" a="1"/>
  <c r="O204" i="12" a="1"/>
  <c r="M231" i="12" a="1"/>
  <c r="AK202" i="12" a="1"/>
  <c r="Y27" i="12" a="1"/>
  <c r="AD158" i="12" a="1"/>
  <c r="E229" i="12" a="1"/>
  <c r="AO132" i="12" a="1"/>
  <c r="M81" i="12" a="1"/>
  <c r="V158" i="12" a="1"/>
  <c r="AE27" i="12" a="1"/>
  <c r="AG157" i="12" a="1"/>
  <c r="Q105" i="12" a="1"/>
  <c r="U103" i="12" a="1"/>
  <c r="M185" i="12" a="1"/>
  <c r="AK234" i="12" a="1"/>
  <c r="E127" i="12" a="1"/>
  <c r="AQ51" i="12" a="1"/>
  <c r="Z233" i="12" a="1"/>
  <c r="Q103" i="12" a="1"/>
  <c r="S81" i="12" a="1"/>
  <c r="AO27" i="12" a="1"/>
  <c r="AC178" i="12" a="1"/>
  <c r="AO81" i="12" a="1"/>
  <c r="AK185" i="12" a="1"/>
  <c r="Y181" i="12" a="1"/>
  <c r="Y180" i="12" a="1"/>
  <c r="AP257" i="12" a="1"/>
  <c r="AK183" i="12" a="1"/>
  <c r="I178" i="12" a="1"/>
  <c r="R181" i="12" a="1"/>
  <c r="M180" i="12" a="1"/>
  <c r="U181" i="12" a="1"/>
  <c r="E154" i="12" a="1"/>
  <c r="V257" i="12" a="1"/>
  <c r="AK81" i="12" a="1"/>
  <c r="AG253" i="12" a="1"/>
  <c r="U182" i="12" a="1"/>
  <c r="AK105" i="12" a="1"/>
  <c r="AE231" i="12" a="1"/>
  <c r="AK180" i="12" a="1"/>
  <c r="AK49" i="12" a="1"/>
  <c r="AE204" i="12" a="1"/>
  <c r="AC158" i="12" a="1"/>
  <c r="K27" i="12" a="1"/>
  <c r="AC204" i="12" a="1"/>
  <c r="I182" i="12" a="1"/>
  <c r="AM51" i="12" a="1"/>
  <c r="N256" i="12" a="1"/>
  <c r="M79" i="12" a="1"/>
  <c r="AO181" i="12" a="1"/>
  <c r="E205" i="12" a="1"/>
  <c r="I27" i="12" a="1"/>
  <c r="M105" i="12" a="1"/>
  <c r="G105" i="12" a="1"/>
  <c r="AG49" i="12" a="1"/>
  <c r="AO202" i="12" a="1"/>
  <c r="Q159" i="12" a="1"/>
  <c r="Z206" i="12" a="1"/>
  <c r="Y108" i="12" a="1"/>
  <c r="AG25" i="12" a="1"/>
  <c r="AO156" i="12" a="1"/>
  <c r="Y183" i="12" a="1"/>
  <c r="Q229" i="12" a="1"/>
  <c r="Q110" i="12" a="1"/>
  <c r="U234" i="12" a="1"/>
  <c r="U207" i="12" a="1"/>
  <c r="AO127" i="12" a="1"/>
  <c r="E207" i="12" a="1"/>
  <c r="N157" i="12" a="1"/>
  <c r="AG180" i="12" a="1"/>
  <c r="AL181" i="12" a="1"/>
  <c r="Q204" i="12" a="1"/>
  <c r="AO258" i="12" a="1"/>
  <c r="E105" i="12" a="1"/>
  <c r="Z182" i="12" a="1"/>
  <c r="AC205" i="12" a="1"/>
  <c r="Q206" i="12" a="1"/>
  <c r="U185" i="12" a="1"/>
  <c r="I256" i="12" a="1"/>
  <c r="AC134" i="12" a="1"/>
  <c r="M108" i="12" a="1"/>
  <c r="I229" i="12" a="1"/>
  <c r="AH256" i="12" a="1"/>
  <c r="U253" i="12" a="1"/>
  <c r="E202" i="12" a="1"/>
  <c r="E209" i="12" a="1"/>
  <c r="W156" i="12" a="1"/>
  <c r="AH206" i="12" a="1"/>
  <c r="S156" i="12" a="1"/>
  <c r="V232" i="12" a="1"/>
  <c r="AK232" i="12" a="1"/>
  <c r="AC49" i="12" a="1"/>
  <c r="AI81" i="12" a="1"/>
  <c r="G204" i="12" a="1"/>
  <c r="F233" i="12" a="1"/>
  <c r="K156" i="12" a="1"/>
  <c r="G129" i="12" a="1"/>
  <c r="AO206" i="12" a="1"/>
  <c r="M129" i="12" a="1"/>
  <c r="AH182" i="12" a="1"/>
  <c r="AG229" i="12" a="1"/>
  <c r="Q54" i="12" a="1"/>
  <c r="E233" i="12" a="1"/>
  <c r="U56" i="12" a="1"/>
  <c r="U81" i="12" a="1"/>
  <c r="AQ255" i="12" a="1"/>
  <c r="R158" i="12" a="1"/>
  <c r="AC27" i="12" a="1"/>
  <c r="Y103" i="12" a="1"/>
  <c r="Y206" i="12" a="1"/>
  <c r="AK157" i="12" a="1"/>
  <c r="Z205" i="12" a="1"/>
  <c r="AC232" i="12" a="1"/>
  <c r="Q207" i="12" a="1"/>
  <c r="AG127" i="12" a="1"/>
  <c r="F182" i="12" a="1"/>
  <c r="AO159" i="12" a="1"/>
  <c r="Y182" i="12" a="1"/>
  <c r="M202" i="12" a="1"/>
  <c r="U54" i="12" a="1"/>
  <c r="AO256" i="12" a="1"/>
  <c r="AK132" i="12" a="1"/>
  <c r="AM27" i="12" a="1"/>
  <c r="J232" i="12" a="1"/>
  <c r="U183" i="12" a="1"/>
  <c r="O231" i="12" a="1"/>
  <c r="S231" i="12" a="1"/>
  <c r="Q156" i="12" a="1"/>
  <c r="M156" i="12" a="1"/>
  <c r="Y234" i="12" a="1"/>
  <c r="M159" i="12" a="1"/>
  <c r="AH181" i="12" a="1"/>
  <c r="AG56" i="12" a="1"/>
  <c r="Q180" i="12" a="1"/>
  <c r="AA81" i="12" a="1"/>
  <c r="U232" i="12" a="1"/>
  <c r="AC256" i="12" a="1"/>
  <c r="AO234" i="12" a="1"/>
  <c r="N206" i="12" a="1"/>
  <c r="I253" i="12" a="1"/>
  <c r="AG258" i="12" a="1"/>
  <c r="Q258" i="12" a="1"/>
  <c r="AO262" i="12" a="1"/>
  <c r="AE51" i="12" a="1"/>
  <c r="V181" i="12" a="1"/>
  <c r="V256" i="12" a="1"/>
  <c r="AG257" i="12" a="1"/>
  <c r="AK54" i="12" a="1"/>
  <c r="M253" i="12" a="1"/>
  <c r="M84" i="12" a="1"/>
  <c r="W204" i="12" a="1"/>
  <c r="Z157" i="12" a="1"/>
  <c r="Y156" i="12" a="1"/>
  <c r="E84" i="12" a="1"/>
  <c r="AK154" i="12" a="1"/>
  <c r="AO103" i="12" a="1"/>
  <c r="Q129" i="12" a="1"/>
  <c r="J181" i="12" a="1"/>
  <c r="A10" i="14" a="1"/>
  <c r="Y132" i="12" a="1"/>
  <c r="AK253" i="12" a="1"/>
  <c r="AA105" i="12" a="1"/>
  <c r="AG233" i="12" a="1"/>
  <c r="M25" i="12" a="1"/>
  <c r="I132" i="12" a="1"/>
  <c r="J158" i="12" a="1"/>
  <c r="V233" i="12" a="1"/>
  <c r="N205" i="12" a="1"/>
  <c r="Q81" i="12" a="1"/>
  <c r="AC103" i="12" a="1"/>
  <c r="E185" i="12" a="1"/>
  <c r="S255" i="12" a="1"/>
  <c r="Y84" i="12" a="1"/>
  <c r="AQ204" i="12" a="1"/>
  <c r="AC258" i="12" a="1"/>
  <c r="Y81" i="12" a="1"/>
  <c r="Y49" i="12" a="1"/>
  <c r="AG255" i="12" a="1"/>
  <c r="F256" i="12" a="1"/>
  <c r="Q158" i="12" a="1"/>
  <c r="U127" i="12" a="1"/>
  <c r="E258" i="12" a="1"/>
  <c r="Q30" i="12" a="1"/>
  <c r="AG84" i="12" a="1"/>
  <c r="Y257" i="12" a="1"/>
  <c r="AC56" i="12" a="1"/>
  <c r="AO30" i="12" a="1"/>
  <c r="Y207" i="12" a="1"/>
  <c r="M229" i="12" a="1"/>
  <c r="AG260" i="12" a="1"/>
  <c r="AL205" i="12" a="1"/>
  <c r="Z232" i="12" a="1"/>
  <c r="U105" i="12" a="1"/>
  <c r="N233" i="12" a="1"/>
  <c r="AK127" i="12" a="1"/>
  <c r="J205" i="12" a="1"/>
  <c r="E110" i="12" a="1"/>
  <c r="Y255" i="12" a="1"/>
  <c r="A4" i="14" a="1"/>
  <c r="AC154" i="12" a="1"/>
  <c r="F181" i="12" a="1"/>
  <c r="AG161" i="12" a="1"/>
  <c r="Y51" i="12" a="1"/>
  <c r="AL157" i="12" a="1"/>
  <c r="AC132" i="12" a="1"/>
  <c r="AO209" i="12" a="1"/>
  <c r="R182" i="12" a="1"/>
  <c r="AK229" i="12" a="1"/>
  <c r="I180" i="12" a="1"/>
  <c r="AC257" i="12" a="1"/>
  <c r="Y258" i="12" a="1"/>
  <c r="U206" i="12" a="1"/>
  <c r="AM231" i="12" a="1"/>
  <c r="G255" i="12" a="1"/>
  <c r="AL256" i="12" a="1"/>
  <c r="AM81" i="12" a="1"/>
  <c r="AO232" i="12" a="1"/>
  <c r="I86" i="12" a="1"/>
  <c r="AI51" i="12" a="1"/>
  <c r="E181" i="12" a="1"/>
  <c r="AK233" i="12" a="1"/>
  <c r="AC51" i="12" a="1"/>
  <c r="AO51" i="12" a="1"/>
  <c r="I54" i="12" a="1"/>
  <c r="AH205" i="12" a="1"/>
  <c r="AA156" i="12" a="1"/>
  <c r="Q108" i="12" a="1"/>
  <c r="AP256" i="12" a="1"/>
  <c r="U154" i="12" a="1"/>
  <c r="Y86" i="12" a="1"/>
  <c r="Q233" i="12" a="1"/>
  <c r="Y105" i="12" a="1"/>
  <c r="J256" i="12" a="1"/>
  <c r="AE255" i="12" a="1"/>
  <c r="E30" i="12" a="1"/>
  <c r="Y159" i="12" a="1"/>
  <c r="U260" i="12" a="1"/>
  <c r="Z257" i="12" a="1"/>
  <c r="J157" i="12" a="1"/>
  <c r="AO205" i="12" a="1"/>
  <c r="M183" i="12" a="1"/>
  <c r="Q79" i="12" a="1"/>
  <c r="I181" i="12" a="1"/>
  <c r="I234" i="12" a="1"/>
  <c r="U233" i="12" a="1"/>
  <c r="Q154" i="12" a="1"/>
  <c r="E182" i="12" a="1"/>
  <c r="I206" i="12" a="1"/>
  <c r="I103" i="12" a="1"/>
  <c r="AO79" i="12" a="1"/>
  <c r="Z256" i="12" a="1"/>
  <c r="AK108" i="12" a="1"/>
  <c r="AK86" i="12" a="1"/>
  <c r="AG209" i="12" a="1"/>
  <c r="I204" i="12" a="1"/>
  <c r="Y204" i="12" a="1"/>
  <c r="Q27" i="12" a="1"/>
  <c r="AK27" i="12" a="1"/>
  <c r="U257" i="12" a="1"/>
  <c r="U231" i="12" a="1"/>
  <c r="AM180" i="12" a="1"/>
  <c r="M256" i="12" a="1"/>
  <c r="AP233" i="12" a="1"/>
  <c r="AC255" i="12" a="1"/>
  <c r="E206" i="12" a="1"/>
  <c r="M181" i="12" a="1"/>
  <c r="S204" i="12" a="1"/>
  <c r="U51" i="12" a="1"/>
  <c r="Q260" i="12" a="1"/>
  <c r="S51" i="12" a="1"/>
  <c r="N182" i="12" a="1"/>
  <c r="AC229" i="12" a="1"/>
  <c r="Y202" i="12" a="1"/>
  <c r="AP232" i="12" a="1"/>
  <c r="F257" i="12" a="1"/>
  <c r="AO56" i="12" a="1"/>
  <c r="M260" i="12" a="1"/>
  <c r="AP205" i="12" a="1"/>
  <c r="AO54" i="12" a="1"/>
  <c r="U27" i="12" a="1"/>
  <c r="M132" i="12" a="1"/>
  <c r="I156" i="12" a="1"/>
  <c r="Q183" i="12" a="1"/>
  <c r="Y25" i="12" a="1"/>
  <c r="S180" i="12" a="1"/>
  <c r="AP158" i="12" a="1"/>
  <c r="AO255" i="12" a="1"/>
  <c r="F158" i="12" a="1"/>
  <c r="AL233" i="12" a="1"/>
  <c r="AK178" i="12" a="1"/>
  <c r="V182" i="12" a="1"/>
  <c r="AI156" i="12" a="1"/>
  <c r="AG105" i="12" a="1"/>
  <c r="AO253" i="12" a="1"/>
  <c r="M234" i="12" a="1"/>
  <c r="E260" i="12" a="1"/>
  <c r="V206" i="12" a="1"/>
  <c r="E103" i="12" a="1"/>
  <c r="AK79" i="12" a="1"/>
  <c r="U30" i="12" a="1"/>
  <c r="AK204" i="12" a="1"/>
  <c r="AK207" i="12" a="1"/>
  <c r="I161" i="12" a="1"/>
  <c r="AO207" i="12" a="1"/>
  <c r="AD157" i="12" a="1"/>
  <c r="AG129" i="12" a="1"/>
  <c r="K51" i="12" a="1"/>
  <c r="E253" i="12" a="1"/>
  <c r="Y236" i="12" a="1"/>
  <c r="AK103" i="12" a="1"/>
  <c r="U108" i="12" a="1"/>
  <c r="Y253" i="12" a="1"/>
  <c r="Q256" i="12" a="1"/>
  <c r="AK257" i="12" a="1"/>
  <c r="AC84" i="12" a="1"/>
  <c r="AC180" i="12" a="1"/>
  <c r="I79" i="12" a="1"/>
  <c r="E134" i="12" a="1"/>
  <c r="Y209" i="12" a="1"/>
  <c r="Y205" i="12" a="1"/>
  <c r="U84" i="12" a="1"/>
  <c r="Y127" i="12" a="1"/>
  <c r="E129" i="12" a="1"/>
  <c r="G51" i="12" a="1"/>
  <c r="S129" i="12" a="1"/>
  <c r="AG134" i="12" a="1"/>
  <c r="Y158" i="12" a="1"/>
  <c r="AO108" i="12" a="1"/>
  <c r="E156" i="12" a="1"/>
  <c r="AO183" i="12" a="1"/>
  <c r="E86" i="12" a="1"/>
  <c r="S105" i="12" a="1"/>
  <c r="AG27" i="12" a="1"/>
  <c r="E81" i="12" a="1"/>
  <c r="Z158" i="12" a="1"/>
  <c r="Y157" i="12" a="1"/>
  <c r="Y233" i="12" a="1"/>
  <c r="I25" i="12" a="1"/>
  <c r="I255" i="12" a="1"/>
  <c r="Q234" i="12" a="1"/>
  <c r="AG156" i="12" a="1"/>
  <c r="AG202" i="12" a="1"/>
  <c r="AL206" i="12" a="1"/>
  <c r="R233" i="12" a="1"/>
  <c r="AO105" i="12" a="1"/>
  <c r="AD205" i="12" a="1"/>
  <c r="I134" i="12" a="1"/>
  <c r="K204" i="12" a="1"/>
  <c r="AK255" i="12" a="1"/>
  <c r="F206" i="12" a="1"/>
  <c r="AK156" i="12" a="1"/>
  <c r="AK209" i="12" a="1"/>
  <c r="I260" i="12" a="1"/>
  <c r="AL232" i="12" a="1"/>
  <c r="AG81" i="12" a="1"/>
  <c r="O129" i="12" a="1"/>
  <c r="AH158" i="12" a="1"/>
  <c r="U25" i="12" a="1"/>
  <c r="AO161" i="12" a="1"/>
  <c r="U129" i="12" a="1"/>
  <c r="AG207" i="12" a="1"/>
  <c r="AQ180" i="12" a="1"/>
  <c r="I84" i="12" a="1"/>
  <c r="AO49" i="12" a="1"/>
  <c r="R256" i="12" a="1"/>
  <c r="AM255" i="12" a="1"/>
  <c r="AK182" i="12" a="1"/>
  <c r="J182" i="12" a="1"/>
  <c r="M27" i="12" a="1"/>
  <c r="Y161" i="12" a="1"/>
  <c r="AL257" i="12" a="1"/>
  <c r="AD181" i="12" a="1"/>
  <c r="AC79" i="12" a="1"/>
  <c r="AC260" i="12" a="1"/>
  <c r="M204" i="12" a="1"/>
  <c r="J257" i="12" a="1"/>
  <c r="Q255" i="12" a="1"/>
  <c r="AC182" i="12" a="1"/>
  <c r="Y134" i="12" a="1"/>
  <c r="AC110" i="12" a="1"/>
  <c r="AQ81" i="12" a="1"/>
  <c r="K255" i="12" a="1"/>
  <c r="AG178" i="12" a="1"/>
  <c r="Q205" i="12" a="1"/>
  <c r="Y178" i="12" a="1"/>
  <c r="K231" i="12" a="1"/>
  <c r="AK206" i="12" a="1"/>
  <c r="I157" i="12" a="1"/>
  <c r="Q86" i="12" a="1"/>
  <c r="Y260" i="12" a="1"/>
  <c r="A13" i="14" a="1"/>
  <c r="AQ156" i="12" a="1"/>
  <c r="AH157" i="12" a="1"/>
  <c r="M54" i="12" a="1"/>
  <c r="AK260" i="12" a="1"/>
  <c r="I257" i="12" a="1"/>
  <c r="AC156" i="12" a="1"/>
  <c r="A14" i="14" a="1"/>
  <c r="AI105" i="12" a="1"/>
  <c r="AD256" i="12" a="1"/>
  <c r="AG79" i="12" a="1"/>
  <c r="R157" i="12" a="1"/>
  <c r="U209" i="12" a="1"/>
  <c r="AG108" i="12" a="1"/>
  <c r="AC105" i="12" a="1"/>
  <c r="Q209" i="12" a="1"/>
  <c r="M257" i="12" a="1"/>
  <c r="AP206" i="12" a="1"/>
  <c r="AK30" i="12" a="1"/>
  <c r="Y30" i="12" a="1"/>
  <c r="AM105" i="12" a="1"/>
  <c r="O81" i="12" a="1"/>
  <c r="I105" i="12" a="1"/>
  <c r="I158" i="12" a="1"/>
  <c r="Z181" i="12" a="1"/>
  <c r="AG54" i="12" a="1"/>
  <c r="AO231" i="12" a="1"/>
  <c r="N232" i="12" a="1"/>
  <c r="G231" i="12" a="1"/>
  <c r="AG51" i="12" a="1"/>
  <c r="I108" i="12" a="1"/>
  <c r="E158" i="12" a="1"/>
  <c r="AO154" i="12" a="1"/>
  <c r="AO260" i="12" a="1"/>
  <c r="J206" i="12" a="1"/>
  <c r="AG234" i="12" a="1"/>
  <c r="AD257" i="12" a="1"/>
  <c r="AO229" i="12" a="1"/>
  <c r="AG181" i="12" a="1"/>
  <c r="A11" i="14" a="1"/>
  <c r="F157" i="12" a="1"/>
  <c r="E156" i="12" l="1"/>
  <c r="U253" i="12"/>
  <c r="AA129" i="12"/>
  <c r="U161" i="12"/>
  <c r="AK180" i="12"/>
  <c r="AK132" i="12"/>
  <c r="Q79" i="12"/>
  <c r="AK108" i="12"/>
  <c r="AO207" i="12"/>
  <c r="AM27" i="12"/>
  <c r="Y103" i="12"/>
  <c r="AO159" i="12"/>
  <c r="AK185" i="12"/>
  <c r="AG209" i="12"/>
  <c r="Q204" i="12"/>
  <c r="E108" i="12"/>
  <c r="S27" i="12"/>
  <c r="O255" i="12"/>
  <c r="AK25" i="12"/>
  <c r="U25" i="12"/>
  <c r="AC103" i="12"/>
  <c r="AI81" i="12"/>
  <c r="AC159" i="12"/>
  <c r="AO86" i="12"/>
  <c r="AO231" i="12"/>
  <c r="AG161" i="12"/>
  <c r="K129" i="12"/>
  <c r="Y127" i="12"/>
  <c r="AK49" i="12"/>
  <c r="AG234" i="12"/>
  <c r="Q236" i="12"/>
  <c r="U209" i="12"/>
  <c r="AK178" i="12"/>
  <c r="AK260" i="12"/>
  <c r="AK86" i="12"/>
  <c r="M81" i="12"/>
  <c r="E49" i="12"/>
  <c r="Y49" i="12"/>
  <c r="AG127" i="12"/>
  <c r="U204" i="12"/>
  <c r="AK236" i="12"/>
  <c r="E54" i="12"/>
  <c r="AI27" i="12"/>
  <c r="AC54" i="12"/>
  <c r="AO30" i="12"/>
  <c r="AO81" i="12"/>
  <c r="AO27" i="12"/>
  <c r="AC260" i="12"/>
  <c r="AG180" i="12"/>
  <c r="Q209" i="12"/>
  <c r="Y253" i="12"/>
  <c r="I108" i="12"/>
  <c r="AO134" i="12"/>
  <c r="K51" i="12"/>
  <c r="U27" i="12"/>
  <c r="E84" i="12"/>
  <c r="AK129" i="12"/>
  <c r="A7" i="14"/>
  <c r="Q156" i="12"/>
  <c r="AG253" i="12"/>
  <c r="AK229" i="12"/>
  <c r="O81" i="12"/>
  <c r="M156" i="12"/>
  <c r="AC255" i="12"/>
  <c r="AO255" i="12"/>
  <c r="U134" i="12"/>
  <c r="AO161" i="12"/>
  <c r="M253" i="12"/>
  <c r="E30" i="12"/>
  <c r="A4" i="14"/>
  <c r="AI5" i="12" s="1"/>
  <c r="O27" i="12"/>
  <c r="U185" i="12"/>
  <c r="AO236" i="12"/>
  <c r="AO79" i="12"/>
  <c r="AG183" i="12"/>
  <c r="AO105" i="12"/>
  <c r="G27" i="12"/>
  <c r="AK204" i="12"/>
  <c r="AK54" i="12"/>
  <c r="K105" i="12"/>
  <c r="U231" i="12"/>
  <c r="AA27" i="12"/>
  <c r="AE51" i="12"/>
  <c r="U51" i="12"/>
  <c r="AG231" i="12"/>
  <c r="AO110" i="12"/>
  <c r="Q84" i="12"/>
  <c r="AQ129" i="12"/>
  <c r="U154" i="12"/>
  <c r="AI156" i="12"/>
  <c r="AC86" i="12"/>
  <c r="M180" i="12"/>
  <c r="AQ51" i="12"/>
  <c r="AG54" i="12"/>
  <c r="E154" i="12"/>
  <c r="U79" i="12"/>
  <c r="AC178" i="12"/>
  <c r="AG202" i="12"/>
  <c r="S51" i="12"/>
  <c r="AC234" i="12"/>
  <c r="U180" i="12"/>
  <c r="AO84" i="12"/>
  <c r="E103" i="12"/>
  <c r="K231" i="12"/>
  <c r="AI180" i="12"/>
  <c r="AC30" i="12"/>
  <c r="I260" i="12"/>
  <c r="AO204" i="12"/>
  <c r="AO108" i="12"/>
  <c r="Y260" i="12"/>
  <c r="I25" i="12"/>
  <c r="G105" i="12"/>
  <c r="AK134" i="12"/>
  <c r="W255" i="12"/>
  <c r="I204" i="12"/>
  <c r="AC84" i="12"/>
  <c r="E105" i="12"/>
  <c r="AE129" i="12"/>
  <c r="U260" i="12"/>
  <c r="AA156" i="12"/>
  <c r="U156" i="12"/>
  <c r="Q132" i="12"/>
  <c r="AE27" i="12"/>
  <c r="M258" i="12"/>
  <c r="AO132" i="12"/>
  <c r="AC27" i="12"/>
  <c r="AC207" i="12"/>
  <c r="I110" i="12"/>
  <c r="AG25" i="12"/>
  <c r="I159" i="12"/>
  <c r="AG258" i="12"/>
  <c r="W231" i="12"/>
  <c r="U159" i="12"/>
  <c r="AC56" i="12"/>
  <c r="S156" i="12"/>
  <c r="E253" i="12"/>
  <c r="AA180" i="12"/>
  <c r="AO258" i="12"/>
  <c r="Y81" i="12"/>
  <c r="E110" i="12"/>
  <c r="Q229" i="12"/>
  <c r="M260" i="12"/>
  <c r="U108" i="12"/>
  <c r="AO178" i="12"/>
  <c r="E180" i="12"/>
  <c r="I231" i="12"/>
  <c r="K156" i="12"/>
  <c r="M229" i="12"/>
  <c r="W105" i="12"/>
  <c r="K81" i="12"/>
  <c r="AC51" i="12"/>
  <c r="Y84" i="12"/>
  <c r="M49" i="12"/>
  <c r="I202" i="12"/>
  <c r="AK81" i="12"/>
  <c r="U132" i="12"/>
  <c r="AC209" i="12"/>
  <c r="U202" i="12"/>
  <c r="AE105" i="12"/>
  <c r="AI129" i="12"/>
  <c r="Y209" i="12"/>
  <c r="Q129" i="12"/>
  <c r="AK183" i="12"/>
  <c r="AC161" i="12"/>
  <c r="AK255" i="12"/>
  <c r="E234" i="12"/>
  <c r="U207" i="12"/>
  <c r="Q49" i="12"/>
  <c r="E185" i="12"/>
  <c r="Q183" i="12"/>
  <c r="AO54" i="12"/>
  <c r="Q127" i="12"/>
  <c r="Q103" i="12"/>
  <c r="AG207" i="12"/>
  <c r="I180" i="12"/>
  <c r="E178" i="12"/>
  <c r="Q86" i="12"/>
  <c r="I27" i="12"/>
  <c r="U30" i="12"/>
  <c r="M54" i="12"/>
  <c r="Y25" i="12"/>
  <c r="I132" i="12"/>
  <c r="W27" i="12"/>
  <c r="Q27" i="12"/>
  <c r="AC231" i="12"/>
  <c r="AQ255" i="12"/>
  <c r="AQ156" i="12"/>
  <c r="M129" i="12"/>
  <c r="M84" i="12"/>
  <c r="O204" i="12"/>
  <c r="AG110" i="12"/>
  <c r="Q258" i="12"/>
  <c r="W204" i="12"/>
  <c r="I253" i="12"/>
  <c r="AO202" i="12"/>
  <c r="Q108" i="12"/>
  <c r="I86" i="12"/>
  <c r="U110" i="12"/>
  <c r="AO234" i="12"/>
  <c r="E159" i="12"/>
  <c r="AG81" i="12"/>
  <c r="M86" i="12"/>
  <c r="I156" i="12"/>
  <c r="E202" i="12"/>
  <c r="M161" i="12"/>
  <c r="AQ231" i="12"/>
  <c r="M236" i="12"/>
  <c r="AC132" i="12"/>
  <c r="Y154" i="12"/>
  <c r="K204" i="12"/>
  <c r="M207" i="12"/>
  <c r="AK27" i="12"/>
  <c r="Y185" i="12"/>
  <c r="W81" i="12"/>
  <c r="AG108" i="12"/>
  <c r="AC202" i="12"/>
  <c r="M185" i="12"/>
  <c r="O105" i="12"/>
  <c r="AG159" i="12"/>
  <c r="Q154" i="12"/>
  <c r="AG86" i="12"/>
  <c r="M105" i="12"/>
  <c r="I154" i="12"/>
  <c r="A5" i="14"/>
  <c r="AV9" i="12" s="1"/>
  <c r="A11" i="14"/>
  <c r="AI204" i="12"/>
  <c r="E79" i="12"/>
  <c r="AO261" i="12"/>
  <c r="AG51" i="12"/>
  <c r="U234" i="12"/>
  <c r="I161" i="12"/>
  <c r="AO229" i="12"/>
  <c r="AK105" i="12"/>
  <c r="AC154" i="12"/>
  <c r="Q234" i="12"/>
  <c r="I79" i="12"/>
  <c r="M234" i="12"/>
  <c r="AA51" i="12"/>
  <c r="I103" i="12"/>
  <c r="Y108" i="12"/>
  <c r="AA105" i="12"/>
  <c r="Q54" i="12"/>
  <c r="S129" i="12"/>
  <c r="U258" i="12"/>
  <c r="AG30" i="12"/>
  <c r="AK30" i="12"/>
  <c r="A10" i="14"/>
  <c r="AG105" i="12"/>
  <c r="M79" i="12"/>
  <c r="G204" i="12"/>
  <c r="E236" i="12"/>
  <c r="U56" i="12"/>
  <c r="M154" i="12"/>
  <c r="S105" i="12"/>
  <c r="AM105" i="12"/>
  <c r="AM51" i="12"/>
  <c r="M25" i="12"/>
  <c r="AO156" i="12"/>
  <c r="AM180" i="12"/>
  <c r="U81" i="12"/>
  <c r="M127" i="12"/>
  <c r="AO56" i="12"/>
  <c r="Y207" i="12"/>
  <c r="U105" i="12"/>
  <c r="Q110" i="12"/>
  <c r="U49" i="12"/>
  <c r="AK159" i="12"/>
  <c r="AO180" i="12"/>
  <c r="AQ27" i="12"/>
  <c r="G180" i="12"/>
  <c r="AC129" i="12"/>
  <c r="A14" i="14"/>
  <c r="Q255" i="12"/>
  <c r="Q81" i="12"/>
  <c r="Y56" i="12"/>
  <c r="Y178" i="12"/>
  <c r="S255" i="12"/>
  <c r="AC25" i="12"/>
  <c r="Q30" i="12"/>
  <c r="Y161" i="12"/>
  <c r="AO127" i="12"/>
  <c r="U255" i="12"/>
  <c r="G51" i="12"/>
  <c r="AO25" i="12"/>
  <c r="M183" i="12"/>
  <c r="M51" i="12"/>
  <c r="AC49" i="12"/>
  <c r="Y159" i="12"/>
  <c r="O156" i="12"/>
  <c r="K27" i="12"/>
  <c r="E231" i="12"/>
  <c r="Y231" i="12"/>
  <c r="Q161" i="12"/>
  <c r="Y51" i="12"/>
  <c r="AG27" i="12"/>
  <c r="AM204" i="12"/>
  <c r="Q253" i="12"/>
  <c r="AG103" i="12"/>
  <c r="G129" i="12"/>
  <c r="I183" i="12"/>
  <c r="U178" i="12"/>
  <c r="AE204" i="12"/>
  <c r="E134" i="12"/>
  <c r="AM129" i="12"/>
  <c r="AC134" i="12"/>
  <c r="E183" i="12"/>
  <c r="AE231" i="12"/>
  <c r="E161" i="12"/>
  <c r="AE255" i="12"/>
  <c r="AG260" i="12"/>
  <c r="W156" i="12"/>
  <c r="AK207" i="12"/>
  <c r="Y202" i="12"/>
  <c r="AG229" i="12"/>
  <c r="I234" i="12"/>
  <c r="AI105" i="12"/>
  <c r="Q185" i="12"/>
  <c r="AO103" i="12"/>
  <c r="Y30" i="12"/>
  <c r="U103" i="12"/>
  <c r="AC110" i="12"/>
  <c r="AK156" i="12"/>
  <c r="AA255" i="12"/>
  <c r="E86" i="12"/>
  <c r="AI255" i="12"/>
  <c r="I229" i="12"/>
  <c r="AC105" i="12"/>
  <c r="AG129" i="12"/>
  <c r="AC156" i="12"/>
  <c r="AO129" i="12"/>
  <c r="Q25" i="12"/>
  <c r="I105" i="12"/>
  <c r="Y27" i="12"/>
  <c r="Q51" i="12"/>
  <c r="E204" i="12"/>
  <c r="AO262" i="12"/>
  <c r="AK253" i="12"/>
  <c r="E229" i="12"/>
  <c r="AC236" i="12"/>
  <c r="AG178" i="12"/>
  <c r="O180" i="12"/>
  <c r="AK51" i="12"/>
  <c r="K180" i="12"/>
  <c r="Q105" i="12"/>
  <c r="I49" i="12"/>
  <c r="U183" i="12"/>
  <c r="AG84" i="12"/>
  <c r="I129" i="12"/>
  <c r="AQ204" i="12"/>
  <c r="AO183" i="12"/>
  <c r="Y204" i="12"/>
  <c r="AG204" i="12"/>
  <c r="G255" i="12"/>
  <c r="Q202" i="12"/>
  <c r="M132" i="12"/>
  <c r="Y236" i="12"/>
  <c r="E255" i="12"/>
  <c r="AC79" i="12"/>
  <c r="AC258" i="12"/>
  <c r="I207" i="12"/>
  <c r="E27" i="12"/>
  <c r="E207" i="12"/>
  <c r="Q134" i="12"/>
  <c r="Q260" i="12"/>
  <c r="AG156" i="12"/>
  <c r="A8" i="14"/>
  <c r="U54" i="12"/>
  <c r="Q159" i="12"/>
  <c r="AK84" i="12"/>
  <c r="AC81" i="12"/>
  <c r="AO51" i="12"/>
  <c r="AG154" i="12"/>
  <c r="AK110" i="12"/>
  <c r="AK154" i="12"/>
  <c r="M110" i="12"/>
  <c r="E127" i="12"/>
  <c r="AA81" i="12"/>
  <c r="G231" i="12"/>
  <c r="U129" i="12"/>
  <c r="AG79" i="12"/>
  <c r="O231" i="12"/>
  <c r="AK202" i="12"/>
  <c r="U229" i="12"/>
  <c r="I54" i="12"/>
  <c r="W129" i="12"/>
  <c r="M134" i="12"/>
  <c r="M204" i="12"/>
  <c r="AQ180" i="12"/>
  <c r="AI51" i="12"/>
  <c r="E51" i="12"/>
  <c r="M178" i="12"/>
  <c r="Y229" i="12"/>
  <c r="AO154" i="12"/>
  <c r="AM231" i="12"/>
  <c r="I178" i="12"/>
  <c r="G156" i="12"/>
  <c r="U84" i="12"/>
  <c r="O51" i="12"/>
  <c r="AK258" i="12"/>
  <c r="AC229" i="12"/>
  <c r="AK79" i="12"/>
  <c r="I51" i="12"/>
  <c r="E209" i="12"/>
  <c r="Y105" i="12"/>
  <c r="AG134" i="12"/>
  <c r="AK231" i="12"/>
  <c r="O129" i="12"/>
  <c r="E132" i="12"/>
  <c r="AO49" i="12"/>
  <c r="AK56" i="12"/>
  <c r="M255" i="12"/>
  <c r="M103" i="12"/>
  <c r="AC253" i="12"/>
  <c r="AM255" i="12"/>
  <c r="AO209" i="12"/>
  <c r="AE81" i="12"/>
  <c r="AK127" i="12"/>
  <c r="G81" i="12"/>
  <c r="AQ81" i="12"/>
  <c r="A13" i="14"/>
  <c r="Y134" i="12"/>
  <c r="K255" i="12"/>
  <c r="Q178" i="12"/>
  <c r="AE156" i="12"/>
  <c r="W180" i="12"/>
  <c r="AA204" i="12"/>
  <c r="Y132" i="12"/>
  <c r="I255" i="12"/>
  <c r="AC185" i="12"/>
  <c r="Y180" i="12"/>
  <c r="Y54" i="12"/>
  <c r="Q180" i="12"/>
  <c r="U127" i="12"/>
  <c r="AC108" i="12"/>
  <c r="S231" i="12"/>
  <c r="E129" i="12"/>
  <c r="Y234" i="12"/>
  <c r="M202" i="12"/>
  <c r="U236" i="12"/>
  <c r="AG255" i="12"/>
  <c r="S81" i="12"/>
  <c r="Q207" i="12"/>
  <c r="E260" i="12"/>
  <c r="M209" i="12"/>
  <c r="Y79" i="12"/>
  <c r="S180" i="12"/>
  <c r="Y86" i="12"/>
  <c r="M159" i="12"/>
  <c r="AO185" i="12"/>
  <c r="AO253" i="12"/>
  <c r="AG236" i="12"/>
  <c r="S204" i="12"/>
  <c r="AC180" i="12"/>
  <c r="AM156" i="12"/>
  <c r="AG185" i="12"/>
  <c r="M231" i="12"/>
  <c r="AG56" i="12"/>
  <c r="AC183" i="12"/>
  <c r="Y156" i="12"/>
  <c r="AK103" i="12"/>
  <c r="AC127" i="12"/>
  <c r="AK234" i="12"/>
  <c r="AK161" i="12"/>
  <c r="I209" i="12"/>
  <c r="I127" i="12"/>
  <c r="Y129" i="12"/>
  <c r="AC204" i="12"/>
  <c r="Y110" i="12"/>
  <c r="E258" i="12"/>
  <c r="W51" i="12"/>
  <c r="I134" i="12"/>
  <c r="AE180" i="12"/>
  <c r="AI231" i="12"/>
  <c r="I84" i="12"/>
  <c r="I236" i="12"/>
  <c r="AG49" i="12"/>
  <c r="Y258" i="12"/>
  <c r="I81" i="12"/>
  <c r="AA231" i="12"/>
  <c r="M108" i="12"/>
  <c r="E81" i="12"/>
  <c r="M27" i="12"/>
  <c r="Y183" i="12"/>
  <c r="M30" i="12"/>
  <c r="U86" i="12"/>
  <c r="AQ105" i="12"/>
  <c r="I258" i="12"/>
  <c r="I30" i="12"/>
  <c r="I185" i="12"/>
  <c r="Q231" i="12"/>
  <c r="Y255" i="12"/>
  <c r="AM81" i="12"/>
  <c r="AG132" i="12"/>
  <c r="AK209" i="12"/>
  <c r="AO260" i="12"/>
  <c r="M157" i="12"/>
  <c r="Y157" i="12"/>
  <c r="AK157" i="12"/>
  <c r="AK181" i="12"/>
  <c r="Y181" i="12"/>
  <c r="E157" i="12"/>
  <c r="Q157" i="12"/>
  <c r="AC157" i="12"/>
  <c r="AO157" i="12"/>
  <c r="I205" i="12"/>
  <c r="U205" i="12"/>
  <c r="AG205" i="12"/>
  <c r="I157" i="12"/>
  <c r="U157" i="12"/>
  <c r="AG157" i="12"/>
  <c r="M181" i="12"/>
  <c r="E181" i="12"/>
  <c r="Q181" i="12"/>
  <c r="AC181" i="12"/>
  <c r="AO181" i="12"/>
  <c r="M205" i="12"/>
  <c r="Y205" i="12"/>
  <c r="AK205" i="12"/>
  <c r="I181" i="12"/>
  <c r="U181" i="12"/>
  <c r="AG181" i="12"/>
  <c r="E205" i="12"/>
  <c r="Q205" i="12"/>
  <c r="AC205" i="12"/>
  <c r="AO205" i="12"/>
  <c r="AC232" i="12"/>
  <c r="AO232" i="12"/>
  <c r="Q256" i="12"/>
  <c r="AO256" i="12"/>
  <c r="Q232" i="12"/>
  <c r="M256" i="12"/>
  <c r="I232" i="12"/>
  <c r="U232" i="12"/>
  <c r="AG232" i="12"/>
  <c r="U256" i="12"/>
  <c r="Y256" i="12"/>
  <c r="AK256" i="12"/>
  <c r="M232" i="12"/>
  <c r="Y232" i="12"/>
  <c r="AK232" i="12"/>
  <c r="E256" i="12"/>
  <c r="AC256" i="12"/>
  <c r="E232" i="12"/>
  <c r="I256" i="12"/>
  <c r="AG256" i="12"/>
  <c r="N157" i="12"/>
  <c r="Z157" i="12"/>
  <c r="AL157" i="12"/>
  <c r="AH157" i="12"/>
  <c r="J157" i="12"/>
  <c r="V157" i="12"/>
  <c r="F157" i="12"/>
  <c r="R157" i="12"/>
  <c r="AD157" i="12"/>
  <c r="AP157" i="12"/>
  <c r="N181" i="12"/>
  <c r="Z181" i="12"/>
  <c r="AL181" i="12"/>
  <c r="J205" i="12"/>
  <c r="V205" i="12"/>
  <c r="AH205" i="12"/>
  <c r="F181" i="12"/>
  <c r="R181" i="12"/>
  <c r="AD181" i="12"/>
  <c r="AP181" i="12"/>
  <c r="N205" i="12"/>
  <c r="Z205" i="12"/>
  <c r="AL205" i="12"/>
  <c r="J181" i="12"/>
  <c r="V181" i="12"/>
  <c r="AH181" i="12"/>
  <c r="F205" i="12"/>
  <c r="R205" i="12"/>
  <c r="AD205" i="12"/>
  <c r="AP205" i="12"/>
  <c r="N256" i="12"/>
  <c r="AL256" i="12"/>
  <c r="F232" i="12"/>
  <c r="R232" i="12"/>
  <c r="AD232" i="12"/>
  <c r="AP232" i="12"/>
  <c r="R256" i="12"/>
  <c r="AP256" i="12"/>
  <c r="V256" i="12"/>
  <c r="J232" i="12"/>
  <c r="V232" i="12"/>
  <c r="AH232" i="12"/>
  <c r="AH256" i="12"/>
  <c r="Z256" i="12"/>
  <c r="J256" i="12"/>
  <c r="F256" i="12"/>
  <c r="AD256" i="12"/>
  <c r="N232" i="12"/>
  <c r="Z232" i="12"/>
  <c r="AL232" i="12"/>
  <c r="F158" i="12"/>
  <c r="AP158" i="12"/>
  <c r="J158" i="12"/>
  <c r="V158" i="12"/>
  <c r="AH158" i="12"/>
  <c r="R158" i="12"/>
  <c r="N158" i="12"/>
  <c r="Z158" i="12"/>
  <c r="AL158" i="12"/>
  <c r="AD158" i="12"/>
  <c r="J182" i="12"/>
  <c r="V182" i="12"/>
  <c r="AH182" i="12"/>
  <c r="F206" i="12"/>
  <c r="R206" i="12"/>
  <c r="AD206" i="12"/>
  <c r="AP206" i="12"/>
  <c r="N182" i="12"/>
  <c r="Z182" i="12"/>
  <c r="AL182" i="12"/>
  <c r="J206" i="12"/>
  <c r="V206" i="12"/>
  <c r="AH206" i="12"/>
  <c r="F182" i="12"/>
  <c r="R182" i="12"/>
  <c r="AD182" i="12"/>
  <c r="AP182" i="12"/>
  <c r="N206" i="12"/>
  <c r="Z206" i="12"/>
  <c r="AL206" i="12"/>
  <c r="V257" i="12"/>
  <c r="AP257" i="12"/>
  <c r="N233" i="12"/>
  <c r="Z233" i="12"/>
  <c r="AL233" i="12"/>
  <c r="Z257" i="12"/>
  <c r="F257" i="12"/>
  <c r="AD257" i="12"/>
  <c r="F233" i="12"/>
  <c r="R233" i="12"/>
  <c r="AD233" i="12"/>
  <c r="AP233" i="12"/>
  <c r="J257" i="12"/>
  <c r="AH257" i="12"/>
  <c r="N257" i="12"/>
  <c r="AL257" i="12"/>
  <c r="R257" i="12"/>
  <c r="J233" i="12"/>
  <c r="V233" i="12"/>
  <c r="AH233" i="12"/>
  <c r="I182" i="12"/>
  <c r="AO206" i="12"/>
  <c r="AC206" i="12"/>
  <c r="I158" i="12"/>
  <c r="U158" i="12"/>
  <c r="AG158" i="12"/>
  <c r="U182" i="12"/>
  <c r="AG182" i="12"/>
  <c r="Q206" i="12"/>
  <c r="M158" i="12"/>
  <c r="Y158" i="12"/>
  <c r="AK158" i="12"/>
  <c r="E158" i="12"/>
  <c r="Q158" i="12"/>
  <c r="AC158" i="12"/>
  <c r="AO158" i="12"/>
  <c r="E206" i="12"/>
  <c r="M182" i="12"/>
  <c r="Y182" i="12"/>
  <c r="AK182" i="12"/>
  <c r="I206" i="12"/>
  <c r="U206" i="12"/>
  <c r="AG206" i="12"/>
  <c r="E182" i="12"/>
  <c r="Q182" i="12"/>
  <c r="AC182" i="12"/>
  <c r="AO182" i="12"/>
  <c r="M206" i="12"/>
  <c r="Y206" i="12"/>
  <c r="AK206" i="12"/>
  <c r="Y257" i="12"/>
  <c r="E233" i="12"/>
  <c r="Q233" i="12"/>
  <c r="AC233" i="12"/>
  <c r="AO233" i="12"/>
  <c r="E257" i="12"/>
  <c r="AC257" i="12"/>
  <c r="I257" i="12"/>
  <c r="AG257" i="12"/>
  <c r="M233" i="12"/>
  <c r="Y233" i="12"/>
  <c r="U257" i="12"/>
  <c r="I233" i="12"/>
  <c r="U233" i="12"/>
  <c r="AG233" i="12"/>
  <c r="M257" i="12"/>
  <c r="AK257" i="12"/>
  <c r="AK233" i="12"/>
  <c r="Q257" i="12"/>
  <c r="AO257" i="12"/>
  <c r="E25" i="12"/>
  <c r="O16" i="14"/>
  <c r="M16" i="14"/>
  <c r="P16" i="14"/>
  <c r="N16" i="14"/>
  <c r="H16" i="14"/>
  <c r="C16" i="14" a="1"/>
  <c r="C16" i="14" s="1"/>
  <c r="AO221" i="12"/>
  <c r="I249" i="12"/>
  <c r="U96" i="12" a="1"/>
  <c r="AC173" i="12"/>
  <c r="U173" i="12"/>
  <c r="AK273" i="12"/>
  <c r="U171" i="12" a="1"/>
  <c r="E246" i="12" a="1"/>
  <c r="AK144" i="12" a="1"/>
  <c r="Q147" i="12"/>
  <c r="AC122" i="12"/>
  <c r="Q198" i="12"/>
  <c r="E270" i="12" a="1"/>
  <c r="Y195" i="12" a="1"/>
  <c r="I174" i="12"/>
  <c r="Q122" i="12"/>
  <c r="M248" i="12"/>
  <c r="I144" i="12" a="1"/>
  <c r="M197" i="12"/>
  <c r="M195" i="12" a="1"/>
  <c r="AC221" i="12"/>
  <c r="M146" i="12"/>
  <c r="Q272" i="12"/>
  <c r="AG146" i="12"/>
  <c r="AC222" i="12"/>
  <c r="AC270" i="12" a="1"/>
  <c r="Y147" i="12"/>
  <c r="M99" i="12"/>
  <c r="I99" i="12"/>
  <c r="AG147" i="12"/>
  <c r="Q195" i="12" a="1"/>
  <c r="U174" i="12"/>
  <c r="AO144" i="12" a="1"/>
  <c r="AK198" i="12"/>
  <c r="U219" i="12" a="1"/>
  <c r="Y219" i="12" a="1"/>
  <c r="I120" i="12" a="1"/>
  <c r="I273" i="12"/>
  <c r="Y197" i="12"/>
  <c r="I219" i="12" a="1"/>
  <c r="AC249" i="12"/>
  <c r="AG174" i="12"/>
  <c r="AC147" i="12"/>
  <c r="AG272" i="12"/>
  <c r="AO122" i="12"/>
  <c r="AC69" i="12"/>
  <c r="I98" i="12"/>
  <c r="AK222" i="12"/>
  <c r="Q171" i="12" a="1"/>
  <c r="AO96" i="12" a="1"/>
  <c r="Y222" i="12"/>
  <c r="E272" i="12"/>
  <c r="E221" i="12"/>
  <c r="AK272" i="12"/>
  <c r="M120" i="12" a="1"/>
  <c r="AK123" i="12"/>
  <c r="AG123" i="12"/>
  <c r="Y66" i="12" a="1"/>
  <c r="M246" i="12" a="1"/>
  <c r="I122" i="12"/>
  <c r="E249" i="12"/>
  <c r="U197" i="12"/>
  <c r="Q246" i="12" a="1"/>
  <c r="I96" i="12" a="1"/>
  <c r="AK146" i="12"/>
  <c r="AO68" i="12"/>
  <c r="AC68" i="12"/>
  <c r="Y69" i="12"/>
  <c r="AG173" i="12"/>
  <c r="AK96" i="12" a="1"/>
  <c r="Y98" i="12"/>
  <c r="Y248" i="12"/>
  <c r="I195" i="12" a="1"/>
  <c r="AG99" i="12"/>
  <c r="AG98" i="12"/>
  <c r="I246" i="12" a="1"/>
  <c r="Y68" i="12"/>
  <c r="U270" i="12" a="1"/>
  <c r="AK197" i="12"/>
  <c r="U144" i="12" a="1"/>
  <c r="E273" i="12"/>
  <c r="AO173" i="12"/>
  <c r="Q96" i="12" a="1"/>
  <c r="AC197" i="12"/>
  <c r="Q248" i="12"/>
  <c r="AC123" i="12"/>
  <c r="U66" i="12" a="1"/>
  <c r="I123" i="12"/>
  <c r="Q120" i="12" a="1"/>
  <c r="AG246" i="12" a="1"/>
  <c r="Q221" i="12"/>
  <c r="U221" i="12"/>
  <c r="U99" i="12"/>
  <c r="Q174" i="12"/>
  <c r="AK68" i="12"/>
  <c r="AG197" i="12"/>
  <c r="Y273" i="12"/>
  <c r="U122" i="12"/>
  <c r="M174" i="12"/>
  <c r="E147" i="12"/>
  <c r="E195" i="12" a="1"/>
  <c r="Y198" i="12"/>
  <c r="Y270" i="12" a="1"/>
  <c r="M221" i="12"/>
  <c r="AC246" i="12" a="1"/>
  <c r="AG68" i="12"/>
  <c r="AG120" i="12" a="1"/>
  <c r="AK246" i="12" a="1"/>
  <c r="Y122" i="12"/>
  <c r="U98" i="12"/>
  <c r="AG219" i="12" a="1"/>
  <c r="E219" i="12" a="1"/>
  <c r="AK99" i="12"/>
  <c r="E144" i="12" a="1"/>
  <c r="Q123" i="12"/>
  <c r="U120" i="12" a="1"/>
  <c r="AO197" i="12"/>
  <c r="AO198" i="12"/>
  <c r="AC195" i="12" a="1"/>
  <c r="E96" i="12" a="1"/>
  <c r="AO98" i="12"/>
  <c r="AG96" i="12" a="1"/>
  <c r="M272" i="12"/>
  <c r="U68" i="12"/>
  <c r="AO174" i="12"/>
  <c r="M144" i="12" a="1"/>
  <c r="M173" i="12"/>
  <c r="AO195" i="12" a="1"/>
  <c r="AC174" i="12"/>
  <c r="Y120" i="12" a="1"/>
  <c r="AO99" i="12"/>
  <c r="Q173" i="12"/>
  <c r="AK98" i="12"/>
  <c r="AK120" i="12" a="1"/>
  <c r="Q222" i="12"/>
  <c r="Q197" i="12"/>
  <c r="Q249" i="12"/>
  <c r="AC198" i="12"/>
  <c r="U147" i="12"/>
  <c r="I248" i="12"/>
  <c r="U69" i="12"/>
  <c r="AK270" i="12" a="1"/>
  <c r="AO171" i="12" a="1"/>
  <c r="AK221" i="12"/>
  <c r="AK173" i="12"/>
  <c r="E171" i="12" a="1"/>
  <c r="AC171" i="12" a="1"/>
  <c r="AG198" i="12"/>
  <c r="AK248" i="12"/>
  <c r="M270" i="12" a="1"/>
  <c r="Q270" i="12" a="1"/>
  <c r="Y146" i="12"/>
  <c r="E120" i="12" a="1"/>
  <c r="AC66" i="12" a="1"/>
  <c r="AK195" i="12" a="1"/>
  <c r="AC219" i="12" a="1"/>
  <c r="I171" i="12" a="1"/>
  <c r="E123" i="12"/>
  <c r="Y96" i="12" a="1"/>
  <c r="E99" i="12"/>
  <c r="AK171" i="12" a="1"/>
  <c r="E197" i="12"/>
  <c r="Y249" i="12"/>
  <c r="AC146" i="12"/>
  <c r="AC273" i="12"/>
  <c r="M222" i="12"/>
  <c r="AO66" i="12" a="1"/>
  <c r="AC120" i="12" a="1"/>
  <c r="AO147" i="12"/>
  <c r="Q144" i="12" a="1"/>
  <c r="Q219" i="12" a="1"/>
  <c r="Q273" i="12"/>
  <c r="I221" i="12"/>
  <c r="AO219" i="12" a="1"/>
  <c r="Q98" i="12"/>
  <c r="AG144" i="12" a="1"/>
  <c r="Y272" i="12"/>
  <c r="Y246" i="12" a="1"/>
  <c r="AK69" i="12"/>
  <c r="AG270" i="12" a="1"/>
  <c r="M147" i="12"/>
  <c r="U123" i="12"/>
  <c r="I147" i="12"/>
  <c r="M249" i="12"/>
  <c r="AG69" i="12"/>
  <c r="I272" i="12"/>
  <c r="U222" i="12"/>
  <c r="I173" i="12"/>
  <c r="M171" i="12" a="1"/>
  <c r="E174" i="12"/>
  <c r="Y174" i="12"/>
  <c r="AC144" i="12" a="1"/>
  <c r="M96" i="12" a="1"/>
  <c r="AG222" i="12"/>
  <c r="AO123" i="12"/>
  <c r="AO222" i="12"/>
  <c r="U272" i="12"/>
  <c r="E248" i="12"/>
  <c r="E146" i="12"/>
  <c r="E122" i="12"/>
  <c r="AG221" i="12"/>
  <c r="M198" i="12"/>
  <c r="AO146" i="12"/>
  <c r="I222" i="12"/>
  <c r="U246" i="12" a="1"/>
  <c r="AK147" i="12"/>
  <c r="I146" i="12"/>
  <c r="AC98" i="12"/>
  <c r="E198" i="12"/>
  <c r="AO69" i="12"/>
  <c r="AG195" i="12" a="1"/>
  <c r="I270" i="12" a="1"/>
  <c r="E98" i="12"/>
  <c r="M273" i="12"/>
  <c r="I197" i="12"/>
  <c r="AO248" i="12"/>
  <c r="M219" i="12" a="1"/>
  <c r="AC248" i="12"/>
  <c r="Y171" i="12" a="1"/>
  <c r="M123" i="12"/>
  <c r="Y144" i="12" a="1"/>
  <c r="AK122" i="12"/>
  <c r="M122" i="12"/>
  <c r="E173" i="12"/>
  <c r="AO120" i="12" a="1"/>
  <c r="AK66" i="12" a="1"/>
  <c r="Y123" i="12"/>
  <c r="AK174" i="12"/>
  <c r="U273" i="12"/>
  <c r="AC96" i="12" a="1"/>
  <c r="AG249" i="12"/>
  <c r="AK249" i="12"/>
  <c r="AK219" i="12" a="1"/>
  <c r="U248" i="12"/>
  <c r="U195" i="12" a="1"/>
  <c r="I198" i="12"/>
  <c r="AG248" i="12"/>
  <c r="Y221" i="12"/>
  <c r="Q146" i="12"/>
  <c r="Y173" i="12"/>
  <c r="M98" i="12"/>
  <c r="AC99" i="12"/>
  <c r="U146" i="12"/>
  <c r="AC272" i="12"/>
  <c r="AG171" i="12" a="1"/>
  <c r="U249" i="12"/>
  <c r="U198" i="12"/>
  <c r="AG66" i="12" a="1"/>
  <c r="Y99" i="12"/>
  <c r="AG122" i="12"/>
  <c r="AO249" i="12"/>
  <c r="E222" i="12"/>
  <c r="Q99" i="12"/>
  <c r="AO246" i="12" a="1"/>
  <c r="AG273" i="12"/>
  <c r="Y120" i="12" l="1"/>
  <c r="AG195" i="12"/>
  <c r="Y66" i="12"/>
  <c r="AG270" i="12"/>
  <c r="M96" i="12"/>
  <c r="I195" i="12"/>
  <c r="AC120" i="12"/>
  <c r="Y195" i="12"/>
  <c r="AC171" i="12"/>
  <c r="E120" i="12"/>
  <c r="I120" i="12"/>
  <c r="U219" i="12"/>
  <c r="I246" i="12"/>
  <c r="AK171" i="12"/>
  <c r="AG246" i="12"/>
  <c r="U246" i="12"/>
  <c r="AO219" i="12"/>
  <c r="E219" i="12"/>
  <c r="AC96" i="12"/>
  <c r="AO171" i="12"/>
  <c r="Q246" i="12"/>
  <c r="U195" i="12"/>
  <c r="AC270" i="12"/>
  <c r="AC195" i="12"/>
  <c r="AG144" i="12"/>
  <c r="Q96" i="12"/>
  <c r="I219" i="12"/>
  <c r="Y246" i="12"/>
  <c r="E171" i="12"/>
  <c r="U120" i="12"/>
  <c r="U144" i="12"/>
  <c r="E270" i="12"/>
  <c r="E246" i="12"/>
  <c r="U270" i="12"/>
  <c r="I270" i="12"/>
  <c r="AO66" i="12"/>
  <c r="M270" i="12"/>
  <c r="Q270" i="12"/>
  <c r="Y171" i="12"/>
  <c r="U171" i="12"/>
  <c r="I144" i="12"/>
  <c r="Y96" i="12"/>
  <c r="M120" i="12"/>
  <c r="Q144" i="12"/>
  <c r="AC246" i="12"/>
  <c r="E144" i="12"/>
  <c r="I171" i="12"/>
  <c r="M246" i="12"/>
  <c r="M219" i="12"/>
  <c r="E96" i="12"/>
  <c r="U66" i="12"/>
  <c r="AO96" i="12"/>
  <c r="U96" i="12"/>
  <c r="AO195" i="12"/>
  <c r="Q195" i="12"/>
  <c r="AC144" i="12"/>
  <c r="AG96" i="12"/>
  <c r="Y219" i="12"/>
  <c r="AK144" i="12"/>
  <c r="AO144" i="12"/>
  <c r="AK246" i="12"/>
  <c r="AK219" i="12"/>
  <c r="AK66" i="12"/>
  <c r="M144" i="12"/>
  <c r="AC66" i="12"/>
  <c r="Y270" i="12"/>
  <c r="AO120" i="12"/>
  <c r="Q219" i="12"/>
  <c r="AG171" i="12"/>
  <c r="AG219" i="12"/>
  <c r="AG120" i="12"/>
  <c r="AK96" i="12"/>
  <c r="AK270" i="12"/>
  <c r="Q171" i="12"/>
  <c r="I96" i="12"/>
  <c r="AG66" i="12"/>
  <c r="Y144" i="12"/>
  <c r="AK120" i="12"/>
  <c r="Q120" i="12"/>
  <c r="M195" i="12"/>
  <c r="M171" i="12"/>
  <c r="E195" i="12"/>
  <c r="AC219" i="12"/>
  <c r="AO246" i="12"/>
  <c r="AK195" i="12"/>
  <c r="E28" i="12" a="1"/>
  <c r="Y52" i="12" a="1"/>
  <c r="I53" i="12" a="1"/>
  <c r="I82" i="12" a="1"/>
  <c r="Q35" i="12" a="1"/>
  <c r="AC32" i="12" a="1"/>
  <c r="AL107" i="12" a="1"/>
  <c r="I37" i="12" a="1"/>
  <c r="AK34" i="12" a="1"/>
  <c r="Z106" i="12" a="1"/>
  <c r="M36" i="12" a="1"/>
  <c r="AK40" i="12" a="1"/>
  <c r="Q56" i="12" a="1"/>
  <c r="AG131" i="12" a="1"/>
  <c r="AP130" i="12" a="1"/>
  <c r="AO38" i="12" a="1"/>
  <c r="AO36" i="12" a="1"/>
  <c r="U32" i="12" a="1"/>
  <c r="Q107" i="12" a="1"/>
  <c r="V28" i="12" a="1"/>
  <c r="M40" i="12" a="1"/>
  <c r="AP107" i="12" a="1"/>
  <c r="Q39" i="12" a="1"/>
  <c r="M63" i="12" a="1"/>
  <c r="AK106" i="12" a="1"/>
  <c r="AC37" i="12" a="1"/>
  <c r="U38" i="12" a="1"/>
  <c r="U29" i="12" a="1"/>
  <c r="AK38" i="12" a="1"/>
  <c r="M62" i="12" a="1"/>
  <c r="AK28" i="12" a="1"/>
  <c r="F52" i="12" a="1"/>
  <c r="AD28" i="12" a="1"/>
  <c r="R82" i="12" a="1"/>
  <c r="Z107" i="12" a="1"/>
  <c r="Q32" i="12" a="1"/>
  <c r="AG53" i="12" a="1"/>
  <c r="M34" i="12" a="1"/>
  <c r="AG28" i="12" a="1"/>
  <c r="AK35" i="12" a="1"/>
  <c r="AD107" i="12" a="1"/>
  <c r="AK36" i="12" a="1"/>
  <c r="V106" i="12" a="1"/>
  <c r="AL29" i="12" a="1"/>
  <c r="AK41" i="12" a="1"/>
  <c r="M56" i="12" a="1"/>
  <c r="I29" i="12" a="1"/>
  <c r="I106" i="12" a="1"/>
  <c r="Y83" i="12" a="1"/>
  <c r="AO32" i="12" a="1"/>
  <c r="AK83" i="12" a="1"/>
  <c r="E60" i="12" a="1"/>
  <c r="AO41" i="12" a="1"/>
  <c r="U107" i="12" a="1"/>
  <c r="U83" i="12" a="1"/>
  <c r="U37" i="12" a="1"/>
  <c r="I63" i="12" a="1"/>
  <c r="M106" i="12" a="1"/>
  <c r="Q37" i="12" a="1"/>
  <c r="AK107" i="12" a="1"/>
  <c r="F82" i="12" a="1"/>
  <c r="Y107" i="12" a="1"/>
  <c r="AK39" i="12" a="1"/>
  <c r="M29" i="12" a="1"/>
  <c r="AC52" i="12" a="1"/>
  <c r="E64" i="12" a="1"/>
  <c r="M64" i="12" a="1"/>
  <c r="Q130" i="12" a="1"/>
  <c r="Y82" i="12" a="1"/>
  <c r="M33" i="12" a="1"/>
  <c r="I130" i="12" a="1"/>
  <c r="AD106" i="12" a="1"/>
  <c r="Q64" i="12" a="1"/>
  <c r="Y39" i="12" a="1"/>
  <c r="E38" i="12" a="1"/>
  <c r="M37" i="12" a="1"/>
  <c r="N29" i="12" a="1"/>
  <c r="E58" i="12" a="1"/>
  <c r="AP83" i="12" a="1"/>
  <c r="Q57" i="12" a="1"/>
  <c r="AD130" i="12" a="1"/>
  <c r="J130" i="12" a="1"/>
  <c r="AG41" i="12" a="1"/>
  <c r="AO270" i="12" a="1"/>
  <c r="AH83" i="12" a="1"/>
  <c r="E83" i="12" a="1"/>
  <c r="AD131" i="12" a="1"/>
  <c r="AO131" i="12" a="1"/>
  <c r="Z130" i="12" a="1"/>
  <c r="AL53" i="12" a="1"/>
  <c r="R28" i="12" a="1"/>
  <c r="AO39" i="12" a="1"/>
  <c r="E82" i="12" a="1"/>
  <c r="AG40" i="12" a="1"/>
  <c r="N83" i="12" a="1"/>
  <c r="F83" i="12" a="1"/>
  <c r="AC41" i="12" a="1"/>
  <c r="AO52" i="12" a="1"/>
  <c r="AK131" i="12" a="1"/>
  <c r="AD52" i="12" a="1"/>
  <c r="Y36" i="12" a="1"/>
  <c r="AL130" i="12" a="1"/>
  <c r="Y38" i="12" a="1"/>
  <c r="I62" i="12" a="1"/>
  <c r="J106" i="12" a="1"/>
  <c r="Y34" i="12" a="1"/>
  <c r="E65" i="12" a="1"/>
  <c r="M41" i="12" a="1"/>
  <c r="AL28" i="12" a="1"/>
  <c r="Q63" i="12" a="1"/>
  <c r="I39" i="12" a="1"/>
  <c r="N28" i="12" a="1"/>
  <c r="Q29" i="12" a="1"/>
  <c r="F28" i="12" a="1"/>
  <c r="V107" i="12" a="1"/>
  <c r="E59" i="12" a="1"/>
  <c r="R53" i="12" a="1"/>
  <c r="Y41" i="12" a="1"/>
  <c r="AC106" i="12" a="1"/>
  <c r="AG83" i="12" a="1"/>
  <c r="Q82" i="12" a="1"/>
  <c r="E53" i="12" a="1"/>
  <c r="F106" i="12" a="1"/>
  <c r="U130" i="12" a="1"/>
  <c r="Q36" i="12" a="1"/>
  <c r="AH82" i="12" a="1"/>
  <c r="Z52" i="12" a="1"/>
  <c r="J52" i="12" a="1"/>
  <c r="Z28" i="12" a="1"/>
  <c r="AG35" i="12" a="1"/>
  <c r="N107" i="12" a="1"/>
  <c r="I34" i="12" a="1"/>
  <c r="M107" i="12" a="1"/>
  <c r="Y35" i="12" a="1"/>
  <c r="AO273" i="12"/>
  <c r="AO83" i="12" a="1"/>
  <c r="AC40" i="12" a="1"/>
  <c r="E106" i="12" a="1"/>
  <c r="R107" i="12" a="1"/>
  <c r="M58" i="12" a="1"/>
  <c r="AO107" i="12" a="1"/>
  <c r="Q40" i="12" a="1"/>
  <c r="AP29" i="12" a="1"/>
  <c r="V29" i="12" a="1"/>
  <c r="I32" i="12" a="1"/>
  <c r="Y131" i="12" a="1"/>
  <c r="AK82" i="12" a="1"/>
  <c r="AD83" i="12" a="1"/>
  <c r="AO37" i="12" a="1"/>
  <c r="E39" i="12" a="1"/>
  <c r="I57" i="12" a="1"/>
  <c r="U39" i="12" a="1"/>
  <c r="E130" i="12" a="1"/>
  <c r="AC131" i="12" a="1"/>
  <c r="Y53" i="12" a="1"/>
  <c r="E52" i="12" a="1"/>
  <c r="AC82" i="12" a="1"/>
  <c r="AO82" i="12" a="1"/>
  <c r="U34" i="12" a="1"/>
  <c r="Y40" i="12" a="1"/>
  <c r="I38" i="12" a="1"/>
  <c r="N53" i="12" a="1"/>
  <c r="N52" i="12" a="1"/>
  <c r="AO28" i="12" a="1"/>
  <c r="AH131" i="12" a="1"/>
  <c r="I65" i="12" a="1"/>
  <c r="E107" i="12" a="1"/>
  <c r="U106" i="12" a="1"/>
  <c r="AC36" i="12" a="1"/>
  <c r="I61" i="12" a="1"/>
  <c r="Q38" i="12" a="1"/>
  <c r="AL131" i="12" a="1"/>
  <c r="AP106" i="12" a="1"/>
  <c r="AK32" i="12" a="1"/>
  <c r="N130" i="12" a="1"/>
  <c r="I52" i="12" a="1"/>
  <c r="AK53" i="12" a="1"/>
  <c r="AH130" i="12" a="1"/>
  <c r="I33" i="12" a="1"/>
  <c r="AK130" i="12" a="1"/>
  <c r="Q52" i="12" a="1"/>
  <c r="E34" i="12" a="1"/>
  <c r="U35" i="12" a="1"/>
  <c r="Q41" i="12" a="1"/>
  <c r="E56" i="12" a="1"/>
  <c r="AH107" i="12" a="1"/>
  <c r="Q65" i="12" a="1"/>
  <c r="E63" i="12" a="1"/>
  <c r="AO53" i="12" a="1"/>
  <c r="I35" i="12" a="1"/>
  <c r="I107" i="12" a="1"/>
  <c r="E41" i="12" a="1"/>
  <c r="V83" i="12" a="1"/>
  <c r="M130" i="12" a="1"/>
  <c r="AP52" i="12" a="1"/>
  <c r="AD29" i="12" a="1"/>
  <c r="AH28" i="12" a="1"/>
  <c r="J83" i="12" a="1"/>
  <c r="AG34" i="12" a="1"/>
  <c r="I59" i="12" a="1"/>
  <c r="AC33" i="12" a="1"/>
  <c r="M131" i="12" a="1"/>
  <c r="R130" i="12" a="1"/>
  <c r="Y33" i="12" a="1"/>
  <c r="AO35" i="12" a="1"/>
  <c r="I28" i="12" a="1"/>
  <c r="Z29" i="12" a="1"/>
  <c r="I131" i="12" a="1"/>
  <c r="M65" i="12" a="1"/>
  <c r="AO33" i="12" a="1"/>
  <c r="I40" i="12" a="1"/>
  <c r="AO130" i="12" a="1"/>
  <c r="U36" i="12" a="1"/>
  <c r="N106" i="12" a="1"/>
  <c r="E33" i="12" a="1"/>
  <c r="I60" i="12" a="1"/>
  <c r="Q28" i="12" a="1"/>
  <c r="Z82" i="12" a="1"/>
  <c r="Z83" i="12" a="1"/>
  <c r="M82" i="12" a="1"/>
  <c r="J53" i="12" a="1"/>
  <c r="F130" i="12" a="1"/>
  <c r="N82" i="12" a="1"/>
  <c r="E37" i="12" a="1"/>
  <c r="AC130" i="12" a="1"/>
  <c r="R52" i="12" a="1"/>
  <c r="F53" i="12" a="1"/>
  <c r="U131" i="12" a="1"/>
  <c r="AP28" i="12" a="1"/>
  <c r="AK37" i="12" a="1"/>
  <c r="V82" i="12" a="1"/>
  <c r="AO106" i="12" a="1"/>
  <c r="M53" i="12" a="1"/>
  <c r="Q62" i="12" a="1"/>
  <c r="AL82" i="12" a="1"/>
  <c r="AD82" i="12" a="1"/>
  <c r="AP82" i="12" a="1"/>
  <c r="AH52" i="12" a="1"/>
  <c r="U41" i="12" a="1"/>
  <c r="V130" i="12" a="1"/>
  <c r="E29" i="12" a="1"/>
  <c r="J107" i="12" a="1"/>
  <c r="AL83" i="12" a="1"/>
  <c r="Y106" i="12" a="1"/>
  <c r="M60" i="12" a="1"/>
  <c r="AC39" i="12" a="1"/>
  <c r="M83" i="12" a="1"/>
  <c r="I41" i="12" a="1"/>
  <c r="F29" i="12" a="1"/>
  <c r="U53" i="12" a="1"/>
  <c r="M38" i="12" a="1"/>
  <c r="J29" i="12" a="1"/>
  <c r="Y37" i="12" a="1"/>
  <c r="AG29" i="12" a="1"/>
  <c r="M39" i="12" a="1"/>
  <c r="AP53" i="12" a="1"/>
  <c r="Y130" i="12" a="1"/>
  <c r="E62" i="12" a="1"/>
  <c r="AH106" i="12" a="1"/>
  <c r="AG38" i="12" a="1"/>
  <c r="E131" i="12" a="1"/>
  <c r="Z131" i="12" a="1"/>
  <c r="U33" i="12" a="1"/>
  <c r="J82" i="12" a="1"/>
  <c r="Q53" i="12" a="1"/>
  <c r="AG106" i="12" a="1"/>
  <c r="U40" i="12" a="1"/>
  <c r="Q83" i="12" a="1"/>
  <c r="Y28" i="12" a="1"/>
  <c r="M35" i="12" a="1"/>
  <c r="E40" i="12" a="1"/>
  <c r="J131" i="12" a="1"/>
  <c r="AO29" i="12" a="1"/>
  <c r="AC29" i="12" a="1"/>
  <c r="F131" i="12" a="1"/>
  <c r="I56" i="12" a="1"/>
  <c r="AG32" i="12" a="1"/>
  <c r="F107" i="12" a="1"/>
  <c r="Y29" i="12" a="1"/>
  <c r="R83" i="12" a="1"/>
  <c r="M28" i="12" a="1"/>
  <c r="AL106" i="12" a="1"/>
  <c r="Q33" i="12" a="1"/>
  <c r="E32" i="12" a="1"/>
  <c r="I36" i="12" a="1"/>
  <c r="I64" i="12" a="1"/>
  <c r="AC28" i="12" a="1"/>
  <c r="AG107" i="12" a="1"/>
  <c r="Q34" i="12" a="1"/>
  <c r="J28" i="12" a="1"/>
  <c r="AG39" i="12" a="1"/>
  <c r="Q106" i="12" a="1"/>
  <c r="AG52" i="12" a="1"/>
  <c r="AG82" i="12" a="1"/>
  <c r="AC34" i="12" a="1"/>
  <c r="R106" i="12" a="1"/>
  <c r="Y32" i="12" a="1"/>
  <c r="AO272" i="12"/>
  <c r="AC83" i="12" a="1"/>
  <c r="M32" i="12" a="1"/>
  <c r="AK29" i="12" a="1"/>
  <c r="M52" i="12" a="1"/>
  <c r="AO40" i="12" a="1"/>
  <c r="AL52" i="12" a="1"/>
  <c r="Q58" i="12" a="1"/>
  <c r="U52" i="12" a="1"/>
  <c r="E57" i="12" a="1"/>
  <c r="Q59" i="12" a="1"/>
  <c r="V52" i="12" a="1"/>
  <c r="AC53" i="12" a="1"/>
  <c r="AG33" i="12" a="1"/>
  <c r="AH29" i="12" a="1"/>
  <c r="AK33" i="12" a="1"/>
  <c r="R29" i="12" a="1"/>
  <c r="I83" i="12" a="1"/>
  <c r="U82" i="12" a="1"/>
  <c r="N131" i="12" a="1"/>
  <c r="M61" i="12" a="1"/>
  <c r="Z53" i="12" a="1"/>
  <c r="E61" i="12" a="1"/>
  <c r="E36" i="12" a="1"/>
  <c r="V131" i="12" a="1"/>
  <c r="I58" i="12" a="1"/>
  <c r="U28" i="12" a="1"/>
  <c r="Q131" i="12" a="1"/>
  <c r="M57" i="12" a="1"/>
  <c r="AG36" i="12" a="1"/>
  <c r="V53" i="12" a="1"/>
  <c r="R131" i="12" a="1"/>
  <c r="AH53" i="12" a="1"/>
  <c r="AK52" i="12" a="1"/>
  <c r="AC107" i="12" a="1"/>
  <c r="AP131" i="12" a="1"/>
  <c r="AC38" i="12" a="1"/>
  <c r="AG37" i="12" a="1"/>
  <c r="M59" i="12" a="1"/>
  <c r="AO34" i="12" a="1"/>
  <c r="AG130" i="12" a="1"/>
  <c r="Q60" i="12" a="1"/>
  <c r="AC35" i="12" a="1"/>
  <c r="AD53" i="12" a="1"/>
  <c r="Q61" i="12" a="1"/>
  <c r="E35" i="12" a="1"/>
  <c r="Q59" i="12" l="1"/>
  <c r="Z106" i="12"/>
  <c r="AC29" i="12"/>
  <c r="M106" i="12"/>
  <c r="M32" i="12"/>
  <c r="AK107" i="12"/>
  <c r="AK83" i="12"/>
  <c r="AC131" i="12"/>
  <c r="AC37" i="12"/>
  <c r="AG52" i="12"/>
  <c r="AK36" i="12"/>
  <c r="Z130" i="12"/>
  <c r="M58" i="12"/>
  <c r="AG37" i="12"/>
  <c r="Y28" i="12"/>
  <c r="J131" i="12"/>
  <c r="AP53" i="12"/>
  <c r="Q56" i="12"/>
  <c r="AO106" i="12"/>
  <c r="Q106" i="12"/>
  <c r="M60" i="12"/>
  <c r="Y38" i="12"/>
  <c r="M29" i="12"/>
  <c r="Y35" i="12"/>
  <c r="AD106" i="12"/>
  <c r="AO40" i="12"/>
  <c r="E39" i="12"/>
  <c r="AP83" i="12"/>
  <c r="Y83" i="12"/>
  <c r="AG40" i="12"/>
  <c r="I33" i="12"/>
  <c r="Y131" i="12"/>
  <c r="AP107" i="12"/>
  <c r="F28" i="12"/>
  <c r="AK37" i="12"/>
  <c r="Q52" i="12"/>
  <c r="AC41" i="12"/>
  <c r="E33" i="12"/>
  <c r="U35" i="12"/>
  <c r="AL131" i="12"/>
  <c r="AG39" i="12"/>
  <c r="AK38" i="12"/>
  <c r="R107" i="12"/>
  <c r="V53" i="12"/>
  <c r="I61" i="12"/>
  <c r="Q61" i="12"/>
  <c r="N106" i="12"/>
  <c r="E65" i="12"/>
  <c r="AP131" i="12"/>
  <c r="M52" i="12"/>
  <c r="I107" i="12"/>
  <c r="M65" i="12"/>
  <c r="M53" i="12"/>
  <c r="I39" i="12"/>
  <c r="I36" i="12"/>
  <c r="E57" i="12"/>
  <c r="M63" i="12"/>
  <c r="AL82" i="12"/>
  <c r="F130" i="12"/>
  <c r="Y52" i="12"/>
  <c r="Q38" i="12"/>
  <c r="E60" i="12"/>
  <c r="I60" i="12"/>
  <c r="E36" i="12"/>
  <c r="J28" i="12"/>
  <c r="F53" i="12"/>
  <c r="AG131" i="12"/>
  <c r="F82" i="12"/>
  <c r="M38" i="12"/>
  <c r="AO130" i="12"/>
  <c r="AG82" i="12"/>
  <c r="E106" i="12"/>
  <c r="AH130" i="12"/>
  <c r="I38" i="12"/>
  <c r="AO28" i="12"/>
  <c r="AO53" i="12"/>
  <c r="Z29" i="12"/>
  <c r="AO37" i="12"/>
  <c r="Y37" i="12"/>
  <c r="AK130" i="12"/>
  <c r="E62" i="12"/>
  <c r="AH83" i="12"/>
  <c r="M131" i="12"/>
  <c r="I131" i="12"/>
  <c r="Q64" i="12"/>
  <c r="J83" i="12"/>
  <c r="AK106" i="12"/>
  <c r="M83" i="12"/>
  <c r="AP28" i="12"/>
  <c r="Q107" i="12"/>
  <c r="AC36" i="12"/>
  <c r="N83" i="12"/>
  <c r="F52" i="12"/>
  <c r="E52" i="12"/>
  <c r="AG53" i="12"/>
  <c r="Z82" i="12"/>
  <c r="Y53" i="12"/>
  <c r="AC130" i="12"/>
  <c r="AH52" i="12"/>
  <c r="I130" i="12"/>
  <c r="V83" i="12"/>
  <c r="AK131" i="12"/>
  <c r="Y40" i="12"/>
  <c r="R106" i="12"/>
  <c r="U83" i="12"/>
  <c r="V82" i="12"/>
  <c r="Y82" i="12"/>
  <c r="E37" i="12"/>
  <c r="AO270" i="12"/>
  <c r="J29" i="12"/>
  <c r="J130" i="12"/>
  <c r="Q37" i="12"/>
  <c r="AK41" i="12"/>
  <c r="AG28" i="12"/>
  <c r="AK40" i="12"/>
  <c r="U37" i="12"/>
  <c r="AO33" i="12"/>
  <c r="AO41" i="12"/>
  <c r="U33" i="12"/>
  <c r="I65" i="12"/>
  <c r="Q41" i="12"/>
  <c r="Q29" i="12"/>
  <c r="M64" i="12"/>
  <c r="V106" i="12"/>
  <c r="AK53" i="12"/>
  <c r="I59" i="12"/>
  <c r="N130" i="12"/>
  <c r="Q39" i="12"/>
  <c r="AG106" i="12"/>
  <c r="E107" i="12"/>
  <c r="U39" i="12"/>
  <c r="AD131" i="12"/>
  <c r="AG41" i="12"/>
  <c r="E41" i="12"/>
  <c r="R83" i="12"/>
  <c r="AO34" i="12"/>
  <c r="I37" i="12"/>
  <c r="U34" i="12"/>
  <c r="Q62" i="12"/>
  <c r="AK82" i="12"/>
  <c r="N82" i="12"/>
  <c r="F29" i="12"/>
  <c r="AD29" i="12"/>
  <c r="Y34" i="12"/>
  <c r="AL53" i="12"/>
  <c r="U36" i="12"/>
  <c r="M37" i="12"/>
  <c r="F83" i="12"/>
  <c r="J82" i="12"/>
  <c r="M41" i="12"/>
  <c r="M62" i="12"/>
  <c r="Q82" i="12"/>
  <c r="E35" i="12"/>
  <c r="AL130" i="12"/>
  <c r="AC32" i="12"/>
  <c r="AG35" i="12"/>
  <c r="AG83" i="12"/>
  <c r="AO52" i="12"/>
  <c r="U130" i="12"/>
  <c r="AG38" i="12"/>
  <c r="AH82" i="12"/>
  <c r="V130" i="12"/>
  <c r="AO29" i="12"/>
  <c r="E29" i="12"/>
  <c r="AD130" i="12"/>
  <c r="AD83" i="12"/>
  <c r="AK35" i="12"/>
  <c r="AG29" i="12"/>
  <c r="N28" i="12"/>
  <c r="E64" i="12"/>
  <c r="E131" i="12"/>
  <c r="F131" i="12"/>
  <c r="Z28" i="12"/>
  <c r="AK28" i="12"/>
  <c r="Q130" i="12"/>
  <c r="U106" i="12"/>
  <c r="AC28" i="12"/>
  <c r="I57" i="12"/>
  <c r="AL83" i="12"/>
  <c r="U29" i="12"/>
  <c r="AL106" i="12"/>
  <c r="I41" i="12"/>
  <c r="M40" i="12"/>
  <c r="N29" i="12"/>
  <c r="Z83" i="12"/>
  <c r="AG107" i="12"/>
  <c r="Y36" i="12"/>
  <c r="AO36" i="12"/>
  <c r="AH28" i="12"/>
  <c r="AD82" i="12"/>
  <c r="Q60" i="12"/>
  <c r="AC39" i="12"/>
  <c r="Z107" i="12"/>
  <c r="R130" i="12"/>
  <c r="M36" i="12"/>
  <c r="AO131" i="12"/>
  <c r="Q65" i="12"/>
  <c r="Q34" i="12"/>
  <c r="E34" i="12"/>
  <c r="E58" i="12"/>
  <c r="I58" i="12"/>
  <c r="V28" i="12"/>
  <c r="U40" i="12"/>
  <c r="E61" i="12"/>
  <c r="Q58" i="12"/>
  <c r="Y32" i="12"/>
  <c r="Q33" i="12"/>
  <c r="I106" i="12"/>
  <c r="J52" i="12"/>
  <c r="U53" i="12"/>
  <c r="I32" i="12"/>
  <c r="AH131" i="12"/>
  <c r="Z131" i="12"/>
  <c r="Q40" i="12"/>
  <c r="M35" i="12"/>
  <c r="Y106" i="12"/>
  <c r="Y33" i="12"/>
  <c r="I53" i="12"/>
  <c r="AK39" i="12"/>
  <c r="R82" i="12"/>
  <c r="M57" i="12"/>
  <c r="AO83" i="12"/>
  <c r="E40" i="12"/>
  <c r="AH53" i="12"/>
  <c r="M82" i="12"/>
  <c r="AG32" i="12"/>
  <c r="AG130" i="12"/>
  <c r="AL29" i="12"/>
  <c r="AD28" i="12"/>
  <c r="AC33" i="12"/>
  <c r="AG33" i="12"/>
  <c r="Q28" i="12"/>
  <c r="AH106" i="12"/>
  <c r="R131" i="12"/>
  <c r="Z53" i="12"/>
  <c r="AK52" i="12"/>
  <c r="R53" i="12"/>
  <c r="E63" i="12"/>
  <c r="Y29" i="12"/>
  <c r="I63" i="12"/>
  <c r="Q36" i="12"/>
  <c r="AL107" i="12"/>
  <c r="AC106" i="12"/>
  <c r="AK34" i="12"/>
  <c r="AC107" i="12"/>
  <c r="AC83" i="12"/>
  <c r="E28" i="12"/>
  <c r="N53" i="12"/>
  <c r="V107" i="12"/>
  <c r="AD107" i="12"/>
  <c r="Y107" i="12"/>
  <c r="AD53" i="12"/>
  <c r="V29" i="12"/>
  <c r="Y130" i="12"/>
  <c r="AC82" i="12"/>
  <c r="N131" i="12"/>
  <c r="I52" i="12"/>
  <c r="R28" i="12"/>
  <c r="M28" i="12"/>
  <c r="I28" i="12"/>
  <c r="M61" i="12"/>
  <c r="R52" i="12"/>
  <c r="Q35" i="12"/>
  <c r="AC35" i="12"/>
  <c r="N107" i="12"/>
  <c r="AC53" i="12"/>
  <c r="I64" i="12"/>
  <c r="AP82" i="12"/>
  <c r="AO32" i="12"/>
  <c r="U28" i="12"/>
  <c r="E53" i="12"/>
  <c r="M59" i="12"/>
  <c r="I82" i="12"/>
  <c r="N52" i="12"/>
  <c r="F106" i="12"/>
  <c r="AO35" i="12"/>
  <c r="U82" i="12"/>
  <c r="J107" i="12"/>
  <c r="E83" i="12"/>
  <c r="AG34" i="12"/>
  <c r="M34" i="12"/>
  <c r="U52" i="12"/>
  <c r="AK29" i="12"/>
  <c r="I83" i="12"/>
  <c r="M56" i="12"/>
  <c r="AG36" i="12"/>
  <c r="AK33" i="12"/>
  <c r="AL28" i="12"/>
  <c r="AO39" i="12"/>
  <c r="AK32" i="12"/>
  <c r="I34" i="12"/>
  <c r="Q32" i="12"/>
  <c r="R29" i="12"/>
  <c r="AP106" i="12"/>
  <c r="U32" i="12"/>
  <c r="AC34" i="12"/>
  <c r="I62" i="12"/>
  <c r="AD52" i="12"/>
  <c r="M130" i="12"/>
  <c r="Q83" i="12"/>
  <c r="U38" i="12"/>
  <c r="Y39" i="12"/>
  <c r="E82" i="12"/>
  <c r="AO38" i="12"/>
  <c r="AP130" i="12"/>
  <c r="I56" i="12"/>
  <c r="V52" i="12"/>
  <c r="I29" i="12"/>
  <c r="AP29" i="12"/>
  <c r="E56" i="12"/>
  <c r="E38" i="12"/>
  <c r="Z52" i="12"/>
  <c r="U107" i="12"/>
  <c r="F107" i="12"/>
  <c r="AL52" i="12"/>
  <c r="Q131" i="12"/>
  <c r="AO82" i="12"/>
  <c r="U131" i="12"/>
  <c r="I35" i="12"/>
  <c r="Q63" i="12"/>
  <c r="AC52" i="12"/>
  <c r="M33" i="12"/>
  <c r="I40" i="12"/>
  <c r="E130" i="12"/>
  <c r="AH107" i="12"/>
  <c r="AH29" i="12"/>
  <c r="J106" i="12"/>
  <c r="Y41" i="12"/>
  <c r="J53" i="12"/>
  <c r="V131" i="12"/>
  <c r="M39" i="12"/>
  <c r="Q57" i="12"/>
  <c r="E59" i="12"/>
  <c r="AC38" i="12"/>
  <c r="AO107" i="12"/>
  <c r="M107" i="12"/>
  <c r="Q53" i="12"/>
  <c r="AC40" i="12"/>
  <c r="U41" i="12"/>
  <c r="AP52" i="12"/>
  <c r="E32" i="12"/>
  <c r="I70" i="12"/>
  <c r="I45" i="12"/>
  <c r="Q68" i="12"/>
  <c r="AO44" i="12"/>
  <c r="AC42" i="12" a="1"/>
  <c r="AO42" i="12" a="1"/>
  <c r="AG44" i="12"/>
  <c r="M45" i="12"/>
  <c r="Q45" i="12"/>
  <c r="I68" i="12"/>
  <c r="AO45" i="12"/>
  <c r="M68" i="12"/>
  <c r="E44" i="12"/>
  <c r="Y44" i="12"/>
  <c r="M44" i="12"/>
  <c r="AG42" i="12" a="1"/>
  <c r="M66" i="12" a="1"/>
  <c r="U42" i="12" a="1"/>
  <c r="AC45" i="12"/>
  <c r="AK45" i="12"/>
  <c r="Y42" i="12" a="1"/>
  <c r="Q66" i="12" a="1"/>
  <c r="E45" i="12"/>
  <c r="M42" i="12" a="1"/>
  <c r="AK44" i="12"/>
  <c r="Y45" i="12"/>
  <c r="E68" i="12"/>
  <c r="U45" i="12"/>
  <c r="I44" i="12"/>
  <c r="E69" i="12"/>
  <c r="I66" i="12" a="1"/>
  <c r="AC44" i="12"/>
  <c r="M69" i="12"/>
  <c r="E42" i="12" a="1"/>
  <c r="I69" i="12"/>
  <c r="Q42" i="12" a="1"/>
  <c r="I42" i="12" a="1"/>
  <c r="U44" i="12"/>
  <c r="AG45" i="12"/>
  <c r="Q69" i="12"/>
  <c r="AK42" i="12" a="1"/>
  <c r="E66" i="12" a="1"/>
  <c r="Q44" i="12"/>
  <c r="AK42" i="12" l="1"/>
  <c r="Y42" i="12"/>
  <c r="AC42" i="12"/>
  <c r="E66" i="12"/>
  <c r="AG42" i="12"/>
  <c r="M66" i="12"/>
  <c r="U42" i="12"/>
  <c r="I42" i="12"/>
  <c r="I66" i="12"/>
  <c r="Q66" i="12"/>
  <c r="AO42" i="12"/>
  <c r="M42" i="12"/>
  <c r="Q42" i="12"/>
  <c r="E42"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<sst xmlns="http://schemas.openxmlformats.org/spreadsheetml/2006/main" count="2441" uniqueCount="434">
  <si>
    <t>工程内検査シート</t>
  </si>
  <si>
    <t>ﾃﾞｼﾞﾀﾙﾏｲｸﾛﾒｰﾀ</t>
  </si>
  <si>
    <t>浦田</t>
  </si>
  <si>
    <t>外径</t>
  </si>
  <si>
    <t>n=5</t>
  </si>
  <si>
    <t>通常品</t>
  </si>
  <si>
    <t>φ</t>
  </si>
  <si>
    <t>以上</t>
  </si>
  <si>
    <t>両側</t>
  </si>
  <si>
    <t>作成</t>
  </si>
  <si>
    <t>日付</t>
  </si>
  <si>
    <t>ﾃﾞｼﾞﾀﾙﾌﾞﾚｰﾄﾞﾏｲｸﾛﾒｰﾀ</t>
  </si>
  <si>
    <t>勅使河原</t>
  </si>
  <si>
    <t>内径</t>
  </si>
  <si>
    <t>n=5(n=2)</t>
  </si>
  <si>
    <t>トラブル品</t>
  </si>
  <si>
    <t>C</t>
  </si>
  <si>
    <t>以下</t>
  </si>
  <si>
    <t>片側</t>
  </si>
  <si>
    <t>ﾃﾞｼﾞﾀﾙﾀﾞｲﾔﾙｹﾞｰｼﾞ</t>
  </si>
  <si>
    <t>坂上</t>
  </si>
  <si>
    <t>溝径</t>
  </si>
  <si>
    <t>n=5(n=3)</t>
  </si>
  <si>
    <t>2次処理前</t>
  </si>
  <si>
    <t>R</t>
  </si>
  <si>
    <t>MAX</t>
  </si>
  <si>
    <t>ﾃﾞｼﾞﾀﾙﾉｷﾞｽ</t>
  </si>
  <si>
    <t>加藤誠</t>
  </si>
  <si>
    <t>面径</t>
  </si>
  <si>
    <t>n=10</t>
  </si>
  <si>
    <t>2次処理後</t>
  </si>
  <si>
    <t>C or R</t>
  </si>
  <si>
    <t>MIN</t>
  </si>
  <si>
    <t>工具顕微鏡</t>
  </si>
  <si>
    <t>今井</t>
  </si>
  <si>
    <t>ﾈｼﾞ外径</t>
  </si>
  <si>
    <t>Ra</t>
  </si>
  <si>
    <t>形状測定機</t>
  </si>
  <si>
    <t>千葉</t>
  </si>
  <si>
    <t>ﾈｼﾞ内径</t>
  </si>
  <si>
    <t>Rz</t>
  </si>
  <si>
    <t>真円度測定機</t>
  </si>
  <si>
    <t>内溝径</t>
  </si>
  <si>
    <t>変更履歴</t>
  </si>
  <si>
    <t>変更者</t>
  </si>
  <si>
    <t>画像寸法測定器</t>
  </si>
  <si>
    <t>逃げ溝径</t>
  </si>
  <si>
    <t>三次元測定機</t>
  </si>
  <si>
    <t>端面溝径</t>
  </si>
  <si>
    <t>ﾋﾟﾝｹﾞｰｼﾞ</t>
  </si>
  <si>
    <t>ｸﾛｽ穴</t>
  </si>
  <si>
    <t>ﾈｼﾞﾌﾟﾗｸﾞｹﾞｰｼﾞ</t>
  </si>
  <si>
    <t>偏芯穴</t>
  </si>
  <si>
    <t>ﾈｼﾞﾘﾝｸﾞｹﾞｰｼﾞ</t>
  </si>
  <si>
    <t>借用ｹﾞｰｼﾞ</t>
  </si>
  <si>
    <t>Dｶｯﾄ幅</t>
  </si>
  <si>
    <t>相手部品</t>
  </si>
  <si>
    <t>Hｶｯﾄ幅</t>
  </si>
  <si>
    <t>ｶｯﾄ幅</t>
  </si>
  <si>
    <t>全長</t>
  </si>
  <si>
    <t>長手</t>
  </si>
  <si>
    <t>内長手</t>
  </si>
  <si>
    <t>幅</t>
  </si>
  <si>
    <t>溝幅</t>
  </si>
  <si>
    <t>V溝幅</t>
  </si>
  <si>
    <t>溝位置</t>
  </si>
  <si>
    <t>ｸﾛｽ穴位置</t>
  </si>
  <si>
    <t>偏芯穴位置</t>
  </si>
  <si>
    <t>ｸﾛｽﾈｼﾞ位置</t>
  </si>
  <si>
    <t>偏芯ﾈｼﾞ位置</t>
  </si>
  <si>
    <t>V溝位置</t>
  </si>
  <si>
    <t>C面取り</t>
  </si>
  <si>
    <t>角R</t>
  </si>
  <si>
    <t>隅R</t>
  </si>
  <si>
    <t>内径角R</t>
  </si>
  <si>
    <t>内径隅R</t>
  </si>
  <si>
    <t>指示なき角部</t>
  </si>
  <si>
    <t>指示なき隅部</t>
  </si>
  <si>
    <t>粗さ</t>
  </si>
  <si>
    <t>外ﾈｼﾞ</t>
  </si>
  <si>
    <t>内ﾈｼﾞ</t>
  </si>
  <si>
    <t>ｸﾛｽﾈｼﾞ</t>
  </si>
  <si>
    <t>偏芯ﾈｼﾞ</t>
  </si>
  <si>
    <t>有効ﾈｼﾞ長さ</t>
  </si>
  <si>
    <t>不完全ﾈｼﾞ長さ</t>
  </si>
  <si>
    <t>真円度</t>
  </si>
  <si>
    <t>同軸度</t>
  </si>
  <si>
    <t>円筒度</t>
  </si>
  <si>
    <t>直角度</t>
  </si>
  <si>
    <t>平面度</t>
  </si>
  <si>
    <t>平行度</t>
  </si>
  <si>
    <t>対称度</t>
  </si>
  <si>
    <t>真直度</t>
  </si>
  <si>
    <t>No.</t>
  </si>
  <si>
    <t>測定項目</t>
    <rPh sb="0" eb="4">
      <t>ソクテイコウモク</t>
    </rPh>
    <phoneticPr fontId="2"/>
  </si>
  <si>
    <t>公差・寸法等</t>
    <rPh sb="0" eb="2">
      <t>コウサ</t>
    </rPh>
    <rPh sb="3" eb="5">
      <t>スンポウ</t>
    </rPh>
    <rPh sb="5" eb="6">
      <t>ナド</t>
    </rPh>
    <phoneticPr fontId="2"/>
  </si>
  <si>
    <t>箇所</t>
    <rPh sb="0" eb="2">
      <t>カショ</t>
    </rPh>
    <phoneticPr fontId="2"/>
  </si>
  <si>
    <t>備考</t>
    <rPh sb="0" eb="2">
      <t>ビコウ</t>
    </rPh>
    <phoneticPr fontId="2"/>
  </si>
  <si>
    <t>測定器</t>
    <rPh sb="0" eb="2">
      <t>ソクテイ</t>
    </rPh>
    <rPh sb="2" eb="3">
      <t>キ</t>
    </rPh>
    <phoneticPr fontId="2"/>
  </si>
  <si>
    <t>測定器</t>
    <rPh sb="0" eb="2">
      <t>ソクテイ</t>
    </rPh>
    <rPh sb="2" eb="3">
      <t>キ</t>
    </rPh>
    <phoneticPr fontId="4"/>
  </si>
  <si>
    <t>単位</t>
    <rPh sb="0" eb="2">
      <t>タンイ</t>
    </rPh>
    <phoneticPr fontId="2"/>
  </si>
  <si>
    <t>寸法</t>
    <rPh sb="0" eb="2">
      <t>スンポウ</t>
    </rPh>
    <phoneticPr fontId="2"/>
  </si>
  <si>
    <t>寸法</t>
    <rPh sb="0" eb="2">
      <t>スンポウ</t>
    </rPh>
    <phoneticPr fontId="4"/>
  </si>
  <si>
    <t>公差上限</t>
    <rPh sb="0" eb="2">
      <t>コウサ</t>
    </rPh>
    <rPh sb="2" eb="4">
      <t>ジョウゲン</t>
    </rPh>
    <phoneticPr fontId="2"/>
  </si>
  <si>
    <t>公差下限</t>
    <rPh sb="0" eb="2">
      <t>コウサ</t>
    </rPh>
    <rPh sb="2" eb="4">
      <t>カゲン</t>
    </rPh>
    <phoneticPr fontId="2"/>
  </si>
  <si>
    <t>公差係数適用</t>
    <rPh sb="0" eb="2">
      <t>コウサ</t>
    </rPh>
    <rPh sb="2" eb="4">
      <t>ケイスウ</t>
    </rPh>
    <rPh sb="4" eb="6">
      <t>テキヨウ</t>
    </rPh>
    <phoneticPr fontId="2"/>
  </si>
  <si>
    <t>(係数)</t>
    <rPh sb="1" eb="3">
      <t>ケイスウ</t>
    </rPh>
    <phoneticPr fontId="2"/>
  </si>
  <si>
    <t>数値検査対象</t>
    <rPh sb="0" eb="4">
      <t>スウチケンサ</t>
    </rPh>
    <rPh sb="4" eb="6">
      <t>タイショウ</t>
    </rPh>
    <phoneticPr fontId="2"/>
  </si>
  <si>
    <t>TRUE…対象  空白…非対象</t>
    <rPh sb="5" eb="7">
      <t>タイショウ</t>
    </rPh>
    <rPh sb="9" eb="11">
      <t>クウハク</t>
    </rPh>
    <rPh sb="12" eb="15">
      <t>ヒタイショウ</t>
    </rPh>
    <phoneticPr fontId="2"/>
  </si>
  <si>
    <t>客先名</t>
  </si>
  <si>
    <t>測定箇所数</t>
    <phoneticPr fontId="4"/>
  </si>
  <si>
    <t>製造検査数</t>
    <rPh sb="0" eb="2">
      <t>セイゾウ</t>
    </rPh>
    <rPh sb="2" eb="4">
      <t>ケンサ</t>
    </rPh>
    <rPh sb="4" eb="5">
      <t>スウ</t>
    </rPh>
    <phoneticPr fontId="4"/>
  </si>
  <si>
    <t>品番</t>
  </si>
  <si>
    <t>品証検査数</t>
    <rPh sb="0" eb="2">
      <t>ヒンショウ</t>
    </rPh>
    <rPh sb="2" eb="4">
      <t>ケンサ</t>
    </rPh>
    <rPh sb="4" eb="5">
      <t>スウ</t>
    </rPh>
    <phoneticPr fontId="4"/>
  </si>
  <si>
    <t>品名</t>
  </si>
  <si>
    <t>確認数</t>
    <rPh sb="0" eb="2">
      <t>カクニン</t>
    </rPh>
    <rPh sb="2" eb="3">
      <t>スウ</t>
    </rPh>
    <phoneticPr fontId="4"/>
  </si>
  <si>
    <t>日付</t>
    <rPh sb="0" eb="2">
      <t>ヒヅケ</t>
    </rPh>
    <phoneticPr fontId="4"/>
  </si>
  <si>
    <t>内容</t>
    <rPh sb="0" eb="2">
      <t>ナイヨウ</t>
    </rPh>
    <phoneticPr fontId="4"/>
  </si>
  <si>
    <t>機番</t>
    <rPh sb="0" eb="2">
      <t>キバン</t>
    </rPh>
    <phoneticPr fontId="4"/>
  </si>
  <si>
    <t>角度：10進法</t>
    <rPh sb="0" eb="2">
      <t>カクド</t>
    </rPh>
    <rPh sb="5" eb="7">
      <t>シンホウ</t>
    </rPh>
    <phoneticPr fontId="4"/>
  </si>
  <si>
    <t>製造</t>
    <rPh sb="0" eb="2">
      <t>セイゾウ</t>
    </rPh>
    <phoneticPr fontId="4"/>
  </si>
  <si>
    <t>キーエンス登録</t>
    <rPh sb="5" eb="7">
      <t>トウロク</t>
    </rPh>
    <phoneticPr fontId="4"/>
  </si>
  <si>
    <t>品証</t>
    <rPh sb="0" eb="2">
      <t>ヒンショウ</t>
    </rPh>
    <phoneticPr fontId="4"/>
  </si>
  <si>
    <t>測定方法</t>
    <rPh sb="0" eb="4">
      <t>ソクテイホウホウ</t>
    </rPh>
    <phoneticPr fontId="4"/>
  </si>
  <si>
    <t>確認/補正</t>
    <rPh sb="0" eb="2">
      <t>カクニン</t>
    </rPh>
    <rPh sb="3" eb="5">
      <t>ホセイ</t>
    </rPh>
    <phoneticPr fontId="4"/>
  </si>
  <si>
    <t>№</t>
    <phoneticPr fontId="4"/>
  </si>
  <si>
    <t>測定項目(箇所・備考)</t>
    <rPh sb="0" eb="2">
      <t>ソクテイ</t>
    </rPh>
    <rPh sb="2" eb="4">
      <t>コウモク</t>
    </rPh>
    <rPh sb="5" eb="7">
      <t>カショ</t>
    </rPh>
    <rPh sb="8" eb="10">
      <t>ビコウ</t>
    </rPh>
    <phoneticPr fontId="4"/>
  </si>
  <si>
    <t>公差</t>
    <rPh sb="0" eb="2">
      <t>コウサ</t>
    </rPh>
    <phoneticPr fontId="4"/>
  </si>
  <si>
    <t>中央値/外観</t>
    <rPh sb="0" eb="2">
      <t>チュウオウ</t>
    </rPh>
    <rPh sb="2" eb="3">
      <t>チ</t>
    </rPh>
    <rPh sb="4" eb="6">
      <t>ガイカン</t>
    </rPh>
    <phoneticPr fontId="4"/>
  </si>
  <si>
    <t>工程内検査シート</t>
    <rPh sb="0" eb="3">
      <t>コウテイナイ</t>
    </rPh>
    <rPh sb="3" eb="5">
      <t>ケンサ</t>
    </rPh>
    <phoneticPr fontId="1"/>
  </si>
  <si>
    <t>+</t>
    <phoneticPr fontId="1"/>
  </si>
  <si>
    <t>(ISNUMBER(INDIRECT(ADDRESS(ROW(),COLUMN())))</t>
    <phoneticPr fontId="1"/>
  </si>
  <si>
    <t>*</t>
    <phoneticPr fontId="1"/>
  </si>
  <si>
    <t>かつ</t>
    <phoneticPr fontId="1"/>
  </si>
  <si>
    <t>(INDIRECT(ADDRESS(ROW(),COLUMN()))="NG")</t>
    <phoneticPr fontId="1"/>
  </si>
  <si>
    <t>値がNG</t>
    <rPh sb="0" eb="1">
      <t>アタイ</t>
    </rPh>
    <phoneticPr fontId="1"/>
  </si>
  <si>
    <t>または</t>
    <phoneticPr fontId="1"/>
  </si>
  <si>
    <t>セルが数値</t>
    <rPh sb="2" eb="4">
      <t>スウチ</t>
    </rPh>
    <phoneticPr fontId="1"/>
  </si>
  <si>
    <t>(INDIRECT("J"&amp;ROW()-MOD(ROW()+1,3))&lt;&gt;"")</t>
    <phoneticPr fontId="1"/>
  </si>
  <si>
    <t>空白でない</t>
    <rPh sb="0" eb="2">
      <t>クウハク</t>
    </rPh>
    <phoneticPr fontId="1"/>
  </si>
  <si>
    <t>((INDIRECT("J"&amp;ROW()-MOD(ROW()+1,3))&lt;INDIRECT(ADDRESS(ROW(),COLUMN())))</t>
    <phoneticPr fontId="1"/>
  </si>
  <si>
    <t>3行ごとに区切った時の1番目のJ列が</t>
    <rPh sb="1" eb="2">
      <t>ギョウ</t>
    </rPh>
    <rPh sb="5" eb="7">
      <t>クギ</t>
    </rPh>
    <rPh sb="9" eb="10">
      <t>トキ</t>
    </rPh>
    <rPh sb="12" eb="14">
      <t>バンメ</t>
    </rPh>
    <rPh sb="13" eb="14">
      <t>メ</t>
    </rPh>
    <rPh sb="16" eb="17">
      <t>レツ</t>
    </rPh>
    <phoneticPr fontId="1"/>
  </si>
  <si>
    <t>2番目のJ列の値未満</t>
    <rPh sb="1" eb="3">
      <t>バンメ</t>
    </rPh>
    <rPh sb="5" eb="6">
      <t>レツ</t>
    </rPh>
    <rPh sb="7" eb="8">
      <t>アタイ</t>
    </rPh>
    <rPh sb="8" eb="10">
      <t>ミマン</t>
    </rPh>
    <phoneticPr fontId="1"/>
  </si>
  <si>
    <t>1番目のJ列の値を超えている</t>
    <rPh sb="1" eb="3">
      <t>バンメ</t>
    </rPh>
    <rPh sb="5" eb="6">
      <t>レツ</t>
    </rPh>
    <rPh sb="7" eb="8">
      <t>アタイ</t>
    </rPh>
    <rPh sb="9" eb="10">
      <t>コ</t>
    </rPh>
    <phoneticPr fontId="1"/>
  </si>
  <si>
    <t>AND関数やOR関数はINDIRECT関数と組み合わせると不具合があるので使用しない、論理和や論理積を組み合わせた式にする</t>
    <rPh sb="3" eb="5">
      <t>カンスウ</t>
    </rPh>
    <rPh sb="8" eb="10">
      <t>カンスウ</t>
    </rPh>
    <rPh sb="19" eb="21">
      <t>カンスウ</t>
    </rPh>
    <rPh sb="22" eb="23">
      <t>ク</t>
    </rPh>
    <rPh sb="24" eb="25">
      <t>ア</t>
    </rPh>
    <rPh sb="29" eb="32">
      <t>フグアイ</t>
    </rPh>
    <rPh sb="37" eb="39">
      <t>シヨウ</t>
    </rPh>
    <rPh sb="43" eb="45">
      <t>ロンリ</t>
    </rPh>
    <rPh sb="45" eb="46">
      <t>ワ</t>
    </rPh>
    <rPh sb="47" eb="49">
      <t>ロンリ</t>
    </rPh>
    <rPh sb="49" eb="50">
      <t>セキ</t>
    </rPh>
    <rPh sb="51" eb="52">
      <t>ク</t>
    </rPh>
    <rPh sb="53" eb="54">
      <t>ア</t>
    </rPh>
    <rPh sb="57" eb="58">
      <t>シキ</t>
    </rPh>
    <phoneticPr fontId="1"/>
  </si>
  <si>
    <t>範囲</t>
    <rPh sb="0" eb="2">
      <t>ハンイ</t>
    </rPh>
    <phoneticPr fontId="2"/>
  </si>
  <si>
    <t>+-を記入する</t>
    <phoneticPr fontId="1"/>
  </si>
  <si>
    <t>製品規格検査表</t>
    <rPh sb="0" eb="4">
      <t>セイヒンキカク</t>
    </rPh>
    <rPh sb="4" eb="7">
      <t>ケンサヒョウ</t>
    </rPh>
    <phoneticPr fontId="4"/>
  </si>
  <si>
    <t>部品番号</t>
  </si>
  <si>
    <t>部品名</t>
    <phoneticPr fontId="4"/>
  </si>
  <si>
    <t>検査年月日</t>
    <rPh sb="0" eb="5">
      <t>ケンサネンガッピ</t>
    </rPh>
    <phoneticPr fontId="4"/>
  </si>
  <si>
    <t>加工日</t>
    <rPh sb="0" eb="2">
      <t>カコウ</t>
    </rPh>
    <rPh sb="2" eb="3">
      <t>ヒ</t>
    </rPh>
    <phoneticPr fontId="4"/>
  </si>
  <si>
    <t>ﾛｯﾄ数</t>
    <rPh sb="3" eb="4">
      <t>スウ</t>
    </rPh>
    <phoneticPr fontId="4"/>
  </si>
  <si>
    <t>出荷ﾛｯﾄ№</t>
    <rPh sb="0" eb="2">
      <t>シュッカ</t>
    </rPh>
    <phoneticPr fontId="4"/>
  </si>
  <si>
    <t>測定数</t>
    <rPh sb="0" eb="3">
      <t>ソクテイスウ</t>
    </rPh>
    <phoneticPr fontId="4"/>
  </si>
  <si>
    <t>承認</t>
    <rPh sb="0" eb="2">
      <t>ショウニン</t>
    </rPh>
    <phoneticPr fontId="4"/>
  </si>
  <si>
    <t>測定者</t>
    <rPh sb="0" eb="3">
      <t>ソクテイシャ</t>
    </rPh>
    <phoneticPr fontId="4"/>
  </si>
  <si>
    <t>測定箇所</t>
    <rPh sb="0" eb="2">
      <t>ソクテイ</t>
    </rPh>
    <rPh sb="2" eb="4">
      <t>カショ</t>
    </rPh>
    <phoneticPr fontId="4"/>
  </si>
  <si>
    <t>規格寸法</t>
    <rPh sb="0" eb="2">
      <t>キカク</t>
    </rPh>
    <rPh sb="2" eb="4">
      <t>スンポウ</t>
    </rPh>
    <phoneticPr fontId="4"/>
  </si>
  <si>
    <t>上限</t>
    <rPh sb="0" eb="2">
      <t>ジョウゲン</t>
    </rPh>
    <phoneticPr fontId="4"/>
  </si>
  <si>
    <t>下限</t>
    <rPh sb="0" eb="2">
      <t>カゲン</t>
    </rPh>
    <phoneticPr fontId="4"/>
  </si>
  <si>
    <t>測定具</t>
    <rPh sb="0" eb="3">
      <t>ソクテイグ</t>
    </rPh>
    <phoneticPr fontId="4"/>
  </si>
  <si>
    <t>測定値</t>
    <rPh sb="0" eb="3">
      <t>ソクテイチ</t>
    </rPh>
    <phoneticPr fontId="4"/>
  </si>
  <si>
    <t>判定</t>
    <rPh sb="0" eb="2">
      <t>ハンテイ</t>
    </rPh>
    <phoneticPr fontId="4"/>
  </si>
  <si>
    <t>Max.</t>
    <phoneticPr fontId="4"/>
  </si>
  <si>
    <t>Min.</t>
    <phoneticPr fontId="4"/>
  </si>
  <si>
    <t>特記事項</t>
    <rPh sb="0" eb="2">
      <t>トッキ</t>
    </rPh>
    <rPh sb="2" eb="4">
      <t>ジコウ</t>
    </rPh>
    <phoneticPr fontId="4"/>
  </si>
  <si>
    <t>材料ﾛｯﾄ№：</t>
    <rPh sb="0" eb="2">
      <t>ザイリョウ</t>
    </rPh>
    <phoneticPr fontId="4"/>
  </si>
  <si>
    <t>材質/材料：</t>
    <rPh sb="0" eb="2">
      <t>ザイシツ</t>
    </rPh>
    <rPh sb="3" eb="5">
      <t>ザイリョウ</t>
    </rPh>
    <phoneticPr fontId="4"/>
  </si>
  <si>
    <t>Araiseimitsu Co.,Ltd</t>
    <phoneticPr fontId="4"/>
  </si>
  <si>
    <t>加工設備：</t>
    <rPh sb="0" eb="4">
      <t>カコウセツビ</t>
    </rPh>
    <phoneticPr fontId="4"/>
  </si>
  <si>
    <t>表面処理：</t>
    <rPh sb="0" eb="4">
      <t>ヒョウメンショリ</t>
    </rPh>
    <phoneticPr fontId="4"/>
  </si>
  <si>
    <t>出荷日</t>
    <rPh sb="0" eb="2">
      <t>シュッカ</t>
    </rPh>
    <rPh sb="2" eb="3">
      <t>ヒ</t>
    </rPh>
    <phoneticPr fontId="4"/>
  </si>
  <si>
    <t>出荷数</t>
    <rPh sb="0" eb="2">
      <t>シュッカ</t>
    </rPh>
    <rPh sb="2" eb="3">
      <t>スウ</t>
    </rPh>
    <phoneticPr fontId="4"/>
  </si>
  <si>
    <t>加工ロット</t>
    <rPh sb="0" eb="2">
      <t>カコウ</t>
    </rPh>
    <phoneticPr fontId="4"/>
  </si>
  <si>
    <t>加工設備</t>
    <rPh sb="0" eb="2">
      <t>カコウ</t>
    </rPh>
    <rPh sb="2" eb="4">
      <t>セツビ</t>
    </rPh>
    <phoneticPr fontId="4"/>
  </si>
  <si>
    <t>材料ロット</t>
    <rPh sb="0" eb="2">
      <t>ザイリョウ</t>
    </rPh>
    <phoneticPr fontId="4"/>
  </si>
  <si>
    <t>材質</t>
    <rPh sb="0" eb="2">
      <t>ザイシツ</t>
    </rPh>
    <phoneticPr fontId="4"/>
  </si>
  <si>
    <t>表面処理</t>
    <rPh sb="0" eb="4">
      <t>ヒョウメンショリ</t>
    </rPh>
    <phoneticPr fontId="4"/>
  </si>
  <si>
    <t>検査具</t>
    <rPh sb="0" eb="2">
      <t>ケンサ</t>
    </rPh>
    <rPh sb="2" eb="3">
      <t>グ</t>
    </rPh>
    <phoneticPr fontId="3"/>
  </si>
  <si>
    <t>番号</t>
    <rPh sb="0" eb="2">
      <t>バンゴウ</t>
    </rPh>
    <phoneticPr fontId="3"/>
  </si>
  <si>
    <t>項目</t>
    <rPh sb="0" eb="2">
      <t>コウモク</t>
    </rPh>
    <phoneticPr fontId="3"/>
  </si>
  <si>
    <t>規格</t>
    <rPh sb="0" eb="2">
      <t>キカク</t>
    </rPh>
    <phoneticPr fontId="3"/>
  </si>
  <si>
    <t>上規格</t>
    <rPh sb="0" eb="1">
      <t>ウエ</t>
    </rPh>
    <rPh sb="1" eb="3">
      <t>キカク</t>
    </rPh>
    <phoneticPr fontId="3"/>
  </si>
  <si>
    <t>下規格</t>
    <rPh sb="0" eb="1">
      <t>シタ</t>
    </rPh>
    <rPh sb="1" eb="3">
      <t>キカク</t>
    </rPh>
    <phoneticPr fontId="3"/>
  </si>
  <si>
    <t>上限</t>
    <rPh sb="0" eb="2">
      <t>ジョウゲン</t>
    </rPh>
    <phoneticPr fontId="3"/>
  </si>
  <si>
    <t>下限</t>
    <rPh sb="0" eb="2">
      <t>カゲン</t>
    </rPh>
    <phoneticPr fontId="3"/>
  </si>
  <si>
    <t>検査表入力シート</t>
    <rPh sb="0" eb="3">
      <t>ケンサヒョウ</t>
    </rPh>
    <rPh sb="3" eb="5">
      <t>ニュウリョク</t>
    </rPh>
    <phoneticPr fontId="1"/>
  </si>
  <si>
    <t>全体</t>
    <rPh sb="0" eb="2">
      <t>ゼンタイ</t>
    </rPh>
    <phoneticPr fontId="1"/>
  </si>
  <si>
    <t>公差係数</t>
    <rPh sb="0" eb="2">
      <t>コウサ</t>
    </rPh>
    <rPh sb="2" eb="4">
      <t>ケイスウ</t>
    </rPh>
    <phoneticPr fontId="1"/>
  </si>
  <si>
    <t>C列以降</t>
    <rPh sb="1" eb="2">
      <t>レツ</t>
    </rPh>
    <rPh sb="2" eb="4">
      <t>イコウ</t>
    </rPh>
    <phoneticPr fontId="1"/>
  </si>
  <si>
    <t>(COLUMN()&gt;=3)</t>
    <phoneticPr fontId="1"/>
  </si>
  <si>
    <t>12行目以降</t>
    <rPh sb="2" eb="4">
      <t>ギョウメ</t>
    </rPh>
    <rPh sb="4" eb="6">
      <t>イコウ</t>
    </rPh>
    <phoneticPr fontId="1"/>
  </si>
  <si>
    <t>(ROW()&gt;=12)</t>
    <phoneticPr fontId="1"/>
  </si>
  <si>
    <t>(上限)</t>
    <rPh sb="1" eb="3">
      <t>ジョウゲン</t>
    </rPh>
    <phoneticPr fontId="3"/>
  </si>
  <si>
    <t>(下限)</t>
    <rPh sb="1" eb="3">
      <t>カゲン</t>
    </rPh>
    <phoneticPr fontId="3"/>
  </si>
  <si>
    <t>(INDIRECT(ADDRESS(10,COLUMN()))&lt;=INDIRECT(ADDRESS(ROW(),COLUMN()))))</t>
    <phoneticPr fontId="1"/>
  </si>
  <si>
    <t>((INDIRECT(ADDRESS(11,COLUMN()))&gt;=INDIRECT(ADDRESS(ROW(),COLUMN())))</t>
    <phoneticPr fontId="1"/>
  </si>
  <si>
    <t>検査表</t>
    <rPh sb="0" eb="3">
      <t>ケンサヒョウ</t>
    </rPh>
    <phoneticPr fontId="1"/>
  </si>
  <si>
    <t>=(INDIRECT(ADDRESS(ROW()-2-INDIRECT("C"&amp;ROW()),COLUMN()))&gt;=INDIRECT(ADDRESS(ROW(),COLUMN())))+(INDIRECT(ADDRESS(ROW()-3-INDIRECT("C"&amp;ROW()),COLUMN()))&lt;=INDIRECT(ADDRESS(ROW(),COLUMN())))</t>
    <phoneticPr fontId="1"/>
  </si>
  <si>
    <t>(INDIRECT(ADDRESS(ROW()-2-INDIRECT("C"&amp;ROW()),COLUMN()))</t>
    <phoneticPr fontId="1"/>
  </si>
  <si>
    <t>&gt;=INDIRECT(ADDRESS(ROW(),COLUMN())))</t>
    <phoneticPr fontId="1"/>
  </si>
  <si>
    <t>そのセルの値以下</t>
    <rPh sb="5" eb="6">
      <t>アタイ</t>
    </rPh>
    <rPh sb="6" eb="8">
      <t>イカ</t>
    </rPh>
    <phoneticPr fontId="1"/>
  </si>
  <si>
    <t>(INDIRECT(ADDRESS(ROW()-3-INDIRECT("C"&amp;ROW()),COLUMN()))</t>
    <phoneticPr fontId="1"/>
  </si>
  <si>
    <t>&lt;=INDIRECT(ADDRESS(ROW(),COLUMN())))</t>
    <phoneticPr fontId="1"/>
  </si>
  <si>
    <t>そのセルの値以上</t>
    <rPh sb="5" eb="6">
      <t>アタイ</t>
    </rPh>
    <rPh sb="6" eb="8">
      <t>イジョウ</t>
    </rPh>
    <phoneticPr fontId="1"/>
  </si>
  <si>
    <t>同列の上限値のセルを参照し、</t>
    <rPh sb="0" eb="2">
      <t>ドウレツ</t>
    </rPh>
    <rPh sb="3" eb="6">
      <t>ジョウゲンチ</t>
    </rPh>
    <rPh sb="10" eb="12">
      <t>サンショウ</t>
    </rPh>
    <phoneticPr fontId="1"/>
  </si>
  <si>
    <t>同列の下限値のセルを参照し、</t>
    <rPh sb="0" eb="2">
      <t>ドウレツ</t>
    </rPh>
    <rPh sb="3" eb="6">
      <t>カゲンチ</t>
    </rPh>
    <rPh sb="10" eb="12">
      <t>サンショウ</t>
    </rPh>
    <phoneticPr fontId="1"/>
  </si>
  <si>
    <t>複数箇所</t>
    <rPh sb="0" eb="4">
      <t>フクスウカショ</t>
    </rPh>
    <phoneticPr fontId="1"/>
  </si>
  <si>
    <t>°</t>
    <phoneticPr fontId="1"/>
  </si>
  <si>
    <t>機械名(シート名)：</t>
    <rPh sb="0" eb="3">
      <t>キカイメイ</t>
    </rPh>
    <rPh sb="7" eb="8">
      <t>メイ</t>
    </rPh>
    <phoneticPr fontId="1"/>
  </si>
  <si>
    <t>0.8…片側 1.0…両側</t>
    <rPh sb="4" eb="6">
      <t>カタガワ</t>
    </rPh>
    <rPh sb="11" eb="13">
      <t>リョウガワ</t>
    </rPh>
    <phoneticPr fontId="1"/>
  </si>
  <si>
    <t>表示行数</t>
    <rPh sb="0" eb="2">
      <t>ヒョウジ</t>
    </rPh>
    <rPh sb="2" eb="4">
      <t>ギョウスウ</t>
    </rPh>
    <rPh sb="3" eb="4">
      <t>スウ</t>
    </rPh>
    <phoneticPr fontId="1"/>
  </si>
  <si>
    <t>n=2</t>
    <phoneticPr fontId="1"/>
  </si>
  <si>
    <t>n=3</t>
    <phoneticPr fontId="1"/>
  </si>
  <si>
    <t>n=10(n=2)</t>
    <phoneticPr fontId="1"/>
  </si>
  <si>
    <t>で塗られた項目に入力</t>
    <rPh sb="1" eb="2">
      <t>ヌ</t>
    </rPh>
    <rPh sb="5" eb="7">
      <t>コウモク</t>
    </rPh>
    <rPh sb="8" eb="10">
      <t>ニュウリョク</t>
    </rPh>
    <phoneticPr fontId="1"/>
  </si>
  <si>
    <t>XLOOKUPの結果が"あり"なら</t>
    <rPh sb="8" eb="10">
      <t>ケッカ</t>
    </rPh>
    <phoneticPr fontId="1"/>
  </si>
  <si>
    <t>TRUE、それ以外はFALSE</t>
    <rPh sb="7" eb="9">
      <t>イガイ</t>
    </rPh>
    <phoneticPr fontId="1"/>
  </si>
  <si>
    <t>あり</t>
    <phoneticPr fontId="1"/>
  </si>
  <si>
    <t>$A$11:$A$460</t>
    <phoneticPr fontId="1"/>
  </si>
  <si>
    <t>=IF(XLOOKUP(INDIRECT(ADDRESS(ROW(),1)),検査項目設定!$A$4:$A$103,検査項目設定!$M$4:$M$103,FALSE,1)="あり",TRUE,FALSE)</t>
    <phoneticPr fontId="1"/>
  </si>
  <si>
    <t>IF(XLOOKUP(INDIRECT(ADDRESS(ROW(),1)),検査項目設定!$A$4:$A$103,検査項目設定!$M$4:$M$103,FALSE,1)="あり",TRUE,FALSE)</t>
    <phoneticPr fontId="1"/>
  </si>
  <si>
    <t>$L$10:$TZ$10</t>
    <phoneticPr fontId="1"/>
  </si>
  <si>
    <t>=INDIRECT(ADDRESS(ROW(),COLUMN()))="NG"</t>
    <phoneticPr fontId="1"/>
  </si>
  <si>
    <t>INDIRECT(ADDRESS(ROW(),COLUMN()))="NG"</t>
    <phoneticPr fontId="1"/>
  </si>
  <si>
    <t>$L$11:$TZ$460</t>
    <phoneticPr fontId="1"/>
  </si>
  <si>
    <t>=(INDIRECT(ADDRESS(ROW(),COLUMN()))="NG")+(ISNUMBER(INDIRECT(ADDRESS(ROW(),COLUMN())))*(INDIRECT("J"&amp;ROW()-MOD(ROW()+1,3))&lt;&gt;"")</t>
    <phoneticPr fontId="1"/>
  </si>
  <si>
    <t>*((INDIRECT("J"&amp;ROW()-MOD(ROW()+1,3))&lt;INDIRECT(ADDRESS(ROW(),COLUMN())))+(INDIRECT("J"&amp;ROW()-MOD(ROW()+1,3)+1)&gt;INDIRECT(ADDRESS(ROW(),COLUMN())))))</t>
    <phoneticPr fontId="1"/>
  </si>
  <si>
    <t>(INDIRECT("J"&amp;ROW()-MOD(ROW()+1,3)+1)&gt;INDIRECT(ADDRESS(ROW(),COLUMN())))))</t>
    <phoneticPr fontId="1"/>
  </si>
  <si>
    <t>※加工ロットは一番左に最終日</t>
    <rPh sb="1" eb="3">
      <t>カコウ</t>
    </rPh>
    <rPh sb="7" eb="9">
      <t>イチバン</t>
    </rPh>
    <rPh sb="9" eb="10">
      <t>ヒダリ</t>
    </rPh>
    <rPh sb="11" eb="13">
      <t>サイシュウ</t>
    </rPh>
    <rPh sb="13" eb="14">
      <t>ヒ</t>
    </rPh>
    <phoneticPr fontId="1"/>
  </si>
  <si>
    <t>担当選択</t>
    <rPh sb="0" eb="2">
      <t>タントウ</t>
    </rPh>
    <rPh sb="2" eb="4">
      <t>センタク</t>
    </rPh>
    <phoneticPr fontId="1"/>
  </si>
  <si>
    <t>製品状態選択</t>
    <rPh sb="0" eb="2">
      <t>セイヒン</t>
    </rPh>
    <rPh sb="2" eb="4">
      <t>ジョウタイ</t>
    </rPh>
    <rPh sb="4" eb="6">
      <t>センタク</t>
    </rPh>
    <phoneticPr fontId="1"/>
  </si>
  <si>
    <t>材料ﾛｯﾄ№入力</t>
    <rPh sb="0" eb="2">
      <t>ザイリョウ</t>
    </rPh>
    <rPh sb="6" eb="8">
      <t>ニュウリョク</t>
    </rPh>
    <phoneticPr fontId="1"/>
  </si>
  <si>
    <t>加工ﾛｯﾄ入力</t>
    <rPh sb="0" eb="2">
      <t>カコウ</t>
    </rPh>
    <rPh sb="5" eb="7">
      <t>ニュウリョク</t>
    </rPh>
    <phoneticPr fontId="1"/>
  </si>
  <si>
    <t>検査日入力</t>
    <rPh sb="0" eb="3">
      <t>ケンサヒ</t>
    </rPh>
    <rPh sb="3" eb="5">
      <t>ニュウリョク</t>
    </rPh>
    <phoneticPr fontId="1"/>
  </si>
  <si>
    <t>検査担当選択</t>
    <rPh sb="0" eb="2">
      <t>ケンサ</t>
    </rPh>
    <rPh sb="2" eb="4">
      <t>タントウ</t>
    </rPh>
    <rPh sb="4" eb="6">
      <t>センタク</t>
    </rPh>
    <phoneticPr fontId="1"/>
  </si>
  <si>
    <t>(</t>
    <phoneticPr fontId="1"/>
  </si>
  <si>
    <t>)</t>
    <phoneticPr fontId="1"/>
  </si>
  <si>
    <t>°)</t>
    <phoneticPr fontId="1"/>
  </si>
  <si>
    <t>ﾈｼﾞﾌﾟﾗｸﾞｹﾞｰｼﾞ+ﾉｷﾞｽ</t>
    <phoneticPr fontId="1"/>
  </si>
  <si>
    <t>=(ROW()&gt;=12)*(COLUMN()&gt;=3)*((ISNUMBER(INDIRECT(ADDRESS(ROW(),COLUMN()))))*((INDIRECT(ADDRESS(11,COLUMN()))&gt;=INDIRECT(ADDRESS(ROW(),COLUMN())))</t>
    <phoneticPr fontId="1"/>
  </si>
  <si>
    <t>+(INDIRECT(ADDRESS(10,COLUMN()))&lt;=INDIRECT(ADDRESS(ROW(),COLUMN()))))+(INDIRECT(ADDRESS(ROW(),COLUMN()))="NG"))</t>
    <phoneticPr fontId="1"/>
  </si>
  <si>
    <t>((ISNUMBER(INDIRECT(ADDRESS(ROW(),COLUMN()))))</t>
    <phoneticPr fontId="1"/>
  </si>
  <si>
    <t>該当セルが数値</t>
    <rPh sb="0" eb="2">
      <t>ガイトウ</t>
    </rPh>
    <rPh sb="5" eb="7">
      <t>スウチ</t>
    </rPh>
    <phoneticPr fontId="1"/>
  </si>
  <si>
    <t>同じ列の11行目の値以下</t>
    <phoneticPr fontId="1"/>
  </si>
  <si>
    <t>同じ列の10行目の値以上</t>
    <rPh sb="10" eb="12">
      <t>イジョウ</t>
    </rPh>
    <phoneticPr fontId="1"/>
  </si>
  <si>
    <t>(INDIRECT(ADDRESS(ROW(),COLUMN()))="NG"))</t>
  </si>
  <si>
    <t>該当セルの値が"NG"</t>
    <rPh sb="0" eb="2">
      <t>ガイトウ</t>
    </rPh>
    <rPh sb="5" eb="6">
      <t>アタイ</t>
    </rPh>
    <phoneticPr fontId="1"/>
  </si>
  <si>
    <t>↓工程内検査シートの検査データをここに『値貼り付け』</t>
    <rPh sb="1" eb="4">
      <t>コウテイナイ</t>
    </rPh>
    <rPh sb="4" eb="6">
      <t>ケンサ</t>
    </rPh>
    <rPh sb="10" eb="12">
      <t>ケンサ</t>
    </rPh>
    <rPh sb="20" eb="21">
      <t>アタイ</t>
    </rPh>
    <rPh sb="21" eb="22">
      <t>ハ</t>
    </rPh>
    <rPh sb="23" eb="24">
      <t>ツ</t>
    </rPh>
    <phoneticPr fontId="1"/>
  </si>
  <si>
    <t>C内面取り</t>
    <phoneticPr fontId="1"/>
  </si>
  <si>
    <t>ｸﾛｽ穴内面取り</t>
    <phoneticPr fontId="1"/>
  </si>
  <si>
    <t>振れ</t>
    <rPh sb="0" eb="1">
      <t>フ</t>
    </rPh>
    <phoneticPr fontId="1"/>
  </si>
  <si>
    <t>同心度</t>
    <rPh sb="1" eb="2">
      <t>シン</t>
    </rPh>
    <phoneticPr fontId="1"/>
  </si>
  <si>
    <t>ﾎﾞﾜｰｽﾞﾏｲｸﾛ</t>
    <phoneticPr fontId="1"/>
  </si>
  <si>
    <t>保存用ファイル名⇒</t>
    <rPh sb="0" eb="2">
      <t>ホゾン</t>
    </rPh>
    <rPh sb="2" eb="3">
      <t>ヨウ</t>
    </rPh>
    <rPh sb="7" eb="8">
      <t>メイ</t>
    </rPh>
    <phoneticPr fontId="1"/>
  </si>
  <si>
    <t>ｷｰｴﾝｽ1</t>
    <phoneticPr fontId="1"/>
  </si>
  <si>
    <t>ｷｰｴﾝｽ2</t>
  </si>
  <si>
    <t>ｷｰｴﾝｽ3</t>
  </si>
  <si>
    <t>ﾃｰﾊﾟｰ</t>
    <phoneticPr fontId="1"/>
  </si>
  <si>
    <t>内ﾃｰﾊﾟｰ</t>
    <phoneticPr fontId="1"/>
  </si>
  <si>
    <t>S</t>
    <phoneticPr fontId="1"/>
  </si>
  <si>
    <t>全体粗さ</t>
    <rPh sb="0" eb="3">
      <t>ゼンタイアラ</t>
    </rPh>
    <phoneticPr fontId="1"/>
  </si>
  <si>
    <t>50136-01211</t>
    <phoneticPr fontId="4"/>
  </si>
  <si>
    <t>50136-01211 検査表 2025.●.● (●-●)</t>
    <phoneticPr fontId="1"/>
  </si>
  <si>
    <t>不二工機</t>
    <rPh sb="0" eb="4">
      <t>フジコウキ</t>
    </rPh>
    <phoneticPr fontId="4"/>
  </si>
  <si>
    <t>ﾍﾞﾝｼｰﾄ</t>
    <phoneticPr fontId="4"/>
  </si>
  <si>
    <t>D-2</t>
  </si>
  <si>
    <t>SUS303</t>
    <phoneticPr fontId="1"/>
  </si>
  <si>
    <t>脱脂</t>
    <rPh sb="0" eb="2">
      <t>ダッシ</t>
    </rPh>
    <phoneticPr fontId="1"/>
  </si>
  <si>
    <t>n=2</t>
  </si>
  <si>
    <t>髙田</t>
    <phoneticPr fontId="1"/>
  </si>
  <si>
    <t>櫻井</t>
    <rPh sb="0" eb="2">
      <t>サクライ</t>
    </rPh>
    <phoneticPr fontId="1"/>
  </si>
  <si>
    <t>内径φ15.9ねらい値変更</t>
    <rPh sb="0" eb="2">
      <t>ナイケイ</t>
    </rPh>
    <rPh sb="10" eb="11">
      <t>アタイ</t>
    </rPh>
    <phoneticPr fontId="1"/>
  </si>
  <si>
    <t>外径φ19→φ18.98へ設計変更</t>
    <rPh sb="0" eb="2">
      <t>ガイケイ</t>
    </rPh>
    <rPh sb="13" eb="15">
      <t>セッケイ</t>
    </rPh>
    <rPh sb="15" eb="17">
      <t>ヘンコウ</t>
    </rPh>
    <phoneticPr fontId="1"/>
  </si>
  <si>
    <t>設計変更に伴い品番の末尾0→1へ変更</t>
    <rPh sb="0" eb="2">
      <t>セッケイ</t>
    </rPh>
    <rPh sb="2" eb="4">
      <t>ヘンコウ</t>
    </rPh>
    <rPh sb="5" eb="6">
      <t>トモナ</t>
    </rPh>
    <rPh sb="7" eb="9">
      <t>ヒンバン</t>
    </rPh>
    <rPh sb="10" eb="12">
      <t>マツビ</t>
    </rPh>
    <rPh sb="16" eb="18">
      <t>ヘンコウ</t>
    </rPh>
    <phoneticPr fontId="1"/>
  </si>
  <si>
    <t>20.8</t>
    <phoneticPr fontId="1"/>
  </si>
  <si>
    <t>+0.1</t>
    <phoneticPr fontId="1"/>
  </si>
  <si>
    <t>-0.1</t>
    <phoneticPr fontId="1"/>
  </si>
  <si>
    <t>18.98</t>
    <phoneticPr fontId="1"/>
  </si>
  <si>
    <t>+0.01</t>
    <phoneticPr fontId="1"/>
  </si>
  <si>
    <t>-0.01</t>
    <phoneticPr fontId="1"/>
  </si>
  <si>
    <t>18.5</t>
    <phoneticPr fontId="1"/>
  </si>
  <si>
    <t>+0.2</t>
    <phoneticPr fontId="1"/>
  </si>
  <si>
    <t>-0.2</t>
    <phoneticPr fontId="1"/>
  </si>
  <si>
    <t>ﾂﾊﾞ厚</t>
    <rPh sb="3" eb="4">
      <t>アツ</t>
    </rPh>
    <phoneticPr fontId="1"/>
  </si>
  <si>
    <t>4.5</t>
    <phoneticPr fontId="1"/>
  </si>
  <si>
    <t>1.6</t>
    <phoneticPr fontId="1"/>
  </si>
  <si>
    <t>(計算)</t>
    <rPh sb="1" eb="3">
      <t>ケイサン</t>
    </rPh>
    <phoneticPr fontId="1"/>
  </si>
  <si>
    <t>11.5</t>
    <phoneticPr fontId="1"/>
  </si>
  <si>
    <t>+0.02</t>
    <phoneticPr fontId="1"/>
  </si>
  <si>
    <t>-0.02</t>
    <phoneticPr fontId="1"/>
  </si>
  <si>
    <t>(</t>
  </si>
  <si>
    <t>6.01</t>
    <phoneticPr fontId="1"/>
  </si>
  <si>
    <t>)</t>
  </si>
  <si>
    <t>+1</t>
    <phoneticPr fontId="1"/>
  </si>
  <si>
    <t>-1</t>
    <phoneticPr fontId="1"/>
  </si>
  <si>
    <t>1.0</t>
    <phoneticPr fontId="1"/>
  </si>
  <si>
    <t>4.6</t>
    <phoneticPr fontId="1"/>
  </si>
  <si>
    <t>2.5</t>
    <phoneticPr fontId="1"/>
  </si>
  <si>
    <t>2.0</t>
    <phoneticPr fontId="1"/>
  </si>
  <si>
    <t>V溝角度</t>
    <rPh sb="1" eb="2">
      <t>ミゾ</t>
    </rPh>
    <phoneticPr fontId="1"/>
  </si>
  <si>
    <t>60</t>
    <phoneticPr fontId="1"/>
  </si>
  <si>
    <t>°</t>
  </si>
  <si>
    <t>ﾃｰﾊﾟｰ</t>
  </si>
  <si>
    <t>33</t>
    <phoneticPr fontId="1"/>
  </si>
  <si>
    <t>0.1</t>
    <phoneticPr fontId="1"/>
  </si>
  <si>
    <t>C内面取り</t>
  </si>
  <si>
    <t>(φ18.98)</t>
    <phoneticPr fontId="1"/>
  </si>
  <si>
    <t>(φ18.2)</t>
    <phoneticPr fontId="1"/>
  </si>
  <si>
    <t>0.2</t>
    <phoneticPr fontId="1"/>
  </si>
  <si>
    <t>0</t>
    <phoneticPr fontId="1"/>
  </si>
  <si>
    <t>(φ13.0)</t>
    <phoneticPr fontId="1"/>
  </si>
  <si>
    <t>内ﾃｰﾊﾟｰ</t>
  </si>
  <si>
    <t>120</t>
    <phoneticPr fontId="1"/>
  </si>
  <si>
    <t>(120°)</t>
    <phoneticPr fontId="1"/>
  </si>
  <si>
    <t>Rmax</t>
  </si>
  <si>
    <t>Rmax</t>
    <phoneticPr fontId="1"/>
  </si>
  <si>
    <t>6.3</t>
    <phoneticPr fontId="1"/>
  </si>
  <si>
    <t>-6.3</t>
    <phoneticPr fontId="1"/>
  </si>
  <si>
    <t>(φ13.0右側)</t>
    <rPh sb="6" eb="8">
      <t>ミギガワ</t>
    </rPh>
    <phoneticPr fontId="1"/>
  </si>
  <si>
    <t>(φ13.0左側)</t>
    <rPh sb="6" eb="8">
      <t>ヒダリガワ</t>
    </rPh>
    <phoneticPr fontId="1"/>
  </si>
  <si>
    <t>0.05</t>
    <phoneticPr fontId="1"/>
  </si>
  <si>
    <t>+0.05</t>
    <phoneticPr fontId="1"/>
  </si>
  <si>
    <t>-0.05</t>
    <phoneticPr fontId="1"/>
  </si>
  <si>
    <t>(架空点)</t>
    <rPh sb="1" eb="4">
      <t>カクウテン</t>
    </rPh>
    <phoneticPr fontId="1"/>
  </si>
  <si>
    <t>+0.025</t>
    <phoneticPr fontId="1"/>
  </si>
  <si>
    <t>-0.025</t>
    <phoneticPr fontId="1"/>
  </si>
  <si>
    <t>(端面)</t>
    <rPh sb="1" eb="3">
      <t>タンメン</t>
    </rPh>
    <phoneticPr fontId="1"/>
  </si>
  <si>
    <t>12.5</t>
    <phoneticPr fontId="1"/>
  </si>
  <si>
    <t>-12.5</t>
    <phoneticPr fontId="1"/>
  </si>
  <si>
    <t>(ｶｯﾄなし品)</t>
    <rPh sb="6" eb="7">
      <t>ヒン</t>
    </rPh>
    <phoneticPr fontId="1"/>
  </si>
  <si>
    <t>ﾎﾞﾜｰｽﾞﾏｲｸﾛ</t>
  </si>
  <si>
    <t>17.5</t>
    <phoneticPr fontId="1"/>
  </si>
  <si>
    <t>(狙い値15.9)</t>
    <rPh sb="1" eb="2">
      <t>ネラ</t>
    </rPh>
    <rPh sb="3" eb="4">
      <t>アタイ</t>
    </rPh>
    <phoneticPr fontId="1"/>
  </si>
  <si>
    <t>18.2</t>
    <phoneticPr fontId="1"/>
  </si>
  <si>
    <t>15.9</t>
    <phoneticPr fontId="1"/>
  </si>
  <si>
    <t>13.0</t>
    <phoneticPr fontId="1"/>
  </si>
  <si>
    <t>0.6</t>
    <phoneticPr fontId="1"/>
  </si>
  <si>
    <t>0.02</t>
    <phoneticPr fontId="1"/>
  </si>
  <si>
    <t>(φ13.0/A)</t>
    <phoneticPr fontId="1"/>
  </si>
  <si>
    <t>(長手1.6)</t>
    <rPh sb="1" eb="3">
      <t>ナガテ</t>
    </rPh>
    <phoneticPr fontId="1"/>
  </si>
  <si>
    <t>(長手1.6/A)</t>
    <rPh sb="1" eb="3">
      <t>ナガテ</t>
    </rPh>
    <phoneticPr fontId="1"/>
  </si>
  <si>
    <t>(120°/A)</t>
    <phoneticPr fontId="1"/>
  </si>
  <si>
    <t/>
  </si>
  <si>
    <t xml:space="preserve">φ 20.8 </t>
  </si>
  <si>
    <t>20.8</t>
  </si>
  <si>
    <t>+0.1</t>
  </si>
  <si>
    <t>-0.1</t>
  </si>
  <si>
    <t xml:space="preserve">φ 18.98 </t>
  </si>
  <si>
    <t>18.98</t>
  </si>
  <si>
    <t>+0.01</t>
  </si>
  <si>
    <t>-0.01</t>
  </si>
  <si>
    <t xml:space="preserve">φ 18.5 </t>
  </si>
  <si>
    <t>18.5</t>
  </si>
  <si>
    <t>+0.2</t>
  </si>
  <si>
    <t>-0.2</t>
  </si>
  <si>
    <t>ﾂﾊﾞ厚</t>
  </si>
  <si>
    <t xml:space="preserve"> 4.5 </t>
  </si>
  <si>
    <t>4.5</t>
  </si>
  <si>
    <t xml:space="preserve"> 1.6 </t>
  </si>
  <si>
    <t>1.6</t>
  </si>
  <si>
    <t>(計算)</t>
  </si>
  <si>
    <t xml:space="preserve"> 11.5 </t>
  </si>
  <si>
    <t>11.5</t>
  </si>
  <si>
    <t>+0.02</t>
  </si>
  <si>
    <t>-0.02</t>
  </si>
  <si>
    <t>( 6.01 )</t>
  </si>
  <si>
    <t>6.01</t>
  </si>
  <si>
    <t>+1</t>
  </si>
  <si>
    <t>-1</t>
  </si>
  <si>
    <t xml:space="preserve"> 1.0 </t>
  </si>
  <si>
    <t>1.0</t>
  </si>
  <si>
    <t xml:space="preserve"> 4.6 </t>
  </si>
  <si>
    <t>4.6</t>
  </si>
  <si>
    <t xml:space="preserve"> 2.5 </t>
  </si>
  <si>
    <t>2.5</t>
  </si>
  <si>
    <t xml:space="preserve"> 2.0 </t>
  </si>
  <si>
    <t>2.0</t>
  </si>
  <si>
    <t>V溝角度</t>
  </si>
  <si>
    <t xml:space="preserve"> 60 °</t>
  </si>
  <si>
    <t>60</t>
  </si>
  <si>
    <t xml:space="preserve"> 33 °</t>
  </si>
  <si>
    <t>33</t>
  </si>
  <si>
    <t>(φ18.98)</t>
  </si>
  <si>
    <t xml:space="preserve">C 0.1 </t>
  </si>
  <si>
    <t>0.1</t>
  </si>
  <si>
    <t>(φ18.2)</t>
  </si>
  <si>
    <t xml:space="preserve">C or R 0.2 </t>
  </si>
  <si>
    <t>0.2</t>
  </si>
  <si>
    <t>R 0.2 以下</t>
  </si>
  <si>
    <t>0</t>
  </si>
  <si>
    <t>(φ13.0右側)</t>
  </si>
  <si>
    <t xml:space="preserve">R 1.0 </t>
  </si>
  <si>
    <t xml:space="preserve"> 120 °</t>
  </si>
  <si>
    <t>120</t>
  </si>
  <si>
    <t>(120°)</t>
  </si>
  <si>
    <t xml:space="preserve">Rmax 6.3 </t>
  </si>
  <si>
    <t>6.3</t>
  </si>
  <si>
    <t>-6.3</t>
  </si>
  <si>
    <t>(φ13.0左側)</t>
  </si>
  <si>
    <t xml:space="preserve">R 0.05 </t>
  </si>
  <si>
    <t>0.05</t>
  </si>
  <si>
    <t>+0.05</t>
  </si>
  <si>
    <t>-0.05</t>
  </si>
  <si>
    <t>(架空点)</t>
  </si>
  <si>
    <t>+0.025</t>
  </si>
  <si>
    <t>-0.025</t>
  </si>
  <si>
    <t>(端面)</t>
  </si>
  <si>
    <t>(φ13.0)</t>
  </si>
  <si>
    <t>全体粗さ</t>
  </si>
  <si>
    <t xml:space="preserve">Rmax 12.5 </t>
  </si>
  <si>
    <t>12.5</t>
  </si>
  <si>
    <t>-12.5</t>
  </si>
  <si>
    <t>(ｶｯﾄなし品)</t>
  </si>
  <si>
    <t xml:space="preserve">φ 17.5 </t>
  </si>
  <si>
    <t>17.5</t>
  </si>
  <si>
    <t xml:space="preserve">φ 18.2 </t>
  </si>
  <si>
    <t>18.2</t>
  </si>
  <si>
    <t>(狙い値15.9)</t>
  </si>
  <si>
    <t xml:space="preserve">φ 15.9 </t>
  </si>
  <si>
    <t>15.9</t>
  </si>
  <si>
    <t xml:space="preserve">φ 13.0 </t>
  </si>
  <si>
    <t>13.0</t>
  </si>
  <si>
    <t xml:space="preserve">φ 0.6 </t>
  </si>
  <si>
    <t>0.6</t>
  </si>
  <si>
    <t xml:space="preserve"> 0.02 </t>
  </si>
  <si>
    <t>0.02</t>
  </si>
  <si>
    <t>(φ13.0/A)</t>
  </si>
  <si>
    <t xml:space="preserve">φ 0.02 </t>
  </si>
  <si>
    <t>(長手1.6)</t>
  </si>
  <si>
    <t>(長手1.6/A)</t>
  </si>
  <si>
    <t>振れ</t>
  </si>
  <si>
    <t>(120°/A)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</si>
</sst>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0"/>
    <numFmt numFmtId="177" formatCode="0.00_ "/>
    <numFmt numFmtId="178" formatCode="0.000_ "/>
    <numFmt numFmtId="179" formatCode="yyyy&quot;年&quot;m&quot;月&quot;d&quot;日&quot;;@"/>
    <numFmt numFmtId="180" formatCode="#,##0&quot;個&quot;"/>
    <numFmt numFmtId="181" formatCode="yyyy/m/d;@"/>
    <numFmt numFmtId="182" formatCode="0.0_);[Red]\(0.0\)"/>
    <numFmt numFmtId="183" formatCode="0.000_);[Red]\(0.000\)"/>
    <numFmt numFmtId="184" formatCode="#,##0_ "/>
    <numFmt numFmtId="185" formatCode="0.0"/>
    <numFmt numFmtId="186" formatCode="0.0000"/>
  </numFmts>
  <fonts count="30"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sz val="6"/>
      <name val="ＭＳ Ｐゴシック"/>
      <family val="3"/>
      <charset val="128"/>
    </font>
    <font>
      <b/>
      <sz val="10"/>
      <name val="游ゴシック"/>
      <family val="3"/>
      <charset val="128"/>
      <scheme val="minor"/>
    </font>
    <font>
      <sz val="10"/>
      <color rgb="FF000000"/>
      <name val="Arial"/>
      <family val="2"/>
    </font>
    <font>
      <sz val="10"/>
      <color rgb="FF000000"/>
      <name val="游ゴシック"/>
      <family val="3"/>
      <charset val="128"/>
      <scheme val="minor"/>
    </font>
    <font>
      <sz val="10"/>
      <name val="游ゴシック"/>
      <family val="3"/>
      <charset val="128"/>
      <scheme val="minor"/>
    </font>
    <font>
      <b/>
      <sz val="10"/>
      <color rgb="FFFF0000"/>
      <name val="游ゴシック"/>
      <family val="3"/>
      <charset val="128"/>
      <scheme val="minor"/>
    </font>
    <font>
      <sz val="11"/>
      <name val="ＭＳ Ｐゴシック"/>
      <family val="3"/>
      <charset val="128"/>
    </font>
    <font>
      <sz val="10"/>
      <color theme="1"/>
      <name val="游ゴシック"/>
      <family val="3"/>
      <charset val="128"/>
      <scheme val="minor"/>
    </font>
    <font>
      <sz val="20"/>
      <name val="ＭＳ Ｐゴシック"/>
      <family val="3"/>
      <charset val="128"/>
    </font>
    <font>
      <sz val="14"/>
      <name val="ＭＳ Ｐゴシック"/>
      <family val="3"/>
      <charset val="128"/>
    </font>
    <font>
      <sz val="10"/>
      <name val="ＭＳ Ｐゴシック"/>
      <family val="3"/>
      <charset val="128"/>
    </font>
    <font>
      <sz val="8.5"/>
      <name val="ＭＳ Ｐゴシック"/>
      <family val="3"/>
      <charset val="128"/>
    </font>
    <font>
      <sz val="9"/>
      <name val="ＭＳ Ｐゴシック"/>
      <family val="3"/>
      <charset val="128"/>
    </font>
    <font>
      <sz val="8"/>
      <name val="ＭＳ Ｐゴシック"/>
      <family val="3"/>
      <charset val="128"/>
    </font>
    <font>
      <sz val="9"/>
      <color indexed="9"/>
      <name val="ＭＳ Ｐゴシック"/>
      <family val="3"/>
      <charset val="128"/>
    </font>
    <font>
      <sz val="10"/>
      <color theme="1"/>
      <name val="游ゴシック"/>
      <family val="2"/>
      <charset val="128"/>
      <scheme val="minor"/>
    </font>
    <font>
      <u/>
      <sz val="11"/>
      <color theme="10"/>
      <name val="游ゴシック"/>
      <family val="2"/>
      <charset val="128"/>
      <scheme val="minor"/>
    </font>
    <font>
      <sz val="10"/>
      <color theme="0"/>
      <name val="游ゴシック"/>
      <family val="2"/>
      <charset val="128"/>
      <scheme val="minor"/>
    </font>
    <font>
      <b/>
      <i/>
      <sz val="10"/>
      <color theme="0"/>
      <name val="游ゴシック"/>
      <family val="3"/>
      <charset val="128"/>
      <scheme val="minor"/>
    </font>
    <font>
      <sz val="10"/>
      <color theme="0" tint="-0.249977111117893"/>
      <name val="游ゴシック"/>
      <family val="3"/>
      <charset val="128"/>
      <scheme val="minor"/>
    </font>
    <font>
      <sz val="9"/>
      <color theme="1"/>
      <name val="游ゴシック"/>
      <family val="3"/>
      <charset val="128"/>
      <scheme val="minor"/>
    </font>
    <font>
      <sz val="10"/>
      <name val="游ゴシック"/>
      <family val="2"/>
      <charset val="128"/>
      <scheme val="minor"/>
    </font>
    <font>
      <b/>
      <u/>
      <sz val="12"/>
      <name val="游ゴシック"/>
      <family val="2"/>
      <charset val="128"/>
      <scheme val="minor"/>
    </font>
    <font>
      <b/>
      <sz val="12"/>
      <name val="ＭＳ Ｐゴシック"/>
      <family val="3"/>
      <charset val="128"/>
    </font>
    <font>
      <sz val="9"/>
      <color theme="1"/>
      <name val="游ゴシック"/>
      <family val="2"/>
      <charset val="128"/>
      <scheme val="minor"/>
    </font>
    <font>
      <sz val="10"/>
      <color theme="0"/>
      <name val="游ゴシック"/>
      <family val="3"/>
      <charset val="128"/>
      <scheme val="minor"/>
    </font>
  </fonts>
  <fills count="8">
    <fill>
      <patternFill patternType="none"/>
    </fill>
    <fill>
      <patternFill patternType="gray125"/>
    </fill>
    <fill>
      <patternFill patternType="solid">
        <fgColor rgb="FFFFFFCC"/>
        <bgColor indexed="64"/>
      </patternFill>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rgb="FFFFC000"/>
        <bgColor indexed="64"/>
      </patternFill>
    </fill>
    <fill>
      <patternFill patternType="solid">
        <fgColor theme="5"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diagonalUp="1">
      <left style="thin">
        <color indexed="64"/>
      </left>
      <right/>
      <top style="hair">
        <color indexed="64"/>
      </top>
      <bottom style="hair">
        <color indexed="64"/>
      </bottom>
      <diagonal style="thin">
        <color indexed="64"/>
      </diagonal>
    </border>
    <border diagonalUp="1">
      <left/>
      <right/>
      <top style="hair">
        <color indexed="64"/>
      </top>
      <bottom style="hair">
        <color indexed="64"/>
      </bottom>
      <diagonal style="thin">
        <color indexed="64"/>
      </diagonal>
    </border>
    <border diagonalUp="1">
      <left/>
      <right style="thin">
        <color indexed="64"/>
      </right>
      <top style="hair">
        <color indexed="64"/>
      </top>
      <bottom style="hair">
        <color indexed="64"/>
      </bottom>
      <diagonal style="thin">
        <color indexed="64"/>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right style="medium">
        <color indexed="64"/>
      </right>
      <top/>
      <bottom/>
      <diagonal/>
    </border>
    <border>
      <left style="medium">
        <color indexed="64"/>
      </left>
      <right style="medium">
        <color indexed="64"/>
      </right>
      <top style="thin">
        <color indexed="64"/>
      </top>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5">
    <xf numFmtId="0" fontId="0" fillId="0" borderId="0">
      <alignment vertical="center"/>
    </xf>
    <xf numFmtId="0" fontId="6" fillId="0" borderId="0"/>
    <xf numFmtId="0" fontId="10" fillId="0" borderId="0">
      <alignment vertical="center"/>
    </xf>
    <xf numFmtId="0" fontId="2" fillId="0" borderId="0">
      <alignment vertical="center"/>
    </xf>
    <xf numFmtId="0" fontId="20" fillId="0" borderId="0" applyNumberFormat="0" applyFill="0" applyBorder="0" applyAlignment="0" applyProtection="0">
      <alignment vertical="center"/>
    </xf>
  </cellStyleXfs>
  <cellXfs count="340">
    <xf numFmtId="0" fontId="0" fillId="0" borderId="0" xfId="0">
      <alignment vertical="center"/>
    </xf>
    <xf numFmtId="0" fontId="0" fillId="0" borderId="0" xfId="0" applyAlignment="1">
      <alignment horizontal="centerContinuous" vertical="center"/>
    </xf>
    <xf numFmtId="0" fontId="0" fillId="0" borderId="1" xfId="0" applyBorder="1">
      <alignment vertical="center"/>
    </xf>
    <xf numFmtId="0" fontId="0" fillId="0" borderId="2" xfId="0" applyBorder="1" applyAlignment="1">
      <alignment horizontal="centerContinuous" vertical="center"/>
    </xf>
    <xf numFmtId="0" fontId="0" fillId="0" borderId="3" xfId="0" applyBorder="1" applyAlignment="1">
      <alignment horizontal="centerContinuous" vertical="center"/>
    </xf>
    <xf numFmtId="49" fontId="8" fillId="0" borderId="0" xfId="1" applyNumberFormat="1" applyFont="1" applyAlignment="1" applyProtection="1">
      <alignment vertical="center"/>
      <protection locked="0"/>
    </xf>
    <xf numFmtId="49" fontId="8" fillId="0" borderId="0" xfId="1" applyNumberFormat="1" applyFont="1" applyAlignment="1" applyProtection="1">
      <alignment horizontal="centerContinuous" vertical="center"/>
      <protection locked="0"/>
    </xf>
    <xf numFmtId="49" fontId="8" fillId="0" borderId="0" xfId="1" applyNumberFormat="1" applyFont="1" applyAlignment="1" applyProtection="1">
      <alignment horizontal="center" vertical="center"/>
      <protection locked="0"/>
    </xf>
    <xf numFmtId="0" fontId="8" fillId="0" borderId="0" xfId="1" applyFont="1" applyAlignment="1" applyProtection="1">
      <alignment horizontal="centerContinuous" vertical="center"/>
      <protection locked="0"/>
    </xf>
    <xf numFmtId="0" fontId="8" fillId="0" borderId="0" xfId="1" applyFont="1" applyAlignment="1" applyProtection="1">
      <alignment horizontal="left" vertical="center"/>
      <protection locked="0"/>
    </xf>
    <xf numFmtId="0" fontId="8" fillId="0" borderId="0" xfId="1" applyFont="1" applyAlignment="1" applyProtection="1">
      <alignment horizontal="center" vertical="center"/>
      <protection locked="0"/>
    </xf>
    <xf numFmtId="0" fontId="7" fillId="0" borderId="0" xfId="1" applyFont="1" applyAlignment="1" applyProtection="1">
      <alignment horizontal="center" vertical="center"/>
      <protection locked="0"/>
    </xf>
    <xf numFmtId="49" fontId="8" fillId="0" borderId="0" xfId="1" applyNumberFormat="1" applyFont="1" applyAlignment="1" applyProtection="1">
      <alignment horizontal="left" vertical="center"/>
      <protection locked="0"/>
    </xf>
    <xf numFmtId="0" fontId="0" fillId="0" borderId="0" xfId="0" quotePrefix="1">
      <alignment vertical="center"/>
    </xf>
    <xf numFmtId="0" fontId="10" fillId="0" borderId="0" xfId="2">
      <alignment vertical="center"/>
    </xf>
    <xf numFmtId="0" fontId="15" fillId="0" borderId="0" xfId="2" applyFont="1" applyAlignment="1">
      <alignment horizontal="center" vertical="center"/>
    </xf>
    <xf numFmtId="178" fontId="18" fillId="0" borderId="9" xfId="2" applyNumberFormat="1" applyFont="1" applyBorder="1">
      <alignment vertical="center"/>
    </xf>
    <xf numFmtId="178" fontId="18" fillId="0" borderId="14" xfId="2" applyNumberFormat="1" applyFont="1" applyBorder="1">
      <alignment vertical="center"/>
    </xf>
    <xf numFmtId="0" fontId="10" fillId="0" borderId="1" xfId="2" applyBorder="1">
      <alignment vertical="center"/>
    </xf>
    <xf numFmtId="0" fontId="17" fillId="0" borderId="0" xfId="2" applyFont="1">
      <alignment vertical="center"/>
    </xf>
    <xf numFmtId="178" fontId="17" fillId="0" borderId="0" xfId="2" applyNumberFormat="1" applyFont="1">
      <alignment vertical="center"/>
    </xf>
    <xf numFmtId="14" fontId="0" fillId="0" borderId="0" xfId="0" applyNumberFormat="1">
      <alignment vertical="center"/>
    </xf>
    <xf numFmtId="0" fontId="19" fillId="0" borderId="0" xfId="0" applyFont="1" applyAlignment="1" applyProtection="1">
      <alignment horizontal="center" vertical="center"/>
      <protection locked="0"/>
    </xf>
    <xf numFmtId="176" fontId="19" fillId="0" borderId="7" xfId="0" applyNumberFormat="1" applyFont="1" applyBorder="1" applyAlignment="1" applyProtection="1">
      <alignment horizontal="center" vertical="center"/>
      <protection locked="0"/>
    </xf>
    <xf numFmtId="176" fontId="19" fillId="0" borderId="45" xfId="0" applyNumberFormat="1" applyFont="1" applyBorder="1" applyAlignment="1" applyProtection="1">
      <alignment horizontal="center" vertical="center"/>
      <protection locked="0"/>
    </xf>
    <xf numFmtId="0" fontId="19" fillId="0" borderId="40" xfId="0" applyFont="1" applyBorder="1" applyAlignment="1" applyProtection="1">
      <alignment horizontal="center" vertical="center"/>
      <protection locked="0"/>
    </xf>
    <xf numFmtId="14" fontId="19" fillId="0" borderId="47" xfId="0" applyNumberFormat="1" applyFont="1" applyBorder="1" applyAlignment="1" applyProtection="1">
      <alignment horizontal="center" vertical="center"/>
      <protection locked="0"/>
    </xf>
    <xf numFmtId="176" fontId="19" fillId="0" borderId="41" xfId="0" applyNumberFormat="1" applyFont="1" applyBorder="1" applyAlignment="1" applyProtection="1">
      <alignment horizontal="center" vertical="center"/>
      <protection locked="0"/>
    </xf>
    <xf numFmtId="0" fontId="19" fillId="0" borderId="42" xfId="0" applyFont="1" applyBorder="1" applyAlignment="1" applyProtection="1">
      <alignment horizontal="center" vertical="center"/>
      <protection locked="0"/>
    </xf>
    <xf numFmtId="176" fontId="19" fillId="0" borderId="7" xfId="0" applyNumberFormat="1" applyFont="1" applyBorder="1" applyAlignment="1">
      <alignment horizontal="center" vertical="center"/>
    </xf>
    <xf numFmtId="0" fontId="19" fillId="0" borderId="0" xfId="0" applyFont="1" applyAlignment="1">
      <alignment horizontal="center" vertical="center"/>
    </xf>
    <xf numFmtId="0" fontId="19" fillId="0" borderId="38" xfId="0" applyFont="1" applyBorder="1" applyAlignment="1">
      <alignment horizontal="center" vertical="center"/>
    </xf>
    <xf numFmtId="0" fontId="19" fillId="0" borderId="7"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shrinkToFit="1"/>
    </xf>
    <xf numFmtId="0" fontId="19" fillId="0" borderId="38" xfId="0" applyFont="1" applyBorder="1" applyAlignment="1">
      <alignment horizontal="center" vertical="center" shrinkToFit="1"/>
    </xf>
    <xf numFmtId="0" fontId="19" fillId="0" borderId="7"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0" xfId="0" applyFont="1">
      <alignment vertical="center"/>
    </xf>
    <xf numFmtId="185" fontId="19" fillId="0" borderId="7" xfId="0" applyNumberFormat="1" applyFont="1" applyBorder="1" applyAlignment="1">
      <alignment horizontal="center" vertical="center"/>
    </xf>
    <xf numFmtId="185" fontId="19" fillId="0" borderId="1" xfId="0" applyNumberFormat="1" applyFont="1" applyBorder="1" applyAlignment="1">
      <alignment horizontal="center" vertical="center"/>
    </xf>
    <xf numFmtId="0" fontId="19" fillId="2" borderId="38" xfId="0" applyFont="1" applyFill="1" applyBorder="1" applyAlignment="1">
      <alignment horizontal="center" vertical="center"/>
    </xf>
    <xf numFmtId="176" fontId="19" fillId="2" borderId="7" xfId="0" applyNumberFormat="1" applyFont="1" applyFill="1" applyBorder="1" applyAlignment="1">
      <alignment horizontal="center" vertical="center"/>
    </xf>
    <xf numFmtId="176" fontId="19" fillId="2" borderId="1" xfId="0" applyNumberFormat="1" applyFont="1" applyFill="1" applyBorder="1" applyAlignment="1">
      <alignment horizontal="center" vertical="center"/>
    </xf>
    <xf numFmtId="0" fontId="19" fillId="2" borderId="43" xfId="0" applyFont="1" applyFill="1" applyBorder="1" applyAlignment="1">
      <alignment horizontal="center" vertical="center"/>
    </xf>
    <xf numFmtId="176" fontId="19" fillId="2" borderId="10" xfId="0" applyNumberFormat="1" applyFont="1" applyFill="1" applyBorder="1" applyAlignment="1">
      <alignment horizontal="center" vertical="center"/>
    </xf>
    <xf numFmtId="176" fontId="19" fillId="2" borderId="11" xfId="0" applyNumberFormat="1" applyFont="1" applyFill="1" applyBorder="1" applyAlignment="1">
      <alignment horizontal="center" vertical="center"/>
    </xf>
    <xf numFmtId="0" fontId="11" fillId="0" borderId="0" xfId="0" applyFont="1">
      <alignment vertical="center"/>
    </xf>
    <xf numFmtId="0" fontId="8" fillId="0" borderId="0" xfId="1" applyFont="1" applyAlignment="1">
      <alignment horizontal="center" vertical="center" shrinkToFit="1"/>
    </xf>
    <xf numFmtId="0" fontId="8" fillId="0" borderId="8" xfId="1" applyFont="1" applyBorder="1" applyAlignment="1">
      <alignment horizontal="center" vertical="center" shrinkToFit="1"/>
    </xf>
    <xf numFmtId="0" fontId="11" fillId="0" borderId="0" xfId="0" applyFont="1" applyProtection="1">
      <alignment vertical="center"/>
      <protection locked="0"/>
    </xf>
    <xf numFmtId="49" fontId="8" fillId="0" borderId="5" xfId="1" applyNumberFormat="1" applyFont="1" applyBorder="1" applyAlignment="1" applyProtection="1">
      <alignment vertical="center"/>
      <protection locked="0"/>
    </xf>
    <xf numFmtId="0" fontId="11" fillId="0" borderId="3" xfId="0" applyFont="1" applyBorder="1" applyAlignment="1" applyProtection="1">
      <alignment horizontal="center" vertical="center"/>
      <protection locked="0"/>
    </xf>
    <xf numFmtId="0" fontId="11" fillId="0" borderId="3" xfId="0" applyFont="1" applyBorder="1" applyProtection="1">
      <alignment vertical="center"/>
      <protection locked="0"/>
    </xf>
    <xf numFmtId="176" fontId="11" fillId="0" borderId="0" xfId="0" applyNumberFormat="1" applyFont="1" applyAlignment="1" applyProtection="1">
      <alignment horizontal="center" vertical="center"/>
      <protection locked="0"/>
    </xf>
    <xf numFmtId="0" fontId="11" fillId="0" borderId="6" xfId="0" applyFont="1" applyBorder="1" applyProtection="1">
      <alignment vertical="center"/>
      <protection locked="0"/>
    </xf>
    <xf numFmtId="176" fontId="11" fillId="0" borderId="6" xfId="0" applyNumberFormat="1" applyFont="1" applyBorder="1" applyAlignment="1" applyProtection="1">
      <alignment horizontal="center" vertical="center"/>
      <protection locked="0"/>
    </xf>
    <xf numFmtId="0" fontId="10" fillId="0" borderId="4" xfId="2" applyBorder="1">
      <alignment vertical="center"/>
    </xf>
    <xf numFmtId="0" fontId="10" fillId="0" borderId="26" xfId="2" applyBorder="1">
      <alignment vertical="center"/>
    </xf>
    <xf numFmtId="0" fontId="10" fillId="0" borderId="60" xfId="2" applyBorder="1">
      <alignment vertical="center"/>
    </xf>
    <xf numFmtId="0" fontId="0" fillId="0" borderId="1" xfId="0" applyBorder="1" applyAlignment="1">
      <alignment horizontal="center" vertical="center"/>
    </xf>
    <xf numFmtId="0" fontId="10" fillId="3" borderId="0" xfId="2" applyFill="1">
      <alignment vertical="center"/>
    </xf>
    <xf numFmtId="0" fontId="11" fillId="0" borderId="0" xfId="0" applyFont="1" applyAlignment="1">
      <alignment vertical="center" shrinkToFit="1"/>
    </xf>
    <xf numFmtId="49" fontId="19" fillId="0" borderId="1" xfId="0" applyNumberFormat="1" applyFont="1" applyBorder="1" applyAlignment="1" applyProtection="1">
      <alignment horizontal="center" vertical="center"/>
      <protection locked="0"/>
    </xf>
    <xf numFmtId="56" fontId="0" fillId="0" borderId="1" xfId="0" applyNumberFormat="1" applyBorder="1" applyAlignment="1">
      <alignment horizontal="center" vertical="center"/>
    </xf>
    <xf numFmtId="181" fontId="0" fillId="0" borderId="1" xfId="0" applyNumberFormat="1" applyBorder="1" applyAlignment="1">
      <alignment horizontal="center" vertical="center" shrinkToFit="1"/>
    </xf>
    <xf numFmtId="0" fontId="0" fillId="0" borderId="4" xfId="0" applyBorder="1" applyAlignment="1">
      <alignment horizontal="center" vertical="center" shrinkToFit="1"/>
    </xf>
    <xf numFmtId="181" fontId="0" fillId="0" borderId="4" xfId="0" applyNumberFormat="1" applyBorder="1" applyAlignment="1">
      <alignment horizontal="center" vertical="center" shrinkToFit="1"/>
    </xf>
    <xf numFmtId="0" fontId="0" fillId="0" borderId="1" xfId="0" applyBorder="1" applyAlignment="1">
      <alignment horizontal="center" vertical="center" shrinkToFit="1"/>
    </xf>
    <xf numFmtId="181" fontId="11" fillId="0" borderId="0" xfId="0"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176" fontId="11" fillId="0" borderId="0" xfId="0" applyNumberFormat="1" applyFont="1" applyAlignment="1">
      <alignment vertical="center" shrinkToFit="1"/>
    </xf>
    <xf numFmtId="177" fontId="11" fillId="0" borderId="0" xfId="0" applyNumberFormat="1" applyFont="1" applyAlignment="1">
      <alignment horizontal="center" vertical="center" shrinkToFit="1"/>
    </xf>
    <xf numFmtId="178" fontId="11" fillId="0" borderId="0" xfId="0" applyNumberFormat="1" applyFont="1" applyAlignment="1">
      <alignment horizontal="center" vertical="center" shrinkToFit="1"/>
    </xf>
    <xf numFmtId="0" fontId="11" fillId="0" borderId="6" xfId="0" applyFont="1" applyBorder="1" applyAlignment="1">
      <alignment vertical="center" shrinkToFit="1"/>
    </xf>
    <xf numFmtId="177" fontId="11" fillId="0" borderId="6" xfId="0" applyNumberFormat="1" applyFont="1" applyBorder="1" applyAlignment="1">
      <alignment horizontal="center" vertical="center" shrinkToFit="1"/>
    </xf>
    <xf numFmtId="178" fontId="11" fillId="0" borderId="6" xfId="0" applyNumberFormat="1" applyFont="1" applyBorder="1" applyAlignment="1">
      <alignment horizontal="center" vertical="center" shrinkToFit="1"/>
    </xf>
    <xf numFmtId="0" fontId="11" fillId="0" borderId="8" xfId="0" applyFont="1" applyBorder="1" applyAlignment="1">
      <alignment vertical="center" shrinkToFit="1"/>
    </xf>
    <xf numFmtId="0" fontId="7" fillId="0" borderId="0" xfId="1" applyFont="1" applyAlignment="1">
      <alignment horizontal="center" vertical="center" shrinkToFit="1"/>
    </xf>
    <xf numFmtId="0" fontId="7" fillId="0" borderId="0" xfId="1" applyFont="1" applyAlignment="1">
      <alignment shrinkToFit="1"/>
    </xf>
    <xf numFmtId="0" fontId="7" fillId="0" borderId="8" xfId="1" applyFont="1" applyBorder="1" applyAlignment="1">
      <alignment horizontal="center" vertical="center" shrinkToFit="1"/>
    </xf>
    <xf numFmtId="0" fontId="7" fillId="0" borderId="0" xfId="1" applyFont="1" applyAlignment="1">
      <alignment horizontal="left" shrinkToFit="1"/>
    </xf>
    <xf numFmtId="0" fontId="7" fillId="0" borderId="3" xfId="1" applyFont="1" applyBorder="1" applyAlignment="1">
      <alignment horizontal="center" vertical="center" shrinkToFit="1"/>
    </xf>
    <xf numFmtId="0" fontId="7" fillId="0" borderId="7" xfId="1" applyFont="1" applyBorder="1" applyAlignment="1">
      <alignment horizontal="center" vertical="center" shrinkToFit="1"/>
    </xf>
    <xf numFmtId="0" fontId="7" fillId="0" borderId="3" xfId="1" applyFont="1" applyBorder="1" applyAlignment="1">
      <alignment horizontal="centerContinuous" vertical="center" shrinkToFit="1"/>
    </xf>
    <xf numFmtId="0" fontId="22" fillId="0" borderId="0" xfId="0" applyFont="1" applyAlignment="1">
      <alignment horizontal="left" vertical="center"/>
    </xf>
    <xf numFmtId="0" fontId="23" fillId="5" borderId="44" xfId="0" applyFont="1" applyFill="1" applyBorder="1" applyAlignment="1" applyProtection="1">
      <alignment horizontal="center" vertical="center"/>
      <protection locked="0"/>
    </xf>
    <xf numFmtId="0" fontId="21" fillId="0" borderId="0" xfId="0" applyFont="1" applyAlignment="1">
      <alignment horizontal="left" vertical="center"/>
    </xf>
    <xf numFmtId="176" fontId="8" fillId="0" borderId="0" xfId="0" applyNumberFormat="1" applyFont="1" applyAlignment="1">
      <alignment vertical="center" shrinkToFit="1"/>
    </xf>
    <xf numFmtId="177" fontId="8" fillId="0" borderId="0" xfId="0" applyNumberFormat="1" applyFont="1" applyAlignment="1">
      <alignment horizontal="center" vertical="center" shrinkToFit="1"/>
    </xf>
    <xf numFmtId="178" fontId="8" fillId="0" borderId="0" xfId="0" applyNumberFormat="1" applyFont="1" applyAlignment="1">
      <alignment horizontal="center" vertical="center" shrinkToFit="1"/>
    </xf>
    <xf numFmtId="0" fontId="8" fillId="0" borderId="0" xfId="0" applyFont="1" applyAlignment="1">
      <alignment vertical="center" shrinkToFit="1"/>
    </xf>
    <xf numFmtId="0" fontId="8" fillId="0" borderId="6" xfId="0" applyFont="1" applyBorder="1" applyAlignment="1">
      <alignment vertical="center" shrinkToFit="1"/>
    </xf>
    <xf numFmtId="177" fontId="8" fillId="0" borderId="6" xfId="0" applyNumberFormat="1" applyFont="1" applyBorder="1" applyAlignment="1">
      <alignment horizontal="center" vertical="center" shrinkToFit="1"/>
    </xf>
    <xf numFmtId="178" fontId="8" fillId="0" borderId="6" xfId="0" applyNumberFormat="1" applyFont="1" applyBorder="1" applyAlignment="1">
      <alignment horizontal="center" vertical="center" shrinkToFit="1"/>
    </xf>
    <xf numFmtId="0" fontId="0" fillId="6" borderId="0" xfId="0" applyFill="1">
      <alignment vertical="center"/>
    </xf>
    <xf numFmtId="0" fontId="24" fillId="0" borderId="0" xfId="0" applyFont="1">
      <alignment vertical="center"/>
    </xf>
    <xf numFmtId="0" fontId="24" fillId="0" borderId="2" xfId="0" applyFont="1" applyBorder="1" applyAlignment="1">
      <alignment horizontal="centerContinuous" vertical="center"/>
    </xf>
    <xf numFmtId="0" fontId="24" fillId="0" borderId="3" xfId="0" applyFont="1" applyBorder="1" applyAlignment="1">
      <alignment horizontal="centerContinuous" vertical="center"/>
    </xf>
    <xf numFmtId="0" fontId="24" fillId="0" borderId="7" xfId="0" applyFont="1" applyBorder="1" applyAlignment="1">
      <alignment horizontal="centerContinuous" vertical="center"/>
    </xf>
    <xf numFmtId="0" fontId="24" fillId="0" borderId="55" xfId="0" applyFont="1" applyBorder="1">
      <alignment vertical="center"/>
    </xf>
    <xf numFmtId="0" fontId="24" fillId="0" borderId="48" xfId="0" applyFont="1" applyBorder="1" applyAlignment="1" applyProtection="1">
      <alignment vertical="center" shrinkToFit="1"/>
      <protection locked="0"/>
    </xf>
    <xf numFmtId="0" fontId="24" fillId="0" borderId="49" xfId="0" applyFont="1" applyBorder="1" applyAlignment="1" applyProtection="1">
      <alignment vertical="center" shrinkToFit="1"/>
      <protection locked="0"/>
    </xf>
    <xf numFmtId="49" fontId="24" fillId="0" borderId="49" xfId="0" applyNumberFormat="1" applyFont="1" applyBorder="1" applyAlignment="1" applyProtection="1">
      <alignment vertical="center" shrinkToFit="1"/>
      <protection locked="0"/>
    </xf>
    <xf numFmtId="0" fontId="24" fillId="0" borderId="50" xfId="0" applyFont="1" applyBorder="1" applyAlignment="1" applyProtection="1">
      <alignment vertical="center" shrinkToFit="1"/>
      <protection locked="0"/>
    </xf>
    <xf numFmtId="0" fontId="24" fillId="0" borderId="48" xfId="0" applyFont="1" applyBorder="1" applyProtection="1">
      <alignment vertical="center"/>
      <protection locked="0"/>
    </xf>
    <xf numFmtId="0" fontId="24" fillId="0" borderId="51" xfId="0" applyFont="1" applyBorder="1" applyAlignment="1" applyProtection="1">
      <alignment vertical="center" shrinkToFit="1"/>
      <protection locked="0"/>
    </xf>
    <xf numFmtId="0" fontId="24" fillId="0" borderId="0" xfId="0" applyFont="1" applyAlignment="1" applyProtection="1">
      <alignment vertical="center" shrinkToFit="1"/>
      <protection locked="0"/>
    </xf>
    <xf numFmtId="49" fontId="24" fillId="0" borderId="0" xfId="0" applyNumberFormat="1" applyFont="1" applyAlignment="1" applyProtection="1">
      <alignment vertical="center" shrinkToFit="1"/>
      <protection locked="0"/>
    </xf>
    <xf numFmtId="0" fontId="24" fillId="0" borderId="42" xfId="0" applyFont="1" applyBorder="1" applyAlignment="1" applyProtection="1">
      <alignment vertical="center" shrinkToFit="1"/>
      <protection locked="0"/>
    </xf>
    <xf numFmtId="0" fontId="24" fillId="0" borderId="51" xfId="0" applyFont="1" applyBorder="1" applyProtection="1">
      <alignment vertical="center"/>
      <protection locked="0"/>
    </xf>
    <xf numFmtId="0" fontId="24" fillId="0" borderId="42" xfId="0" applyFont="1" applyBorder="1" applyAlignment="1" applyProtection="1">
      <alignment horizontal="center" vertical="center"/>
      <protection locked="0"/>
    </xf>
    <xf numFmtId="0" fontId="24" fillId="0" borderId="52" xfId="0" applyFont="1" applyBorder="1" applyAlignment="1" applyProtection="1">
      <alignment vertical="center" shrinkToFit="1"/>
      <protection locked="0"/>
    </xf>
    <xf numFmtId="0" fontId="24" fillId="0" borderId="53" xfId="0" applyFont="1" applyBorder="1" applyAlignment="1" applyProtection="1">
      <alignment vertical="center" shrinkToFit="1"/>
      <protection locked="0"/>
    </xf>
    <xf numFmtId="49" fontId="24" fillId="0" borderId="53" xfId="0" applyNumberFormat="1" applyFont="1" applyBorder="1" applyAlignment="1" applyProtection="1">
      <alignment vertical="center" shrinkToFit="1"/>
      <protection locked="0"/>
    </xf>
    <xf numFmtId="0" fontId="24" fillId="0" borderId="54" xfId="0" applyFont="1" applyBorder="1" applyAlignment="1" applyProtection="1">
      <alignment vertical="center" shrinkToFit="1"/>
      <protection locked="0"/>
    </xf>
    <xf numFmtId="0" fontId="24" fillId="0" borderId="52" xfId="0" applyFont="1" applyBorder="1" applyProtection="1">
      <alignment vertical="center"/>
      <protection locked="0"/>
    </xf>
    <xf numFmtId="0" fontId="24" fillId="0" borderId="54" xfId="0" applyFont="1" applyBorder="1" applyAlignment="1" applyProtection="1">
      <alignment horizontal="center" vertical="center"/>
      <protection locked="0"/>
    </xf>
    <xf numFmtId="0" fontId="24" fillId="0" borderId="4" xfId="0" applyFont="1" applyBorder="1" applyAlignment="1">
      <alignment horizontal="center" vertical="center"/>
    </xf>
    <xf numFmtId="0" fontId="24" fillId="0" borderId="55" xfId="0" applyFont="1" applyBorder="1" applyAlignment="1">
      <alignment vertical="center" shrinkToFit="1"/>
    </xf>
    <xf numFmtId="0" fontId="24" fillId="0" borderId="13" xfId="0" applyFont="1" applyBorder="1" applyAlignment="1">
      <alignment vertical="center" shrinkToFit="1"/>
    </xf>
    <xf numFmtId="0" fontId="24" fillId="0" borderId="13" xfId="0" quotePrefix="1" applyFont="1" applyBorder="1" applyAlignment="1">
      <alignment vertical="center" shrinkToFit="1"/>
    </xf>
    <xf numFmtId="0" fontId="24" fillId="0" borderId="8" xfId="0" applyFont="1" applyBorder="1" applyAlignment="1">
      <alignment vertical="center" shrinkToFit="1"/>
    </xf>
    <xf numFmtId="0" fontId="24" fillId="0" borderId="0" xfId="0" applyFont="1" applyAlignment="1">
      <alignment vertical="center" shrinkToFit="1"/>
    </xf>
    <xf numFmtId="0" fontId="24" fillId="0" borderId="58" xfId="0" applyFont="1" applyBorder="1" applyAlignment="1">
      <alignment vertical="center" shrinkToFit="1"/>
    </xf>
    <xf numFmtId="0" fontId="24" fillId="0" borderId="56" xfId="0" applyFont="1" applyBorder="1" applyAlignment="1">
      <alignment vertical="center" shrinkToFit="1"/>
    </xf>
    <xf numFmtId="0" fontId="24" fillId="0" borderId="57" xfId="0" applyFont="1" applyBorder="1" applyAlignment="1">
      <alignment vertical="center" shrinkToFit="1"/>
    </xf>
    <xf numFmtId="181" fontId="19" fillId="0" borderId="39" xfId="0" applyNumberFormat="1" applyFont="1" applyBorder="1" applyAlignment="1" applyProtection="1">
      <alignment horizontal="center" vertical="center"/>
      <protection locked="0"/>
    </xf>
    <xf numFmtId="181" fontId="19" fillId="0" borderId="46" xfId="0" applyNumberFormat="1" applyFont="1" applyBorder="1" applyAlignment="1" applyProtection="1">
      <alignment horizontal="center" vertical="center"/>
      <protection locked="0"/>
    </xf>
    <xf numFmtId="176" fontId="25" fillId="2" borderId="7" xfId="0" applyNumberFormat="1" applyFont="1" applyFill="1" applyBorder="1" applyAlignment="1">
      <alignment horizontal="center" vertical="center"/>
    </xf>
    <xf numFmtId="176" fontId="25" fillId="2" borderId="1" xfId="0" applyNumberFormat="1" applyFont="1" applyFill="1" applyBorder="1" applyAlignment="1">
      <alignment horizontal="center" vertical="center"/>
    </xf>
    <xf numFmtId="0" fontId="20" fillId="0" borderId="0" xfId="4" applyAlignment="1">
      <alignment vertical="center" shrinkToFit="1"/>
    </xf>
    <xf numFmtId="0" fontId="20" fillId="0" borderId="0" xfId="4">
      <alignment vertical="center"/>
    </xf>
    <xf numFmtId="0" fontId="24" fillId="2" borderId="0" xfId="0" applyFont="1" applyFill="1">
      <alignment vertical="center"/>
    </xf>
    <xf numFmtId="181" fontId="10" fillId="3" borderId="1" xfId="2" applyNumberFormat="1" applyFill="1" applyBorder="1" applyAlignment="1" applyProtection="1">
      <alignment horizontal="left" vertical="center"/>
      <protection locked="0"/>
    </xf>
    <xf numFmtId="184" fontId="10" fillId="3" borderId="1" xfId="2" applyNumberFormat="1" applyFill="1" applyBorder="1" applyAlignment="1" applyProtection="1">
      <alignment horizontal="left" vertical="center"/>
      <protection locked="0"/>
    </xf>
    <xf numFmtId="181" fontId="10" fillId="3" borderId="26" xfId="2" applyNumberFormat="1" applyFill="1" applyBorder="1" applyAlignment="1" applyProtection="1">
      <alignment horizontal="left" vertical="center"/>
      <protection locked="0"/>
    </xf>
    <xf numFmtId="0" fontId="10" fillId="3" borderId="21" xfId="2" applyFill="1" applyBorder="1" applyAlignment="1" applyProtection="1">
      <alignment horizontal="left" vertical="center"/>
      <protection locked="0"/>
    </xf>
    <xf numFmtId="0" fontId="10" fillId="3" borderId="4" xfId="2" applyFill="1" applyBorder="1" applyAlignment="1" applyProtection="1">
      <alignment horizontal="left" vertical="center"/>
      <protection locked="0"/>
    </xf>
    <xf numFmtId="14" fontId="10" fillId="4" borderId="1" xfId="2" applyNumberFormat="1" applyFill="1" applyBorder="1" applyAlignment="1" applyProtection="1">
      <alignment horizontal="left" vertical="center"/>
      <protection locked="0"/>
    </xf>
    <xf numFmtId="0" fontId="10" fillId="4" borderId="1" xfId="2" applyFill="1" applyBorder="1" applyAlignment="1" applyProtection="1">
      <alignment horizontal="left" vertical="center"/>
      <protection locked="0"/>
    </xf>
    <xf numFmtId="181" fontId="10" fillId="3" borderId="59" xfId="2" applyNumberFormat="1" applyFill="1" applyBorder="1" applyAlignment="1" applyProtection="1">
      <alignment horizontal="left" vertical="center"/>
      <protection locked="0"/>
    </xf>
    <xf numFmtId="181" fontId="10" fillId="3" borderId="27" xfId="2" applyNumberFormat="1" applyFill="1" applyBorder="1" applyAlignment="1" applyProtection="1">
      <alignment horizontal="left" vertical="center"/>
      <protection locked="0"/>
    </xf>
    <xf numFmtId="0" fontId="10" fillId="3" borderId="60" xfId="2" applyFill="1" applyBorder="1" applyAlignment="1" applyProtection="1">
      <alignment horizontal="left" vertical="center"/>
      <protection locked="0"/>
    </xf>
    <xf numFmtId="0" fontId="10" fillId="0" borderId="13" xfId="2" applyBorder="1" applyProtection="1">
      <alignment vertical="center"/>
      <protection locked="0"/>
    </xf>
    <xf numFmtId="0" fontId="24" fillId="0" borderId="49" xfId="0" applyFont="1" applyBorder="1" applyAlignment="1" applyProtection="1">
      <alignment horizontal="center" vertical="center"/>
      <protection locked="0"/>
    </xf>
    <xf numFmtId="0" fontId="24" fillId="0" borderId="0" xfId="0" applyFont="1" applyAlignment="1" applyProtection="1">
      <alignment horizontal="center" vertical="center"/>
      <protection locked="0"/>
    </xf>
    <xf numFmtId="0" fontId="24" fillId="0" borderId="53" xfId="0" applyFont="1" applyBorder="1" applyAlignment="1" applyProtection="1">
      <alignment horizontal="center" vertical="center"/>
      <protection locked="0"/>
    </xf>
    <xf numFmtId="0" fontId="0" fillId="0" borderId="8" xfId="0" applyBorder="1">
      <alignment vertical="center"/>
    </xf>
    <xf numFmtId="0" fontId="24" fillId="0" borderId="56" xfId="0" applyFont="1" applyBorder="1">
      <alignment vertical="center"/>
    </xf>
    <xf numFmtId="0" fontId="24" fillId="0" borderId="2" xfId="0" applyFont="1" applyBorder="1">
      <alignment vertical="center"/>
    </xf>
    <xf numFmtId="0" fontId="24" fillId="0" borderId="13" xfId="0" applyFont="1" applyBorder="1">
      <alignment vertical="center"/>
    </xf>
    <xf numFmtId="0" fontId="0" fillId="0" borderId="3" xfId="0" applyBorder="1">
      <alignment vertical="center"/>
    </xf>
    <xf numFmtId="0" fontId="0" fillId="0" borderId="7" xfId="0" applyBorder="1">
      <alignment vertical="center"/>
    </xf>
    <xf numFmtId="0" fontId="24" fillId="0" borderId="53" xfId="0" applyFont="1" applyBorder="1">
      <alignment vertical="center"/>
    </xf>
    <xf numFmtId="0" fontId="28" fillId="0" borderId="49" xfId="0" applyFont="1" applyBorder="1" applyAlignment="1" applyProtection="1">
      <alignment horizontal="center" vertical="center"/>
      <protection locked="0"/>
    </xf>
    <xf numFmtId="0" fontId="28" fillId="0" borderId="50" xfId="0" applyFont="1" applyBorder="1" applyAlignment="1" applyProtection="1">
      <alignment horizontal="center" vertical="center"/>
      <protection locked="0"/>
    </xf>
    <xf numFmtId="0" fontId="28" fillId="0" borderId="0" xfId="0" applyFont="1" applyAlignment="1" applyProtection="1">
      <alignment horizontal="center" vertical="center"/>
      <protection locked="0"/>
    </xf>
    <xf numFmtId="0" fontId="24" fillId="0" borderId="57" xfId="0" applyFont="1" applyBorder="1">
      <alignment vertical="center"/>
    </xf>
    <xf numFmtId="0" fontId="0" fillId="0" borderId="0" xfId="0" applyProtection="1">
      <alignment vertical="center"/>
      <protection locked="0"/>
    </xf>
    <xf numFmtId="177" fontId="29" fillId="0" borderId="0" xfId="0" applyNumberFormat="1" applyFont="1" applyAlignment="1">
      <alignment horizontal="center" vertical="center" shrinkToFit="1"/>
    </xf>
    <xf numFmtId="178" fontId="29" fillId="0" borderId="0" xfId="0" applyNumberFormat="1" applyFont="1" applyAlignment="1">
      <alignment horizontal="center" vertical="center" shrinkToFit="1"/>
    </xf>
    <xf numFmtId="177" fontId="29" fillId="0" borderId="6" xfId="0" applyNumberFormat="1" applyFont="1" applyBorder="1" applyAlignment="1">
      <alignment horizontal="center" vertical="center" shrinkToFit="1"/>
    </xf>
    <xf numFmtId="178" fontId="29" fillId="0" borderId="6" xfId="0" applyNumberFormat="1" applyFont="1" applyBorder="1" applyAlignment="1">
      <alignment horizontal="center" vertical="center" shrinkToFit="1"/>
    </xf>
    <xf numFmtId="186" fontId="11" fillId="0" borderId="0" xfId="0" applyNumberFormat="1" applyFont="1" applyAlignment="1" applyProtection="1">
      <alignment horizontal="center" vertical="center"/>
      <protection locked="0"/>
    </xf>
    <xf numFmtId="186" fontId="11" fillId="0" borderId="0" xfId="0" applyNumberFormat="1" applyFont="1" applyProtection="1">
      <alignment vertical="center"/>
      <protection locked="0"/>
    </xf>
    <xf numFmtId="186" fontId="11" fillId="0" borderId="6" xfId="0" applyNumberFormat="1" applyFont="1" applyBorder="1" applyAlignment="1" applyProtection="1">
      <alignment horizontal="center" vertical="center"/>
      <protection locked="0"/>
    </xf>
    <xf numFmtId="186" fontId="11" fillId="0" borderId="6" xfId="0" applyNumberFormat="1" applyFont="1" applyBorder="1" applyProtection="1">
      <alignment vertical="center"/>
      <protection locked="0"/>
    </xf>
    <xf numFmtId="176" fontId="8" fillId="0" borderId="10" xfId="0" applyNumberFormat="1" applyFont="1" applyBorder="1" applyAlignment="1">
      <alignment horizontal="center" vertical="center" shrinkToFit="1"/>
    </xf>
    <xf numFmtId="176" fontId="8" fillId="0" borderId="8" xfId="0" applyNumberFormat="1" applyFont="1" applyBorder="1" applyAlignment="1">
      <alignment horizontal="center" vertical="center" shrinkToFit="1"/>
    </xf>
    <xf numFmtId="176" fontId="8" fillId="0" borderId="12" xfId="0" applyNumberFormat="1"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6" xfId="0" applyFont="1" applyBorder="1" applyAlignment="1">
      <alignment horizontal="center" vertical="center" shrinkToFit="1"/>
    </xf>
    <xf numFmtId="177" fontId="8" fillId="0" borderId="5" xfId="0" applyNumberFormat="1"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9" fillId="0" borderId="6" xfId="1" applyFont="1" applyBorder="1" applyAlignment="1" applyProtection="1">
      <alignment horizontal="center" vertical="center"/>
      <protection locked="0"/>
    </xf>
    <xf numFmtId="49" fontId="5" fillId="0" borderId="2" xfId="1" applyNumberFormat="1" applyFont="1" applyBorder="1" applyAlignment="1" applyProtection="1">
      <alignment horizontal="center" vertical="center" shrinkToFit="1"/>
      <protection locked="0"/>
    </xf>
    <xf numFmtId="49" fontId="5" fillId="0" borderId="7" xfId="1" applyNumberFormat="1" applyFont="1" applyBorder="1" applyAlignment="1" applyProtection="1">
      <alignment horizontal="center" vertical="center" shrinkToFit="1"/>
      <protection locked="0"/>
    </xf>
    <xf numFmtId="49" fontId="5" fillId="0" borderId="1" xfId="1" applyNumberFormat="1" applyFont="1" applyBorder="1" applyAlignment="1" applyProtection="1">
      <alignment horizontal="center" vertical="center" shrinkToFit="1"/>
      <protection locked="0"/>
    </xf>
    <xf numFmtId="49" fontId="8" fillId="0" borderId="1" xfId="1" applyNumberFormat="1" applyFont="1" applyBorder="1" applyAlignment="1" applyProtection="1">
      <alignment horizontal="center" vertical="center" shrinkToFit="1"/>
      <protection locked="0"/>
    </xf>
    <xf numFmtId="0" fontId="7" fillId="0" borderId="1" xfId="1" applyFont="1" applyBorder="1" applyAlignment="1" applyProtection="1">
      <alignment horizontal="center" shrinkToFit="1"/>
      <protection locked="0"/>
    </xf>
    <xf numFmtId="49" fontId="8" fillId="0" borderId="1" xfId="1" applyNumberFormat="1" applyFont="1" applyBorder="1" applyAlignment="1" applyProtection="1">
      <alignment horizontal="left" vertical="center" shrinkToFit="1"/>
      <protection locked="0"/>
    </xf>
    <xf numFmtId="0" fontId="7" fillId="0" borderId="1" xfId="1" applyFont="1" applyBorder="1" applyAlignment="1" applyProtection="1">
      <alignment horizontal="left" shrinkToFit="1"/>
      <protection locked="0"/>
    </xf>
    <xf numFmtId="176" fontId="29" fillId="0" borderId="10" xfId="0" applyNumberFormat="1" applyFont="1" applyBorder="1" applyAlignment="1">
      <alignment horizontal="center" vertical="center" shrinkToFit="1"/>
    </xf>
    <xf numFmtId="176" fontId="29" fillId="0" borderId="8" xfId="0" applyNumberFormat="1" applyFont="1" applyBorder="1" applyAlignment="1">
      <alignment horizontal="center" vertical="center" shrinkToFit="1"/>
    </xf>
    <xf numFmtId="176" fontId="29" fillId="0" borderId="12" xfId="0" applyNumberFormat="1" applyFont="1" applyBorder="1" applyAlignment="1">
      <alignment horizontal="center" vertical="center" shrinkToFit="1"/>
    </xf>
    <xf numFmtId="177" fontId="11" fillId="0" borderId="5" xfId="0" applyNumberFormat="1" applyFont="1" applyBorder="1" applyAlignment="1">
      <alignment horizontal="center" vertical="center" shrinkToFit="1"/>
    </xf>
    <xf numFmtId="176" fontId="11" fillId="0" borderId="10" xfId="0" applyNumberFormat="1" applyFont="1" applyBorder="1" applyAlignment="1">
      <alignment horizontal="center" vertical="center" shrinkToFit="1"/>
    </xf>
    <xf numFmtId="176" fontId="11" fillId="0" borderId="8" xfId="0" applyNumberFormat="1" applyFont="1" applyBorder="1" applyAlignment="1">
      <alignment horizontal="center" vertical="center" shrinkToFit="1"/>
    </xf>
    <xf numFmtId="176" fontId="11" fillId="0" borderId="12" xfId="0" applyNumberFormat="1" applyFont="1" applyBorder="1" applyAlignment="1">
      <alignment horizontal="center" vertical="center" shrinkToFit="1"/>
    </xf>
    <xf numFmtId="0" fontId="0" fillId="0" borderId="11" xfId="0" applyBorder="1" applyAlignment="1">
      <alignment horizontal="center" vertical="center" shrinkToFit="1"/>
    </xf>
    <xf numFmtId="0" fontId="0" fillId="0" borderId="4" xfId="0" applyBorder="1" applyAlignment="1">
      <alignment horizontal="center" vertical="center" shrinkToFit="1"/>
    </xf>
    <xf numFmtId="181" fontId="0" fillId="0" borderId="11" xfId="0" applyNumberFormat="1" applyBorder="1" applyAlignment="1">
      <alignment horizontal="center" vertical="center" shrinkToFit="1"/>
    </xf>
    <xf numFmtId="181" fontId="0" fillId="0" borderId="4" xfId="0" applyNumberFormat="1" applyBorder="1" applyAlignment="1">
      <alignment horizontal="center" vertical="center" shrinkToFit="1"/>
    </xf>
    <xf numFmtId="0" fontId="0" fillId="0" borderId="2" xfId="0" applyBorder="1" applyAlignment="1">
      <alignment horizontal="left" vertical="center" shrinkToFit="1"/>
    </xf>
    <xf numFmtId="0" fontId="0" fillId="0" borderId="3" xfId="0" applyBorder="1" applyAlignment="1">
      <alignment horizontal="left" vertical="center" shrinkToFit="1"/>
    </xf>
    <xf numFmtId="0" fontId="0" fillId="0" borderId="7" xfId="0" applyBorder="1" applyAlignment="1">
      <alignment horizontal="left" vertical="center" shrinkToFit="1"/>
    </xf>
    <xf numFmtId="0" fontId="0" fillId="0" borderId="9" xfId="0" applyBorder="1" applyAlignment="1">
      <alignment horizontal="left" vertical="center" shrinkToFit="1"/>
    </xf>
    <xf numFmtId="0" fontId="0" fillId="0" borderId="5" xfId="0" applyBorder="1" applyAlignment="1">
      <alignment horizontal="left" vertical="center" shrinkToFit="1"/>
    </xf>
    <xf numFmtId="0" fontId="0" fillId="0" borderId="10" xfId="0" applyBorder="1" applyAlignment="1">
      <alignment horizontal="left" vertical="center" shrinkToFit="1"/>
    </xf>
    <xf numFmtId="0" fontId="0" fillId="0" borderId="14" xfId="0" applyBorder="1" applyAlignment="1">
      <alignment horizontal="left" vertical="center" shrinkToFit="1"/>
    </xf>
    <xf numFmtId="0" fontId="0" fillId="0" borderId="6" xfId="0" applyBorder="1" applyAlignment="1">
      <alignment horizontal="left" vertical="center" shrinkToFit="1"/>
    </xf>
    <xf numFmtId="0" fontId="0" fillId="0" borderId="12" xfId="0" applyBorder="1" applyAlignment="1">
      <alignment horizontal="left" vertical="center" shrinkToFit="1"/>
    </xf>
    <xf numFmtId="0" fontId="26" fillId="7" borderId="9" xfId="4" applyFont="1" applyFill="1" applyBorder="1" applyAlignment="1" applyProtection="1">
      <alignment horizontal="center" vertical="center"/>
      <protection locked="0"/>
    </xf>
    <xf numFmtId="0" fontId="27" fillId="7" borderId="10" xfId="2" applyFont="1" applyFill="1" applyBorder="1" applyAlignment="1" applyProtection="1">
      <alignment horizontal="center" vertical="center"/>
      <protection locked="0"/>
    </xf>
    <xf numFmtId="0" fontId="27" fillId="7" borderId="14" xfId="2" applyFont="1" applyFill="1" applyBorder="1" applyAlignment="1" applyProtection="1">
      <alignment horizontal="center" vertical="center"/>
      <protection locked="0"/>
    </xf>
    <xf numFmtId="0" fontId="27" fillId="7" borderId="12" xfId="2" applyFont="1" applyFill="1" applyBorder="1" applyAlignment="1" applyProtection="1">
      <alignment horizontal="center" vertical="center"/>
      <protection locked="0"/>
    </xf>
    <xf numFmtId="0" fontId="10" fillId="0" borderId="2" xfId="2" applyBorder="1" applyAlignment="1">
      <alignment horizontal="center" vertical="center"/>
    </xf>
    <xf numFmtId="0" fontId="10" fillId="0" borderId="7" xfId="2" applyBorder="1" applyAlignment="1">
      <alignment horizontal="center" vertical="center"/>
    </xf>
    <xf numFmtId="0" fontId="15" fillId="0" borderId="21" xfId="2" applyFont="1" applyBorder="1" applyAlignment="1">
      <alignment horizontal="center" vertical="center"/>
    </xf>
    <xf numFmtId="0" fontId="15" fillId="0" borderId="22" xfId="2" applyFont="1" applyBorder="1" applyAlignment="1">
      <alignment horizontal="center" vertical="center"/>
    </xf>
    <xf numFmtId="0" fontId="15" fillId="0" borderId="23" xfId="2" applyFont="1" applyBorder="1" applyAlignment="1">
      <alignment horizontal="center" vertical="center"/>
    </xf>
    <xf numFmtId="183" fontId="15" fillId="0" borderId="21" xfId="2" applyNumberFormat="1" applyFont="1" applyBorder="1" applyAlignment="1">
      <alignment horizontal="center" vertical="center"/>
    </xf>
    <xf numFmtId="183" fontId="15" fillId="0" borderId="22" xfId="2" applyNumberFormat="1" applyFont="1" applyBorder="1" applyAlignment="1">
      <alignment horizontal="center" vertical="center"/>
    </xf>
    <xf numFmtId="183" fontId="15" fillId="0" borderId="23" xfId="2" applyNumberFormat="1" applyFont="1" applyBorder="1" applyAlignment="1">
      <alignment horizontal="center" vertical="center"/>
    </xf>
    <xf numFmtId="0" fontId="14" fillId="0" borderId="1" xfId="2" applyFont="1" applyBorder="1" applyAlignment="1">
      <alignment horizontal="center" vertical="center"/>
    </xf>
    <xf numFmtId="0" fontId="14" fillId="0" borderId="11" xfId="2" applyFont="1" applyBorder="1" applyAlignment="1">
      <alignment horizontal="center" vertical="center"/>
    </xf>
    <xf numFmtId="0" fontId="14" fillId="0" borderId="9" xfId="2" applyFont="1" applyBorder="1" applyAlignment="1">
      <alignment horizontal="center" vertical="center"/>
    </xf>
    <xf numFmtId="0" fontId="14" fillId="0" borderId="5" xfId="2" applyFont="1" applyBorder="1" applyAlignment="1">
      <alignment horizontal="center" vertical="center"/>
    </xf>
    <xf numFmtId="0" fontId="14" fillId="0" borderId="10" xfId="2" applyFont="1" applyBorder="1" applyAlignment="1">
      <alignment horizontal="center" vertical="center"/>
    </xf>
    <xf numFmtId="0" fontId="14" fillId="0" borderId="14" xfId="2" applyFont="1" applyBorder="1" applyAlignment="1">
      <alignment horizontal="center" vertical="center"/>
    </xf>
    <xf numFmtId="0" fontId="14" fillId="0" borderId="6" xfId="2" applyFont="1" applyBorder="1" applyAlignment="1">
      <alignment horizontal="center" vertical="center"/>
    </xf>
    <xf numFmtId="0" fontId="14" fillId="0" borderId="12" xfId="2" applyFont="1" applyBorder="1" applyAlignment="1">
      <alignment horizontal="center" vertical="center"/>
    </xf>
    <xf numFmtId="0" fontId="15" fillId="0" borderId="9" xfId="2" applyFont="1" applyBorder="1" applyAlignment="1">
      <alignment horizontal="center" vertical="center"/>
    </xf>
    <xf numFmtId="0" fontId="15" fillId="0" borderId="5" xfId="2" applyFont="1" applyBorder="1" applyAlignment="1">
      <alignment horizontal="center" vertical="center"/>
    </xf>
    <xf numFmtId="0" fontId="15" fillId="0" borderId="10" xfId="2" applyFont="1" applyBorder="1" applyAlignment="1">
      <alignment horizontal="center" vertical="center"/>
    </xf>
    <xf numFmtId="183" fontId="15" fillId="0" borderId="26" xfId="2" applyNumberFormat="1" applyFont="1" applyBorder="1" applyAlignment="1">
      <alignment horizontal="center" vertical="center"/>
    </xf>
    <xf numFmtId="183" fontId="15" fillId="0" borderId="28" xfId="2" applyNumberFormat="1" applyFont="1" applyBorder="1" applyAlignment="1">
      <alignment horizontal="center" vertical="center"/>
    </xf>
    <xf numFmtId="183" fontId="15" fillId="0" borderId="27" xfId="2" applyNumberFormat="1" applyFont="1" applyBorder="1" applyAlignment="1">
      <alignment horizontal="center" vertical="center"/>
    </xf>
    <xf numFmtId="0" fontId="14" fillId="0" borderId="29" xfId="2" applyFont="1" applyBorder="1" applyAlignment="1">
      <alignment horizontal="center" vertical="center"/>
    </xf>
    <xf numFmtId="0" fontId="14" fillId="0" borderId="30" xfId="2" applyFont="1" applyBorder="1" applyAlignment="1">
      <alignment horizontal="center" vertical="center"/>
    </xf>
    <xf numFmtId="178" fontId="14" fillId="0" borderId="32" xfId="2" applyNumberFormat="1" applyFont="1" applyBorder="1" applyAlignment="1">
      <alignment horizontal="center" vertical="center" shrinkToFit="1"/>
    </xf>
    <xf numFmtId="178" fontId="14" fillId="0" borderId="33" xfId="2" applyNumberFormat="1" applyFont="1" applyBorder="1" applyAlignment="1">
      <alignment horizontal="center" vertical="center" shrinkToFit="1"/>
    </xf>
    <xf numFmtId="178" fontId="14" fillId="0" borderId="34" xfId="2" applyNumberFormat="1" applyFont="1" applyBorder="1" applyAlignment="1">
      <alignment horizontal="center" vertical="center" shrinkToFit="1"/>
    </xf>
    <xf numFmtId="0" fontId="14" fillId="0" borderId="21" xfId="2" applyFont="1" applyBorder="1" applyAlignment="1">
      <alignment horizontal="center" vertical="center"/>
    </xf>
    <xf numFmtId="0" fontId="14" fillId="0" borderId="23" xfId="2" applyFont="1" applyBorder="1" applyAlignment="1">
      <alignment horizontal="center" vertical="center"/>
    </xf>
    <xf numFmtId="178" fontId="14" fillId="0" borderId="35" xfId="2" applyNumberFormat="1" applyFont="1" applyBorder="1" applyAlignment="1">
      <alignment horizontal="center" vertical="center" shrinkToFit="1"/>
    </xf>
    <xf numFmtId="178" fontId="14" fillId="0" borderId="36" xfId="2" applyNumberFormat="1" applyFont="1" applyBorder="1" applyAlignment="1">
      <alignment horizontal="center" vertical="center" shrinkToFit="1"/>
    </xf>
    <xf numFmtId="178" fontId="14" fillId="0" borderId="37" xfId="2" applyNumberFormat="1" applyFont="1" applyBorder="1" applyAlignment="1">
      <alignment horizontal="center" vertical="center" shrinkToFit="1"/>
    </xf>
    <xf numFmtId="178" fontId="14" fillId="0" borderId="29" xfId="2" applyNumberFormat="1" applyFont="1" applyBorder="1" applyAlignment="1">
      <alignment horizontal="center" vertical="center" shrinkToFit="1"/>
    </xf>
    <xf numFmtId="178" fontId="14" fillId="0" borderId="31" xfId="2" applyNumberFormat="1" applyFont="1" applyBorder="1" applyAlignment="1">
      <alignment horizontal="center" vertical="center" shrinkToFit="1"/>
    </xf>
    <xf numFmtId="178" fontId="14" fillId="0" borderId="30" xfId="2" applyNumberFormat="1" applyFont="1" applyBorder="1" applyAlignment="1">
      <alignment horizontal="center" vertical="center" shrinkToFit="1"/>
    </xf>
    <xf numFmtId="0" fontId="4" fillId="0" borderId="9" xfId="2" applyFont="1" applyBorder="1" applyAlignment="1">
      <alignment horizontal="center" vertical="center" shrinkToFit="1"/>
    </xf>
    <xf numFmtId="0" fontId="4" fillId="0" borderId="5"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4" xfId="2" applyFont="1" applyBorder="1" applyAlignment="1">
      <alignment horizontal="center" vertical="center" shrinkToFi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10" fillId="0" borderId="1" xfId="2" applyBorder="1" applyAlignment="1">
      <alignment horizontal="center" vertical="center" textRotation="255"/>
    </xf>
    <xf numFmtId="0" fontId="14" fillId="0" borderId="26" xfId="2" applyFont="1" applyBorder="1" applyAlignment="1">
      <alignment horizontal="center" vertical="center"/>
    </xf>
    <xf numFmtId="0" fontId="14" fillId="0" borderId="27" xfId="2" applyFont="1" applyBorder="1" applyAlignment="1">
      <alignment horizontal="center" vertical="center"/>
    </xf>
    <xf numFmtId="178" fontId="14" fillId="0" borderId="26" xfId="2" applyNumberFormat="1" applyFont="1" applyBorder="1" applyAlignment="1">
      <alignment horizontal="center" vertical="center" shrinkToFit="1"/>
    </xf>
    <xf numFmtId="178" fontId="14" fillId="0" borderId="28" xfId="2" applyNumberFormat="1" applyFont="1" applyBorder="1" applyAlignment="1">
      <alignment horizontal="center" vertical="center" shrinkToFit="1"/>
    </xf>
    <xf numFmtId="178" fontId="14" fillId="0" borderId="27" xfId="2" applyNumberFormat="1" applyFont="1" applyBorder="1" applyAlignment="1">
      <alignment horizontal="center" vertical="center" shrinkToFit="1"/>
    </xf>
    <xf numFmtId="0" fontId="17" fillId="0" borderId="11" xfId="2" applyFont="1" applyBorder="1" applyAlignment="1">
      <alignment horizontal="center" vertical="center"/>
    </xf>
    <xf numFmtId="178" fontId="16" fillId="0" borderId="5" xfId="2" applyNumberFormat="1" applyFont="1" applyBorder="1" applyAlignment="1">
      <alignment horizontal="center" vertical="center"/>
    </xf>
    <xf numFmtId="178" fontId="16" fillId="0" borderId="10" xfId="2" applyNumberFormat="1" applyFont="1" applyBorder="1" applyAlignment="1">
      <alignment horizontal="center" vertical="center"/>
    </xf>
    <xf numFmtId="0" fontId="17" fillId="0" borderId="4" xfId="2" applyFont="1" applyBorder="1" applyAlignment="1">
      <alignment horizontal="center" vertical="center"/>
    </xf>
    <xf numFmtId="178" fontId="16" fillId="0" borderId="6" xfId="2" applyNumberFormat="1" applyFont="1" applyBorder="1" applyAlignment="1">
      <alignment horizontal="center" vertical="center"/>
    </xf>
    <xf numFmtId="178" fontId="16" fillId="0" borderId="12" xfId="2" applyNumberFormat="1" applyFont="1" applyBorder="1" applyAlignment="1">
      <alignment horizontal="center" vertical="center"/>
    </xf>
    <xf numFmtId="182" fontId="16" fillId="0" borderId="9" xfId="2" applyNumberFormat="1" applyFont="1" applyBorder="1" applyAlignment="1">
      <alignment horizontal="center" vertical="center" shrinkToFit="1"/>
    </xf>
    <xf numFmtId="182" fontId="16" fillId="0" borderId="5" xfId="2" applyNumberFormat="1" applyFont="1" applyBorder="1" applyAlignment="1">
      <alignment horizontal="center" vertical="center" shrinkToFit="1"/>
    </xf>
    <xf numFmtId="182" fontId="16" fillId="0" borderId="10" xfId="2" applyNumberFormat="1" applyFont="1" applyBorder="1" applyAlignment="1">
      <alignment horizontal="center" vertical="center" shrinkToFit="1"/>
    </xf>
    <xf numFmtId="182" fontId="16" fillId="0" borderId="13" xfId="2" applyNumberFormat="1" applyFont="1" applyBorder="1" applyAlignment="1">
      <alignment horizontal="center" vertical="center" shrinkToFit="1"/>
    </xf>
    <xf numFmtId="182" fontId="16" fillId="0" borderId="0" xfId="2" applyNumberFormat="1" applyFont="1" applyAlignment="1">
      <alignment horizontal="center" vertical="center" shrinkToFit="1"/>
    </xf>
    <xf numFmtId="182" fontId="16" fillId="0" borderId="8" xfId="2" applyNumberFormat="1" applyFont="1" applyBorder="1" applyAlignment="1">
      <alignment horizontal="center" vertical="center" shrinkToFit="1"/>
    </xf>
    <xf numFmtId="0" fontId="16" fillId="0" borderId="21" xfId="2" applyFont="1" applyBorder="1" applyAlignment="1">
      <alignment horizontal="center" vertical="center"/>
    </xf>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7" fillId="0" borderId="21" xfId="2" applyFont="1" applyBorder="1" applyAlignment="1">
      <alignment horizontal="center" vertical="center" shrinkToFit="1"/>
    </xf>
    <xf numFmtId="0" fontId="17" fillId="0" borderId="24" xfId="2" applyFont="1" applyBorder="1" applyAlignment="1">
      <alignment horizontal="center" vertical="center" shrinkToFit="1"/>
    </xf>
    <xf numFmtId="0" fontId="17" fillId="0" borderId="25" xfId="2" applyFont="1" applyBorder="1" applyAlignment="1">
      <alignment horizontal="center" vertical="center" shrinkToFit="1"/>
    </xf>
    <xf numFmtId="0" fontId="17" fillId="0" borderId="23" xfId="2" applyFont="1" applyBorder="1" applyAlignment="1">
      <alignment horizontal="center" vertical="center" shrinkToFit="1"/>
    </xf>
    <xf numFmtId="0" fontId="10" fillId="0" borderId="9" xfId="2" applyBorder="1" applyAlignment="1">
      <alignment horizontal="center" vertical="center"/>
    </xf>
    <xf numFmtId="0" fontId="10" fillId="0" borderId="5" xfId="2" applyBorder="1" applyAlignment="1">
      <alignment horizontal="center" vertical="center"/>
    </xf>
    <xf numFmtId="0" fontId="10" fillId="0" borderId="10" xfId="2" applyBorder="1" applyAlignment="1">
      <alignment horizontal="center" vertical="center"/>
    </xf>
    <xf numFmtId="0" fontId="10" fillId="0" borderId="14" xfId="2" applyBorder="1" applyAlignment="1">
      <alignment horizontal="center" vertical="center"/>
    </xf>
    <xf numFmtId="0" fontId="10" fillId="0" borderId="6" xfId="2" applyBorder="1" applyAlignment="1">
      <alignment horizontal="center" vertical="center"/>
    </xf>
    <xf numFmtId="0" fontId="10" fillId="0" borderId="12" xfId="2" applyBorder="1" applyAlignment="1">
      <alignment horizontal="center" vertical="center"/>
    </xf>
    <xf numFmtId="0" fontId="12" fillId="0" borderId="9" xfId="2" applyFont="1" applyBorder="1" applyAlignment="1">
      <alignment horizontal="center" vertical="center"/>
    </xf>
    <xf numFmtId="0" fontId="12" fillId="0" borderId="5" xfId="2" applyFont="1" applyBorder="1" applyAlignment="1">
      <alignment horizontal="center" vertical="center"/>
    </xf>
    <xf numFmtId="0" fontId="12" fillId="0" borderId="13" xfId="2" applyFont="1" applyBorder="1" applyAlignment="1">
      <alignment horizontal="center" vertical="center"/>
    </xf>
    <xf numFmtId="0" fontId="12" fillId="0" borderId="0" xfId="2" applyFont="1" applyAlignment="1">
      <alignment horizontal="center" vertical="center"/>
    </xf>
    <xf numFmtId="0" fontId="12" fillId="0" borderId="14" xfId="2" applyFont="1" applyBorder="1" applyAlignment="1">
      <alignment horizontal="center" vertical="center"/>
    </xf>
    <xf numFmtId="0" fontId="12" fillId="0" borderId="6" xfId="2" applyFont="1" applyBorder="1" applyAlignment="1">
      <alignment horizontal="center" vertical="center"/>
    </xf>
    <xf numFmtId="0" fontId="12" fillId="0" borderId="10" xfId="2" applyFont="1" applyBorder="1" applyAlignment="1">
      <alignment horizontal="center" vertical="center"/>
    </xf>
    <xf numFmtId="0" fontId="12" fillId="0" borderId="8" xfId="2" applyFont="1" applyBorder="1" applyAlignment="1">
      <alignment horizontal="center" vertical="center"/>
    </xf>
    <xf numFmtId="0" fontId="12" fillId="0" borderId="12" xfId="2" applyFont="1" applyBorder="1" applyAlignment="1">
      <alignment horizontal="center" vertical="center"/>
    </xf>
    <xf numFmtId="0" fontId="10" fillId="0" borderId="9" xfId="2" applyBorder="1" applyAlignment="1">
      <alignment horizontal="left" vertical="center"/>
    </xf>
    <xf numFmtId="0" fontId="10" fillId="0" borderId="5" xfId="2" applyBorder="1" applyAlignment="1">
      <alignment horizontal="left" vertical="center"/>
    </xf>
    <xf numFmtId="0" fontId="10" fillId="0" borderId="10" xfId="2" applyBorder="1" applyAlignment="1">
      <alignment horizontal="left" vertical="center"/>
    </xf>
    <xf numFmtId="0" fontId="13" fillId="0" borderId="13" xfId="2" applyFont="1" applyBorder="1" applyAlignment="1">
      <alignment horizontal="center" vertical="center" shrinkToFit="1"/>
    </xf>
    <xf numFmtId="0" fontId="13" fillId="0" borderId="0" xfId="2" applyFont="1" applyAlignment="1">
      <alignment horizontal="center" vertical="center" shrinkToFit="1"/>
    </xf>
    <xf numFmtId="0" fontId="13" fillId="0" borderId="8" xfId="2" applyFont="1" applyBorder="1" applyAlignment="1">
      <alignment horizontal="center" vertical="center" shrinkToFit="1"/>
    </xf>
    <xf numFmtId="0" fontId="13" fillId="0" borderId="14" xfId="2" applyFont="1" applyBorder="1" applyAlignment="1">
      <alignment horizontal="center" vertical="center" shrinkToFit="1"/>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14" fillId="0" borderId="13" xfId="2" applyFont="1" applyBorder="1" applyAlignment="1">
      <alignment horizontal="center" vertical="center"/>
    </xf>
    <xf numFmtId="0" fontId="14" fillId="0" borderId="0" xfId="2" applyFont="1" applyAlignment="1">
      <alignment horizontal="center" vertical="center"/>
    </xf>
    <xf numFmtId="0" fontId="14" fillId="0" borderId="8" xfId="2" applyFont="1" applyBorder="1" applyAlignment="1">
      <alignment horizontal="center" vertical="center"/>
    </xf>
    <xf numFmtId="179" fontId="10" fillId="0" borderId="13" xfId="2" applyNumberFormat="1" applyBorder="1" applyAlignment="1">
      <alignment horizontal="center" vertical="center" shrinkToFit="1"/>
    </xf>
    <xf numFmtId="179" fontId="10" fillId="0" borderId="0" xfId="2" applyNumberFormat="1" applyAlignment="1">
      <alignment horizontal="center" vertical="center" shrinkToFit="1"/>
    </xf>
    <xf numFmtId="179" fontId="10" fillId="0" borderId="8" xfId="2" applyNumberFormat="1" applyBorder="1" applyAlignment="1">
      <alignment horizontal="center" vertical="center" shrinkToFit="1"/>
    </xf>
    <xf numFmtId="179" fontId="10" fillId="0" borderId="14" xfId="2" applyNumberFormat="1" applyBorder="1" applyAlignment="1">
      <alignment horizontal="center" vertical="center" shrinkToFit="1"/>
    </xf>
    <xf numFmtId="179" fontId="10" fillId="0" borderId="6" xfId="2" applyNumberFormat="1" applyBorder="1" applyAlignment="1">
      <alignment horizontal="center" vertical="center" shrinkToFit="1"/>
    </xf>
    <xf numFmtId="179" fontId="10" fillId="0" borderId="12" xfId="2" applyNumberFormat="1" applyBorder="1" applyAlignment="1">
      <alignment horizontal="center" vertical="center" shrinkToFit="1"/>
    </xf>
    <xf numFmtId="180" fontId="10" fillId="0" borderId="13" xfId="2" applyNumberFormat="1" applyBorder="1" applyAlignment="1">
      <alignment horizontal="center" vertical="center" shrinkToFit="1"/>
    </xf>
    <xf numFmtId="180" fontId="10" fillId="0" borderId="0" xfId="2" applyNumberFormat="1" applyAlignment="1">
      <alignment horizontal="center" vertical="center" shrinkToFit="1"/>
    </xf>
    <xf numFmtId="180" fontId="10" fillId="0" borderId="8" xfId="2" applyNumberFormat="1" applyBorder="1" applyAlignment="1">
      <alignment horizontal="center" vertical="center" shrinkToFit="1"/>
    </xf>
    <xf numFmtId="180" fontId="10" fillId="0" borderId="15" xfId="2" applyNumberFormat="1" applyBorder="1" applyAlignment="1">
      <alignment horizontal="center" vertical="center" shrinkToFit="1"/>
    </xf>
    <xf numFmtId="180" fontId="10" fillId="0" borderId="16" xfId="2" applyNumberFormat="1" applyBorder="1" applyAlignment="1">
      <alignment horizontal="center" vertical="center" shrinkToFit="1"/>
    </xf>
    <xf numFmtId="180" fontId="10" fillId="0" borderId="17" xfId="2" applyNumberFormat="1" applyBorder="1" applyAlignment="1">
      <alignment horizontal="center" vertical="center" shrinkToFit="1"/>
    </xf>
    <xf numFmtId="181" fontId="10" fillId="0" borderId="14" xfId="2" applyNumberFormat="1" applyBorder="1" applyAlignment="1">
      <alignment horizontal="center" vertical="center"/>
    </xf>
    <xf numFmtId="181" fontId="10" fillId="0" borderId="6" xfId="2" applyNumberFormat="1" applyBorder="1" applyAlignment="1">
      <alignment horizontal="center" vertical="center"/>
    </xf>
    <xf numFmtId="181" fontId="10" fillId="0" borderId="12" xfId="2" applyNumberFormat="1" applyBorder="1" applyAlignment="1">
      <alignment horizontal="center" vertical="center"/>
    </xf>
    <xf numFmtId="0" fontId="14" fillId="0" borderId="18" xfId="2" applyFont="1" applyBorder="1" applyAlignment="1">
      <alignment horizontal="center" vertical="center"/>
    </xf>
    <xf numFmtId="0" fontId="14" fillId="0" borderId="19" xfId="2" applyFont="1" applyBorder="1" applyAlignment="1">
      <alignment horizontal="center" vertical="center"/>
    </xf>
    <xf numFmtId="0" fontId="14" fillId="0" borderId="20" xfId="2" applyFont="1" applyBorder="1" applyAlignment="1">
      <alignment horizontal="center" vertical="center"/>
    </xf>
    <xf numFmtId="0" fontId="16" fillId="0" borderId="1" xfId="2" applyFont="1" applyBorder="1" applyAlignment="1">
      <alignment horizontal="center" vertical="center"/>
    </xf>
    <xf numFmtId="0" fontId="16" fillId="0" borderId="2" xfId="2" applyFont="1" applyBorder="1" applyAlignment="1">
      <alignment horizontal="center" vertical="center"/>
    </xf>
    <xf numFmtId="0" fontId="16" fillId="0" borderId="9" xfId="2" applyFont="1" applyBorder="1" applyAlignment="1">
      <alignment horizontal="right" vertical="center"/>
    </xf>
    <xf numFmtId="0" fontId="16" fillId="0" borderId="5" xfId="2" applyFont="1" applyBorder="1" applyAlignment="1">
      <alignment horizontal="right" vertical="center"/>
    </xf>
    <xf numFmtId="0" fontId="16" fillId="0" borderId="13" xfId="2" applyFont="1" applyBorder="1" applyAlignment="1">
      <alignment horizontal="right" vertical="center"/>
    </xf>
    <xf numFmtId="0" fontId="16" fillId="0" borderId="0" xfId="2" applyFont="1" applyAlignment="1">
      <alignment horizontal="right" vertical="center"/>
    </xf>
    <xf numFmtId="0" fontId="16" fillId="0" borderId="5" xfId="2" applyFont="1" applyBorder="1" applyAlignment="1">
      <alignment horizontal="left" vertical="center"/>
    </xf>
    <xf numFmtId="0" fontId="16" fillId="0" borderId="0" xfId="2" applyFont="1" applyAlignment="1">
      <alignment horizontal="left" vertical="center"/>
    </xf>
    <xf numFmtId="49" fontId="13" fillId="0" borderId="13" xfId="2" applyNumberFormat="1" applyFont="1" applyBorder="1" applyAlignment="1">
      <alignment horizontal="center" vertical="center" shrinkToFit="1"/>
    </xf>
    <xf numFmtId="0" fontId="14" fillId="0" borderId="5" xfId="2" applyFont="1" applyBorder="1" applyAlignment="1">
      <alignment horizontal="right"/>
    </xf>
    <xf numFmtId="0" fontId="14" fillId="0" borderId="10" xfId="2" applyFont="1" applyBorder="1" applyAlignment="1">
      <alignment horizontal="right"/>
    </xf>
    <xf numFmtId="0" fontId="14" fillId="0" borderId="0" xfId="2" applyFont="1" applyAlignment="1">
      <alignment horizontal="right"/>
    </xf>
    <xf numFmtId="0" fontId="14" fillId="0" borderId="8" xfId="2" applyFont="1" applyBorder="1" applyAlignment="1">
      <alignment horizontal="right"/>
    </xf>
    <xf numFmtId="0" fontId="14" fillId="0" borderId="6" xfId="2" applyFont="1" applyBorder="1" applyAlignment="1">
      <alignment horizontal="right"/>
    </xf>
    <xf numFmtId="0" fontId="14" fillId="0" borderId="12" xfId="2" applyFont="1" applyBorder="1" applyAlignment="1">
      <alignment horizontal="right"/>
    </xf>
    <xf numFmtId="0" fontId="16" fillId="0" borderId="14" xfId="2" applyFont="1" applyBorder="1" applyAlignment="1">
      <alignment horizontal="right" vertical="center"/>
    </xf>
    <xf numFmtId="0" fontId="16" fillId="0" borderId="6" xfId="2" applyFont="1" applyBorder="1" applyAlignment="1">
      <alignment horizontal="right" vertical="center"/>
    </xf>
    <xf numFmtId="0" fontId="16" fillId="0" borderId="0" xfId="2" applyFont="1">
      <alignment vertical="center"/>
    </xf>
    <xf numFmtId="0" fontId="16" fillId="0" borderId="6" xfId="2" applyFont="1" applyBorder="1">
      <alignment vertical="center"/>
    </xf>
    <xf numFmtId="0" fontId="16" fillId="0" borderId="6" xfId="2" applyFont="1" applyBorder="1" applyAlignment="1">
      <alignment horizontal="left" vertical="center"/>
    </xf>
  </cellXfs>
  <cellStyles count="5">
    <cellStyle name="ハイパーリンク" xfId="4" builtinId="8"/>
    <cellStyle name="標準" xfId="0" builtinId="0"/>
    <cellStyle name="標準 2" xfId="1" xr:uid="{417F8C6C-7DF6-41FE-AEDB-6EC0E62A5C71}"/>
    <cellStyle name="標準 3" xfId="2" xr:uid="{0E304694-D842-4B82-963F-2E1DE4D22714}"/>
    <cellStyle name="標準 4" xfId="3" xr:uid="{1EBA97D1-5269-4BFA-984F-7A577AD3897E}"/>
  </cellStyles>
  <dxfs count="16">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dxf>
    <dxf>
      <font>
        <b/>
        <i/>
        <color rgb="FFFF0000"/>
      </font>
      <fill>
        <patternFill>
          <bgColor rgb="FFFFFF00"/>
        </patternFill>
      </fill>
    </dxf>
    <dxf>
      <font>
        <color rgb="FFFF0000"/>
      </font>
    </dxf>
    <dxf>
      <fill>
        <patternFill>
          <bgColor theme="5" tint="0.59996337778862885"/>
        </patternFill>
      </fill>
    </dxf>
    <dxf>
      <fill>
        <patternFill>
          <bgColor theme="9" tint="0.59996337778862885"/>
        </patternFill>
      </fill>
    </dxf>
    <dxf>
      <fill>
        <patternFill>
          <bgColor theme="4" tint="0.59996337778862885"/>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696</xdr:colOff>
      <xdr:row>1</xdr:row>
      <xdr:rowOff>9123</xdr:rowOff>
    </xdr:from>
    <xdr:to>
      <xdr:col>5</xdr:col>
      <xdr:colOff>133766</xdr:colOff>
      <xdr:row>2</xdr:row>
      <xdr:rowOff>12131</xdr:rowOff>
    </xdr:to>
    <xdr:pic>
      <xdr:nvPicPr>
        <xdr:cNvPr id="2" name="図 1">
          <a:extLst>
            <a:ext uri="{FF2B5EF4-FFF2-40B4-BE49-F238E27FC236}">
              <a16:creationId xmlns:a16="http://schemas.microsoft.com/office/drawing/2014/main" id="{64BA9E09-99C5-4740-A85C-134008746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096" y="180573"/>
          <a:ext cx="814388" cy="174458"/>
        </a:xfrm>
        <a:prstGeom prst="rect">
          <a:avLst/>
        </a:prstGeom>
      </xdr:spPr>
    </xdr:pic>
    <xdr:clientData/>
  </xdr:twoCellAnchor>
  <xdr:oneCellAnchor>
    <xdr:from>
      <xdr:col>1</xdr:col>
      <xdr:colOff>696</xdr:colOff>
      <xdr:row>74</xdr:row>
      <xdr:rowOff>9123</xdr:rowOff>
    </xdr:from>
    <xdr:ext cx="814388" cy="171173"/>
    <xdr:pic>
      <xdr:nvPicPr>
        <xdr:cNvPr id="3" name="図 2">
          <a:extLst>
            <a:ext uri="{FF2B5EF4-FFF2-40B4-BE49-F238E27FC236}">
              <a16:creationId xmlns:a16="http://schemas.microsoft.com/office/drawing/2014/main" id="{72E23DED-A8E4-4FAA-9F99-EBFEE171D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096" y="10791423"/>
          <a:ext cx="814388" cy="171173"/>
        </a:xfrm>
        <a:prstGeom prst="rect">
          <a:avLst/>
        </a:prstGeom>
      </xdr:spPr>
    </xdr:pic>
    <xdr:clientData/>
  </xdr:oneCellAnchor>
  <xdr:oneCellAnchor>
    <xdr:from>
      <xdr:col>1</xdr:col>
      <xdr:colOff>696</xdr:colOff>
      <xdr:row>149</xdr:row>
      <xdr:rowOff>9123</xdr:rowOff>
    </xdr:from>
    <xdr:ext cx="814388" cy="171173"/>
    <xdr:pic>
      <xdr:nvPicPr>
        <xdr:cNvPr id="4" name="図 3">
          <a:extLst>
            <a:ext uri="{FF2B5EF4-FFF2-40B4-BE49-F238E27FC236}">
              <a16:creationId xmlns:a16="http://schemas.microsoft.com/office/drawing/2014/main" id="{3AFC7FB2-8918-41EB-ACB1-B113E56AC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46" y="10791423"/>
          <a:ext cx="814388" cy="171173"/>
        </a:xfrm>
        <a:prstGeom prst="rect">
          <a:avLst/>
        </a:prstGeom>
      </xdr:spPr>
    </xdr:pic>
    <xdr:clientData/>
  </xdr:oneCellAnchor>
  <xdr:oneCellAnchor>
    <xdr:from>
      <xdr:col>1</xdr:col>
      <xdr:colOff>696</xdr:colOff>
      <xdr:row>224</xdr:row>
      <xdr:rowOff>9123</xdr:rowOff>
    </xdr:from>
    <xdr:ext cx="814388" cy="171173"/>
    <xdr:pic>
      <xdr:nvPicPr>
        <xdr:cNvPr id="5" name="図 4">
          <a:extLst>
            <a:ext uri="{FF2B5EF4-FFF2-40B4-BE49-F238E27FC236}">
              <a16:creationId xmlns:a16="http://schemas.microsoft.com/office/drawing/2014/main" id="{3B186659-A776-4E7F-B0B8-32E5F6A62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46" y="10791423"/>
          <a:ext cx="814388" cy="17117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raiseimitsu.sharepoint.com/sites/hinshou/Shared%20Documents/&#24037;&#31243;&#20869;&#26908;&#26619;&#12471;&#12540;&#12488;/1&#21407;&#32025;/&#20837;&#21147;&#12522;&#12473;&#12488;.xlsx" TargetMode="External"/><Relationship Id="rId1" Type="http://schemas.openxmlformats.org/officeDocument/2006/relationships/externalLinkPath" Target="https://araiseimitsu.sharepoint.com/sites/hinshou/Shared%20Documents/&#24037;&#31243;&#20869;&#26908;&#26619;&#12471;&#12540;&#12488;/1&#21407;&#32025;/&#20837;&#21147;&#12522;&#12473;&#124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高橋良</v>
          </cell>
          <cell r="B1" t="str">
            <v>OK</v>
          </cell>
          <cell r="E1" t="str">
            <v>千葉</v>
          </cell>
          <cell r="G1" t="str">
            <v>工程内</v>
          </cell>
          <cell r="H1" t="str">
            <v>A-1</v>
          </cell>
        </row>
        <row r="2">
          <cell r="A2" t="str">
            <v>楮本</v>
          </cell>
          <cell r="B2" t="str">
            <v>NG</v>
          </cell>
          <cell r="E2" t="str">
            <v>山中</v>
          </cell>
          <cell r="G2" t="str">
            <v>交換・修正</v>
          </cell>
          <cell r="H2" t="str">
            <v>A-2</v>
          </cell>
        </row>
        <row r="3">
          <cell r="A3" t="str">
            <v>新井洋</v>
          </cell>
          <cell r="B3" t="str">
            <v>依頼</v>
          </cell>
          <cell r="E3" t="str">
            <v>高橋初</v>
          </cell>
          <cell r="G3" t="str">
            <v>段確</v>
          </cell>
          <cell r="H3" t="str">
            <v>A-3</v>
          </cell>
        </row>
        <row r="4">
          <cell r="A4" t="str">
            <v>加藤貴</v>
          </cell>
          <cell r="B4" t="str">
            <v>-</v>
          </cell>
          <cell r="E4" t="str">
            <v>新井春</v>
          </cell>
          <cell r="G4" t="str">
            <v>終品</v>
          </cell>
          <cell r="H4" t="str">
            <v>A-4</v>
          </cell>
        </row>
        <row r="5">
          <cell r="A5" t="str">
            <v>髙田</v>
          </cell>
          <cell r="E5" t="str">
            <v>櫻井</v>
          </cell>
          <cell r="H5" t="str">
            <v>A-5</v>
          </cell>
        </row>
        <row r="6">
          <cell r="A6" t="str">
            <v>今井</v>
          </cell>
          <cell r="E6" t="str">
            <v>浅見</v>
          </cell>
          <cell r="H6" t="str">
            <v>A-6</v>
          </cell>
        </row>
        <row r="7">
          <cell r="A7" t="str">
            <v>斎藤</v>
          </cell>
          <cell r="E7" t="str">
            <v>新井莉</v>
          </cell>
          <cell r="H7" t="str">
            <v>A-7</v>
          </cell>
        </row>
        <row r="8">
          <cell r="A8" t="str">
            <v>髙橋剛</v>
          </cell>
          <cell r="E8" t="str">
            <v>坂本</v>
          </cell>
          <cell r="H8" t="str">
            <v>B-1</v>
          </cell>
        </row>
        <row r="9">
          <cell r="A9" t="str">
            <v>新井翔</v>
          </cell>
          <cell r="E9" t="str">
            <v>川井</v>
          </cell>
          <cell r="H9" t="str">
            <v>B-2</v>
          </cell>
        </row>
        <row r="10">
          <cell r="A10" t="str">
            <v>矢島</v>
          </cell>
          <cell r="E10" t="str">
            <v>坂上</v>
          </cell>
          <cell r="H10" t="str">
            <v>B-3</v>
          </cell>
        </row>
        <row r="11">
          <cell r="A11" t="str">
            <v>高橋拓</v>
          </cell>
          <cell r="E11" t="str">
            <v>打木</v>
          </cell>
          <cell r="H11" t="str">
            <v>B-4</v>
          </cell>
        </row>
        <row r="12">
          <cell r="A12" t="str">
            <v>加隝</v>
          </cell>
          <cell r="H12" t="str">
            <v>B-5</v>
          </cell>
        </row>
        <row r="13">
          <cell r="A13" t="str">
            <v>矢野</v>
          </cell>
          <cell r="H13" t="str">
            <v>B-6</v>
          </cell>
        </row>
        <row r="14">
          <cell r="A14" t="str">
            <v>浅賀</v>
          </cell>
          <cell r="B14">
            <v>1</v>
          </cell>
          <cell r="H14" t="str">
            <v>B-7</v>
          </cell>
        </row>
        <row r="15">
          <cell r="A15" t="str">
            <v>丸岡</v>
          </cell>
          <cell r="B15">
            <v>2</v>
          </cell>
          <cell r="H15" t="str">
            <v>C-1</v>
          </cell>
        </row>
        <row r="16">
          <cell r="A16" t="str">
            <v>小林</v>
          </cell>
          <cell r="B16">
            <v>3</v>
          </cell>
          <cell r="H16" t="str">
            <v>C-2</v>
          </cell>
        </row>
        <row r="17">
          <cell r="A17" t="str">
            <v>宮本</v>
          </cell>
          <cell r="B17" t="str">
            <v>1・2</v>
          </cell>
          <cell r="H17" t="str">
            <v>C-3</v>
          </cell>
        </row>
        <row r="18">
          <cell r="A18" t="str">
            <v>隝田</v>
          </cell>
          <cell r="B18" t="str">
            <v>1・2・3</v>
          </cell>
          <cell r="H18" t="str">
            <v>C-4</v>
          </cell>
        </row>
        <row r="19">
          <cell r="A19" t="str">
            <v>田中</v>
          </cell>
          <cell r="H19" t="str">
            <v>C-5</v>
          </cell>
        </row>
        <row r="20">
          <cell r="A20" t="str">
            <v>加藤凌</v>
          </cell>
          <cell r="H20" t="str">
            <v>C-6</v>
          </cell>
        </row>
        <row r="21">
          <cell r="A21" t="str">
            <v>佐藤はるか</v>
          </cell>
          <cell r="H21" t="str">
            <v>C-7</v>
          </cell>
        </row>
        <row r="22">
          <cell r="A22" t="str">
            <v>木村</v>
          </cell>
          <cell r="H22" t="str">
            <v>C-8</v>
          </cell>
        </row>
        <row r="23">
          <cell r="A23" t="str">
            <v>浅見翔</v>
          </cell>
          <cell r="H23" t="str">
            <v>C-9</v>
          </cell>
        </row>
        <row r="24">
          <cell r="H24" t="str">
            <v>C-10</v>
          </cell>
        </row>
        <row r="25">
          <cell r="H25" t="str">
            <v>C-11</v>
          </cell>
        </row>
        <row r="26">
          <cell r="H26" t="str">
            <v>C-12</v>
          </cell>
        </row>
        <row r="27">
          <cell r="H27" t="str">
            <v>C-13</v>
          </cell>
        </row>
        <row r="28">
          <cell r="H28" t="str">
            <v>D-1</v>
          </cell>
        </row>
        <row r="29">
          <cell r="H29" t="str">
            <v>D-2</v>
          </cell>
        </row>
        <row r="30">
          <cell r="H30" t="str">
            <v>D-3</v>
          </cell>
        </row>
        <row r="31">
          <cell r="H31" t="str">
            <v>D-4</v>
          </cell>
        </row>
        <row r="32">
          <cell r="H32" t="str">
            <v>D-5</v>
          </cell>
        </row>
        <row r="33">
          <cell r="H33" t="str">
            <v>D-6</v>
          </cell>
        </row>
        <row r="34">
          <cell r="H34" t="str">
            <v>D-7</v>
          </cell>
        </row>
        <row r="35">
          <cell r="H35" t="str">
            <v>D-8</v>
          </cell>
        </row>
        <row r="36">
          <cell r="H36" t="str">
            <v>D-9</v>
          </cell>
        </row>
        <row r="37">
          <cell r="H37" t="str">
            <v>D-10</v>
          </cell>
        </row>
        <row r="38">
          <cell r="H38" t="str">
            <v>D-11</v>
          </cell>
        </row>
        <row r="39">
          <cell r="H39" t="str">
            <v>D-12</v>
          </cell>
        </row>
        <row r="40">
          <cell r="H40" t="str">
            <v>D-13</v>
          </cell>
        </row>
        <row r="41">
          <cell r="H41" t="str">
            <v>E-1</v>
          </cell>
        </row>
        <row r="42">
          <cell r="H42" t="str">
            <v>E-2</v>
          </cell>
        </row>
        <row r="43">
          <cell r="H43" t="str">
            <v>E-3</v>
          </cell>
        </row>
        <row r="44">
          <cell r="H44" t="str">
            <v>E-4</v>
          </cell>
        </row>
        <row r="45">
          <cell r="H45" t="str">
            <v>E-5</v>
          </cell>
        </row>
        <row r="46">
          <cell r="H46" t="str">
            <v>E-6</v>
          </cell>
        </row>
        <row r="47">
          <cell r="H47" t="str">
            <v>E-7</v>
          </cell>
        </row>
        <row r="48">
          <cell r="H48" t="str">
            <v>E-8</v>
          </cell>
        </row>
        <row r="49">
          <cell r="H49" t="str">
            <v>E-9</v>
          </cell>
        </row>
        <row r="50">
          <cell r="H50" t="str">
            <v>E-10</v>
          </cell>
        </row>
        <row r="51">
          <cell r="H51" t="str">
            <v>E-11</v>
          </cell>
        </row>
        <row r="52">
          <cell r="H52" t="str">
            <v>E-12</v>
          </cell>
        </row>
        <row r="53">
          <cell r="H53" t="str">
            <v>E-13</v>
          </cell>
        </row>
        <row r="54">
          <cell r="H54" t="str">
            <v>E-14</v>
          </cell>
        </row>
        <row r="55">
          <cell r="H55" t="str">
            <v>E-15</v>
          </cell>
        </row>
        <row r="56">
          <cell r="H56" t="str">
            <v>E-16</v>
          </cell>
        </row>
        <row r="57">
          <cell r="H57" t="str">
            <v>F-1</v>
          </cell>
        </row>
        <row r="58">
          <cell r="H58" t="str">
            <v>F-2</v>
          </cell>
        </row>
        <row r="59">
          <cell r="H59" t="str">
            <v>F-3</v>
          </cell>
        </row>
        <row r="60">
          <cell r="H60" t="str">
            <v>F-4</v>
          </cell>
        </row>
        <row r="61">
          <cell r="H61" t="str">
            <v>F-5</v>
          </cell>
        </row>
        <row r="62">
          <cell r="H62" t="str">
            <v>F-6</v>
          </cell>
        </row>
        <row r="63">
          <cell r="H63" t="str">
            <v>F-7</v>
          </cell>
        </row>
        <row r="64">
          <cell r="H64" t="str">
            <v>F-8</v>
          </cell>
        </row>
        <row r="65">
          <cell r="H65" t="str">
            <v>F-9</v>
          </cell>
        </row>
        <row r="66">
          <cell r="H66" t="str">
            <v>F-10</v>
          </cell>
        </row>
        <row r="67">
          <cell r="H67" t="str">
            <v>F-11</v>
          </cell>
        </row>
        <row r="68">
          <cell r="H68" t="str">
            <v>F-12</v>
          </cell>
        </row>
        <row r="69">
          <cell r="H69" t="str">
            <v>F-13</v>
          </cell>
        </row>
        <row r="70">
          <cell r="H70" t="str">
            <v>F-14</v>
          </cell>
        </row>
        <row r="71">
          <cell r="H71" t="str">
            <v>F-15</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DCDA-F760-49FC-B016-3D541E4DB939}">
  <sheetPr codeName="Sheet1"/>
  <dimension ref="A1:C56"/>
  <sheetViews>
    <sheetView zoomScaleNormal="100" workbookViewId="0">
      <selection activeCell="G35" sqref="G35:G37"/>
    </sheetView>
  </sheetViews>
  <sheetFormatPr defaultRowHeight="17.649999999999999" x14ac:dyDescent="0.7"/>
  <cols>
    <col min="1" max="1" width="15.375" customWidth="1"/>
    <col min="2" max="2" width="34.1875" customWidth="1"/>
  </cols>
  <sheetData>
    <row r="1" spans="1:3" x14ac:dyDescent="0.7">
      <c r="A1" t="s">
        <v>144</v>
      </c>
    </row>
    <row r="3" spans="1:3" x14ac:dyDescent="0.7">
      <c r="A3" t="s">
        <v>129</v>
      </c>
    </row>
    <row r="5" spans="1:3" x14ac:dyDescent="0.7">
      <c r="A5" t="s">
        <v>220</v>
      </c>
      <c r="B5" s="13" t="s">
        <v>221</v>
      </c>
    </row>
    <row r="6" spans="1:3" x14ac:dyDescent="0.7">
      <c r="B6" s="13"/>
    </row>
    <row r="7" spans="1:3" x14ac:dyDescent="0.7">
      <c r="B7" t="s">
        <v>217</v>
      </c>
    </row>
    <row r="8" spans="1:3" x14ac:dyDescent="0.7">
      <c r="B8" t="s">
        <v>218</v>
      </c>
      <c r="C8" t="s">
        <v>222</v>
      </c>
    </row>
    <row r="11" spans="1:3" x14ac:dyDescent="0.7">
      <c r="A11" t="s">
        <v>223</v>
      </c>
      <c r="B11" s="13" t="s">
        <v>224</v>
      </c>
    </row>
    <row r="13" spans="1:3" x14ac:dyDescent="0.7">
      <c r="B13" t="s">
        <v>135</v>
      </c>
      <c r="C13" t="s">
        <v>225</v>
      </c>
    </row>
    <row r="16" spans="1:3" x14ac:dyDescent="0.7">
      <c r="A16" t="s">
        <v>226</v>
      </c>
      <c r="B16" s="13" t="s">
        <v>227</v>
      </c>
    </row>
    <row r="17" spans="1:3" x14ac:dyDescent="0.7">
      <c r="B17" s="13" t="s">
        <v>228</v>
      </c>
    </row>
    <row r="19" spans="1:3" x14ac:dyDescent="0.7">
      <c r="B19" t="s">
        <v>135</v>
      </c>
      <c r="C19" t="s">
        <v>134</v>
      </c>
    </row>
    <row r="20" spans="1:3" x14ac:dyDescent="0.7">
      <c r="B20" t="s">
        <v>136</v>
      </c>
      <c r="C20" t="s">
        <v>130</v>
      </c>
    </row>
    <row r="21" spans="1:3" x14ac:dyDescent="0.7">
      <c r="B21" s="13" t="s">
        <v>137</v>
      </c>
      <c r="C21" t="s">
        <v>131</v>
      </c>
    </row>
    <row r="22" spans="1:3" x14ac:dyDescent="0.7">
      <c r="B22" t="s">
        <v>133</v>
      </c>
      <c r="C22" t="s">
        <v>132</v>
      </c>
    </row>
    <row r="23" spans="1:3" x14ac:dyDescent="0.7">
      <c r="B23" t="s">
        <v>141</v>
      </c>
    </row>
    <row r="24" spans="1:3" x14ac:dyDescent="0.7">
      <c r="B24" t="s">
        <v>139</v>
      </c>
      <c r="C24" t="s">
        <v>138</v>
      </c>
    </row>
    <row r="25" spans="1:3" x14ac:dyDescent="0.7">
      <c r="B25" t="s">
        <v>133</v>
      </c>
      <c r="C25" t="s">
        <v>132</v>
      </c>
    </row>
    <row r="26" spans="1:3" x14ac:dyDescent="0.7">
      <c r="B26" t="s">
        <v>143</v>
      </c>
      <c r="C26" t="s">
        <v>140</v>
      </c>
    </row>
    <row r="27" spans="1:3" x14ac:dyDescent="0.7">
      <c r="B27" t="s">
        <v>136</v>
      </c>
      <c r="C27" t="s">
        <v>130</v>
      </c>
    </row>
    <row r="28" spans="1:3" x14ac:dyDescent="0.7">
      <c r="B28" t="s">
        <v>142</v>
      </c>
      <c r="C28" t="s">
        <v>229</v>
      </c>
    </row>
    <row r="31" spans="1:3" x14ac:dyDescent="0.7">
      <c r="A31" t="s">
        <v>187</v>
      </c>
    </row>
    <row r="33" spans="1:3" x14ac:dyDescent="0.7">
      <c r="A33" t="s">
        <v>188</v>
      </c>
      <c r="B33" s="13" t="s">
        <v>241</v>
      </c>
    </row>
    <row r="34" spans="1:3" x14ac:dyDescent="0.7">
      <c r="B34" s="13" t="s">
        <v>242</v>
      </c>
    </row>
    <row r="35" spans="1:3" x14ac:dyDescent="0.7">
      <c r="B35" t="s">
        <v>192</v>
      </c>
      <c r="C35" t="s">
        <v>193</v>
      </c>
    </row>
    <row r="36" spans="1:3" x14ac:dyDescent="0.7">
      <c r="B36" t="s">
        <v>133</v>
      </c>
      <c r="C36" t="s">
        <v>132</v>
      </c>
    </row>
    <row r="37" spans="1:3" x14ac:dyDescent="0.7">
      <c r="B37" t="s">
        <v>190</v>
      </c>
      <c r="C37" t="s">
        <v>191</v>
      </c>
    </row>
    <row r="38" spans="1:3" x14ac:dyDescent="0.7">
      <c r="B38" t="s">
        <v>133</v>
      </c>
      <c r="C38" t="s">
        <v>132</v>
      </c>
    </row>
    <row r="39" spans="1:3" x14ac:dyDescent="0.7">
      <c r="B39" t="s">
        <v>244</v>
      </c>
      <c r="C39" t="s">
        <v>243</v>
      </c>
    </row>
    <row r="40" spans="1:3" x14ac:dyDescent="0.7">
      <c r="B40" t="s">
        <v>133</v>
      </c>
      <c r="C40" t="s">
        <v>132</v>
      </c>
    </row>
    <row r="41" spans="1:3" x14ac:dyDescent="0.7">
      <c r="B41" t="s">
        <v>245</v>
      </c>
      <c r="C41" t="s">
        <v>197</v>
      </c>
    </row>
    <row r="42" spans="1:3" x14ac:dyDescent="0.7">
      <c r="B42" t="s">
        <v>136</v>
      </c>
      <c r="C42" t="s">
        <v>130</v>
      </c>
    </row>
    <row r="43" spans="1:3" x14ac:dyDescent="0.7">
      <c r="B43" t="s">
        <v>246</v>
      </c>
      <c r="C43" t="s">
        <v>196</v>
      </c>
    </row>
    <row r="44" spans="1:3" x14ac:dyDescent="0.7">
      <c r="B44" t="s">
        <v>136</v>
      </c>
      <c r="C44" t="s">
        <v>130</v>
      </c>
    </row>
    <row r="45" spans="1:3" x14ac:dyDescent="0.7">
      <c r="B45" t="s">
        <v>248</v>
      </c>
      <c r="C45" t="s">
        <v>247</v>
      </c>
    </row>
    <row r="48" spans="1:3" x14ac:dyDescent="0.7">
      <c r="A48" t="s">
        <v>198</v>
      </c>
    </row>
    <row r="50" spans="1:3" x14ac:dyDescent="0.7">
      <c r="A50" t="s">
        <v>208</v>
      </c>
      <c r="B50" s="13" t="s">
        <v>199</v>
      </c>
    </row>
    <row r="52" spans="1:3" x14ac:dyDescent="0.7">
      <c r="B52" t="s">
        <v>206</v>
      </c>
      <c r="C52" t="s">
        <v>200</v>
      </c>
    </row>
    <row r="53" spans="1:3" x14ac:dyDescent="0.7">
      <c r="B53" t="s">
        <v>202</v>
      </c>
      <c r="C53" t="s">
        <v>201</v>
      </c>
    </row>
    <row r="54" spans="1:3" x14ac:dyDescent="0.7">
      <c r="B54" t="s">
        <v>136</v>
      </c>
      <c r="C54" t="s">
        <v>130</v>
      </c>
    </row>
    <row r="55" spans="1:3" x14ac:dyDescent="0.7">
      <c r="B55" t="s">
        <v>207</v>
      </c>
      <c r="C55" t="s">
        <v>203</v>
      </c>
    </row>
    <row r="56" spans="1:3" x14ac:dyDescent="0.7">
      <c r="B56" t="s">
        <v>205</v>
      </c>
      <c r="C56" t="s">
        <v>204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7155-0A89-45CB-8B3A-1C7E1A5D9463}">
  <sheetPr codeName="Sheet2"/>
  <dimension ref="A1:Y101"/>
  <sheetViews>
    <sheetView zoomScaleNormal="100" workbookViewId="0">
      <selection activeCell="G35" sqref="G35:G37"/>
    </sheetView>
  </sheetViews>
  <sheetFormatPr defaultRowHeight="17.649999999999999" x14ac:dyDescent="0.7"/>
  <cols>
    <col min="2" max="3" width="9.375" bestFit="1" customWidth="1"/>
    <col min="13" max="13" width="13.625" customWidth="1"/>
  </cols>
  <sheetData>
    <row r="1" spans="1:25" x14ac:dyDescent="0.7">
      <c r="B1">
        <f>COUNTA(B2:B101)</f>
        <v>38</v>
      </c>
      <c r="N1">
        <v>1</v>
      </c>
      <c r="O1" t="str" cm="1">
        <f t="array" ref="O1:O100">IFERROR(IF(検査項目設定!B4:B103="","",検査項目設定!B4:B103),"")</f>
        <v>外径</v>
      </c>
      <c r="P1" t="str" cm="1">
        <f t="array" ref="P1:P100">IF($O1:$O100="","",IF(_xlfn.XLOOKUP($N$1:$N$100,検査項目設定!$A$4:$A$103,検査項目設定!C$4:C$103,"",0,1)="","",_xlfn.XLOOKUP($N$1:$N$100,検査項目設定!$A$4:$A$103,検査項目設定!C$4:C$103,"",0,1)))</f>
        <v/>
      </c>
      <c r="Q1" t="str" cm="1">
        <f t="array" ref="Q1:Q100">IF($O1:$O100="","",IF(_xlfn.XLOOKUP($N$1:$N$100,検査項目設定!$A$4:$A$103,検査項目設定!D$4:D$103,"",0,1)="","",_xlfn.XLOOKUP($N$1:$N$100,検査項目設定!$A$4:$A$103,検査項目設定!D$4:D$103,"",0,1)))</f>
        <v>ﾃﾞｼﾞﾀﾙﾏｲｸﾛﾒｰﾀ</v>
      </c>
      <c r="R1" t="str" cm="1">
        <f t="array" ref="R1:R100">IF($O1:$O100="","",IF(_xlfn.XLOOKUP($N$1:$N$100,検査項目設定!$A$4:$A$103,検査項目設定!E$4:E$103,"",0,1)="","",_xlfn.XLOOKUP($N$1:$N$100,検査項目設定!$A$4:$A$103,検査項目設定!E$4:E$103,"",0,1)))</f>
        <v>φ</v>
      </c>
      <c r="S1" t="str" cm="1">
        <f t="array" ref="S1:S100">IF($O1:$O100="","",IF(_xlfn.XLOOKUP($N$1:$N$100,検査項目設定!$A$4:$A$103,検査項目設定!F$4:F$103,"",0,1)="","",_xlfn.XLOOKUP($N$1:$N$100,検査項目設定!$A$4:$A$103,検査項目設定!F$4:F$103,"",0,1)))</f>
        <v>20.8</v>
      </c>
      <c r="T1" t="str" cm="1">
        <f t="array" ref="T1:T100">IF($O1:$O100="","",IF(_xlfn.XLOOKUP($N$1:$N$100,検査項目設定!$A$4:$A$103,検査項目設定!G$4:G$103,"",0,1)="","",_xlfn.XLOOKUP($N$1:$N$100,検査項目設定!$A$4:$A$103,検査項目設定!G$4:G$103,"",0,1)))</f>
        <v/>
      </c>
      <c r="U1" t="str" cm="1">
        <f t="array" ref="U1:U100">IF($O1:$O100="","",IF(_xlfn.XLOOKUP($N$1:$N$100,検査項目設定!$A$4:$A$103,検査項目設定!H$4:H$103,"",0,1)="","",_xlfn.XLOOKUP($N$1:$N$100,検査項目設定!$A$4:$A$103,検査項目設定!H$4:H$103,"",0,1)))</f>
        <v>+0.1</v>
      </c>
      <c r="V1" t="str" cm="1">
        <f t="array" ref="V1:V100">IF($O1:$O100="","",IF(_xlfn.XLOOKUP($N$1:$N$100,検査項目設定!$A$4:$A$103,検査項目設定!I$4:I$103,"",0,1)="","",_xlfn.XLOOKUP($N$1:$N$100,検査項目設定!$A$4:$A$103,検査項目設定!I$4:I$103,"",0,1)))</f>
        <v>-0.1</v>
      </c>
      <c r="W1" t="str" cm="1">
        <f t="array" ref="W1:W100">IF($O1:$O100="","",IF(_xlfn.XLOOKUP($N$1:$N$100,検査項目設定!$A$4:$A$103,検査項目設定!J$4:J$103,"",0,1)="","",_xlfn.XLOOKUP($N$1:$N$100,検査項目設定!$A$4:$A$103,検査項目設定!J$4:J$103,"",0,1)))</f>
        <v>片側</v>
      </c>
      <c r="X1" cm="1">
        <f t="array" ref="X1:X100">IF($O1:$O100="","",IF(_xlfn.XLOOKUP($N$1:$N$100,検査項目設定!$A$4:$A$103,検査項目設定!K$4:K$103,"",0,1)="","",_xlfn.XLOOKUP($N$1:$N$100,検査項目設定!$A$4:$A$103,検査項目設定!K$4:K$103,"",0,1)))</f>
        <v>1</v>
      </c>
      <c r="Y1" t="str" cm="1">
        <f t="array" ref="Y1:Y100">IF($O1:$O100="","",IF(_xlfn.XLOOKUP($N$1:$N$100,検査項目設定!$A$4:$A$103,検査項目設定!L$4:L$103,"",0,1)="","",_xlfn.XLOOKUP($N$1:$N$100,検査項目設定!$A$4:$A$103,検査項目設定!L$4:L$103,"",0,1)))</f>
        <v/>
      </c>
    </row>
    <row r="2" spans="1:25" x14ac:dyDescent="0.7">
      <c r="A2" cm="1">
        <f t="array" ref="A2:L39">_xlfn._xlws.FILTER($N$1:$Y$100,$O$1:$O$100&lt;&gt;"")</f>
        <v>1</v>
      </c>
      <c r="B2" t="str">
        <v>外径</v>
      </c>
      <c r="C2" t="str">
        <v/>
      </c>
      <c r="D2" t="str">
        <v>ﾃﾞｼﾞﾀﾙﾏｲｸﾛﾒｰﾀ</v>
      </c>
      <c r="E2" t="str">
        <v>φ</v>
      </c>
      <c r="F2" t="str">
        <v>20.8</v>
      </c>
      <c r="G2" t="str">
        <v/>
      </c>
      <c r="H2" t="str">
        <v>+0.1</v>
      </c>
      <c r="I2" t="str">
        <v>-0.1</v>
      </c>
      <c r="J2" t="str">
        <v>片側</v>
      </c>
      <c r="K2">
        <v>1</v>
      </c>
      <c r="L2" t="str">
        <v/>
      </c>
      <c r="M2" t="str" cm="1">
        <f t="array" ref="M2:M101">IF(F2:F101="","",IF(E2:E101="°",F2:F101&amp;" "&amp;E2:E101&amp;" "&amp;G2:G101,E2:E101&amp;" "&amp;F2:F101&amp;" "&amp;G2:G101))</f>
        <v xml:space="preserve">φ 20.8 </v>
      </c>
      <c r="N2">
        <v>2</v>
      </c>
      <c r="O2" t="str">
        <v>外径</v>
      </c>
      <c r="P2" t="str">
        <v/>
      </c>
      <c r="Q2" t="str">
        <v>ﾃﾞｼﾞﾀﾙﾏｲｸﾛﾒｰﾀ</v>
      </c>
      <c r="R2" t="str">
        <v>φ</v>
      </c>
      <c r="S2" t="str">
        <v>18.98</v>
      </c>
      <c r="T2" t="str">
        <v/>
      </c>
      <c r="U2" t="str">
        <v>+0.01</v>
      </c>
      <c r="V2" t="str">
        <v>-0.01</v>
      </c>
      <c r="W2" t="str">
        <v>片側</v>
      </c>
      <c r="X2">
        <v>1</v>
      </c>
      <c r="Y2" t="str">
        <v/>
      </c>
    </row>
    <row r="3" spans="1:25" x14ac:dyDescent="0.7">
      <c r="A3">
        <v>2</v>
      </c>
      <c r="B3" t="str">
        <v>外径</v>
      </c>
      <c r="C3" t="str">
        <v/>
      </c>
      <c r="D3" t="str">
        <v>ﾃﾞｼﾞﾀﾙﾏｲｸﾛﾒｰﾀ</v>
      </c>
      <c r="E3" t="str">
        <v>φ</v>
      </c>
      <c r="F3" t="str">
        <v>18.98</v>
      </c>
      <c r="G3" t="str">
        <v/>
      </c>
      <c r="H3" t="str">
        <v>+0.01</v>
      </c>
      <c r="I3" t="str">
        <v>-0.01</v>
      </c>
      <c r="J3" t="str">
        <v>片側</v>
      </c>
      <c r="K3">
        <v>1</v>
      </c>
      <c r="L3" t="str">
        <v/>
      </c>
      <c r="M3" t="str">
        <v xml:space="preserve">φ 18.98 </v>
      </c>
      <c r="N3">
        <v>3</v>
      </c>
      <c r="O3" t="str">
        <v>外径</v>
      </c>
      <c r="P3" t="str">
        <v/>
      </c>
      <c r="Q3" t="str">
        <v>ﾃﾞｼﾞﾀﾙﾏｲｸﾛﾒｰﾀ</v>
      </c>
      <c r="R3" t="str">
        <v>φ</v>
      </c>
      <c r="S3" t="str">
        <v>18.5</v>
      </c>
      <c r="T3" t="str">
        <v/>
      </c>
      <c r="U3" t="str">
        <v>+0.2</v>
      </c>
      <c r="V3" t="str">
        <v>-0.2</v>
      </c>
      <c r="W3" t="str">
        <v>片側</v>
      </c>
      <c r="X3">
        <v>1</v>
      </c>
      <c r="Y3" t="str">
        <v/>
      </c>
    </row>
    <row r="4" spans="1:25" x14ac:dyDescent="0.7">
      <c r="A4">
        <v>3</v>
      </c>
      <c r="B4" t="str">
        <v>外径</v>
      </c>
      <c r="C4" t="str">
        <v/>
      </c>
      <c r="D4" t="str">
        <v>ﾃﾞｼﾞﾀﾙﾏｲｸﾛﾒｰﾀ</v>
      </c>
      <c r="E4" t="str">
        <v>φ</v>
      </c>
      <c r="F4" t="str">
        <v>18.5</v>
      </c>
      <c r="G4" t="str">
        <v/>
      </c>
      <c r="H4" t="str">
        <v>+0.2</v>
      </c>
      <c r="I4" t="str">
        <v>-0.2</v>
      </c>
      <c r="J4" t="str">
        <v>片側</v>
      </c>
      <c r="K4">
        <v>1</v>
      </c>
      <c r="L4" t="str">
        <v/>
      </c>
      <c r="M4" t="str">
        <v xml:space="preserve">φ 18.5 </v>
      </c>
      <c r="N4">
        <v>4</v>
      </c>
      <c r="O4" t="str">
        <v>ﾂﾊﾞ厚</v>
      </c>
      <c r="P4" t="str">
        <v/>
      </c>
      <c r="Q4" t="str">
        <v>ﾃﾞｼﾞﾀﾙﾏｲｸﾛﾒｰﾀ</v>
      </c>
      <c r="R4" t="str">
        <v/>
      </c>
      <c r="S4" t="str">
        <v>4.5</v>
      </c>
      <c r="T4" t="str">
        <v/>
      </c>
      <c r="U4" t="str">
        <v>+0.1</v>
      </c>
      <c r="V4" t="str">
        <v>-0.1</v>
      </c>
      <c r="W4" t="str">
        <v>片側</v>
      </c>
      <c r="X4">
        <v>1</v>
      </c>
      <c r="Y4" t="str">
        <v/>
      </c>
    </row>
    <row r="5" spans="1:25" x14ac:dyDescent="0.7">
      <c r="A5">
        <v>4</v>
      </c>
      <c r="B5" t="str">
        <v>ﾂﾊﾞ厚</v>
      </c>
      <c r="C5" t="str">
        <v/>
      </c>
      <c r="D5" t="str">
        <v>ﾃﾞｼﾞﾀﾙﾏｲｸﾛﾒｰﾀ</v>
      </c>
      <c r="E5" t="str">
        <v/>
      </c>
      <c r="F5" t="str">
        <v>4.5</v>
      </c>
      <c r="G5" t="str">
        <v/>
      </c>
      <c r="H5" t="str">
        <v>+0.1</v>
      </c>
      <c r="I5" t="str">
        <v>-0.1</v>
      </c>
      <c r="J5" t="str">
        <v>片側</v>
      </c>
      <c r="K5">
        <v>1</v>
      </c>
      <c r="L5" t="str">
        <v/>
      </c>
      <c r="M5" t="str">
        <v xml:space="preserve"> 4.5 </v>
      </c>
      <c r="N5">
        <v>5</v>
      </c>
      <c r="O5" t="str">
        <v>長手</v>
      </c>
      <c r="P5" t="str">
        <v/>
      </c>
      <c r="Q5" t="str">
        <v>ﾃﾞｼﾞﾀﾙﾀﾞｲﾔﾙｹﾞｰｼﾞ</v>
      </c>
      <c r="R5" t="str">
        <v/>
      </c>
      <c r="S5" t="str">
        <v>1.6</v>
      </c>
      <c r="T5" t="str">
        <v/>
      </c>
      <c r="U5" t="str">
        <v>+0.1</v>
      </c>
      <c r="V5" t="str">
        <v>-0.1</v>
      </c>
      <c r="W5" t="str">
        <v>片側</v>
      </c>
      <c r="X5">
        <v>1</v>
      </c>
      <c r="Y5" t="str">
        <v/>
      </c>
    </row>
    <row r="6" spans="1:25" x14ac:dyDescent="0.7">
      <c r="A6">
        <v>5</v>
      </c>
      <c r="B6" t="str">
        <v>長手</v>
      </c>
      <c r="C6" t="str">
        <v/>
      </c>
      <c r="D6" t="str">
        <v>ﾃﾞｼﾞﾀﾙﾀﾞｲﾔﾙｹﾞｰｼﾞ</v>
      </c>
      <c r="E6" t="str">
        <v/>
      </c>
      <c r="F6" t="str">
        <v>1.6</v>
      </c>
      <c r="G6" t="str">
        <v/>
      </c>
      <c r="H6" t="str">
        <v>+0.1</v>
      </c>
      <c r="I6" t="str">
        <v>-0.1</v>
      </c>
      <c r="J6" t="str">
        <v>片側</v>
      </c>
      <c r="K6">
        <v>1</v>
      </c>
      <c r="L6" t="str">
        <v/>
      </c>
      <c r="M6" t="str">
        <v xml:space="preserve"> 1.6 </v>
      </c>
      <c r="N6">
        <v>6</v>
      </c>
      <c r="O6" t="str">
        <v>内長手</v>
      </c>
      <c r="P6" t="str">
        <v>(計算)</v>
      </c>
      <c r="Q6" t="str">
        <v>ﾃﾞｼﾞﾀﾙﾀﾞｲﾔﾙｹﾞｰｼﾞ</v>
      </c>
      <c r="R6" t="str">
        <v/>
      </c>
      <c r="S6" t="str">
        <v>11.5</v>
      </c>
      <c r="T6" t="str">
        <v/>
      </c>
      <c r="U6" t="str">
        <v>+0.02</v>
      </c>
      <c r="V6" t="str">
        <v>-0.02</v>
      </c>
      <c r="W6" t="str">
        <v>片側</v>
      </c>
      <c r="X6">
        <v>1</v>
      </c>
      <c r="Y6" t="str">
        <v/>
      </c>
    </row>
    <row r="7" spans="1:25" x14ac:dyDescent="0.7">
      <c r="A7">
        <v>6</v>
      </c>
      <c r="B7" t="str">
        <v>内長手</v>
      </c>
      <c r="C7" t="str">
        <v>(計算)</v>
      </c>
      <c r="D7" t="str">
        <v>ﾃﾞｼﾞﾀﾙﾀﾞｲﾔﾙｹﾞｰｼﾞ</v>
      </c>
      <c r="E7" t="str">
        <v/>
      </c>
      <c r="F7" t="str">
        <v>11.5</v>
      </c>
      <c r="G7" t="str">
        <v/>
      </c>
      <c r="H7" t="str">
        <v>+0.02</v>
      </c>
      <c r="I7" t="str">
        <v>-0.02</v>
      </c>
      <c r="J7" t="str">
        <v>片側</v>
      </c>
      <c r="K7">
        <v>1</v>
      </c>
      <c r="L7" t="str">
        <v/>
      </c>
      <c r="M7" t="str">
        <v xml:space="preserve"> 11.5 </v>
      </c>
      <c r="N7">
        <v>7</v>
      </c>
      <c r="O7" t="str">
        <v>内長手</v>
      </c>
      <c r="P7" t="str">
        <v/>
      </c>
      <c r="Q7" t="str">
        <v>ﾃﾞｼﾞﾀﾙﾀﾞｲﾔﾙｹﾞｰｼﾞ</v>
      </c>
      <c r="R7" t="str">
        <v>(</v>
      </c>
      <c r="S7" t="str">
        <v>6.01</v>
      </c>
      <c r="T7" t="str">
        <v>)</v>
      </c>
      <c r="U7" t="str">
        <v>+1</v>
      </c>
      <c r="V7" t="str">
        <v>-1</v>
      </c>
      <c r="W7" t="str">
        <v>片側</v>
      </c>
      <c r="X7">
        <v>1</v>
      </c>
      <c r="Y7" t="str">
        <v/>
      </c>
    </row>
    <row r="8" spans="1:25" x14ac:dyDescent="0.7">
      <c r="A8">
        <v>7</v>
      </c>
      <c r="B8" t="str">
        <v>内長手</v>
      </c>
      <c r="C8" t="str">
        <v/>
      </c>
      <c r="D8" t="str">
        <v>ﾃﾞｼﾞﾀﾙﾀﾞｲﾔﾙｹﾞｰｼﾞ</v>
      </c>
      <c r="E8" t="str">
        <v>(</v>
      </c>
      <c r="F8" t="str">
        <v>6.01</v>
      </c>
      <c r="G8" t="str">
        <v>)</v>
      </c>
      <c r="H8" t="str">
        <v>+1</v>
      </c>
      <c r="I8" t="str">
        <v>-1</v>
      </c>
      <c r="J8" t="str">
        <v>片側</v>
      </c>
      <c r="K8">
        <v>1</v>
      </c>
      <c r="L8" t="str">
        <v/>
      </c>
      <c r="M8" t="str">
        <v>( 6.01 )</v>
      </c>
      <c r="N8">
        <v>8</v>
      </c>
      <c r="O8" t="str">
        <v>内長手</v>
      </c>
      <c r="P8" t="str">
        <v/>
      </c>
      <c r="Q8" t="str">
        <v>ﾃﾞｼﾞﾀﾙﾀﾞｲﾔﾙｹﾞｰｼﾞ</v>
      </c>
      <c r="R8" t="str">
        <v/>
      </c>
      <c r="S8" t="str">
        <v>1.0</v>
      </c>
      <c r="T8" t="str">
        <v/>
      </c>
      <c r="U8" t="str">
        <v>+0.1</v>
      </c>
      <c r="V8" t="str">
        <v>-0.1</v>
      </c>
      <c r="W8" t="str">
        <v>片側</v>
      </c>
      <c r="X8">
        <v>1</v>
      </c>
      <c r="Y8" t="str">
        <v/>
      </c>
    </row>
    <row r="9" spans="1:25" x14ac:dyDescent="0.7">
      <c r="A9">
        <v>8</v>
      </c>
      <c r="B9" t="str">
        <v>内長手</v>
      </c>
      <c r="C9" t="str">
        <v/>
      </c>
      <c r="D9" t="str">
        <v>ﾃﾞｼﾞﾀﾙﾀﾞｲﾔﾙｹﾞｰｼﾞ</v>
      </c>
      <c r="E9" t="str">
        <v/>
      </c>
      <c r="F9" t="str">
        <v>1.0</v>
      </c>
      <c r="G9" t="str">
        <v/>
      </c>
      <c r="H9" t="str">
        <v>+0.1</v>
      </c>
      <c r="I9" t="str">
        <v>-0.1</v>
      </c>
      <c r="J9" t="str">
        <v>片側</v>
      </c>
      <c r="K9">
        <v>1</v>
      </c>
      <c r="L9" t="str">
        <v/>
      </c>
      <c r="M9" t="str">
        <v xml:space="preserve"> 1.0 </v>
      </c>
      <c r="N9">
        <v>9</v>
      </c>
      <c r="O9" t="str">
        <v>内長手</v>
      </c>
      <c r="P9" t="str">
        <v/>
      </c>
      <c r="Q9" t="str">
        <v>ﾃﾞｼﾞﾀﾙﾀﾞｲﾔﾙｹﾞｰｼﾞ</v>
      </c>
      <c r="R9" t="str">
        <v/>
      </c>
      <c r="S9" t="str">
        <v>4.6</v>
      </c>
      <c r="T9" t="str">
        <v/>
      </c>
      <c r="U9" t="str">
        <v>+0.1</v>
      </c>
      <c r="V9" t="str">
        <v>-0.1</v>
      </c>
      <c r="W9" t="str">
        <v>片側</v>
      </c>
      <c r="X9">
        <v>1</v>
      </c>
      <c r="Y9" t="str">
        <v/>
      </c>
    </row>
    <row r="10" spans="1:25" x14ac:dyDescent="0.7">
      <c r="A10">
        <v>9</v>
      </c>
      <c r="B10" t="str">
        <v>内長手</v>
      </c>
      <c r="C10" t="str">
        <v/>
      </c>
      <c r="D10" t="str">
        <v>ﾃﾞｼﾞﾀﾙﾀﾞｲﾔﾙｹﾞｰｼﾞ</v>
      </c>
      <c r="E10" t="str">
        <v/>
      </c>
      <c r="F10" t="str">
        <v>4.6</v>
      </c>
      <c r="G10" t="str">
        <v/>
      </c>
      <c r="H10" t="str">
        <v>+0.1</v>
      </c>
      <c r="I10" t="str">
        <v>-0.1</v>
      </c>
      <c r="J10" t="str">
        <v>片側</v>
      </c>
      <c r="K10">
        <v>1</v>
      </c>
      <c r="L10" t="str">
        <v/>
      </c>
      <c r="M10" t="str">
        <v xml:space="preserve"> 4.6 </v>
      </c>
      <c r="N10">
        <v>10</v>
      </c>
      <c r="O10" t="str">
        <v>ｸﾛｽ穴位置</v>
      </c>
      <c r="P10" t="str">
        <v/>
      </c>
      <c r="Q10" t="str">
        <v>工具顕微鏡</v>
      </c>
      <c r="R10" t="str">
        <v/>
      </c>
      <c r="S10" t="str">
        <v>2.5</v>
      </c>
      <c r="T10" t="str">
        <v/>
      </c>
      <c r="U10" t="str">
        <v>+0.1</v>
      </c>
      <c r="V10" t="str">
        <v>-0.1</v>
      </c>
      <c r="W10" t="str">
        <v>片側</v>
      </c>
      <c r="X10">
        <v>1</v>
      </c>
      <c r="Y10" t="str">
        <v/>
      </c>
    </row>
    <row r="11" spans="1:25" x14ac:dyDescent="0.7">
      <c r="A11">
        <v>10</v>
      </c>
      <c r="B11" t="str">
        <v>ｸﾛｽ穴位置</v>
      </c>
      <c r="C11" t="str">
        <v/>
      </c>
      <c r="D11" t="str">
        <v>工具顕微鏡</v>
      </c>
      <c r="E11" t="str">
        <v/>
      </c>
      <c r="F11" t="str">
        <v>2.5</v>
      </c>
      <c r="G11" t="str">
        <v/>
      </c>
      <c r="H11" t="str">
        <v>+0.1</v>
      </c>
      <c r="I11" t="str">
        <v>-0.1</v>
      </c>
      <c r="J11" t="str">
        <v>片側</v>
      </c>
      <c r="K11">
        <v>1</v>
      </c>
      <c r="L11" t="str">
        <v/>
      </c>
      <c r="M11" t="str">
        <v xml:space="preserve"> 2.5 </v>
      </c>
      <c r="N11">
        <v>11</v>
      </c>
      <c r="O11" t="str">
        <v>V溝位置</v>
      </c>
      <c r="P11" t="str">
        <v/>
      </c>
      <c r="Q11" t="str">
        <v>工具顕微鏡</v>
      </c>
      <c r="R11" t="str">
        <v/>
      </c>
      <c r="S11" t="str">
        <v>2.0</v>
      </c>
      <c r="T11" t="str">
        <v/>
      </c>
      <c r="U11" t="str">
        <v>+0.1</v>
      </c>
      <c r="V11" t="str">
        <v>-0.1</v>
      </c>
      <c r="W11" t="str">
        <v>片側</v>
      </c>
      <c r="X11">
        <v>1</v>
      </c>
      <c r="Y11" t="str">
        <v/>
      </c>
    </row>
    <row r="12" spans="1:25" x14ac:dyDescent="0.7">
      <c r="A12">
        <v>11</v>
      </c>
      <c r="B12" t="str">
        <v>V溝位置</v>
      </c>
      <c r="C12" t="str">
        <v/>
      </c>
      <c r="D12" t="str">
        <v>工具顕微鏡</v>
      </c>
      <c r="E12" t="str">
        <v/>
      </c>
      <c r="F12" t="str">
        <v>2.0</v>
      </c>
      <c r="G12" t="str">
        <v/>
      </c>
      <c r="H12" t="str">
        <v>+0.1</v>
      </c>
      <c r="I12" t="str">
        <v>-0.1</v>
      </c>
      <c r="J12" t="str">
        <v>片側</v>
      </c>
      <c r="K12">
        <v>1</v>
      </c>
      <c r="L12" t="str">
        <v/>
      </c>
      <c r="M12" t="str">
        <v xml:space="preserve"> 2.0 </v>
      </c>
      <c r="N12">
        <v>12</v>
      </c>
      <c r="O12" t="str">
        <v>V溝幅</v>
      </c>
      <c r="P12" t="str">
        <v/>
      </c>
      <c r="Q12" t="str">
        <v>工具顕微鏡</v>
      </c>
      <c r="R12" t="str">
        <v/>
      </c>
      <c r="S12" t="str">
        <v>1.0</v>
      </c>
      <c r="T12" t="str">
        <v/>
      </c>
      <c r="U12" t="str">
        <v>+0.1</v>
      </c>
      <c r="V12" t="str">
        <v>-0.1</v>
      </c>
      <c r="W12" t="str">
        <v>片側</v>
      </c>
      <c r="X12">
        <v>1</v>
      </c>
      <c r="Y12" t="str">
        <v/>
      </c>
    </row>
    <row r="13" spans="1:25" x14ac:dyDescent="0.7">
      <c r="A13">
        <v>12</v>
      </c>
      <c r="B13" t="str">
        <v>V溝幅</v>
      </c>
      <c r="C13" t="str">
        <v/>
      </c>
      <c r="D13" t="str">
        <v>工具顕微鏡</v>
      </c>
      <c r="E13" t="str">
        <v/>
      </c>
      <c r="F13" t="str">
        <v>1.0</v>
      </c>
      <c r="G13" t="str">
        <v/>
      </c>
      <c r="H13" t="str">
        <v>+0.1</v>
      </c>
      <c r="I13" t="str">
        <v>-0.1</v>
      </c>
      <c r="J13" t="str">
        <v>片側</v>
      </c>
      <c r="K13">
        <v>1</v>
      </c>
      <c r="L13" t="str">
        <v/>
      </c>
      <c r="M13" t="str">
        <v xml:space="preserve"> 1.0 </v>
      </c>
      <c r="N13">
        <v>13</v>
      </c>
      <c r="O13" t="str">
        <v>V溝角度</v>
      </c>
      <c r="P13" t="str">
        <v/>
      </c>
      <c r="Q13" t="str">
        <v>工具顕微鏡</v>
      </c>
      <c r="R13" t="str">
        <v/>
      </c>
      <c r="S13" t="str">
        <v>60</v>
      </c>
      <c r="T13" t="str">
        <v>°</v>
      </c>
      <c r="U13" t="str">
        <v>+1</v>
      </c>
      <c r="V13" t="str">
        <v>-1</v>
      </c>
      <c r="W13" t="str">
        <v>片側</v>
      </c>
      <c r="X13">
        <v>1</v>
      </c>
      <c r="Y13" t="str">
        <v/>
      </c>
    </row>
    <row r="14" spans="1:25" x14ac:dyDescent="0.7">
      <c r="A14">
        <v>13</v>
      </c>
      <c r="B14" t="str">
        <v>V溝角度</v>
      </c>
      <c r="C14" t="str">
        <v/>
      </c>
      <c r="D14" t="str">
        <v>工具顕微鏡</v>
      </c>
      <c r="E14" t="str">
        <v/>
      </c>
      <c r="F14" t="str">
        <v>60</v>
      </c>
      <c r="G14" t="str">
        <v>°</v>
      </c>
      <c r="H14" t="str">
        <v>+1</v>
      </c>
      <c r="I14" t="str">
        <v>-1</v>
      </c>
      <c r="J14" t="str">
        <v>片側</v>
      </c>
      <c r="K14">
        <v>1</v>
      </c>
      <c r="L14" t="str">
        <v/>
      </c>
      <c r="M14" t="str">
        <v xml:space="preserve"> 60 °</v>
      </c>
      <c r="N14">
        <v>14</v>
      </c>
      <c r="O14" t="str">
        <v>ﾃｰﾊﾟｰ</v>
      </c>
      <c r="P14" t="str">
        <v/>
      </c>
      <c r="Q14" t="str">
        <v>工具顕微鏡</v>
      </c>
      <c r="R14" t="str">
        <v/>
      </c>
      <c r="S14" t="str">
        <v>33</v>
      </c>
      <c r="T14" t="str">
        <v>°</v>
      </c>
      <c r="U14" t="str">
        <v>+1</v>
      </c>
      <c r="V14" t="str">
        <v>-1</v>
      </c>
      <c r="W14" t="str">
        <v>片側</v>
      </c>
      <c r="X14">
        <v>1</v>
      </c>
      <c r="Y14" t="str">
        <v/>
      </c>
    </row>
    <row r="15" spans="1:25" x14ac:dyDescent="0.7">
      <c r="A15">
        <v>14</v>
      </c>
      <c r="B15" t="str">
        <v>ﾃｰﾊﾟｰ</v>
      </c>
      <c r="C15" t="str">
        <v/>
      </c>
      <c r="D15" t="str">
        <v>工具顕微鏡</v>
      </c>
      <c r="E15" t="str">
        <v/>
      </c>
      <c r="F15" t="str">
        <v>33</v>
      </c>
      <c r="G15" t="str">
        <v>°</v>
      </c>
      <c r="H15" t="str">
        <v>+1</v>
      </c>
      <c r="I15" t="str">
        <v>-1</v>
      </c>
      <c r="J15" t="str">
        <v>片側</v>
      </c>
      <c r="K15">
        <v>1</v>
      </c>
      <c r="L15" t="str">
        <v/>
      </c>
      <c r="M15" t="str">
        <v xml:space="preserve"> 33 °</v>
      </c>
      <c r="N15">
        <v>15</v>
      </c>
      <c r="O15" t="str">
        <v>C面取り</v>
      </c>
      <c r="P15" t="str">
        <v>(φ18.98)</v>
      </c>
      <c r="Q15" t="str">
        <v>工具顕微鏡</v>
      </c>
      <c r="R15" t="str">
        <v>C</v>
      </c>
      <c r="S15" t="str">
        <v>0.1</v>
      </c>
      <c r="T15" t="str">
        <v/>
      </c>
      <c r="U15" t="str">
        <v>+0.1</v>
      </c>
      <c r="V15" t="str">
        <v>-0.1</v>
      </c>
      <c r="W15" t="str">
        <v>片側</v>
      </c>
      <c r="X15">
        <v>1</v>
      </c>
      <c r="Y15" t="str">
        <v/>
      </c>
    </row>
    <row r="16" spans="1:25" x14ac:dyDescent="0.7">
      <c r="A16">
        <v>15</v>
      </c>
      <c r="B16" t="str">
        <v>C面取り</v>
      </c>
      <c r="C16" t="str">
        <v>(φ18.98)</v>
      </c>
      <c r="D16" t="str">
        <v>工具顕微鏡</v>
      </c>
      <c r="E16" t="str">
        <v>C</v>
      </c>
      <c r="F16" t="str">
        <v>0.1</v>
      </c>
      <c r="G16" t="str">
        <v/>
      </c>
      <c r="H16" t="str">
        <v>+0.1</v>
      </c>
      <c r="I16" t="str">
        <v>-0.1</v>
      </c>
      <c r="J16" t="str">
        <v>片側</v>
      </c>
      <c r="K16">
        <v>1</v>
      </c>
      <c r="L16" t="str">
        <v/>
      </c>
      <c r="M16" t="str">
        <v xml:space="preserve">C 0.1 </v>
      </c>
      <c r="N16">
        <v>16</v>
      </c>
      <c r="O16" t="str">
        <v>C内面取り</v>
      </c>
      <c r="P16" t="str">
        <v>(φ18.2)</v>
      </c>
      <c r="Q16" t="str">
        <v>工具顕微鏡</v>
      </c>
      <c r="R16" t="str">
        <v>C</v>
      </c>
      <c r="S16" t="str">
        <v>0.1</v>
      </c>
      <c r="T16" t="str">
        <v/>
      </c>
      <c r="U16" t="str">
        <v>+0.1</v>
      </c>
      <c r="V16" t="str">
        <v>-0.1</v>
      </c>
      <c r="W16" t="str">
        <v>片側</v>
      </c>
      <c r="X16">
        <v>1</v>
      </c>
      <c r="Y16" t="str">
        <v/>
      </c>
    </row>
    <row r="17" spans="1:25" x14ac:dyDescent="0.7">
      <c r="A17">
        <v>16</v>
      </c>
      <c r="B17" t="str">
        <v>C内面取り</v>
      </c>
      <c r="C17" t="str">
        <v>(φ18.2)</v>
      </c>
      <c r="D17" t="str">
        <v>工具顕微鏡</v>
      </c>
      <c r="E17" t="str">
        <v>C</v>
      </c>
      <c r="F17" t="str">
        <v>0.1</v>
      </c>
      <c r="G17" t="str">
        <v/>
      </c>
      <c r="H17" t="str">
        <v>+0.1</v>
      </c>
      <c r="I17" t="str">
        <v>-0.1</v>
      </c>
      <c r="J17" t="str">
        <v>片側</v>
      </c>
      <c r="K17">
        <v>1</v>
      </c>
      <c r="L17" t="str">
        <v/>
      </c>
      <c r="M17" t="str">
        <v xml:space="preserve">C 0.1 </v>
      </c>
      <c r="N17">
        <v>17</v>
      </c>
      <c r="O17" t="str">
        <v>指示なき角部</v>
      </c>
      <c r="P17" t="str">
        <v/>
      </c>
      <c r="Q17" t="str">
        <v>工具顕微鏡</v>
      </c>
      <c r="R17" t="str">
        <v>C or R</v>
      </c>
      <c r="S17" t="str">
        <v>0.2</v>
      </c>
      <c r="T17" t="str">
        <v/>
      </c>
      <c r="U17" t="str">
        <v>+0.1</v>
      </c>
      <c r="V17" t="str">
        <v>-0.1</v>
      </c>
      <c r="W17" t="str">
        <v>片側</v>
      </c>
      <c r="X17">
        <v>1</v>
      </c>
      <c r="Y17" t="str">
        <v/>
      </c>
    </row>
    <row r="18" spans="1:25" x14ac:dyDescent="0.7">
      <c r="A18">
        <v>17</v>
      </c>
      <c r="B18" t="str">
        <v>指示なき角部</v>
      </c>
      <c r="C18" t="str">
        <v/>
      </c>
      <c r="D18" t="str">
        <v>工具顕微鏡</v>
      </c>
      <c r="E18" t="str">
        <v>C or R</v>
      </c>
      <c r="F18" t="str">
        <v>0.2</v>
      </c>
      <c r="G18" t="str">
        <v/>
      </c>
      <c r="H18" t="str">
        <v>+0.1</v>
      </c>
      <c r="I18" t="str">
        <v>-0.1</v>
      </c>
      <c r="J18" t="str">
        <v>片側</v>
      </c>
      <c r="K18">
        <v>1</v>
      </c>
      <c r="L18" t="str">
        <v/>
      </c>
      <c r="M18" t="str">
        <v xml:space="preserve">C or R 0.2 </v>
      </c>
      <c r="N18">
        <v>18</v>
      </c>
      <c r="O18" t="str">
        <v>隅R</v>
      </c>
      <c r="P18" t="str">
        <v>(φ18.98)</v>
      </c>
      <c r="Q18" t="str">
        <v>形状測定機</v>
      </c>
      <c r="R18" t="str">
        <v>R</v>
      </c>
      <c r="S18" t="str">
        <v>0.2</v>
      </c>
      <c r="T18" t="str">
        <v>以下</v>
      </c>
      <c r="U18" t="str">
        <v>0</v>
      </c>
      <c r="V18" t="str">
        <v>-0.2</v>
      </c>
      <c r="W18" t="str">
        <v>片側</v>
      </c>
      <c r="X18">
        <v>1</v>
      </c>
      <c r="Y18" t="str">
        <v/>
      </c>
    </row>
    <row r="19" spans="1:25" x14ac:dyDescent="0.7">
      <c r="A19">
        <v>18</v>
      </c>
      <c r="B19" t="str">
        <v>隅R</v>
      </c>
      <c r="C19" t="str">
        <v>(φ18.98)</v>
      </c>
      <c r="D19" t="str">
        <v>形状測定機</v>
      </c>
      <c r="E19" t="str">
        <v>R</v>
      </c>
      <c r="F19" t="str">
        <v>0.2</v>
      </c>
      <c r="G19" t="str">
        <v>以下</v>
      </c>
      <c r="H19" t="str">
        <v>0</v>
      </c>
      <c r="I19" t="str">
        <v>-0.2</v>
      </c>
      <c r="J19" t="str">
        <v>片側</v>
      </c>
      <c r="K19">
        <v>1</v>
      </c>
      <c r="L19" t="str">
        <v/>
      </c>
      <c r="M19" t="str">
        <v>R 0.2 以下</v>
      </c>
      <c r="N19">
        <v>19</v>
      </c>
      <c r="O19" t="str">
        <v>内径角R</v>
      </c>
      <c r="P19" t="str">
        <v>(φ13.0右側)</v>
      </c>
      <c r="Q19" t="str">
        <v>形状測定機</v>
      </c>
      <c r="R19" t="str">
        <v>R</v>
      </c>
      <c r="S19" t="str">
        <v>1.0</v>
      </c>
      <c r="T19" t="str">
        <v/>
      </c>
      <c r="U19" t="str">
        <v>+0.1</v>
      </c>
      <c r="V19" t="str">
        <v>-0.1</v>
      </c>
      <c r="W19" t="str">
        <v>片側</v>
      </c>
      <c r="X19">
        <v>1</v>
      </c>
      <c r="Y19" t="str">
        <v/>
      </c>
    </row>
    <row r="20" spans="1:25" x14ac:dyDescent="0.7">
      <c r="A20">
        <v>19</v>
      </c>
      <c r="B20" t="str">
        <v>内径角R</v>
      </c>
      <c r="C20" t="str">
        <v>(φ13.0右側)</v>
      </c>
      <c r="D20" t="str">
        <v>形状測定機</v>
      </c>
      <c r="E20" t="str">
        <v>R</v>
      </c>
      <c r="F20" t="str">
        <v>1.0</v>
      </c>
      <c r="G20" t="str">
        <v/>
      </c>
      <c r="H20" t="str">
        <v>+0.1</v>
      </c>
      <c r="I20" t="str">
        <v>-0.1</v>
      </c>
      <c r="J20" t="str">
        <v>片側</v>
      </c>
      <c r="K20">
        <v>1</v>
      </c>
      <c r="L20" t="str">
        <v/>
      </c>
      <c r="M20" t="str">
        <v xml:space="preserve">R 1.0 </v>
      </c>
      <c r="N20">
        <v>20</v>
      </c>
      <c r="O20" t="str">
        <v>内ﾃｰﾊﾟｰ</v>
      </c>
      <c r="P20" t="str">
        <v/>
      </c>
      <c r="Q20" t="str">
        <v>形状測定機</v>
      </c>
      <c r="R20" t="str">
        <v/>
      </c>
      <c r="S20" t="str">
        <v>120</v>
      </c>
      <c r="T20" t="str">
        <v>°</v>
      </c>
      <c r="U20" t="str">
        <v>+1</v>
      </c>
      <c r="V20" t="str">
        <v>-1</v>
      </c>
      <c r="W20" t="str">
        <v>片側</v>
      </c>
      <c r="X20">
        <v>1</v>
      </c>
      <c r="Y20" t="str">
        <v/>
      </c>
    </row>
    <row r="21" spans="1:25" x14ac:dyDescent="0.7">
      <c r="A21">
        <v>20</v>
      </c>
      <c r="B21" t="str">
        <v>内ﾃｰﾊﾟｰ</v>
      </c>
      <c r="C21" t="str">
        <v/>
      </c>
      <c r="D21" t="str">
        <v>形状測定機</v>
      </c>
      <c r="E21" t="str">
        <v/>
      </c>
      <c r="F21" t="str">
        <v>120</v>
      </c>
      <c r="G21" t="str">
        <v>°</v>
      </c>
      <c r="H21" t="str">
        <v>+1</v>
      </c>
      <c r="I21" t="str">
        <v>-1</v>
      </c>
      <c r="J21" t="str">
        <v>片側</v>
      </c>
      <c r="K21">
        <v>1</v>
      </c>
      <c r="L21" t="str">
        <v/>
      </c>
      <c r="M21" t="str">
        <v xml:space="preserve"> 120 °</v>
      </c>
      <c r="N21">
        <v>21</v>
      </c>
      <c r="O21" t="str">
        <v>粗さ</v>
      </c>
      <c r="P21" t="str">
        <v>(120°)</v>
      </c>
      <c r="Q21" t="str">
        <v>形状測定機</v>
      </c>
      <c r="R21" t="str">
        <v>Rmax</v>
      </c>
      <c r="S21" t="str">
        <v>6.3</v>
      </c>
      <c r="T21" t="str">
        <v/>
      </c>
      <c r="U21" t="str">
        <v>0</v>
      </c>
      <c r="V21" t="str">
        <v>-6.3</v>
      </c>
      <c r="W21" t="str">
        <v>片側</v>
      </c>
      <c r="X21">
        <v>1</v>
      </c>
      <c r="Y21" t="str">
        <v/>
      </c>
    </row>
    <row r="22" spans="1:25" x14ac:dyDescent="0.7">
      <c r="A22">
        <v>21</v>
      </c>
      <c r="B22" t="str">
        <v>粗さ</v>
      </c>
      <c r="C22" t="str">
        <v>(120°)</v>
      </c>
      <c r="D22" t="str">
        <v>形状測定機</v>
      </c>
      <c r="E22" t="str">
        <v>Rmax</v>
      </c>
      <c r="F22" t="str">
        <v>6.3</v>
      </c>
      <c r="G22" t="str">
        <v/>
      </c>
      <c r="H22" t="str">
        <v>0</v>
      </c>
      <c r="I22" t="str">
        <v>-6.3</v>
      </c>
      <c r="J22" t="str">
        <v>片側</v>
      </c>
      <c r="K22">
        <v>1</v>
      </c>
      <c r="L22" t="str">
        <v/>
      </c>
      <c r="M22" t="str">
        <v xml:space="preserve">Rmax 6.3 </v>
      </c>
      <c r="N22">
        <v>22</v>
      </c>
      <c r="O22" t="str">
        <v>内径角R</v>
      </c>
      <c r="P22" t="str">
        <v>(φ13.0左側)</v>
      </c>
      <c r="Q22" t="str">
        <v>形状測定機</v>
      </c>
      <c r="R22" t="str">
        <v>R</v>
      </c>
      <c r="S22" t="str">
        <v>0.05</v>
      </c>
      <c r="T22" t="str">
        <v/>
      </c>
      <c r="U22" t="str">
        <v>+0.05</v>
      </c>
      <c r="V22" t="str">
        <v>-0.05</v>
      </c>
      <c r="W22" t="str">
        <v>片側</v>
      </c>
      <c r="X22">
        <v>1</v>
      </c>
      <c r="Y22" t="str">
        <v/>
      </c>
    </row>
    <row r="23" spans="1:25" x14ac:dyDescent="0.7">
      <c r="A23">
        <v>22</v>
      </c>
      <c r="B23" t="str">
        <v>内径角R</v>
      </c>
      <c r="C23" t="str">
        <v>(φ13.0左側)</v>
      </c>
      <c r="D23" t="str">
        <v>形状測定機</v>
      </c>
      <c r="E23" t="str">
        <v>R</v>
      </c>
      <c r="F23" t="str">
        <v>0.05</v>
      </c>
      <c r="G23" t="str">
        <v/>
      </c>
      <c r="H23" t="str">
        <v>+0.05</v>
      </c>
      <c r="I23" t="str">
        <v>-0.05</v>
      </c>
      <c r="J23" t="str">
        <v>片側</v>
      </c>
      <c r="K23">
        <v>1</v>
      </c>
      <c r="L23" t="str">
        <v/>
      </c>
      <c r="M23" t="str">
        <v xml:space="preserve">R 0.05 </v>
      </c>
      <c r="N23">
        <v>23</v>
      </c>
      <c r="O23" t="str">
        <v>内長手</v>
      </c>
      <c r="P23" t="str">
        <v>(架空点)</v>
      </c>
      <c r="Q23" t="str">
        <v>形状測定機</v>
      </c>
      <c r="R23" t="str">
        <v/>
      </c>
      <c r="S23" t="str">
        <v>1.0</v>
      </c>
      <c r="T23" t="str">
        <v/>
      </c>
      <c r="U23" t="str">
        <v>+0.025</v>
      </c>
      <c r="V23" t="str">
        <v>-0.025</v>
      </c>
      <c r="W23" t="str">
        <v>片側</v>
      </c>
      <c r="X23">
        <v>1</v>
      </c>
      <c r="Y23" t="str">
        <v/>
      </c>
    </row>
    <row r="24" spans="1:25" x14ac:dyDescent="0.7">
      <c r="A24">
        <v>23</v>
      </c>
      <c r="B24" t="str">
        <v>内長手</v>
      </c>
      <c r="C24" t="str">
        <v>(架空点)</v>
      </c>
      <c r="D24" t="str">
        <v>形状測定機</v>
      </c>
      <c r="E24" t="str">
        <v/>
      </c>
      <c r="F24" t="str">
        <v>1.0</v>
      </c>
      <c r="G24" t="str">
        <v/>
      </c>
      <c r="H24" t="str">
        <v>+0.025</v>
      </c>
      <c r="I24" t="str">
        <v>-0.025</v>
      </c>
      <c r="J24" t="str">
        <v>片側</v>
      </c>
      <c r="K24">
        <v>1</v>
      </c>
      <c r="L24" t="str">
        <v/>
      </c>
      <c r="M24" t="str">
        <v xml:space="preserve"> 1.0 </v>
      </c>
      <c r="N24">
        <v>24</v>
      </c>
      <c r="O24" t="str">
        <v>粗さ</v>
      </c>
      <c r="P24" t="str">
        <v>(端面)</v>
      </c>
      <c r="Q24" t="str">
        <v>形状測定機</v>
      </c>
      <c r="R24" t="str">
        <v>Rmax</v>
      </c>
      <c r="S24" t="str">
        <v>6.3</v>
      </c>
      <c r="T24" t="str">
        <v/>
      </c>
      <c r="U24" t="str">
        <v>0</v>
      </c>
      <c r="V24" t="str">
        <v>-6.3</v>
      </c>
      <c r="W24" t="str">
        <v>片側</v>
      </c>
      <c r="X24">
        <v>1</v>
      </c>
      <c r="Y24" t="str">
        <v/>
      </c>
    </row>
    <row r="25" spans="1:25" x14ac:dyDescent="0.7">
      <c r="A25">
        <v>24</v>
      </c>
      <c r="B25" t="str">
        <v>粗さ</v>
      </c>
      <c r="C25" t="str">
        <v>(端面)</v>
      </c>
      <c r="D25" t="str">
        <v>形状測定機</v>
      </c>
      <c r="E25" t="str">
        <v>Rmax</v>
      </c>
      <c r="F25" t="str">
        <v>6.3</v>
      </c>
      <c r="G25" t="str">
        <v/>
      </c>
      <c r="H25" t="str">
        <v>0</v>
      </c>
      <c r="I25" t="str">
        <v>-6.3</v>
      </c>
      <c r="J25" t="str">
        <v>片側</v>
      </c>
      <c r="K25">
        <v>1</v>
      </c>
      <c r="L25" t="str">
        <v/>
      </c>
      <c r="M25" t="str">
        <v xml:space="preserve">Rmax 6.3 </v>
      </c>
      <c r="N25">
        <v>25</v>
      </c>
      <c r="O25" t="str">
        <v>粗さ</v>
      </c>
      <c r="P25" t="str">
        <v>(φ13.0)</v>
      </c>
      <c r="Q25" t="str">
        <v>形状測定機</v>
      </c>
      <c r="R25" t="str">
        <v>Rmax</v>
      </c>
      <c r="S25" t="str">
        <v>6.3</v>
      </c>
      <c r="T25" t="str">
        <v/>
      </c>
      <c r="U25" t="str">
        <v>0</v>
      </c>
      <c r="V25" t="str">
        <v>-6.3</v>
      </c>
      <c r="W25" t="str">
        <v>片側</v>
      </c>
      <c r="X25">
        <v>1</v>
      </c>
      <c r="Y25" t="str">
        <v/>
      </c>
    </row>
    <row r="26" spans="1:25" x14ac:dyDescent="0.7">
      <c r="A26">
        <v>25</v>
      </c>
      <c r="B26" t="str">
        <v>粗さ</v>
      </c>
      <c r="C26" t="str">
        <v>(φ13.0)</v>
      </c>
      <c r="D26" t="str">
        <v>形状測定機</v>
      </c>
      <c r="E26" t="str">
        <v>Rmax</v>
      </c>
      <c r="F26" t="str">
        <v>6.3</v>
      </c>
      <c r="G26" t="str">
        <v/>
      </c>
      <c r="H26" t="str">
        <v>0</v>
      </c>
      <c r="I26" t="str">
        <v>-6.3</v>
      </c>
      <c r="J26" t="str">
        <v>片側</v>
      </c>
      <c r="K26">
        <v>1</v>
      </c>
      <c r="L26" t="str">
        <v/>
      </c>
      <c r="M26" t="str">
        <v xml:space="preserve">Rmax 6.3 </v>
      </c>
      <c r="N26">
        <v>26</v>
      </c>
      <c r="O26" t="str">
        <v>全体粗さ</v>
      </c>
      <c r="P26" t="str">
        <v/>
      </c>
      <c r="Q26" t="str">
        <v>形状測定機</v>
      </c>
      <c r="R26" t="str">
        <v>Rmax</v>
      </c>
      <c r="S26" t="str">
        <v>12.5</v>
      </c>
      <c r="T26" t="str">
        <v/>
      </c>
      <c r="U26" t="str">
        <v>0</v>
      </c>
      <c r="V26" t="str">
        <v>-12.5</v>
      </c>
      <c r="W26" t="str">
        <v>片側</v>
      </c>
      <c r="X26">
        <v>1</v>
      </c>
      <c r="Y26" t="str">
        <v/>
      </c>
    </row>
    <row r="27" spans="1:25" x14ac:dyDescent="0.7">
      <c r="A27">
        <v>26</v>
      </c>
      <c r="B27" t="str">
        <v>全体粗さ</v>
      </c>
      <c r="C27" t="str">
        <v/>
      </c>
      <c r="D27" t="str">
        <v>形状測定機</v>
      </c>
      <c r="E27" t="str">
        <v>Rmax</v>
      </c>
      <c r="F27" t="str">
        <v>12.5</v>
      </c>
      <c r="G27" t="str">
        <v/>
      </c>
      <c r="H27" t="str">
        <v>0</v>
      </c>
      <c r="I27" t="str">
        <v>-12.5</v>
      </c>
      <c r="J27" t="str">
        <v>片側</v>
      </c>
      <c r="K27">
        <v>1</v>
      </c>
      <c r="L27" t="str">
        <v/>
      </c>
      <c r="M27" t="str">
        <v xml:space="preserve">Rmax 12.5 </v>
      </c>
      <c r="N27">
        <v>27</v>
      </c>
      <c r="O27" t="str">
        <v>指示なき隅部</v>
      </c>
      <c r="P27" t="str">
        <v/>
      </c>
      <c r="Q27" t="str">
        <v>工具顕微鏡</v>
      </c>
      <c r="R27" t="str">
        <v>C or R</v>
      </c>
      <c r="S27" t="str">
        <v>0.2</v>
      </c>
      <c r="T27" t="str">
        <v/>
      </c>
      <c r="U27" t="str">
        <v>+0.1</v>
      </c>
      <c r="V27" t="str">
        <v>-0.1</v>
      </c>
      <c r="W27" t="str">
        <v>片側</v>
      </c>
      <c r="X27">
        <v>1</v>
      </c>
      <c r="Y27" t="str">
        <v/>
      </c>
    </row>
    <row r="28" spans="1:25" x14ac:dyDescent="0.7">
      <c r="A28">
        <v>27</v>
      </c>
      <c r="B28" t="str">
        <v>指示なき隅部</v>
      </c>
      <c r="C28" t="str">
        <v/>
      </c>
      <c r="D28" t="str">
        <v>工具顕微鏡</v>
      </c>
      <c r="E28" t="str">
        <v>C or R</v>
      </c>
      <c r="F28" t="str">
        <v>0.2</v>
      </c>
      <c r="G28" t="str">
        <v/>
      </c>
      <c r="H28" t="str">
        <v>+0.1</v>
      </c>
      <c r="I28" t="str">
        <v>-0.1</v>
      </c>
      <c r="J28" t="str">
        <v>片側</v>
      </c>
      <c r="K28">
        <v>1</v>
      </c>
      <c r="L28" t="str">
        <v/>
      </c>
      <c r="M28" t="str">
        <v xml:space="preserve">C or R 0.2 </v>
      </c>
      <c r="N28">
        <v>28</v>
      </c>
      <c r="O28" t="str">
        <v>内径</v>
      </c>
      <c r="P28" t="str">
        <v>(ｶｯﾄなし品)</v>
      </c>
      <c r="Q28" t="str">
        <v>ﾎﾞﾜｰｽﾞﾏｲｸﾛ</v>
      </c>
      <c r="R28" t="str">
        <v>φ</v>
      </c>
      <c r="S28" t="str">
        <v>17.5</v>
      </c>
      <c r="T28" t="str">
        <v/>
      </c>
      <c r="U28" t="str">
        <v>+0.1</v>
      </c>
      <c r="V28" t="str">
        <v>-0.1</v>
      </c>
      <c r="W28" t="str">
        <v>片側</v>
      </c>
      <c r="X28">
        <v>1</v>
      </c>
      <c r="Y28" t="str">
        <v/>
      </c>
    </row>
    <row r="29" spans="1:25" x14ac:dyDescent="0.7">
      <c r="A29">
        <v>28</v>
      </c>
      <c r="B29" t="str">
        <v>内径</v>
      </c>
      <c r="C29" t="str">
        <v>(ｶｯﾄなし品)</v>
      </c>
      <c r="D29" t="str">
        <v>ﾎﾞﾜｰｽﾞﾏｲｸﾛ</v>
      </c>
      <c r="E29" t="str">
        <v>φ</v>
      </c>
      <c r="F29" t="str">
        <v>17.5</v>
      </c>
      <c r="G29" t="str">
        <v/>
      </c>
      <c r="H29" t="str">
        <v>+0.1</v>
      </c>
      <c r="I29" t="str">
        <v>-0.1</v>
      </c>
      <c r="J29" t="str">
        <v>片側</v>
      </c>
      <c r="K29">
        <v>1</v>
      </c>
      <c r="L29" t="str">
        <v/>
      </c>
      <c r="M29" t="str">
        <v xml:space="preserve">φ 17.5 </v>
      </c>
      <c r="N29">
        <v>29</v>
      </c>
      <c r="O29" t="str">
        <v>内径</v>
      </c>
      <c r="P29" t="str">
        <v/>
      </c>
      <c r="Q29" t="str">
        <v>ﾎﾞﾜｰｽﾞﾏｲｸﾛ</v>
      </c>
      <c r="R29" t="str">
        <v>φ</v>
      </c>
      <c r="S29" t="str">
        <v>18.2</v>
      </c>
      <c r="T29" t="str">
        <v/>
      </c>
      <c r="U29" t="str">
        <v>+0.1</v>
      </c>
      <c r="V29" t="str">
        <v>-0.1</v>
      </c>
      <c r="W29" t="str">
        <v>片側</v>
      </c>
      <c r="X29">
        <v>1</v>
      </c>
      <c r="Y29" t="str">
        <v/>
      </c>
    </row>
    <row r="30" spans="1:25" x14ac:dyDescent="0.7">
      <c r="A30">
        <v>29</v>
      </c>
      <c r="B30" t="str">
        <v>内径</v>
      </c>
      <c r="C30" t="str">
        <v/>
      </c>
      <c r="D30" t="str">
        <v>ﾎﾞﾜｰｽﾞﾏｲｸﾛ</v>
      </c>
      <c r="E30" t="str">
        <v>φ</v>
      </c>
      <c r="F30" t="str">
        <v>18.2</v>
      </c>
      <c r="G30" t="str">
        <v/>
      </c>
      <c r="H30" t="str">
        <v>+0.1</v>
      </c>
      <c r="I30" t="str">
        <v>-0.1</v>
      </c>
      <c r="J30" t="str">
        <v>片側</v>
      </c>
      <c r="K30">
        <v>1</v>
      </c>
      <c r="L30" t="str">
        <v/>
      </c>
      <c r="M30" t="str">
        <v xml:space="preserve">φ 18.2 </v>
      </c>
      <c r="N30">
        <v>30</v>
      </c>
      <c r="O30" t="str">
        <v>内径</v>
      </c>
      <c r="P30" t="str">
        <v>(狙い値15.9)</v>
      </c>
      <c r="Q30" t="str">
        <v>ﾎﾞﾜｰｽﾞﾏｲｸﾛ</v>
      </c>
      <c r="R30" t="str">
        <v>φ</v>
      </c>
      <c r="S30" t="str">
        <v>15.9</v>
      </c>
      <c r="T30" t="str">
        <v/>
      </c>
      <c r="U30" t="str">
        <v>+0.025</v>
      </c>
      <c r="V30" t="str">
        <v>-0.02</v>
      </c>
      <c r="W30" t="str">
        <v>片側</v>
      </c>
      <c r="X30">
        <v>1</v>
      </c>
      <c r="Y30" t="str">
        <v/>
      </c>
    </row>
    <row r="31" spans="1:25" x14ac:dyDescent="0.7">
      <c r="A31">
        <v>30</v>
      </c>
      <c r="B31" t="str">
        <v>内径</v>
      </c>
      <c r="C31" t="str">
        <v>(狙い値15.9)</v>
      </c>
      <c r="D31" t="str">
        <v>ﾎﾞﾜｰｽﾞﾏｲｸﾛ</v>
      </c>
      <c r="E31" t="str">
        <v>φ</v>
      </c>
      <c r="F31" t="str">
        <v>15.9</v>
      </c>
      <c r="G31" t="str">
        <v/>
      </c>
      <c r="H31" t="str">
        <v>+0.025</v>
      </c>
      <c r="I31" t="str">
        <v>-0.02</v>
      </c>
      <c r="J31" t="str">
        <v>片側</v>
      </c>
      <c r="K31">
        <v>1</v>
      </c>
      <c r="L31" t="str">
        <v/>
      </c>
      <c r="M31" t="str">
        <v xml:space="preserve">φ 15.9 </v>
      </c>
      <c r="N31">
        <v>31</v>
      </c>
      <c r="O31" t="str">
        <v>内径</v>
      </c>
      <c r="P31" t="str">
        <v/>
      </c>
      <c r="Q31" t="str">
        <v>ﾎﾞﾜｰｽﾞﾏｲｸﾛ</v>
      </c>
      <c r="R31" t="str">
        <v>φ</v>
      </c>
      <c r="S31" t="str">
        <v>13.0</v>
      </c>
      <c r="T31" t="str">
        <v/>
      </c>
      <c r="U31" t="str">
        <v>+0.05</v>
      </c>
      <c r="V31" t="str">
        <v>0</v>
      </c>
      <c r="W31" t="str">
        <v>片側</v>
      </c>
      <c r="X31">
        <v>1</v>
      </c>
      <c r="Y31" t="str">
        <v/>
      </c>
    </row>
    <row r="32" spans="1:25" x14ac:dyDescent="0.7">
      <c r="A32">
        <v>31</v>
      </c>
      <c r="B32" t="str">
        <v>内径</v>
      </c>
      <c r="C32" t="str">
        <v/>
      </c>
      <c r="D32" t="str">
        <v>ﾎﾞﾜｰｽﾞﾏｲｸﾛ</v>
      </c>
      <c r="E32" t="str">
        <v>φ</v>
      </c>
      <c r="F32" t="str">
        <v>13.0</v>
      </c>
      <c r="G32" t="str">
        <v/>
      </c>
      <c r="H32" t="str">
        <v>+0.05</v>
      </c>
      <c r="I32" t="str">
        <v>0</v>
      </c>
      <c r="J32" t="str">
        <v>片側</v>
      </c>
      <c r="K32">
        <v>1</v>
      </c>
      <c r="L32" t="str">
        <v/>
      </c>
      <c r="M32" t="str">
        <v xml:space="preserve">φ 13.0 </v>
      </c>
      <c r="N32">
        <v>32</v>
      </c>
      <c r="O32" t="str">
        <v>ｸﾛｽ穴</v>
      </c>
      <c r="P32" t="str">
        <v/>
      </c>
      <c r="Q32" t="str">
        <v>ﾋﾟﾝｹﾞｰｼﾞ</v>
      </c>
      <c r="R32" t="str">
        <v>φ</v>
      </c>
      <c r="S32" t="str">
        <v>0.6</v>
      </c>
      <c r="T32" t="str">
        <v/>
      </c>
      <c r="U32" t="str">
        <v>+0.05</v>
      </c>
      <c r="V32" t="str">
        <v>-0.05</v>
      </c>
      <c r="W32" t="str">
        <v>片側</v>
      </c>
      <c r="X32">
        <v>1</v>
      </c>
      <c r="Y32" t="str">
        <v/>
      </c>
    </row>
    <row r="33" spans="1:25" x14ac:dyDescent="0.7">
      <c r="A33">
        <v>32</v>
      </c>
      <c r="B33" t="str">
        <v>ｸﾛｽ穴</v>
      </c>
      <c r="C33" t="str">
        <v/>
      </c>
      <c r="D33" t="str">
        <v>ﾋﾟﾝｹﾞｰｼﾞ</v>
      </c>
      <c r="E33" t="str">
        <v>φ</v>
      </c>
      <c r="F33" t="str">
        <v>0.6</v>
      </c>
      <c r="G33" t="str">
        <v/>
      </c>
      <c r="H33" t="str">
        <v>+0.05</v>
      </c>
      <c r="I33" t="str">
        <v>-0.05</v>
      </c>
      <c r="J33" t="str">
        <v>片側</v>
      </c>
      <c r="K33">
        <v>1</v>
      </c>
      <c r="L33" t="str">
        <v/>
      </c>
      <c r="M33" t="str">
        <v xml:space="preserve">φ 0.6 </v>
      </c>
      <c r="N33">
        <v>33</v>
      </c>
      <c r="O33" t="str">
        <v>円筒度</v>
      </c>
      <c r="P33" t="str">
        <v>(φ18.98)</v>
      </c>
      <c r="Q33" t="str">
        <v>真円度測定機</v>
      </c>
      <c r="R33" t="str">
        <v/>
      </c>
      <c r="S33" t="str">
        <v>0.02</v>
      </c>
      <c r="T33" t="str">
        <v/>
      </c>
      <c r="U33" t="str">
        <v>0</v>
      </c>
      <c r="V33" t="str">
        <v>-0.02</v>
      </c>
      <c r="W33" t="str">
        <v>片側</v>
      </c>
      <c r="X33">
        <v>1</v>
      </c>
      <c r="Y33" t="str">
        <v/>
      </c>
    </row>
    <row r="34" spans="1:25" x14ac:dyDescent="0.7">
      <c r="A34">
        <v>33</v>
      </c>
      <c r="B34" t="str">
        <v>円筒度</v>
      </c>
      <c r="C34" t="str">
        <v>(φ18.98)</v>
      </c>
      <c r="D34" t="str">
        <v>真円度測定機</v>
      </c>
      <c r="E34" t="str">
        <v/>
      </c>
      <c r="F34" t="str">
        <v>0.02</v>
      </c>
      <c r="G34" t="str">
        <v/>
      </c>
      <c r="H34" t="str">
        <v>0</v>
      </c>
      <c r="I34" t="str">
        <v>-0.02</v>
      </c>
      <c r="J34" t="str">
        <v>片側</v>
      </c>
      <c r="K34">
        <v>1</v>
      </c>
      <c r="L34" t="str">
        <v/>
      </c>
      <c r="M34" t="str">
        <v xml:space="preserve"> 0.02 </v>
      </c>
      <c r="N34">
        <v>34</v>
      </c>
      <c r="O34" t="str">
        <v>真円度</v>
      </c>
      <c r="P34" t="str">
        <v>(φ13.0)</v>
      </c>
      <c r="Q34" t="str">
        <v>真円度測定機</v>
      </c>
      <c r="R34" t="str">
        <v/>
      </c>
      <c r="S34" t="str">
        <v>0.02</v>
      </c>
      <c r="T34" t="str">
        <v/>
      </c>
      <c r="U34" t="str">
        <v>0</v>
      </c>
      <c r="V34" t="str">
        <v>-0.02</v>
      </c>
      <c r="W34" t="str">
        <v>片側</v>
      </c>
      <c r="X34">
        <v>1</v>
      </c>
      <c r="Y34" t="str">
        <v/>
      </c>
    </row>
    <row r="35" spans="1:25" x14ac:dyDescent="0.7">
      <c r="A35">
        <v>34</v>
      </c>
      <c r="B35" t="str">
        <v>真円度</v>
      </c>
      <c r="C35" t="str">
        <v>(φ13.0)</v>
      </c>
      <c r="D35" t="str">
        <v>真円度測定機</v>
      </c>
      <c r="E35" t="str">
        <v/>
      </c>
      <c r="F35" t="str">
        <v>0.02</v>
      </c>
      <c r="G35" t="str">
        <v/>
      </c>
      <c r="H35" t="str">
        <v>0</v>
      </c>
      <c r="I35" t="str">
        <v>-0.02</v>
      </c>
      <c r="J35" t="str">
        <v>片側</v>
      </c>
      <c r="K35">
        <v>1</v>
      </c>
      <c r="L35" t="str">
        <v/>
      </c>
      <c r="M35" t="str">
        <v xml:space="preserve"> 0.02 </v>
      </c>
      <c r="N35">
        <v>35</v>
      </c>
      <c r="O35" t="str">
        <v>同軸度</v>
      </c>
      <c r="P35" t="str">
        <v>(φ13.0/A)</v>
      </c>
      <c r="Q35" t="str">
        <v>真円度測定機</v>
      </c>
      <c r="R35" t="str">
        <v>φ</v>
      </c>
      <c r="S35" t="str">
        <v>0.02</v>
      </c>
      <c r="T35" t="str">
        <v/>
      </c>
      <c r="U35" t="str">
        <v>0</v>
      </c>
      <c r="V35" t="str">
        <v>-0.02</v>
      </c>
      <c r="W35" t="str">
        <v>片側</v>
      </c>
      <c r="X35">
        <v>1</v>
      </c>
      <c r="Y35" t="str">
        <v/>
      </c>
    </row>
    <row r="36" spans="1:25" x14ac:dyDescent="0.7">
      <c r="A36">
        <v>35</v>
      </c>
      <c r="B36" t="str">
        <v>同軸度</v>
      </c>
      <c r="C36" t="str">
        <v>(φ13.0/A)</v>
      </c>
      <c r="D36" t="str">
        <v>真円度測定機</v>
      </c>
      <c r="E36" t="str">
        <v>φ</v>
      </c>
      <c r="F36" t="str">
        <v>0.02</v>
      </c>
      <c r="G36" t="str">
        <v/>
      </c>
      <c r="H36" t="str">
        <v>0</v>
      </c>
      <c r="I36" t="str">
        <v>-0.02</v>
      </c>
      <c r="J36" t="str">
        <v>片側</v>
      </c>
      <c r="K36">
        <v>1</v>
      </c>
      <c r="L36" t="str">
        <v/>
      </c>
      <c r="M36" t="str">
        <v xml:space="preserve">φ 0.02 </v>
      </c>
      <c r="N36">
        <v>36</v>
      </c>
      <c r="O36" t="str">
        <v>平面度</v>
      </c>
      <c r="P36" t="str">
        <v>(長手1.6)</v>
      </c>
      <c r="Q36" t="str">
        <v>真円度測定機</v>
      </c>
      <c r="R36" t="str">
        <v/>
      </c>
      <c r="S36" t="str">
        <v>0.02</v>
      </c>
      <c r="T36" t="str">
        <v/>
      </c>
      <c r="U36" t="str">
        <v>0</v>
      </c>
      <c r="V36" t="str">
        <v>-0.02</v>
      </c>
      <c r="W36" t="str">
        <v>片側</v>
      </c>
      <c r="X36">
        <v>1</v>
      </c>
      <c r="Y36" t="str">
        <v/>
      </c>
    </row>
    <row r="37" spans="1:25" x14ac:dyDescent="0.7">
      <c r="A37">
        <v>36</v>
      </c>
      <c r="B37" t="str">
        <v>平面度</v>
      </c>
      <c r="C37" t="str">
        <v>(長手1.6)</v>
      </c>
      <c r="D37" t="str">
        <v>真円度測定機</v>
      </c>
      <c r="E37" t="str">
        <v/>
      </c>
      <c r="F37" t="str">
        <v>0.02</v>
      </c>
      <c r="G37" t="str">
        <v/>
      </c>
      <c r="H37" t="str">
        <v>0</v>
      </c>
      <c r="I37" t="str">
        <v>-0.02</v>
      </c>
      <c r="J37" t="str">
        <v>片側</v>
      </c>
      <c r="K37">
        <v>1</v>
      </c>
      <c r="L37" t="str">
        <v/>
      </c>
      <c r="M37" t="str">
        <v xml:space="preserve"> 0.02 </v>
      </c>
      <c r="N37">
        <v>37</v>
      </c>
      <c r="O37" t="str">
        <v>直角度</v>
      </c>
      <c r="P37" t="str">
        <v>(長手1.6/A)</v>
      </c>
      <c r="Q37" t="str">
        <v>真円度測定機</v>
      </c>
      <c r="R37" t="str">
        <v/>
      </c>
      <c r="S37" t="str">
        <v>0.02</v>
      </c>
      <c r="T37" t="str">
        <v/>
      </c>
      <c r="U37" t="str">
        <v>0</v>
      </c>
      <c r="V37" t="str">
        <v>-0.02</v>
      </c>
      <c r="W37" t="str">
        <v>片側</v>
      </c>
      <c r="X37">
        <v>1</v>
      </c>
      <c r="Y37" t="str">
        <v/>
      </c>
    </row>
    <row r="38" spans="1:25" x14ac:dyDescent="0.7">
      <c r="A38">
        <v>37</v>
      </c>
      <c r="B38" t="str">
        <v>直角度</v>
      </c>
      <c r="C38" t="str">
        <v>(長手1.6/A)</v>
      </c>
      <c r="D38" t="str">
        <v>真円度測定機</v>
      </c>
      <c r="E38" t="str">
        <v/>
      </c>
      <c r="F38" t="str">
        <v>0.02</v>
      </c>
      <c r="G38" t="str">
        <v/>
      </c>
      <c r="H38" t="str">
        <v>0</v>
      </c>
      <c r="I38" t="str">
        <v>-0.02</v>
      </c>
      <c r="J38" t="str">
        <v>片側</v>
      </c>
      <c r="K38">
        <v>1</v>
      </c>
      <c r="L38" t="str">
        <v/>
      </c>
      <c r="M38" t="str">
        <v xml:space="preserve"> 0.02 </v>
      </c>
      <c r="N38">
        <v>38</v>
      </c>
      <c r="O38" t="str">
        <v>振れ</v>
      </c>
      <c r="P38" t="str">
        <v>(120°/A)</v>
      </c>
      <c r="Q38" t="str">
        <v>真円度測定機</v>
      </c>
      <c r="R38" t="str">
        <v/>
      </c>
      <c r="S38" t="str">
        <v>0.02</v>
      </c>
      <c r="T38" t="str">
        <v/>
      </c>
      <c r="U38" t="str">
        <v>0</v>
      </c>
      <c r="V38" t="str">
        <v>-0.02</v>
      </c>
      <c r="W38" t="str">
        <v>片側</v>
      </c>
      <c r="X38">
        <v>1</v>
      </c>
      <c r="Y38" t="str">
        <v/>
      </c>
    </row>
    <row r="39" spans="1:25" x14ac:dyDescent="0.7">
      <c r="A39">
        <v>38</v>
      </c>
      <c r="B39" t="str">
        <v>振れ</v>
      </c>
      <c r="C39" t="str">
        <v>(120°/A)</v>
      </c>
      <c r="D39" t="str">
        <v>真円度測定機</v>
      </c>
      <c r="E39" t="str">
        <v/>
      </c>
      <c r="F39" t="str">
        <v>0.02</v>
      </c>
      <c r="G39" t="str">
        <v/>
      </c>
      <c r="H39" t="str">
        <v>0</v>
      </c>
      <c r="I39" t="str">
        <v>-0.02</v>
      </c>
      <c r="J39" t="str">
        <v>片側</v>
      </c>
      <c r="K39">
        <v>1</v>
      </c>
      <c r="L39" t="str">
        <v/>
      </c>
      <c r="M39" t="str">
        <v xml:space="preserve"> 0.02 </v>
      </c>
      <c r="N39">
        <v>39</v>
      </c>
      <c r="O39" t="str">
        <v/>
      </c>
      <c r="P39" t="str">
        <v/>
      </c>
      <c r="Q39" t="str">
        <v/>
      </c>
      <c r="R39" t="str">
        <v/>
      </c>
      <c r="S39" t="str">
        <v/>
      </c>
      <c r="T39" t="str">
        <v/>
      </c>
      <c r="U39" t="str">
        <v/>
      </c>
      <c r="V39" t="str">
        <v/>
      </c>
      <c r="W39" t="str">
        <v/>
      </c>
      <c r="X39" t="str">
        <v/>
      </c>
      <c r="Y39" t="str">
        <v/>
      </c>
    </row>
    <row r="40" spans="1:25" x14ac:dyDescent="0.7">
      <c r="M40" t="str">
        <v/>
      </c>
      <c r="N40">
        <v>40</v>
      </c>
      <c r="O40" t="str">
        <v/>
      </c>
      <c r="P40" t="str">
        <v/>
      </c>
      <c r="Q40" t="str">
        <v/>
      </c>
      <c r="R40" t="str">
        <v/>
      </c>
      <c r="S40" t="str">
        <v/>
      </c>
      <c r="T40" t="str">
        <v/>
      </c>
      <c r="U40" t="str">
        <v/>
      </c>
      <c r="V40" t="str">
        <v/>
      </c>
      <c r="W40" t="str">
        <v/>
      </c>
      <c r="X40" t="str">
        <v/>
      </c>
      <c r="Y40" t="str">
        <v/>
      </c>
    </row>
    <row r="41" spans="1:25" x14ac:dyDescent="0.7">
      <c r="M41" t="str">
        <v/>
      </c>
      <c r="N41">
        <v>41</v>
      </c>
      <c r="O41" t="str">
        <v/>
      </c>
      <c r="P41" t="str">
        <v/>
      </c>
      <c r="Q41" t="str">
        <v/>
      </c>
      <c r="R41" t="str">
        <v/>
      </c>
      <c r="S41" t="str">
        <v/>
      </c>
      <c r="T41" t="str">
        <v/>
      </c>
      <c r="U41" t="str">
        <v/>
      </c>
      <c r="V41" t="str">
        <v/>
      </c>
      <c r="W41" t="str">
        <v/>
      </c>
      <c r="X41" t="str">
        <v/>
      </c>
      <c r="Y41" t="str">
        <v/>
      </c>
    </row>
    <row r="42" spans="1:25" x14ac:dyDescent="0.7">
      <c r="M42" t="str">
        <v/>
      </c>
      <c r="N42">
        <v>42</v>
      </c>
      <c r="O42" t="str">
        <v/>
      </c>
      <c r="P42" t="str">
        <v/>
      </c>
      <c r="Q42" t="str">
        <v/>
      </c>
      <c r="R42" t="str">
        <v/>
      </c>
      <c r="S42" t="str">
        <v/>
      </c>
      <c r="T42" t="str">
        <v/>
      </c>
      <c r="U42" t="str">
        <v/>
      </c>
      <c r="V42" t="str">
        <v/>
      </c>
      <c r="W42" t="str">
        <v/>
      </c>
      <c r="X42" t="str">
        <v/>
      </c>
      <c r="Y42" t="str">
        <v/>
      </c>
    </row>
    <row r="43" spans="1:25" x14ac:dyDescent="0.7">
      <c r="M43" t="str">
        <v/>
      </c>
      <c r="N43">
        <v>43</v>
      </c>
      <c r="O43" t="str">
        <v/>
      </c>
      <c r="P43" t="str">
        <v/>
      </c>
      <c r="Q43" t="str">
        <v/>
      </c>
      <c r="R43" t="str">
        <v/>
      </c>
      <c r="S43" t="str">
        <v/>
      </c>
      <c r="T43" t="str">
        <v/>
      </c>
      <c r="U43" t="str">
        <v/>
      </c>
      <c r="V43" t="str">
        <v/>
      </c>
      <c r="W43" t="str">
        <v/>
      </c>
      <c r="X43" t="str">
        <v/>
      </c>
      <c r="Y43" t="str">
        <v/>
      </c>
    </row>
    <row r="44" spans="1:25" x14ac:dyDescent="0.7">
      <c r="M44" t="str">
        <v/>
      </c>
      <c r="N44">
        <v>44</v>
      </c>
      <c r="O44" t="str">
        <v/>
      </c>
      <c r="P44" t="str">
        <v/>
      </c>
      <c r="Q44" t="str">
        <v/>
      </c>
      <c r="R44" t="str">
        <v/>
      </c>
      <c r="S44" t="str">
        <v/>
      </c>
      <c r="T44" t="str">
        <v/>
      </c>
      <c r="U44" t="str">
        <v/>
      </c>
      <c r="V44" t="str">
        <v/>
      </c>
      <c r="W44" t="str">
        <v/>
      </c>
      <c r="X44" t="str">
        <v/>
      </c>
      <c r="Y44" t="str">
        <v/>
      </c>
    </row>
    <row r="45" spans="1:25" x14ac:dyDescent="0.7">
      <c r="M45" t="str">
        <v/>
      </c>
      <c r="N45">
        <v>45</v>
      </c>
      <c r="O45" t="str">
        <v/>
      </c>
      <c r="P45" t="str">
        <v/>
      </c>
      <c r="Q45" t="str">
        <v/>
      </c>
      <c r="R45" t="str">
        <v/>
      </c>
      <c r="S45" t="str">
        <v/>
      </c>
      <c r="T45" t="str">
        <v/>
      </c>
      <c r="U45" t="str">
        <v/>
      </c>
      <c r="V45" t="str">
        <v/>
      </c>
      <c r="W45" t="str">
        <v/>
      </c>
      <c r="X45" t="str">
        <v/>
      </c>
      <c r="Y45" t="str">
        <v/>
      </c>
    </row>
    <row r="46" spans="1:25" x14ac:dyDescent="0.7">
      <c r="M46" t="str">
        <v/>
      </c>
      <c r="N46">
        <v>46</v>
      </c>
      <c r="O46" t="str">
        <v/>
      </c>
      <c r="P46" t="str">
        <v/>
      </c>
      <c r="Q46" t="str">
        <v/>
      </c>
      <c r="R46" t="str">
        <v/>
      </c>
      <c r="S46" t="str">
        <v/>
      </c>
      <c r="T46" t="str">
        <v/>
      </c>
      <c r="U46" t="str">
        <v/>
      </c>
      <c r="V46" t="str">
        <v/>
      </c>
      <c r="W46" t="str">
        <v/>
      </c>
      <c r="X46" t="str">
        <v/>
      </c>
      <c r="Y46" t="str">
        <v/>
      </c>
    </row>
    <row r="47" spans="1:25" x14ac:dyDescent="0.7">
      <c r="M47" t="str">
        <v/>
      </c>
      <c r="N47">
        <v>47</v>
      </c>
      <c r="O47" t="str">
        <v/>
      </c>
      <c r="P47" t="str">
        <v/>
      </c>
      <c r="Q47" t="str">
        <v/>
      </c>
      <c r="R47" t="str">
        <v/>
      </c>
      <c r="S47" t="str">
        <v/>
      </c>
      <c r="T47" t="str">
        <v/>
      </c>
      <c r="U47" t="str">
        <v/>
      </c>
      <c r="V47" t="str">
        <v/>
      </c>
      <c r="W47" t="str">
        <v/>
      </c>
      <c r="X47" t="str">
        <v/>
      </c>
      <c r="Y47" t="str">
        <v/>
      </c>
    </row>
    <row r="48" spans="1:25" x14ac:dyDescent="0.7">
      <c r="M48" t="str">
        <v/>
      </c>
      <c r="N48">
        <v>48</v>
      </c>
      <c r="O48" t="str">
        <v/>
      </c>
      <c r="P48" t="str">
        <v/>
      </c>
      <c r="Q48" t="str">
        <v/>
      </c>
      <c r="R48" t="str">
        <v/>
      </c>
      <c r="S48" t="str">
        <v/>
      </c>
      <c r="T48" t="str">
        <v/>
      </c>
      <c r="U48" t="str">
        <v/>
      </c>
      <c r="V48" t="str">
        <v/>
      </c>
      <c r="W48" t="str">
        <v/>
      </c>
      <c r="X48" t="str">
        <v/>
      </c>
      <c r="Y48" t="str">
        <v/>
      </c>
    </row>
    <row r="49" spans="13:25" x14ac:dyDescent="0.7">
      <c r="M49" t="str">
        <v/>
      </c>
      <c r="N49">
        <v>49</v>
      </c>
      <c r="O49" t="str">
        <v/>
      </c>
      <c r="P49" t="str">
        <v/>
      </c>
      <c r="Q49" t="str">
        <v/>
      </c>
      <c r="R49" t="str">
        <v/>
      </c>
      <c r="S49" t="str">
        <v/>
      </c>
      <c r="T49" t="str">
        <v/>
      </c>
      <c r="U49" t="str">
        <v/>
      </c>
      <c r="V49" t="str">
        <v/>
      </c>
      <c r="W49" t="str">
        <v/>
      </c>
      <c r="X49" t="str">
        <v/>
      </c>
      <c r="Y49" t="str">
        <v/>
      </c>
    </row>
    <row r="50" spans="13:25" x14ac:dyDescent="0.7">
      <c r="M50" t="str">
        <v/>
      </c>
      <c r="N50">
        <v>50</v>
      </c>
      <c r="O50" t="str">
        <v/>
      </c>
      <c r="P50" t="str">
        <v/>
      </c>
      <c r="Q50" t="str">
        <v/>
      </c>
      <c r="R50" t="str">
        <v/>
      </c>
      <c r="S50" t="str">
        <v/>
      </c>
      <c r="T50" t="str">
        <v/>
      </c>
      <c r="U50" t="str">
        <v/>
      </c>
      <c r="V50" t="str">
        <v/>
      </c>
      <c r="W50" t="str">
        <v/>
      </c>
      <c r="X50" t="str">
        <v/>
      </c>
      <c r="Y50" t="str">
        <v/>
      </c>
    </row>
    <row r="51" spans="13:25" x14ac:dyDescent="0.7">
      <c r="M51" t="str">
        <v/>
      </c>
      <c r="N51">
        <v>51</v>
      </c>
      <c r="O51" t="str">
        <v/>
      </c>
      <c r="P51" t="str">
        <v/>
      </c>
      <c r="Q51" t="str">
        <v/>
      </c>
      <c r="R51" t="str">
        <v/>
      </c>
      <c r="S51" t="str">
        <v/>
      </c>
      <c r="T51" t="str">
        <v/>
      </c>
      <c r="U51" t="str">
        <v/>
      </c>
      <c r="V51" t="str">
        <v/>
      </c>
      <c r="W51" t="str">
        <v/>
      </c>
      <c r="X51" t="str">
        <v/>
      </c>
      <c r="Y51" t="str">
        <v/>
      </c>
    </row>
    <row r="52" spans="13:25" x14ac:dyDescent="0.7">
      <c r="M52" t="str">
        <v/>
      </c>
      <c r="N52">
        <v>52</v>
      </c>
      <c r="O52" t="str">
        <v/>
      </c>
      <c r="P52" t="str">
        <v/>
      </c>
      <c r="Q52" t="str">
        <v/>
      </c>
      <c r="R52" t="str">
        <v/>
      </c>
      <c r="S52" t="str">
        <v/>
      </c>
      <c r="T52" t="str">
        <v/>
      </c>
      <c r="U52" t="str">
        <v/>
      </c>
      <c r="V52" t="str">
        <v/>
      </c>
      <c r="W52" t="str">
        <v/>
      </c>
      <c r="X52" t="str">
        <v/>
      </c>
      <c r="Y52" t="str">
        <v/>
      </c>
    </row>
    <row r="53" spans="13:25" x14ac:dyDescent="0.7">
      <c r="M53" t="str">
        <v/>
      </c>
      <c r="N53">
        <v>53</v>
      </c>
      <c r="O53" t="str">
        <v/>
      </c>
      <c r="P53" t="str">
        <v/>
      </c>
      <c r="Q53" t="str">
        <v/>
      </c>
      <c r="R53" t="str">
        <v/>
      </c>
      <c r="S53" t="str">
        <v/>
      </c>
      <c r="T53" t="str">
        <v/>
      </c>
      <c r="U53" t="str">
        <v/>
      </c>
      <c r="V53" t="str">
        <v/>
      </c>
      <c r="W53" t="str">
        <v/>
      </c>
      <c r="X53" t="str">
        <v/>
      </c>
      <c r="Y53" t="str">
        <v/>
      </c>
    </row>
    <row r="54" spans="13:25" x14ac:dyDescent="0.7">
      <c r="M54" t="str">
        <v/>
      </c>
      <c r="N54">
        <v>54</v>
      </c>
      <c r="O54" t="str">
        <v/>
      </c>
      <c r="P54" t="str">
        <v/>
      </c>
      <c r="Q54" t="str">
        <v/>
      </c>
      <c r="R54" t="str">
        <v/>
      </c>
      <c r="S54" t="str">
        <v/>
      </c>
      <c r="T54" t="str">
        <v/>
      </c>
      <c r="U54" t="str">
        <v/>
      </c>
      <c r="V54" t="str">
        <v/>
      </c>
      <c r="W54" t="str">
        <v/>
      </c>
      <c r="X54" t="str">
        <v/>
      </c>
      <c r="Y54" t="str">
        <v/>
      </c>
    </row>
    <row r="55" spans="13:25" x14ac:dyDescent="0.7">
      <c r="M55" t="str">
        <v/>
      </c>
      <c r="N55">
        <v>55</v>
      </c>
      <c r="O55" t="str">
        <v/>
      </c>
      <c r="P55" t="str">
        <v/>
      </c>
      <c r="Q55" t="str">
        <v/>
      </c>
      <c r="R55" t="str">
        <v/>
      </c>
      <c r="S55" t="str">
        <v/>
      </c>
      <c r="T55" t="str">
        <v/>
      </c>
      <c r="U55" t="str">
        <v/>
      </c>
      <c r="V55" t="str">
        <v/>
      </c>
      <c r="W55" t="str">
        <v/>
      </c>
      <c r="X55" t="str">
        <v/>
      </c>
      <c r="Y55" t="str">
        <v/>
      </c>
    </row>
    <row r="56" spans="13:25" x14ac:dyDescent="0.7">
      <c r="M56" t="str">
        <v/>
      </c>
      <c r="N56">
        <v>56</v>
      </c>
      <c r="O56" t="str">
        <v/>
      </c>
      <c r="P56" t="str">
        <v/>
      </c>
      <c r="Q56" t="str">
        <v/>
      </c>
      <c r="R56" t="str">
        <v/>
      </c>
      <c r="S56" t="str">
        <v/>
      </c>
      <c r="T56" t="str">
        <v/>
      </c>
      <c r="U56" t="str">
        <v/>
      </c>
      <c r="V56" t="str">
        <v/>
      </c>
      <c r="W56" t="str">
        <v/>
      </c>
      <c r="X56" t="str">
        <v/>
      </c>
      <c r="Y56" t="str">
        <v/>
      </c>
    </row>
    <row r="57" spans="13:25" x14ac:dyDescent="0.7">
      <c r="M57" t="str">
        <v/>
      </c>
      <c r="N57">
        <v>57</v>
      </c>
      <c r="O57" t="str">
        <v/>
      </c>
      <c r="P57" t="str">
        <v/>
      </c>
      <c r="Q57" t="str">
        <v/>
      </c>
      <c r="R57" t="str">
        <v/>
      </c>
      <c r="S57" t="str">
        <v/>
      </c>
      <c r="T57" t="str">
        <v/>
      </c>
      <c r="U57" t="str">
        <v/>
      </c>
      <c r="V57" t="str">
        <v/>
      </c>
      <c r="W57" t="str">
        <v/>
      </c>
      <c r="X57" t="str">
        <v/>
      </c>
      <c r="Y57" t="str">
        <v/>
      </c>
    </row>
    <row r="58" spans="13:25" x14ac:dyDescent="0.7">
      <c r="M58" t="str">
        <v/>
      </c>
      <c r="N58">
        <v>58</v>
      </c>
      <c r="O58" t="str">
        <v/>
      </c>
      <c r="P58" t="str">
        <v/>
      </c>
      <c r="Q58" t="str">
        <v/>
      </c>
      <c r="R58" t="str">
        <v/>
      </c>
      <c r="S58" t="str">
        <v/>
      </c>
      <c r="T58" t="str">
        <v/>
      </c>
      <c r="U58" t="str">
        <v/>
      </c>
      <c r="V58" t="str">
        <v/>
      </c>
      <c r="W58" t="str">
        <v/>
      </c>
      <c r="X58" t="str">
        <v/>
      </c>
      <c r="Y58" t="str">
        <v/>
      </c>
    </row>
    <row r="59" spans="13:25" x14ac:dyDescent="0.7">
      <c r="M59" t="str">
        <v/>
      </c>
      <c r="N59">
        <v>59</v>
      </c>
      <c r="O59" t="str">
        <v/>
      </c>
      <c r="P59" t="str">
        <v/>
      </c>
      <c r="Q59" t="str">
        <v/>
      </c>
      <c r="R59" t="str">
        <v/>
      </c>
      <c r="S59" t="str">
        <v/>
      </c>
      <c r="T59" t="str">
        <v/>
      </c>
      <c r="U59" t="str">
        <v/>
      </c>
      <c r="V59" t="str">
        <v/>
      </c>
      <c r="W59" t="str">
        <v/>
      </c>
      <c r="X59" t="str">
        <v/>
      </c>
      <c r="Y59" t="str">
        <v/>
      </c>
    </row>
    <row r="60" spans="13:25" x14ac:dyDescent="0.7">
      <c r="M60" t="str">
        <v/>
      </c>
      <c r="N60">
        <v>60</v>
      </c>
      <c r="O60" t="str">
        <v/>
      </c>
      <c r="P60" t="str">
        <v/>
      </c>
      <c r="Q60" t="str">
        <v/>
      </c>
      <c r="R60" t="str">
        <v/>
      </c>
      <c r="S60" t="str">
        <v/>
      </c>
      <c r="T60" t="str">
        <v/>
      </c>
      <c r="U60" t="str">
        <v/>
      </c>
      <c r="V60" t="str">
        <v/>
      </c>
      <c r="W60" t="str">
        <v/>
      </c>
      <c r="X60" t="str">
        <v/>
      </c>
      <c r="Y60" t="str">
        <v/>
      </c>
    </row>
    <row r="61" spans="13:25" x14ac:dyDescent="0.7">
      <c r="M61" t="str">
        <v/>
      </c>
      <c r="N61">
        <v>61</v>
      </c>
      <c r="O61" t="str">
        <v/>
      </c>
      <c r="P61" t="str">
        <v/>
      </c>
      <c r="Q61" t="str">
        <v/>
      </c>
      <c r="R61" t="str">
        <v/>
      </c>
      <c r="S61" t="str">
        <v/>
      </c>
      <c r="T61" t="str">
        <v/>
      </c>
      <c r="U61" t="str">
        <v/>
      </c>
      <c r="V61" t="str">
        <v/>
      </c>
      <c r="W61" t="str">
        <v/>
      </c>
      <c r="X61" t="str">
        <v/>
      </c>
      <c r="Y61" t="str">
        <v/>
      </c>
    </row>
    <row r="62" spans="13:25" x14ac:dyDescent="0.7">
      <c r="M62" t="str">
        <v/>
      </c>
      <c r="N62">
        <v>62</v>
      </c>
      <c r="O62" t="str">
        <v/>
      </c>
      <c r="P62" t="str">
        <v/>
      </c>
      <c r="Q62" t="str">
        <v/>
      </c>
      <c r="R62" t="str">
        <v/>
      </c>
      <c r="S62" t="str">
        <v/>
      </c>
      <c r="T62" t="str">
        <v/>
      </c>
      <c r="U62" t="str">
        <v/>
      </c>
      <c r="V62" t="str">
        <v/>
      </c>
      <c r="W62" t="str">
        <v/>
      </c>
      <c r="X62" t="str">
        <v/>
      </c>
      <c r="Y62" t="str">
        <v/>
      </c>
    </row>
    <row r="63" spans="13:25" x14ac:dyDescent="0.7">
      <c r="M63" t="str">
        <v/>
      </c>
      <c r="N63">
        <v>63</v>
      </c>
      <c r="O63" t="str">
        <v/>
      </c>
      <c r="P63" t="str">
        <v/>
      </c>
      <c r="Q63" t="str">
        <v/>
      </c>
      <c r="R63" t="str">
        <v/>
      </c>
      <c r="S63" t="str">
        <v/>
      </c>
      <c r="T63" t="str">
        <v/>
      </c>
      <c r="U63" t="str">
        <v/>
      </c>
      <c r="V63" t="str">
        <v/>
      </c>
      <c r="W63" t="str">
        <v/>
      </c>
      <c r="X63" t="str">
        <v/>
      </c>
      <c r="Y63" t="str">
        <v/>
      </c>
    </row>
    <row r="64" spans="13:25" x14ac:dyDescent="0.7">
      <c r="M64" t="str">
        <v/>
      </c>
      <c r="N64">
        <v>64</v>
      </c>
      <c r="O64" t="str">
        <v/>
      </c>
      <c r="P64" t="str">
        <v/>
      </c>
      <c r="Q64" t="str">
        <v/>
      </c>
      <c r="R64" t="str">
        <v/>
      </c>
      <c r="S64" t="str">
        <v/>
      </c>
      <c r="T64" t="str">
        <v/>
      </c>
      <c r="U64" t="str">
        <v/>
      </c>
      <c r="V64" t="str">
        <v/>
      </c>
      <c r="W64" t="str">
        <v/>
      </c>
      <c r="X64" t="str">
        <v/>
      </c>
      <c r="Y64" t="str">
        <v/>
      </c>
    </row>
    <row r="65" spans="13:25" x14ac:dyDescent="0.7">
      <c r="M65" t="str">
        <v/>
      </c>
      <c r="N65">
        <v>65</v>
      </c>
      <c r="O65" t="str">
        <v/>
      </c>
      <c r="P65" t="str">
        <v/>
      </c>
      <c r="Q65" t="str">
        <v/>
      </c>
      <c r="R65" t="str">
        <v/>
      </c>
      <c r="S65" t="str">
        <v/>
      </c>
      <c r="T65" t="str">
        <v/>
      </c>
      <c r="U65" t="str">
        <v/>
      </c>
      <c r="V65" t="str">
        <v/>
      </c>
      <c r="W65" t="str">
        <v/>
      </c>
      <c r="X65" t="str">
        <v/>
      </c>
      <c r="Y65" t="str">
        <v/>
      </c>
    </row>
    <row r="66" spans="13:25" x14ac:dyDescent="0.7">
      <c r="M66" t="str">
        <v/>
      </c>
      <c r="N66">
        <v>66</v>
      </c>
      <c r="O66" t="str">
        <v/>
      </c>
      <c r="P66" t="str">
        <v/>
      </c>
      <c r="Q66" t="str">
        <v/>
      </c>
      <c r="R66" t="str">
        <v/>
      </c>
      <c r="S66" t="str">
        <v/>
      </c>
      <c r="T66" t="str">
        <v/>
      </c>
      <c r="U66" t="str">
        <v/>
      </c>
      <c r="V66" t="str">
        <v/>
      </c>
      <c r="W66" t="str">
        <v/>
      </c>
      <c r="X66" t="str">
        <v/>
      </c>
      <c r="Y66" t="str">
        <v/>
      </c>
    </row>
    <row r="67" spans="13:25" x14ac:dyDescent="0.7">
      <c r="M67" t="str">
        <v/>
      </c>
      <c r="N67">
        <v>67</v>
      </c>
      <c r="O67" t="str">
        <v/>
      </c>
      <c r="P67" t="str">
        <v/>
      </c>
      <c r="Q67" t="str">
        <v/>
      </c>
      <c r="R67" t="str">
        <v/>
      </c>
      <c r="S67" t="str">
        <v/>
      </c>
      <c r="T67" t="str">
        <v/>
      </c>
      <c r="U67" t="str">
        <v/>
      </c>
      <c r="V67" t="str">
        <v/>
      </c>
      <c r="W67" t="str">
        <v/>
      </c>
      <c r="X67" t="str">
        <v/>
      </c>
      <c r="Y67" t="str">
        <v/>
      </c>
    </row>
    <row r="68" spans="13:25" x14ac:dyDescent="0.7">
      <c r="M68" t="str">
        <v/>
      </c>
      <c r="N68">
        <v>68</v>
      </c>
      <c r="O68" t="str">
        <v/>
      </c>
      <c r="P68" t="str">
        <v/>
      </c>
      <c r="Q68" t="str">
        <v/>
      </c>
      <c r="R68" t="str">
        <v/>
      </c>
      <c r="S68" t="str">
        <v/>
      </c>
      <c r="T68" t="str">
        <v/>
      </c>
      <c r="U68" t="str">
        <v/>
      </c>
      <c r="V68" t="str">
        <v/>
      </c>
      <c r="W68" t="str">
        <v/>
      </c>
      <c r="X68" t="str">
        <v/>
      </c>
      <c r="Y68" t="str">
        <v/>
      </c>
    </row>
    <row r="69" spans="13:25" x14ac:dyDescent="0.7">
      <c r="M69" t="str">
        <v/>
      </c>
      <c r="N69">
        <v>69</v>
      </c>
      <c r="O69" t="str">
        <v/>
      </c>
      <c r="P69" t="str">
        <v/>
      </c>
      <c r="Q69" t="str">
        <v/>
      </c>
      <c r="R69" t="str">
        <v/>
      </c>
      <c r="S69" t="str">
        <v/>
      </c>
      <c r="T69" t="str">
        <v/>
      </c>
      <c r="U69" t="str">
        <v/>
      </c>
      <c r="V69" t="str">
        <v/>
      </c>
      <c r="W69" t="str">
        <v/>
      </c>
      <c r="X69" t="str">
        <v/>
      </c>
      <c r="Y69" t="str">
        <v/>
      </c>
    </row>
    <row r="70" spans="13:25" x14ac:dyDescent="0.7">
      <c r="M70" t="str">
        <v/>
      </c>
      <c r="N70">
        <v>70</v>
      </c>
      <c r="O70" t="str">
        <v/>
      </c>
      <c r="P70" t="str">
        <v/>
      </c>
      <c r="Q70" t="str">
        <v/>
      </c>
      <c r="R70" t="str">
        <v/>
      </c>
      <c r="S70" t="str">
        <v/>
      </c>
      <c r="T70" t="str">
        <v/>
      </c>
      <c r="U70" t="str">
        <v/>
      </c>
      <c r="V70" t="str">
        <v/>
      </c>
      <c r="W70" t="str">
        <v/>
      </c>
      <c r="X70" t="str">
        <v/>
      </c>
      <c r="Y70" t="str">
        <v/>
      </c>
    </row>
    <row r="71" spans="13:25" x14ac:dyDescent="0.7">
      <c r="M71" t="str">
        <v/>
      </c>
      <c r="N71">
        <v>71</v>
      </c>
      <c r="O71" t="str">
        <v/>
      </c>
      <c r="P71" t="str">
        <v/>
      </c>
      <c r="Q71" t="str">
        <v/>
      </c>
      <c r="R71" t="str">
        <v/>
      </c>
      <c r="S71" t="str">
        <v/>
      </c>
      <c r="T71" t="str">
        <v/>
      </c>
      <c r="U71" t="str">
        <v/>
      </c>
      <c r="V71" t="str">
        <v/>
      </c>
      <c r="W71" t="str">
        <v/>
      </c>
      <c r="X71" t="str">
        <v/>
      </c>
      <c r="Y71" t="str">
        <v/>
      </c>
    </row>
    <row r="72" spans="13:25" x14ac:dyDescent="0.7">
      <c r="M72" t="str">
        <v/>
      </c>
      <c r="N72">
        <v>72</v>
      </c>
      <c r="O72" t="str">
        <v/>
      </c>
      <c r="P72" t="str">
        <v/>
      </c>
      <c r="Q72" t="str">
        <v/>
      </c>
      <c r="R72" t="str">
        <v/>
      </c>
      <c r="S72" t="str">
        <v/>
      </c>
      <c r="T72" t="str">
        <v/>
      </c>
      <c r="U72" t="str">
        <v/>
      </c>
      <c r="V72" t="str">
        <v/>
      </c>
      <c r="W72" t="str">
        <v/>
      </c>
      <c r="X72" t="str">
        <v/>
      </c>
      <c r="Y72" t="str">
        <v/>
      </c>
    </row>
    <row r="73" spans="13:25" x14ac:dyDescent="0.7">
      <c r="M73" t="str">
        <v/>
      </c>
      <c r="N73">
        <v>73</v>
      </c>
      <c r="O73" t="str">
        <v/>
      </c>
      <c r="P73" t="str">
        <v/>
      </c>
      <c r="Q73" t="str">
        <v/>
      </c>
      <c r="R73" t="str">
        <v/>
      </c>
      <c r="S73" t="str">
        <v/>
      </c>
      <c r="T73" t="str">
        <v/>
      </c>
      <c r="U73" t="str">
        <v/>
      </c>
      <c r="V73" t="str">
        <v/>
      </c>
      <c r="W73" t="str">
        <v/>
      </c>
      <c r="X73" t="str">
        <v/>
      </c>
      <c r="Y73" t="str">
        <v/>
      </c>
    </row>
    <row r="74" spans="13:25" x14ac:dyDescent="0.7">
      <c r="M74" t="str">
        <v/>
      </c>
      <c r="N74">
        <v>74</v>
      </c>
      <c r="O74" t="str">
        <v/>
      </c>
      <c r="P74" t="str">
        <v/>
      </c>
      <c r="Q74" t="str">
        <v/>
      </c>
      <c r="R74" t="str">
        <v/>
      </c>
      <c r="S74" t="str">
        <v/>
      </c>
      <c r="T74" t="str">
        <v/>
      </c>
      <c r="U74" t="str">
        <v/>
      </c>
      <c r="V74" t="str">
        <v/>
      </c>
      <c r="W74" t="str">
        <v/>
      </c>
      <c r="X74" t="str">
        <v/>
      </c>
      <c r="Y74" t="str">
        <v/>
      </c>
    </row>
    <row r="75" spans="13:25" x14ac:dyDescent="0.7">
      <c r="M75" t="str">
        <v/>
      </c>
      <c r="N75">
        <v>75</v>
      </c>
      <c r="O75" t="str">
        <v/>
      </c>
      <c r="P75" t="str">
        <v/>
      </c>
      <c r="Q75" t="str">
        <v/>
      </c>
      <c r="R75" t="str">
        <v/>
      </c>
      <c r="S75" t="str">
        <v/>
      </c>
      <c r="T75" t="str">
        <v/>
      </c>
      <c r="U75" t="str">
        <v/>
      </c>
      <c r="V75" t="str">
        <v/>
      </c>
      <c r="W75" t="str">
        <v/>
      </c>
      <c r="X75" t="str">
        <v/>
      </c>
      <c r="Y75" t="str">
        <v/>
      </c>
    </row>
    <row r="76" spans="13:25" x14ac:dyDescent="0.7">
      <c r="M76" t="str">
        <v/>
      </c>
      <c r="N76">
        <v>76</v>
      </c>
      <c r="O76" t="str">
        <v/>
      </c>
      <c r="P76" t="str">
        <v/>
      </c>
      <c r="Q76" t="str">
        <v/>
      </c>
      <c r="R76" t="str">
        <v/>
      </c>
      <c r="S76" t="str">
        <v/>
      </c>
      <c r="T76" t="str">
        <v/>
      </c>
      <c r="U76" t="str">
        <v/>
      </c>
      <c r="V76" t="str">
        <v/>
      </c>
      <c r="W76" t="str">
        <v/>
      </c>
      <c r="X76" t="str">
        <v/>
      </c>
      <c r="Y76" t="str">
        <v/>
      </c>
    </row>
    <row r="77" spans="13:25" x14ac:dyDescent="0.7">
      <c r="M77" t="str">
        <v/>
      </c>
      <c r="N77">
        <v>77</v>
      </c>
      <c r="O77" t="str">
        <v/>
      </c>
      <c r="P77" t="str">
        <v/>
      </c>
      <c r="Q77" t="str">
        <v/>
      </c>
      <c r="R77" t="str">
        <v/>
      </c>
      <c r="S77" t="str">
        <v/>
      </c>
      <c r="T77" t="str">
        <v/>
      </c>
      <c r="U77" t="str">
        <v/>
      </c>
      <c r="V77" t="str">
        <v/>
      </c>
      <c r="W77" t="str">
        <v/>
      </c>
      <c r="X77" t="str">
        <v/>
      </c>
      <c r="Y77" t="str">
        <v/>
      </c>
    </row>
    <row r="78" spans="13:25" x14ac:dyDescent="0.7">
      <c r="M78" t="str">
        <v/>
      </c>
      <c r="N78">
        <v>78</v>
      </c>
      <c r="O78" t="str">
        <v/>
      </c>
      <c r="P78" t="str">
        <v/>
      </c>
      <c r="Q78" t="str">
        <v/>
      </c>
      <c r="R78" t="str">
        <v/>
      </c>
      <c r="S78" t="str">
        <v/>
      </c>
      <c r="T78" t="str">
        <v/>
      </c>
      <c r="U78" t="str">
        <v/>
      </c>
      <c r="V78" t="str">
        <v/>
      </c>
      <c r="W78" t="str">
        <v/>
      </c>
      <c r="X78" t="str">
        <v/>
      </c>
      <c r="Y78" t="str">
        <v/>
      </c>
    </row>
    <row r="79" spans="13:25" x14ac:dyDescent="0.7">
      <c r="M79" t="str">
        <v/>
      </c>
      <c r="N79">
        <v>79</v>
      </c>
      <c r="O79" t="str">
        <v/>
      </c>
      <c r="P79" t="str">
        <v/>
      </c>
      <c r="Q79" t="str">
        <v/>
      </c>
      <c r="R79" t="str">
        <v/>
      </c>
      <c r="S79" t="str">
        <v/>
      </c>
      <c r="T79" t="str">
        <v/>
      </c>
      <c r="U79" t="str">
        <v/>
      </c>
      <c r="V79" t="str">
        <v/>
      </c>
      <c r="W79" t="str">
        <v/>
      </c>
      <c r="X79" t="str">
        <v/>
      </c>
      <c r="Y79" t="str">
        <v/>
      </c>
    </row>
    <row r="80" spans="13:25" x14ac:dyDescent="0.7">
      <c r="M80" t="str">
        <v/>
      </c>
      <c r="N80">
        <v>80</v>
      </c>
      <c r="O80" t="str">
        <v/>
      </c>
      <c r="P80" t="str">
        <v/>
      </c>
      <c r="Q80" t="str">
        <v/>
      </c>
      <c r="R80" t="str">
        <v/>
      </c>
      <c r="S80" t="str">
        <v/>
      </c>
      <c r="T80" t="str">
        <v/>
      </c>
      <c r="U80" t="str">
        <v/>
      </c>
      <c r="V80" t="str">
        <v/>
      </c>
      <c r="W80" t="str">
        <v/>
      </c>
      <c r="X80" t="str">
        <v/>
      </c>
      <c r="Y80" t="str">
        <v/>
      </c>
    </row>
    <row r="81" spans="13:25" x14ac:dyDescent="0.7">
      <c r="M81" t="str">
        <v/>
      </c>
      <c r="N81">
        <v>81</v>
      </c>
      <c r="O81" t="str">
        <v/>
      </c>
      <c r="P81" t="str">
        <v/>
      </c>
      <c r="Q81" t="str">
        <v/>
      </c>
      <c r="R81" t="str">
        <v/>
      </c>
      <c r="S81" t="str">
        <v/>
      </c>
      <c r="T81" t="str">
        <v/>
      </c>
      <c r="U81" t="str">
        <v/>
      </c>
      <c r="V81" t="str">
        <v/>
      </c>
      <c r="W81" t="str">
        <v/>
      </c>
      <c r="X81" t="str">
        <v/>
      </c>
      <c r="Y81" t="str">
        <v/>
      </c>
    </row>
    <row r="82" spans="13:25" x14ac:dyDescent="0.7">
      <c r="M82" t="str">
        <v/>
      </c>
      <c r="N82">
        <v>82</v>
      </c>
      <c r="O82" t="str">
        <v/>
      </c>
      <c r="P82" t="str">
        <v/>
      </c>
      <c r="Q82" t="str">
        <v/>
      </c>
      <c r="R82" t="str">
        <v/>
      </c>
      <c r="S82" t="str">
        <v/>
      </c>
      <c r="T82" t="str">
        <v/>
      </c>
      <c r="U82" t="str">
        <v/>
      </c>
      <c r="V82" t="str">
        <v/>
      </c>
      <c r="W82" t="str">
        <v/>
      </c>
      <c r="X82" t="str">
        <v/>
      </c>
      <c r="Y82" t="str">
        <v/>
      </c>
    </row>
    <row r="83" spans="13:25" x14ac:dyDescent="0.7">
      <c r="M83" t="str">
        <v/>
      </c>
      <c r="N83">
        <v>83</v>
      </c>
      <c r="O83" t="str">
        <v/>
      </c>
      <c r="P83" t="str">
        <v/>
      </c>
      <c r="Q83" t="str">
        <v/>
      </c>
      <c r="R83" t="str">
        <v/>
      </c>
      <c r="S83" t="str">
        <v/>
      </c>
      <c r="T83" t="str">
        <v/>
      </c>
      <c r="U83" t="str">
        <v/>
      </c>
      <c r="V83" t="str">
        <v/>
      </c>
      <c r="W83" t="str">
        <v/>
      </c>
      <c r="X83" t="str">
        <v/>
      </c>
      <c r="Y83" t="str">
        <v/>
      </c>
    </row>
    <row r="84" spans="13:25" x14ac:dyDescent="0.7">
      <c r="M84" t="str">
        <v/>
      </c>
      <c r="N84">
        <v>84</v>
      </c>
      <c r="O84" t="str">
        <v/>
      </c>
      <c r="P84" t="str">
        <v/>
      </c>
      <c r="Q84" t="str">
        <v/>
      </c>
      <c r="R84" t="str">
        <v/>
      </c>
      <c r="S84" t="str">
        <v/>
      </c>
      <c r="T84" t="str">
        <v/>
      </c>
      <c r="U84" t="str">
        <v/>
      </c>
      <c r="V84" t="str">
        <v/>
      </c>
      <c r="W84" t="str">
        <v/>
      </c>
      <c r="X84" t="str">
        <v/>
      </c>
      <c r="Y84" t="str">
        <v/>
      </c>
    </row>
    <row r="85" spans="13:25" x14ac:dyDescent="0.7">
      <c r="M85" t="str">
        <v/>
      </c>
      <c r="N85">
        <v>85</v>
      </c>
      <c r="O85" t="str">
        <v/>
      </c>
      <c r="P85" t="str">
        <v/>
      </c>
      <c r="Q85" t="str">
        <v/>
      </c>
      <c r="R85" t="str">
        <v/>
      </c>
      <c r="S85" t="str">
        <v/>
      </c>
      <c r="T85" t="str">
        <v/>
      </c>
      <c r="U85" t="str">
        <v/>
      </c>
      <c r="V85" t="str">
        <v/>
      </c>
      <c r="W85" t="str">
        <v/>
      </c>
      <c r="X85" t="str">
        <v/>
      </c>
      <c r="Y85" t="str">
        <v/>
      </c>
    </row>
    <row r="86" spans="13:25" x14ac:dyDescent="0.7">
      <c r="M86" t="str">
        <v/>
      </c>
      <c r="N86">
        <v>86</v>
      </c>
      <c r="O86" t="str">
        <v/>
      </c>
      <c r="P86" t="str">
        <v/>
      </c>
      <c r="Q86" t="str">
        <v/>
      </c>
      <c r="R86" t="str">
        <v/>
      </c>
      <c r="S86" t="str">
        <v/>
      </c>
      <c r="T86" t="str">
        <v/>
      </c>
      <c r="U86" t="str">
        <v/>
      </c>
      <c r="V86" t="str">
        <v/>
      </c>
      <c r="W86" t="str">
        <v/>
      </c>
      <c r="X86" t="str">
        <v/>
      </c>
      <c r="Y86" t="str">
        <v/>
      </c>
    </row>
    <row r="87" spans="13:25" x14ac:dyDescent="0.7">
      <c r="M87" t="str">
        <v/>
      </c>
      <c r="N87">
        <v>87</v>
      </c>
      <c r="O87" t="str">
        <v/>
      </c>
      <c r="P87" t="str">
        <v/>
      </c>
      <c r="Q87" t="str">
        <v/>
      </c>
      <c r="R87" t="str">
        <v/>
      </c>
      <c r="S87" t="str">
        <v/>
      </c>
      <c r="T87" t="str">
        <v/>
      </c>
      <c r="U87" t="str">
        <v/>
      </c>
      <c r="V87" t="str">
        <v/>
      </c>
      <c r="W87" t="str">
        <v/>
      </c>
      <c r="X87" t="str">
        <v/>
      </c>
      <c r="Y87" t="str">
        <v/>
      </c>
    </row>
    <row r="88" spans="13:25" x14ac:dyDescent="0.7">
      <c r="M88" t="str">
        <v/>
      </c>
      <c r="N88">
        <v>88</v>
      </c>
      <c r="O88" t="str">
        <v/>
      </c>
      <c r="P88" t="str">
        <v/>
      </c>
      <c r="Q88" t="str">
        <v/>
      </c>
      <c r="R88" t="str">
        <v/>
      </c>
      <c r="S88" t="str">
        <v/>
      </c>
      <c r="T88" t="str">
        <v/>
      </c>
      <c r="U88" t="str">
        <v/>
      </c>
      <c r="V88" t="str">
        <v/>
      </c>
      <c r="W88" t="str">
        <v/>
      </c>
      <c r="X88" t="str">
        <v/>
      </c>
      <c r="Y88" t="str">
        <v/>
      </c>
    </row>
    <row r="89" spans="13:25" x14ac:dyDescent="0.7">
      <c r="M89" t="str">
        <v/>
      </c>
      <c r="N89">
        <v>89</v>
      </c>
      <c r="O89" t="str">
        <v/>
      </c>
      <c r="P89" t="str">
        <v/>
      </c>
      <c r="Q89" t="str">
        <v/>
      </c>
      <c r="R89" t="str">
        <v/>
      </c>
      <c r="S89" t="str">
        <v/>
      </c>
      <c r="T89" t="str">
        <v/>
      </c>
      <c r="U89" t="str">
        <v/>
      </c>
      <c r="V89" t="str">
        <v/>
      </c>
      <c r="W89" t="str">
        <v/>
      </c>
      <c r="X89" t="str">
        <v/>
      </c>
      <c r="Y89" t="str">
        <v/>
      </c>
    </row>
    <row r="90" spans="13:25" x14ac:dyDescent="0.7">
      <c r="M90" t="str">
        <v/>
      </c>
      <c r="N90">
        <v>90</v>
      </c>
      <c r="O90" t="str">
        <v/>
      </c>
      <c r="P90" t="str">
        <v/>
      </c>
      <c r="Q90" t="str">
        <v/>
      </c>
      <c r="R90" t="str">
        <v/>
      </c>
      <c r="S90" t="str">
        <v/>
      </c>
      <c r="T90" t="str">
        <v/>
      </c>
      <c r="U90" t="str">
        <v/>
      </c>
      <c r="V90" t="str">
        <v/>
      </c>
      <c r="W90" t="str">
        <v/>
      </c>
      <c r="X90" t="str">
        <v/>
      </c>
      <c r="Y90" t="str">
        <v/>
      </c>
    </row>
    <row r="91" spans="13:25" x14ac:dyDescent="0.7">
      <c r="M91" t="str">
        <v/>
      </c>
      <c r="N91">
        <v>91</v>
      </c>
      <c r="O91" t="str">
        <v/>
      </c>
      <c r="P91" t="str">
        <v/>
      </c>
      <c r="Q91" t="str">
        <v/>
      </c>
      <c r="R91" t="str">
        <v/>
      </c>
      <c r="S91" t="str">
        <v/>
      </c>
      <c r="T91" t="str">
        <v/>
      </c>
      <c r="U91" t="str">
        <v/>
      </c>
      <c r="V91" t="str">
        <v/>
      </c>
      <c r="W91" t="str">
        <v/>
      </c>
      <c r="X91" t="str">
        <v/>
      </c>
      <c r="Y91" t="str">
        <v/>
      </c>
    </row>
    <row r="92" spans="13:25" x14ac:dyDescent="0.7">
      <c r="M92" t="str">
        <v/>
      </c>
      <c r="N92">
        <v>92</v>
      </c>
      <c r="O92" t="str">
        <v/>
      </c>
      <c r="P92" t="str">
        <v/>
      </c>
      <c r="Q92" t="str">
        <v/>
      </c>
      <c r="R92" t="str">
        <v/>
      </c>
      <c r="S92" t="str">
        <v/>
      </c>
      <c r="T92" t="str">
        <v/>
      </c>
      <c r="U92" t="str">
        <v/>
      </c>
      <c r="V92" t="str">
        <v/>
      </c>
      <c r="W92" t="str">
        <v/>
      </c>
      <c r="X92" t="str">
        <v/>
      </c>
      <c r="Y92" t="str">
        <v/>
      </c>
    </row>
    <row r="93" spans="13:25" x14ac:dyDescent="0.7">
      <c r="M93" t="str">
        <v/>
      </c>
      <c r="N93">
        <v>93</v>
      </c>
      <c r="O93" t="str">
        <v/>
      </c>
      <c r="P93" t="str">
        <v/>
      </c>
      <c r="Q93" t="str">
        <v/>
      </c>
      <c r="R93" t="str">
        <v/>
      </c>
      <c r="S93" t="str">
        <v/>
      </c>
      <c r="T93" t="str">
        <v/>
      </c>
      <c r="U93" t="str">
        <v/>
      </c>
      <c r="V93" t="str">
        <v/>
      </c>
      <c r="W93" t="str">
        <v/>
      </c>
      <c r="X93" t="str">
        <v/>
      </c>
      <c r="Y93" t="str">
        <v/>
      </c>
    </row>
    <row r="94" spans="13:25" x14ac:dyDescent="0.7">
      <c r="M94" t="str">
        <v/>
      </c>
      <c r="N94">
        <v>94</v>
      </c>
      <c r="O94" t="str">
        <v/>
      </c>
      <c r="P94" t="str">
        <v/>
      </c>
      <c r="Q94" t="str">
        <v/>
      </c>
      <c r="R94" t="str">
        <v/>
      </c>
      <c r="S94" t="str">
        <v/>
      </c>
      <c r="T94" t="str">
        <v/>
      </c>
      <c r="U94" t="str">
        <v/>
      </c>
      <c r="V94" t="str">
        <v/>
      </c>
      <c r="W94" t="str">
        <v/>
      </c>
      <c r="X94" t="str">
        <v/>
      </c>
      <c r="Y94" t="str">
        <v/>
      </c>
    </row>
    <row r="95" spans="13:25" x14ac:dyDescent="0.7">
      <c r="M95" t="str">
        <v/>
      </c>
      <c r="N95">
        <v>95</v>
      </c>
      <c r="O95" t="str">
        <v/>
      </c>
      <c r="P95" t="str">
        <v/>
      </c>
      <c r="Q95" t="str">
        <v/>
      </c>
      <c r="R95" t="str">
        <v/>
      </c>
      <c r="S95" t="str">
        <v/>
      </c>
      <c r="T95" t="str">
        <v/>
      </c>
      <c r="U95" t="str">
        <v/>
      </c>
      <c r="V95" t="str">
        <v/>
      </c>
      <c r="W95" t="str">
        <v/>
      </c>
      <c r="X95" t="str">
        <v/>
      </c>
      <c r="Y95" t="str">
        <v/>
      </c>
    </row>
    <row r="96" spans="13:25" x14ac:dyDescent="0.7">
      <c r="M96" t="str">
        <v/>
      </c>
      <c r="N96">
        <v>96</v>
      </c>
      <c r="O96" t="str">
        <v/>
      </c>
      <c r="P96" t="str">
        <v/>
      </c>
      <c r="Q96" t="str">
        <v/>
      </c>
      <c r="R96" t="str">
        <v/>
      </c>
      <c r="S96" t="str">
        <v/>
      </c>
      <c r="T96" t="str">
        <v/>
      </c>
      <c r="U96" t="str">
        <v/>
      </c>
      <c r="V96" t="str">
        <v/>
      </c>
      <c r="W96" t="str">
        <v/>
      </c>
      <c r="X96" t="str">
        <v/>
      </c>
      <c r="Y96" t="str">
        <v/>
      </c>
    </row>
    <row r="97" spans="13:25" x14ac:dyDescent="0.7">
      <c r="M97" t="str">
        <v/>
      </c>
      <c r="N97">
        <v>97</v>
      </c>
      <c r="O97" t="str">
        <v/>
      </c>
      <c r="P97" t="str">
        <v/>
      </c>
      <c r="Q97" t="str">
        <v/>
      </c>
      <c r="R97" t="str">
        <v/>
      </c>
      <c r="S97" t="str">
        <v/>
      </c>
      <c r="T97" t="str">
        <v/>
      </c>
      <c r="U97" t="str">
        <v/>
      </c>
      <c r="V97" t="str">
        <v/>
      </c>
      <c r="W97" t="str">
        <v/>
      </c>
      <c r="X97" t="str">
        <v/>
      </c>
      <c r="Y97" t="str">
        <v/>
      </c>
    </row>
    <row r="98" spans="13:25" x14ac:dyDescent="0.7">
      <c r="M98" t="str">
        <v/>
      </c>
      <c r="N98">
        <v>98</v>
      </c>
      <c r="O98" t="str">
        <v/>
      </c>
      <c r="P98" t="str">
        <v/>
      </c>
      <c r="Q98" t="str">
        <v/>
      </c>
      <c r="R98" t="str">
        <v/>
      </c>
      <c r="S98" t="str">
        <v/>
      </c>
      <c r="T98" t="str">
        <v/>
      </c>
      <c r="U98" t="str">
        <v/>
      </c>
      <c r="V98" t="str">
        <v/>
      </c>
      <c r="W98" t="str">
        <v/>
      </c>
      <c r="X98" t="str">
        <v/>
      </c>
      <c r="Y98" t="str">
        <v/>
      </c>
    </row>
    <row r="99" spans="13:25" x14ac:dyDescent="0.7">
      <c r="M99" t="str">
        <v/>
      </c>
      <c r="N99">
        <v>99</v>
      </c>
      <c r="O99" t="str">
        <v/>
      </c>
      <c r="P99" t="str">
        <v/>
      </c>
      <c r="Q99" t="str">
        <v/>
      </c>
      <c r="R99" t="str">
        <v/>
      </c>
      <c r="S99" t="str">
        <v/>
      </c>
      <c r="T99" t="str">
        <v/>
      </c>
      <c r="U99" t="str">
        <v/>
      </c>
      <c r="V99" t="str">
        <v/>
      </c>
      <c r="W99" t="str">
        <v/>
      </c>
      <c r="X99" t="str">
        <v/>
      </c>
      <c r="Y99" t="str">
        <v/>
      </c>
    </row>
    <row r="100" spans="13:25" x14ac:dyDescent="0.7">
      <c r="M100" t="str">
        <v/>
      </c>
      <c r="N100">
        <v>100</v>
      </c>
      <c r="O100" t="str">
        <v/>
      </c>
      <c r="P100" t="str">
        <v/>
      </c>
      <c r="Q100" t="str">
        <v/>
      </c>
      <c r="R100" t="str">
        <v/>
      </c>
      <c r="S100" t="str">
        <v/>
      </c>
      <c r="T100" t="str">
        <v/>
      </c>
      <c r="U100" t="str">
        <v/>
      </c>
      <c r="V100" t="str">
        <v/>
      </c>
      <c r="W100" t="str">
        <v/>
      </c>
      <c r="X100" t="str">
        <v/>
      </c>
      <c r="Y100" t="str">
        <v/>
      </c>
    </row>
    <row r="101" spans="13:25" x14ac:dyDescent="0.7">
      <c r="M101" t="str">
        <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456B-C415-49AB-B850-2B3CA8DC94EE}">
  <sheetPr codeName="Sheet3"/>
  <dimension ref="A1:Y100"/>
  <sheetViews>
    <sheetView zoomScaleNormal="100" workbookViewId="0">
      <selection activeCell="G35" sqref="G35:G37"/>
    </sheetView>
  </sheetViews>
  <sheetFormatPr defaultRowHeight="17.649999999999999" x14ac:dyDescent="0.7"/>
  <cols>
    <col min="2" max="3" width="9.375" bestFit="1" customWidth="1"/>
  </cols>
  <sheetData>
    <row r="1" spans="1:25" x14ac:dyDescent="0.7">
      <c r="A1" t="e" cm="1" vm="1">
        <f t="array" ref="A1">_xlfn._xlws.FILTER($N$1:$Y$100,$O$1:$O$100&lt;&gt;"")</f>
        <v>#VALUE!</v>
      </c>
      <c r="M1" t="str" cm="1">
        <f t="array" ref="M1:M100">IF(F1:F100="","",IF(E1:E100="°",F1:F100&amp;" "&amp;E1:E100&amp;" "&amp;G1:G100,E1:E100&amp;" "&amp;F1:F100&amp;" "&amp;G1:G100))</f>
        <v/>
      </c>
      <c r="N1">
        <v>1</v>
      </c>
      <c r="O1" t="str" cm="1">
        <f t="array" ref="O1:O100">IFERROR(IF((検査項目設定!B4:B103="")+(検査項目設定!L4:L103&lt;&gt;TRUE),"",検査項目設定!B4:B103),"")</f>
        <v/>
      </c>
      <c r="P1" t="str" cm="1">
        <f t="array" ref="P1:P100">IF($O1:$O100="","",IF(_xlfn.XLOOKUP($N$1:$N$100,検査項目設定!$A$4:$A$103,検査項目設定!C$4:C$103,"",0,1)="","",_xlfn.XLOOKUP($N$1:$N$100,検査項目設定!$A$4:$A$103,検査項目設定!C$4:C$103,"",0,1)))</f>
        <v/>
      </c>
      <c r="Q1" t="str" cm="1">
        <f t="array" ref="Q1:Q100">IF($O1:$O100="","",IF(_xlfn.XLOOKUP($N$1:$N$100,検査項目設定!$A$4:$A$103,検査項目設定!D$4:D$103,"",0,1)="","",_xlfn.XLOOKUP($N$1:$N$100,検査項目設定!$A$4:$A$103,検査項目設定!D$4:D$103,"",0,1)))</f>
        <v/>
      </c>
      <c r="R1" t="str" cm="1">
        <f t="array" ref="R1:R100">IF($O1:$O100="","",IF(_xlfn.XLOOKUP($N$1:$N$100,検査項目設定!$A$4:$A$103,検査項目設定!E$4:E$103,"",0,1)="","",_xlfn.XLOOKUP($N$1:$N$100,検査項目設定!$A$4:$A$103,検査項目設定!E$4:E$103,"",0,1)))</f>
        <v/>
      </c>
      <c r="S1" t="str" cm="1">
        <f t="array" ref="S1:S100">IF($O1:$O100="","",IF(_xlfn.XLOOKUP($N$1:$N$100,検査項目設定!$A$4:$A$103,検査項目設定!F$4:F$103,"",0,1)="","",_xlfn.XLOOKUP($N$1:$N$100,検査項目設定!$A$4:$A$103,検査項目設定!F$4:F$103,"",0,1)))</f>
        <v/>
      </c>
      <c r="T1" t="str" cm="1">
        <f t="array" ref="T1:T100">IF($O1:$O100="","",IF(_xlfn.XLOOKUP($N$1:$N$100,検査項目設定!$A$4:$A$103,検査項目設定!G$4:G$103,"",0,1)="","",_xlfn.XLOOKUP($N$1:$N$100,検査項目設定!$A$4:$A$103,検査項目設定!G$4:G$103,"",0,1)))</f>
        <v/>
      </c>
      <c r="U1" t="str" cm="1">
        <f t="array" ref="U1:U100">IF($O1:$O100="","",IF(_xlfn.XLOOKUP($N$1:$N$100,検査項目設定!$A$4:$A$103,検査項目設定!H$4:H$103,"",0,1)="","",_xlfn.XLOOKUP($N$1:$N$100,検査項目設定!$A$4:$A$103,検査項目設定!H$4:H$103,"",0,1)))</f>
        <v/>
      </c>
      <c r="V1" t="str" cm="1">
        <f t="array" ref="V1:V100">IF($O1:$O100="","",IF(_xlfn.XLOOKUP($N$1:$N$100,検査項目設定!$A$4:$A$103,検査項目設定!I$4:I$103,"",0,1)="","",_xlfn.XLOOKUP($N$1:$N$100,検査項目設定!$A$4:$A$103,検査項目設定!I$4:I$103,"",0,1)))</f>
        <v/>
      </c>
      <c r="W1" t="str" cm="1">
        <f t="array" ref="W1:W100">IF($O1:$O100="","",IF(_xlfn.XLOOKUP($N$1:$N$100,検査項目設定!$A$4:$A$103,検査項目設定!J$4:J$103,"",0,1)="","",_xlfn.XLOOKUP($N$1:$N$100,検査項目設定!$A$4:$A$103,検査項目設定!J$4:J$103,"",0,1)))</f>
        <v/>
      </c>
      <c r="X1" t="str" cm="1">
        <f t="array" ref="X1:X100">IF($O1:$O100="","",IF(_xlfn.XLOOKUP($N$1:$N$100,検査項目設定!$A$4:$A$103,検査項目設定!K$4:K$103,"",0,1)="","",_xlfn.XLOOKUP($N$1:$N$100,検査項目設定!$A$4:$A$103,検査項目設定!K$4:K$103,"",0,1)))</f>
        <v/>
      </c>
      <c r="Y1" t="str" cm="1">
        <f t="array" ref="Y1:Y100">IF($O1:$O100="","",IF(_xlfn.XLOOKUP($N$1:$N$100,検査項目設定!$A$4:$A$103,検査項目設定!L$4:L$103,"",0,1)="","",_xlfn.XLOOKUP($N$1:$N$100,検査項目設定!$A$4:$A$103,検査項目設定!L$4:L$103,"",0,1)))</f>
        <v/>
      </c>
    </row>
    <row r="2" spans="1:25" x14ac:dyDescent="0.7">
      <c r="M2" t="str">
        <v/>
      </c>
      <c r="N2">
        <v>2</v>
      </c>
      <c r="O2" t="str">
        <v/>
      </c>
      <c r="P2" t="str">
        <v/>
      </c>
      <c r="Q2" t="str">
        <v/>
      </c>
      <c r="R2" t="str">
        <v/>
      </c>
      <c r="S2" t="str">
        <v/>
      </c>
      <c r="T2" t="str">
        <v/>
      </c>
      <c r="U2" t="str">
        <v/>
      </c>
      <c r="V2" t="str">
        <v/>
      </c>
      <c r="W2" t="str">
        <v/>
      </c>
      <c r="X2" t="str">
        <v/>
      </c>
      <c r="Y2" t="str">
        <v/>
      </c>
    </row>
    <row r="3" spans="1:25" x14ac:dyDescent="0.7">
      <c r="M3" t="str">
        <v/>
      </c>
      <c r="N3">
        <v>3</v>
      </c>
      <c r="O3" t="str">
        <v/>
      </c>
      <c r="P3" t="str">
        <v/>
      </c>
      <c r="Q3" t="str">
        <v/>
      </c>
      <c r="R3" t="str">
        <v/>
      </c>
      <c r="S3" t="str">
        <v/>
      </c>
      <c r="T3" t="str">
        <v/>
      </c>
      <c r="U3" t="str">
        <v/>
      </c>
      <c r="V3" t="str">
        <v/>
      </c>
      <c r="W3" t="str">
        <v/>
      </c>
      <c r="X3" t="str">
        <v/>
      </c>
      <c r="Y3" t="str">
        <v/>
      </c>
    </row>
    <row r="4" spans="1:25" x14ac:dyDescent="0.7">
      <c r="M4" t="str">
        <v/>
      </c>
      <c r="N4">
        <v>4</v>
      </c>
      <c r="O4" t="str">
        <v/>
      </c>
      <c r="P4" t="str">
        <v/>
      </c>
      <c r="Q4" t="str">
        <v/>
      </c>
      <c r="R4" t="str">
        <v/>
      </c>
      <c r="S4" t="str">
        <v/>
      </c>
      <c r="T4" t="str">
        <v/>
      </c>
      <c r="U4" t="str">
        <v/>
      </c>
      <c r="V4" t="str">
        <v/>
      </c>
      <c r="W4" t="str">
        <v/>
      </c>
      <c r="X4" t="str">
        <v/>
      </c>
      <c r="Y4" t="str">
        <v/>
      </c>
    </row>
    <row r="5" spans="1:25" x14ac:dyDescent="0.7">
      <c r="M5" t="str">
        <v/>
      </c>
      <c r="N5">
        <v>5</v>
      </c>
      <c r="O5" t="str">
        <v/>
      </c>
      <c r="P5" t="str">
        <v/>
      </c>
      <c r="Q5" t="str">
        <v/>
      </c>
      <c r="R5" t="str">
        <v/>
      </c>
      <c r="S5" t="str">
        <v/>
      </c>
      <c r="T5" t="str">
        <v/>
      </c>
      <c r="U5" t="str">
        <v/>
      </c>
      <c r="V5" t="str">
        <v/>
      </c>
      <c r="W5" t="str">
        <v/>
      </c>
      <c r="X5" t="str">
        <v/>
      </c>
      <c r="Y5" t="str">
        <v/>
      </c>
    </row>
    <row r="6" spans="1:25" x14ac:dyDescent="0.7">
      <c r="M6" t="str">
        <v/>
      </c>
      <c r="N6">
        <v>6</v>
      </c>
      <c r="O6" t="str">
        <v/>
      </c>
      <c r="P6" t="str">
        <v/>
      </c>
      <c r="Q6" t="str">
        <v/>
      </c>
      <c r="R6" t="str">
        <v/>
      </c>
      <c r="S6" t="str">
        <v/>
      </c>
      <c r="T6" t="str">
        <v/>
      </c>
      <c r="U6" t="str">
        <v/>
      </c>
      <c r="V6" t="str">
        <v/>
      </c>
      <c r="W6" t="str">
        <v/>
      </c>
      <c r="X6" t="str">
        <v/>
      </c>
      <c r="Y6" t="str">
        <v/>
      </c>
    </row>
    <row r="7" spans="1:25" x14ac:dyDescent="0.7">
      <c r="M7" t="str">
        <v/>
      </c>
      <c r="N7">
        <v>7</v>
      </c>
      <c r="O7" t="str">
        <v/>
      </c>
      <c r="P7" t="str">
        <v/>
      </c>
      <c r="Q7" t="str">
        <v/>
      </c>
      <c r="R7" t="str">
        <v/>
      </c>
      <c r="S7" t="str">
        <v/>
      </c>
      <c r="T7" t="str">
        <v/>
      </c>
      <c r="U7" t="str">
        <v/>
      </c>
      <c r="V7" t="str">
        <v/>
      </c>
      <c r="W7" t="str">
        <v/>
      </c>
      <c r="X7" t="str">
        <v/>
      </c>
      <c r="Y7" t="str">
        <v/>
      </c>
    </row>
    <row r="8" spans="1:25" x14ac:dyDescent="0.7">
      <c r="M8" t="str">
        <v/>
      </c>
      <c r="N8">
        <v>8</v>
      </c>
      <c r="O8" t="str">
        <v/>
      </c>
      <c r="P8" t="str">
        <v/>
      </c>
      <c r="Q8" t="str">
        <v/>
      </c>
      <c r="R8" t="str">
        <v/>
      </c>
      <c r="S8" t="str">
        <v/>
      </c>
      <c r="T8" t="str">
        <v/>
      </c>
      <c r="U8" t="str">
        <v/>
      </c>
      <c r="V8" t="str">
        <v/>
      </c>
      <c r="W8" t="str">
        <v/>
      </c>
      <c r="X8" t="str">
        <v/>
      </c>
      <c r="Y8" t="str">
        <v/>
      </c>
    </row>
    <row r="9" spans="1:25" x14ac:dyDescent="0.7">
      <c r="M9" t="str">
        <v/>
      </c>
      <c r="N9">
        <v>9</v>
      </c>
      <c r="O9" t="str">
        <v/>
      </c>
      <c r="P9" t="str">
        <v/>
      </c>
      <c r="Q9" t="str">
        <v/>
      </c>
      <c r="R9" t="str">
        <v/>
      </c>
      <c r="S9" t="str">
        <v/>
      </c>
      <c r="T9" t="str">
        <v/>
      </c>
      <c r="U9" t="str">
        <v/>
      </c>
      <c r="V9" t="str">
        <v/>
      </c>
      <c r="W9" t="str">
        <v/>
      </c>
      <c r="X9" t="str">
        <v/>
      </c>
      <c r="Y9" t="str">
        <v/>
      </c>
    </row>
    <row r="10" spans="1:25" x14ac:dyDescent="0.7">
      <c r="M10" t="str">
        <v/>
      </c>
      <c r="N10">
        <v>10</v>
      </c>
      <c r="O10" t="str">
        <v/>
      </c>
      <c r="P10" t="str">
        <v/>
      </c>
      <c r="Q10" t="str">
        <v/>
      </c>
      <c r="R10" t="str">
        <v/>
      </c>
      <c r="S10" t="str">
        <v/>
      </c>
      <c r="T10" t="str">
        <v/>
      </c>
      <c r="U10" t="str">
        <v/>
      </c>
      <c r="V10" t="str">
        <v/>
      </c>
      <c r="W10" t="str">
        <v/>
      </c>
      <c r="X10" t="str">
        <v/>
      </c>
      <c r="Y10" t="str">
        <v/>
      </c>
    </row>
    <row r="11" spans="1:25" x14ac:dyDescent="0.7">
      <c r="M11" t="str">
        <v/>
      </c>
      <c r="N11">
        <v>11</v>
      </c>
      <c r="O11" t="str">
        <v/>
      </c>
      <c r="P11" t="str">
        <v/>
      </c>
      <c r="Q11" t="str">
        <v/>
      </c>
      <c r="R11" t="str">
        <v/>
      </c>
      <c r="S11" t="str">
        <v/>
      </c>
      <c r="T11" t="str">
        <v/>
      </c>
      <c r="U11" t="str">
        <v/>
      </c>
      <c r="V11" t="str">
        <v/>
      </c>
      <c r="W11" t="str">
        <v/>
      </c>
      <c r="X11" t="str">
        <v/>
      </c>
      <c r="Y11" t="str">
        <v/>
      </c>
    </row>
    <row r="12" spans="1:25" x14ac:dyDescent="0.7">
      <c r="M12" t="str">
        <v/>
      </c>
      <c r="N12">
        <v>12</v>
      </c>
      <c r="O12" t="str">
        <v/>
      </c>
      <c r="P12" t="str">
        <v/>
      </c>
      <c r="Q12" t="str">
        <v/>
      </c>
      <c r="R12" t="str">
        <v/>
      </c>
      <c r="S12" t="str">
        <v/>
      </c>
      <c r="T12" t="str">
        <v/>
      </c>
      <c r="U12" t="str">
        <v/>
      </c>
      <c r="V12" t="str">
        <v/>
      </c>
      <c r="W12" t="str">
        <v/>
      </c>
      <c r="X12" t="str">
        <v/>
      </c>
      <c r="Y12" t="str">
        <v/>
      </c>
    </row>
    <row r="13" spans="1:25" x14ac:dyDescent="0.7">
      <c r="M13" t="str">
        <v/>
      </c>
      <c r="N13">
        <v>13</v>
      </c>
      <c r="O13" t="str">
        <v/>
      </c>
      <c r="P13" t="str">
        <v/>
      </c>
      <c r="Q13" t="str">
        <v/>
      </c>
      <c r="R13" t="str">
        <v/>
      </c>
      <c r="S13" t="str">
        <v/>
      </c>
      <c r="T13" t="str">
        <v/>
      </c>
      <c r="U13" t="str">
        <v/>
      </c>
      <c r="V13" t="str">
        <v/>
      </c>
      <c r="W13" t="str">
        <v/>
      </c>
      <c r="X13" t="str">
        <v/>
      </c>
      <c r="Y13" t="str">
        <v/>
      </c>
    </row>
    <row r="14" spans="1:25" x14ac:dyDescent="0.7">
      <c r="M14" t="str">
        <v/>
      </c>
      <c r="N14">
        <v>14</v>
      </c>
      <c r="O14" t="str">
        <v/>
      </c>
      <c r="P14" t="str">
        <v/>
      </c>
      <c r="Q14" t="str">
        <v/>
      </c>
      <c r="R14" t="str">
        <v/>
      </c>
      <c r="S14" t="str">
        <v/>
      </c>
      <c r="T14" t="str">
        <v/>
      </c>
      <c r="U14" t="str">
        <v/>
      </c>
      <c r="V14" t="str">
        <v/>
      </c>
      <c r="W14" t="str">
        <v/>
      </c>
      <c r="X14" t="str">
        <v/>
      </c>
      <c r="Y14" t="str">
        <v/>
      </c>
    </row>
    <row r="15" spans="1:25" x14ac:dyDescent="0.7">
      <c r="M15" t="str">
        <v/>
      </c>
      <c r="N15">
        <v>15</v>
      </c>
      <c r="O15" t="str">
        <v/>
      </c>
      <c r="P15" t="str">
        <v/>
      </c>
      <c r="Q15" t="str">
        <v/>
      </c>
      <c r="R15" t="str">
        <v/>
      </c>
      <c r="S15" t="str">
        <v/>
      </c>
      <c r="T15" t="str">
        <v/>
      </c>
      <c r="U15" t="str">
        <v/>
      </c>
      <c r="V15" t="str">
        <v/>
      </c>
      <c r="W15" t="str">
        <v/>
      </c>
      <c r="X15" t="str">
        <v/>
      </c>
      <c r="Y15" t="str">
        <v/>
      </c>
    </row>
    <row r="16" spans="1:25" x14ac:dyDescent="0.7">
      <c r="M16" t="str">
        <v/>
      </c>
      <c r="N16">
        <v>16</v>
      </c>
      <c r="O16" t="str">
        <v/>
      </c>
      <c r="P16" t="str">
        <v/>
      </c>
      <c r="Q16" t="str">
        <v/>
      </c>
      <c r="R16" t="str">
        <v/>
      </c>
      <c r="S16" t="str">
        <v/>
      </c>
      <c r="T16" t="str">
        <v/>
      </c>
      <c r="U16" t="str">
        <v/>
      </c>
      <c r="V16" t="str">
        <v/>
      </c>
      <c r="W16" t="str">
        <v/>
      </c>
      <c r="X16" t="str">
        <v/>
      </c>
      <c r="Y16" t="str">
        <v/>
      </c>
    </row>
    <row r="17" spans="13:25" x14ac:dyDescent="0.7">
      <c r="M17" t="str">
        <v/>
      </c>
      <c r="N17">
        <v>17</v>
      </c>
      <c r="O17" t="str">
        <v/>
      </c>
      <c r="P17" t="str">
        <v/>
      </c>
      <c r="Q17" t="str">
        <v/>
      </c>
      <c r="R17" t="str">
        <v/>
      </c>
      <c r="S17" t="str">
        <v/>
      </c>
      <c r="T17" t="str">
        <v/>
      </c>
      <c r="U17" t="str">
        <v/>
      </c>
      <c r="V17" t="str">
        <v/>
      </c>
      <c r="W17" t="str">
        <v/>
      </c>
      <c r="X17" t="str">
        <v/>
      </c>
      <c r="Y17" t="str">
        <v/>
      </c>
    </row>
    <row r="18" spans="13:25" x14ac:dyDescent="0.7">
      <c r="M18" t="str">
        <v/>
      </c>
      <c r="N18">
        <v>18</v>
      </c>
      <c r="O18" t="str">
        <v/>
      </c>
      <c r="P18" t="str">
        <v/>
      </c>
      <c r="Q18" t="str">
        <v/>
      </c>
      <c r="R18" t="str">
        <v/>
      </c>
      <c r="S18" t="str">
        <v/>
      </c>
      <c r="T18" t="str">
        <v/>
      </c>
      <c r="U18" t="str">
        <v/>
      </c>
      <c r="V18" t="str">
        <v/>
      </c>
      <c r="W18" t="str">
        <v/>
      </c>
      <c r="X18" t="str">
        <v/>
      </c>
      <c r="Y18" t="str">
        <v/>
      </c>
    </row>
    <row r="19" spans="13:25" x14ac:dyDescent="0.7">
      <c r="M19" t="str">
        <v/>
      </c>
      <c r="N19">
        <v>19</v>
      </c>
      <c r="O19" t="str">
        <v/>
      </c>
      <c r="P19" t="str">
        <v/>
      </c>
      <c r="Q19" t="str">
        <v/>
      </c>
      <c r="R19" t="str">
        <v/>
      </c>
      <c r="S19" t="str">
        <v/>
      </c>
      <c r="T19" t="str">
        <v/>
      </c>
      <c r="U19" t="str">
        <v/>
      </c>
      <c r="V19" t="str">
        <v/>
      </c>
      <c r="W19" t="str">
        <v/>
      </c>
      <c r="X19" t="str">
        <v/>
      </c>
      <c r="Y19" t="str">
        <v/>
      </c>
    </row>
    <row r="20" spans="13:25" x14ac:dyDescent="0.7">
      <c r="M20" t="str">
        <v/>
      </c>
      <c r="N20">
        <v>20</v>
      </c>
      <c r="O20" t="str">
        <v/>
      </c>
      <c r="P20" t="str">
        <v/>
      </c>
      <c r="Q20" t="str">
        <v/>
      </c>
      <c r="R20" t="str">
        <v/>
      </c>
      <c r="S20" t="str">
        <v/>
      </c>
      <c r="T20" t="str">
        <v/>
      </c>
      <c r="U20" t="str">
        <v/>
      </c>
      <c r="V20" t="str">
        <v/>
      </c>
      <c r="W20" t="str">
        <v/>
      </c>
      <c r="X20" t="str">
        <v/>
      </c>
      <c r="Y20" t="str">
        <v/>
      </c>
    </row>
    <row r="21" spans="13:25" x14ac:dyDescent="0.7">
      <c r="M21" t="str">
        <v/>
      </c>
      <c r="N21">
        <v>21</v>
      </c>
      <c r="O21" t="str">
        <v/>
      </c>
      <c r="P21" t="str">
        <v/>
      </c>
      <c r="Q21" t="str">
        <v/>
      </c>
      <c r="R21" t="str">
        <v/>
      </c>
      <c r="S21" t="str">
        <v/>
      </c>
      <c r="T21" t="str">
        <v/>
      </c>
      <c r="U21" t="str">
        <v/>
      </c>
      <c r="V21" t="str">
        <v/>
      </c>
      <c r="W21" t="str">
        <v/>
      </c>
      <c r="X21" t="str">
        <v/>
      </c>
      <c r="Y21" t="str">
        <v/>
      </c>
    </row>
    <row r="22" spans="13:25" x14ac:dyDescent="0.7">
      <c r="M22" t="str">
        <v/>
      </c>
      <c r="N22">
        <v>22</v>
      </c>
      <c r="O22" t="str">
        <v/>
      </c>
      <c r="P22" t="str">
        <v/>
      </c>
      <c r="Q22" t="str">
        <v/>
      </c>
      <c r="R22" t="str">
        <v/>
      </c>
      <c r="S22" t="str">
        <v/>
      </c>
      <c r="T22" t="str">
        <v/>
      </c>
      <c r="U22" t="str">
        <v/>
      </c>
      <c r="V22" t="str">
        <v/>
      </c>
      <c r="W22" t="str">
        <v/>
      </c>
      <c r="X22" t="str">
        <v/>
      </c>
      <c r="Y22" t="str">
        <v/>
      </c>
    </row>
    <row r="23" spans="13:25" x14ac:dyDescent="0.7">
      <c r="M23" t="str">
        <v/>
      </c>
      <c r="N23">
        <v>23</v>
      </c>
      <c r="O23" t="str">
        <v/>
      </c>
      <c r="P23" t="str">
        <v/>
      </c>
      <c r="Q23" t="str">
        <v/>
      </c>
      <c r="R23" t="str">
        <v/>
      </c>
      <c r="S23" t="str">
        <v/>
      </c>
      <c r="T23" t="str">
        <v/>
      </c>
      <c r="U23" t="str">
        <v/>
      </c>
      <c r="V23" t="str">
        <v/>
      </c>
      <c r="W23" t="str">
        <v/>
      </c>
      <c r="X23" t="str">
        <v/>
      </c>
      <c r="Y23" t="str">
        <v/>
      </c>
    </row>
    <row r="24" spans="13:25" x14ac:dyDescent="0.7">
      <c r="M24" t="str">
        <v/>
      </c>
      <c r="N24">
        <v>24</v>
      </c>
      <c r="O24" t="str">
        <v/>
      </c>
      <c r="P24" t="str">
        <v/>
      </c>
      <c r="Q24" t="str">
        <v/>
      </c>
      <c r="R24" t="str">
        <v/>
      </c>
      <c r="S24" t="str">
        <v/>
      </c>
      <c r="T24" t="str">
        <v/>
      </c>
      <c r="U24" t="str">
        <v/>
      </c>
      <c r="V24" t="str">
        <v/>
      </c>
      <c r="W24" t="str">
        <v/>
      </c>
      <c r="X24" t="str">
        <v/>
      </c>
      <c r="Y24" t="str">
        <v/>
      </c>
    </row>
    <row r="25" spans="13:25" x14ac:dyDescent="0.7">
      <c r="M25" t="str">
        <v/>
      </c>
      <c r="N25">
        <v>25</v>
      </c>
      <c r="O25" t="str">
        <v/>
      </c>
      <c r="P25" t="str">
        <v/>
      </c>
      <c r="Q25" t="str">
        <v/>
      </c>
      <c r="R25" t="str">
        <v/>
      </c>
      <c r="S25" t="str">
        <v/>
      </c>
      <c r="T25" t="str">
        <v/>
      </c>
      <c r="U25" t="str">
        <v/>
      </c>
      <c r="V25" t="str">
        <v/>
      </c>
      <c r="W25" t="str">
        <v/>
      </c>
      <c r="X25" t="str">
        <v/>
      </c>
      <c r="Y25" t="str">
        <v/>
      </c>
    </row>
    <row r="26" spans="13:25" x14ac:dyDescent="0.7">
      <c r="M26" t="str">
        <v/>
      </c>
      <c r="N26">
        <v>26</v>
      </c>
      <c r="O26" t="str">
        <v/>
      </c>
      <c r="P26" t="str">
        <v/>
      </c>
      <c r="Q26" t="str">
        <v/>
      </c>
      <c r="R26" t="str">
        <v/>
      </c>
      <c r="S26" t="str">
        <v/>
      </c>
      <c r="T26" t="str">
        <v/>
      </c>
      <c r="U26" t="str">
        <v/>
      </c>
      <c r="V26" t="str">
        <v/>
      </c>
      <c r="W26" t="str">
        <v/>
      </c>
      <c r="X26" t="str">
        <v/>
      </c>
      <c r="Y26" t="str">
        <v/>
      </c>
    </row>
    <row r="27" spans="13:25" x14ac:dyDescent="0.7">
      <c r="M27" t="str">
        <v/>
      </c>
      <c r="N27">
        <v>27</v>
      </c>
      <c r="O27" t="str">
        <v/>
      </c>
      <c r="P27" t="str">
        <v/>
      </c>
      <c r="Q27" t="str">
        <v/>
      </c>
      <c r="R27" t="str">
        <v/>
      </c>
      <c r="S27" t="str">
        <v/>
      </c>
      <c r="T27" t="str">
        <v/>
      </c>
      <c r="U27" t="str">
        <v/>
      </c>
      <c r="V27" t="str">
        <v/>
      </c>
      <c r="W27" t="str">
        <v/>
      </c>
      <c r="X27" t="str">
        <v/>
      </c>
      <c r="Y27" t="str">
        <v/>
      </c>
    </row>
    <row r="28" spans="13:25" x14ac:dyDescent="0.7">
      <c r="M28" t="str">
        <v/>
      </c>
      <c r="N28">
        <v>28</v>
      </c>
      <c r="O28" t="str">
        <v/>
      </c>
      <c r="P28" t="str">
        <v/>
      </c>
      <c r="Q28" t="str">
        <v/>
      </c>
      <c r="R28" t="str">
        <v/>
      </c>
      <c r="S28" t="str">
        <v/>
      </c>
      <c r="T28" t="str">
        <v/>
      </c>
      <c r="U28" t="str">
        <v/>
      </c>
      <c r="V28" t="str">
        <v/>
      </c>
      <c r="W28" t="str">
        <v/>
      </c>
      <c r="X28" t="str">
        <v/>
      </c>
      <c r="Y28" t="str">
        <v/>
      </c>
    </row>
    <row r="29" spans="13:25" x14ac:dyDescent="0.7">
      <c r="M29" t="str">
        <v/>
      </c>
      <c r="N29">
        <v>29</v>
      </c>
      <c r="O29" t="str">
        <v/>
      </c>
      <c r="P29" t="str">
        <v/>
      </c>
      <c r="Q29" t="str">
        <v/>
      </c>
      <c r="R29" t="str">
        <v/>
      </c>
      <c r="S29" t="str">
        <v/>
      </c>
      <c r="T29" t="str">
        <v/>
      </c>
      <c r="U29" t="str">
        <v/>
      </c>
      <c r="V29" t="str">
        <v/>
      </c>
      <c r="W29" t="str">
        <v/>
      </c>
      <c r="X29" t="str">
        <v/>
      </c>
      <c r="Y29" t="str">
        <v/>
      </c>
    </row>
    <row r="30" spans="13:25" x14ac:dyDescent="0.7">
      <c r="M30" t="str">
        <v/>
      </c>
      <c r="N30">
        <v>30</v>
      </c>
      <c r="O30" t="str">
        <v/>
      </c>
      <c r="P30" t="str">
        <v/>
      </c>
      <c r="Q30" t="str">
        <v/>
      </c>
      <c r="R30" t="str">
        <v/>
      </c>
      <c r="S30" t="str">
        <v/>
      </c>
      <c r="T30" t="str">
        <v/>
      </c>
      <c r="U30" t="str">
        <v/>
      </c>
      <c r="V30" t="str">
        <v/>
      </c>
      <c r="W30" t="str">
        <v/>
      </c>
      <c r="X30" t="str">
        <v/>
      </c>
      <c r="Y30" t="str">
        <v/>
      </c>
    </row>
    <row r="31" spans="13:25" x14ac:dyDescent="0.7">
      <c r="M31" t="str">
        <v/>
      </c>
      <c r="N31">
        <v>31</v>
      </c>
      <c r="O31" t="str">
        <v/>
      </c>
      <c r="P31" t="str">
        <v/>
      </c>
      <c r="Q31" t="str">
        <v/>
      </c>
      <c r="R31" t="str">
        <v/>
      </c>
      <c r="S31" t="str">
        <v/>
      </c>
      <c r="T31" t="str">
        <v/>
      </c>
      <c r="U31" t="str">
        <v/>
      </c>
      <c r="V31" t="str">
        <v/>
      </c>
      <c r="W31" t="str">
        <v/>
      </c>
      <c r="X31" t="str">
        <v/>
      </c>
      <c r="Y31" t="str">
        <v/>
      </c>
    </row>
    <row r="32" spans="13:25" x14ac:dyDescent="0.7">
      <c r="M32" t="str">
        <v/>
      </c>
      <c r="N32">
        <v>32</v>
      </c>
      <c r="O32" t="str">
        <v/>
      </c>
      <c r="P32" t="str">
        <v/>
      </c>
      <c r="Q32" t="str">
        <v/>
      </c>
      <c r="R32" t="str">
        <v/>
      </c>
      <c r="S32" t="str">
        <v/>
      </c>
      <c r="T32" t="str">
        <v/>
      </c>
      <c r="U32" t="str">
        <v/>
      </c>
      <c r="V32" t="str">
        <v/>
      </c>
      <c r="W32" t="str">
        <v/>
      </c>
      <c r="X32" t="str">
        <v/>
      </c>
      <c r="Y32" t="str">
        <v/>
      </c>
    </row>
    <row r="33" spans="13:25" x14ac:dyDescent="0.7">
      <c r="M33" t="str">
        <v/>
      </c>
      <c r="N33">
        <v>33</v>
      </c>
      <c r="O33" t="str">
        <v/>
      </c>
      <c r="P33" t="str">
        <v/>
      </c>
      <c r="Q33" t="str">
        <v/>
      </c>
      <c r="R33" t="str">
        <v/>
      </c>
      <c r="S33" t="str">
        <v/>
      </c>
      <c r="T33" t="str">
        <v/>
      </c>
      <c r="U33" t="str">
        <v/>
      </c>
      <c r="V33" t="str">
        <v/>
      </c>
      <c r="W33" t="str">
        <v/>
      </c>
      <c r="X33" t="str">
        <v/>
      </c>
      <c r="Y33" t="str">
        <v/>
      </c>
    </row>
    <row r="34" spans="13:25" x14ac:dyDescent="0.7">
      <c r="M34" t="str">
        <v/>
      </c>
      <c r="N34">
        <v>34</v>
      </c>
      <c r="O34" t="str">
        <v/>
      </c>
      <c r="P34" t="str">
        <v/>
      </c>
      <c r="Q34" t="str">
        <v/>
      </c>
      <c r="R34" t="str">
        <v/>
      </c>
      <c r="S34" t="str">
        <v/>
      </c>
      <c r="T34" t="str">
        <v/>
      </c>
      <c r="U34" t="str">
        <v/>
      </c>
      <c r="V34" t="str">
        <v/>
      </c>
      <c r="W34" t="str">
        <v/>
      </c>
      <c r="X34" t="str">
        <v/>
      </c>
      <c r="Y34" t="str">
        <v/>
      </c>
    </row>
    <row r="35" spans="13:25" x14ac:dyDescent="0.7">
      <c r="M35" t="str">
        <v/>
      </c>
      <c r="N35">
        <v>35</v>
      </c>
      <c r="O35" t="str">
        <v/>
      </c>
      <c r="P35" t="str">
        <v/>
      </c>
      <c r="Q35" t="str">
        <v/>
      </c>
      <c r="R35" t="str">
        <v/>
      </c>
      <c r="S35" t="str">
        <v/>
      </c>
      <c r="T35" t="str">
        <v/>
      </c>
      <c r="U35" t="str">
        <v/>
      </c>
      <c r="V35" t="str">
        <v/>
      </c>
      <c r="W35" t="str">
        <v/>
      </c>
      <c r="X35" t="str">
        <v/>
      </c>
      <c r="Y35" t="str">
        <v/>
      </c>
    </row>
    <row r="36" spans="13:25" x14ac:dyDescent="0.7">
      <c r="M36" t="str">
        <v/>
      </c>
      <c r="N36">
        <v>36</v>
      </c>
      <c r="O36" t="str">
        <v/>
      </c>
      <c r="P36" t="str">
        <v/>
      </c>
      <c r="Q36" t="str">
        <v/>
      </c>
      <c r="R36" t="str">
        <v/>
      </c>
      <c r="S36" t="str">
        <v/>
      </c>
      <c r="T36" t="str">
        <v/>
      </c>
      <c r="U36" t="str">
        <v/>
      </c>
      <c r="V36" t="str">
        <v/>
      </c>
      <c r="W36" t="str">
        <v/>
      </c>
      <c r="X36" t="str">
        <v/>
      </c>
      <c r="Y36" t="str">
        <v/>
      </c>
    </row>
    <row r="37" spans="13:25" x14ac:dyDescent="0.7">
      <c r="M37" t="str">
        <v/>
      </c>
      <c r="N37">
        <v>37</v>
      </c>
      <c r="O37" t="str">
        <v/>
      </c>
      <c r="P37" t="str">
        <v/>
      </c>
      <c r="Q37" t="str">
        <v/>
      </c>
      <c r="R37" t="str">
        <v/>
      </c>
      <c r="S37" t="str">
        <v/>
      </c>
      <c r="T37" t="str">
        <v/>
      </c>
      <c r="U37" t="str">
        <v/>
      </c>
      <c r="V37" t="str">
        <v/>
      </c>
      <c r="W37" t="str">
        <v/>
      </c>
      <c r="X37" t="str">
        <v/>
      </c>
      <c r="Y37" t="str">
        <v/>
      </c>
    </row>
    <row r="38" spans="13:25" x14ac:dyDescent="0.7">
      <c r="M38" t="str">
        <v/>
      </c>
      <c r="N38">
        <v>38</v>
      </c>
      <c r="O38" t="str">
        <v/>
      </c>
      <c r="P38" t="str">
        <v/>
      </c>
      <c r="Q38" t="str">
        <v/>
      </c>
      <c r="R38" t="str">
        <v/>
      </c>
      <c r="S38" t="str">
        <v/>
      </c>
      <c r="T38" t="str">
        <v/>
      </c>
      <c r="U38" t="str">
        <v/>
      </c>
      <c r="V38" t="str">
        <v/>
      </c>
      <c r="W38" t="str">
        <v/>
      </c>
      <c r="X38" t="str">
        <v/>
      </c>
      <c r="Y38" t="str">
        <v/>
      </c>
    </row>
    <row r="39" spans="13:25" x14ac:dyDescent="0.7">
      <c r="M39" t="str">
        <v/>
      </c>
      <c r="N39">
        <v>39</v>
      </c>
      <c r="O39" t="str">
        <v/>
      </c>
      <c r="P39" t="str">
        <v/>
      </c>
      <c r="Q39" t="str">
        <v/>
      </c>
      <c r="R39" t="str">
        <v/>
      </c>
      <c r="S39" t="str">
        <v/>
      </c>
      <c r="T39" t="str">
        <v/>
      </c>
      <c r="U39" t="str">
        <v/>
      </c>
      <c r="V39" t="str">
        <v/>
      </c>
      <c r="W39" t="str">
        <v/>
      </c>
      <c r="X39" t="str">
        <v/>
      </c>
      <c r="Y39" t="str">
        <v/>
      </c>
    </row>
    <row r="40" spans="13:25" x14ac:dyDescent="0.7">
      <c r="M40" t="str">
        <v/>
      </c>
      <c r="N40">
        <v>40</v>
      </c>
      <c r="O40" t="str">
        <v/>
      </c>
      <c r="P40" t="str">
        <v/>
      </c>
      <c r="Q40" t="str">
        <v/>
      </c>
      <c r="R40" t="str">
        <v/>
      </c>
      <c r="S40" t="str">
        <v/>
      </c>
      <c r="T40" t="str">
        <v/>
      </c>
      <c r="U40" t="str">
        <v/>
      </c>
      <c r="V40" t="str">
        <v/>
      </c>
      <c r="W40" t="str">
        <v/>
      </c>
      <c r="X40" t="str">
        <v/>
      </c>
      <c r="Y40" t="str">
        <v/>
      </c>
    </row>
    <row r="41" spans="13:25" x14ac:dyDescent="0.7">
      <c r="M41" t="str">
        <v/>
      </c>
      <c r="N41">
        <v>41</v>
      </c>
      <c r="O41" t="str">
        <v/>
      </c>
      <c r="P41" t="str">
        <v/>
      </c>
      <c r="Q41" t="str">
        <v/>
      </c>
      <c r="R41" t="str">
        <v/>
      </c>
      <c r="S41" t="str">
        <v/>
      </c>
      <c r="T41" t="str">
        <v/>
      </c>
      <c r="U41" t="str">
        <v/>
      </c>
      <c r="V41" t="str">
        <v/>
      </c>
      <c r="W41" t="str">
        <v/>
      </c>
      <c r="X41" t="str">
        <v/>
      </c>
      <c r="Y41" t="str">
        <v/>
      </c>
    </row>
    <row r="42" spans="13:25" x14ac:dyDescent="0.7">
      <c r="M42" t="str">
        <v/>
      </c>
      <c r="N42">
        <v>42</v>
      </c>
      <c r="O42" t="str">
        <v/>
      </c>
      <c r="P42" t="str">
        <v/>
      </c>
      <c r="Q42" t="str">
        <v/>
      </c>
      <c r="R42" t="str">
        <v/>
      </c>
      <c r="S42" t="str">
        <v/>
      </c>
      <c r="T42" t="str">
        <v/>
      </c>
      <c r="U42" t="str">
        <v/>
      </c>
      <c r="V42" t="str">
        <v/>
      </c>
      <c r="W42" t="str">
        <v/>
      </c>
      <c r="X42" t="str">
        <v/>
      </c>
      <c r="Y42" t="str">
        <v/>
      </c>
    </row>
    <row r="43" spans="13:25" x14ac:dyDescent="0.7">
      <c r="M43" t="str">
        <v/>
      </c>
      <c r="N43">
        <v>43</v>
      </c>
      <c r="O43" t="str">
        <v/>
      </c>
      <c r="P43" t="str">
        <v/>
      </c>
      <c r="Q43" t="str">
        <v/>
      </c>
      <c r="R43" t="str">
        <v/>
      </c>
      <c r="S43" t="str">
        <v/>
      </c>
      <c r="T43" t="str">
        <v/>
      </c>
      <c r="U43" t="str">
        <v/>
      </c>
      <c r="V43" t="str">
        <v/>
      </c>
      <c r="W43" t="str">
        <v/>
      </c>
      <c r="X43" t="str">
        <v/>
      </c>
      <c r="Y43" t="str">
        <v/>
      </c>
    </row>
    <row r="44" spans="13:25" x14ac:dyDescent="0.7">
      <c r="M44" t="str">
        <v/>
      </c>
      <c r="N44">
        <v>44</v>
      </c>
      <c r="O44" t="str">
        <v/>
      </c>
      <c r="P44" t="str">
        <v/>
      </c>
      <c r="Q44" t="str">
        <v/>
      </c>
      <c r="R44" t="str">
        <v/>
      </c>
      <c r="S44" t="str">
        <v/>
      </c>
      <c r="T44" t="str">
        <v/>
      </c>
      <c r="U44" t="str">
        <v/>
      </c>
      <c r="V44" t="str">
        <v/>
      </c>
      <c r="W44" t="str">
        <v/>
      </c>
      <c r="X44" t="str">
        <v/>
      </c>
      <c r="Y44" t="str">
        <v/>
      </c>
    </row>
    <row r="45" spans="13:25" x14ac:dyDescent="0.7">
      <c r="M45" t="str">
        <v/>
      </c>
      <c r="N45">
        <v>45</v>
      </c>
      <c r="O45" t="str">
        <v/>
      </c>
      <c r="P45" t="str">
        <v/>
      </c>
      <c r="Q45" t="str">
        <v/>
      </c>
      <c r="R45" t="str">
        <v/>
      </c>
      <c r="S45" t="str">
        <v/>
      </c>
      <c r="T45" t="str">
        <v/>
      </c>
      <c r="U45" t="str">
        <v/>
      </c>
      <c r="V45" t="str">
        <v/>
      </c>
      <c r="W45" t="str">
        <v/>
      </c>
      <c r="X45" t="str">
        <v/>
      </c>
      <c r="Y45" t="str">
        <v/>
      </c>
    </row>
    <row r="46" spans="13:25" x14ac:dyDescent="0.7">
      <c r="M46" t="str">
        <v/>
      </c>
      <c r="N46">
        <v>46</v>
      </c>
      <c r="O46" t="str">
        <v/>
      </c>
      <c r="P46" t="str">
        <v/>
      </c>
      <c r="Q46" t="str">
        <v/>
      </c>
      <c r="R46" t="str">
        <v/>
      </c>
      <c r="S46" t="str">
        <v/>
      </c>
      <c r="T46" t="str">
        <v/>
      </c>
      <c r="U46" t="str">
        <v/>
      </c>
      <c r="V46" t="str">
        <v/>
      </c>
      <c r="W46" t="str">
        <v/>
      </c>
      <c r="X46" t="str">
        <v/>
      </c>
      <c r="Y46" t="str">
        <v/>
      </c>
    </row>
    <row r="47" spans="13:25" x14ac:dyDescent="0.7">
      <c r="M47" t="str">
        <v/>
      </c>
      <c r="N47">
        <v>47</v>
      </c>
      <c r="O47" t="str">
        <v/>
      </c>
      <c r="P47" t="str">
        <v/>
      </c>
      <c r="Q47" t="str">
        <v/>
      </c>
      <c r="R47" t="str">
        <v/>
      </c>
      <c r="S47" t="str">
        <v/>
      </c>
      <c r="T47" t="str">
        <v/>
      </c>
      <c r="U47" t="str">
        <v/>
      </c>
      <c r="V47" t="str">
        <v/>
      </c>
      <c r="W47" t="str">
        <v/>
      </c>
      <c r="X47" t="str">
        <v/>
      </c>
      <c r="Y47" t="str">
        <v/>
      </c>
    </row>
    <row r="48" spans="13:25" x14ac:dyDescent="0.7">
      <c r="M48" t="str">
        <v/>
      </c>
      <c r="N48">
        <v>48</v>
      </c>
      <c r="O48" t="str">
        <v/>
      </c>
      <c r="P48" t="str">
        <v/>
      </c>
      <c r="Q48" t="str">
        <v/>
      </c>
      <c r="R48" t="str">
        <v/>
      </c>
      <c r="S48" t="str">
        <v/>
      </c>
      <c r="T48" t="str">
        <v/>
      </c>
      <c r="U48" t="str">
        <v/>
      </c>
      <c r="V48" t="str">
        <v/>
      </c>
      <c r="W48" t="str">
        <v/>
      </c>
      <c r="X48" t="str">
        <v/>
      </c>
      <c r="Y48" t="str">
        <v/>
      </c>
    </row>
    <row r="49" spans="13:25" x14ac:dyDescent="0.7">
      <c r="M49" t="str">
        <v/>
      </c>
      <c r="N49">
        <v>49</v>
      </c>
      <c r="O49" t="str">
        <v/>
      </c>
      <c r="P49" t="str">
        <v/>
      </c>
      <c r="Q49" t="str">
        <v/>
      </c>
      <c r="R49" t="str">
        <v/>
      </c>
      <c r="S49" t="str">
        <v/>
      </c>
      <c r="T49" t="str">
        <v/>
      </c>
      <c r="U49" t="str">
        <v/>
      </c>
      <c r="V49" t="str">
        <v/>
      </c>
      <c r="W49" t="str">
        <v/>
      </c>
      <c r="X49" t="str">
        <v/>
      </c>
      <c r="Y49" t="str">
        <v/>
      </c>
    </row>
    <row r="50" spans="13:25" x14ac:dyDescent="0.7">
      <c r="M50" t="str">
        <v/>
      </c>
      <c r="N50">
        <v>50</v>
      </c>
      <c r="O50" t="str">
        <v/>
      </c>
      <c r="P50" t="str">
        <v/>
      </c>
      <c r="Q50" t="str">
        <v/>
      </c>
      <c r="R50" t="str">
        <v/>
      </c>
      <c r="S50" t="str">
        <v/>
      </c>
      <c r="T50" t="str">
        <v/>
      </c>
      <c r="U50" t="str">
        <v/>
      </c>
      <c r="V50" t="str">
        <v/>
      </c>
      <c r="W50" t="str">
        <v/>
      </c>
      <c r="X50" t="str">
        <v/>
      </c>
      <c r="Y50" t="str">
        <v/>
      </c>
    </row>
    <row r="51" spans="13:25" x14ac:dyDescent="0.7">
      <c r="M51" t="str">
        <v/>
      </c>
      <c r="N51">
        <v>51</v>
      </c>
      <c r="O51" t="str">
        <v/>
      </c>
      <c r="P51" t="str">
        <v/>
      </c>
      <c r="Q51" t="str">
        <v/>
      </c>
      <c r="R51" t="str">
        <v/>
      </c>
      <c r="S51" t="str">
        <v/>
      </c>
      <c r="T51" t="str">
        <v/>
      </c>
      <c r="U51" t="str">
        <v/>
      </c>
      <c r="V51" t="str">
        <v/>
      </c>
      <c r="W51" t="str">
        <v/>
      </c>
      <c r="X51" t="str">
        <v/>
      </c>
      <c r="Y51" t="str">
        <v/>
      </c>
    </row>
    <row r="52" spans="13:25" x14ac:dyDescent="0.7">
      <c r="M52" t="str">
        <v/>
      </c>
      <c r="N52">
        <v>52</v>
      </c>
      <c r="O52" t="str">
        <v/>
      </c>
      <c r="P52" t="str">
        <v/>
      </c>
      <c r="Q52" t="str">
        <v/>
      </c>
      <c r="R52" t="str">
        <v/>
      </c>
      <c r="S52" t="str">
        <v/>
      </c>
      <c r="T52" t="str">
        <v/>
      </c>
      <c r="U52" t="str">
        <v/>
      </c>
      <c r="V52" t="str">
        <v/>
      </c>
      <c r="W52" t="str">
        <v/>
      </c>
      <c r="X52" t="str">
        <v/>
      </c>
      <c r="Y52" t="str">
        <v/>
      </c>
    </row>
    <row r="53" spans="13:25" x14ac:dyDescent="0.7">
      <c r="M53" t="str">
        <v/>
      </c>
      <c r="N53">
        <v>53</v>
      </c>
      <c r="O53" t="str">
        <v/>
      </c>
      <c r="P53" t="str">
        <v/>
      </c>
      <c r="Q53" t="str">
        <v/>
      </c>
      <c r="R53" t="str">
        <v/>
      </c>
      <c r="S53" t="str">
        <v/>
      </c>
      <c r="T53" t="str">
        <v/>
      </c>
      <c r="U53" t="str">
        <v/>
      </c>
      <c r="V53" t="str">
        <v/>
      </c>
      <c r="W53" t="str">
        <v/>
      </c>
      <c r="X53" t="str">
        <v/>
      </c>
      <c r="Y53" t="str">
        <v/>
      </c>
    </row>
    <row r="54" spans="13:25" x14ac:dyDescent="0.7">
      <c r="M54" t="str">
        <v/>
      </c>
      <c r="N54">
        <v>54</v>
      </c>
      <c r="O54" t="str">
        <v/>
      </c>
      <c r="P54" t="str">
        <v/>
      </c>
      <c r="Q54" t="str">
        <v/>
      </c>
      <c r="R54" t="str">
        <v/>
      </c>
      <c r="S54" t="str">
        <v/>
      </c>
      <c r="T54" t="str">
        <v/>
      </c>
      <c r="U54" t="str">
        <v/>
      </c>
      <c r="V54" t="str">
        <v/>
      </c>
      <c r="W54" t="str">
        <v/>
      </c>
      <c r="X54" t="str">
        <v/>
      </c>
      <c r="Y54" t="str">
        <v/>
      </c>
    </row>
    <row r="55" spans="13:25" x14ac:dyDescent="0.7">
      <c r="M55" t="str">
        <v/>
      </c>
      <c r="N55">
        <v>55</v>
      </c>
      <c r="O55" t="str">
        <v/>
      </c>
      <c r="P55" t="str">
        <v/>
      </c>
      <c r="Q55" t="str">
        <v/>
      </c>
      <c r="R55" t="str">
        <v/>
      </c>
      <c r="S55" t="str">
        <v/>
      </c>
      <c r="T55" t="str">
        <v/>
      </c>
      <c r="U55" t="str">
        <v/>
      </c>
      <c r="V55" t="str">
        <v/>
      </c>
      <c r="W55" t="str">
        <v/>
      </c>
      <c r="X55" t="str">
        <v/>
      </c>
      <c r="Y55" t="str">
        <v/>
      </c>
    </row>
    <row r="56" spans="13:25" x14ac:dyDescent="0.7">
      <c r="M56" t="str">
        <v/>
      </c>
      <c r="N56">
        <v>56</v>
      </c>
      <c r="O56" t="str">
        <v/>
      </c>
      <c r="P56" t="str">
        <v/>
      </c>
      <c r="Q56" t="str">
        <v/>
      </c>
      <c r="R56" t="str">
        <v/>
      </c>
      <c r="S56" t="str">
        <v/>
      </c>
      <c r="T56" t="str">
        <v/>
      </c>
      <c r="U56" t="str">
        <v/>
      </c>
      <c r="V56" t="str">
        <v/>
      </c>
      <c r="W56" t="str">
        <v/>
      </c>
      <c r="X56" t="str">
        <v/>
      </c>
      <c r="Y56" t="str">
        <v/>
      </c>
    </row>
    <row r="57" spans="13:25" x14ac:dyDescent="0.7">
      <c r="M57" t="str">
        <v/>
      </c>
      <c r="N57">
        <v>57</v>
      </c>
      <c r="O57" t="str">
        <v/>
      </c>
      <c r="P57" t="str">
        <v/>
      </c>
      <c r="Q57" t="str">
        <v/>
      </c>
      <c r="R57" t="str">
        <v/>
      </c>
      <c r="S57" t="str">
        <v/>
      </c>
      <c r="T57" t="str">
        <v/>
      </c>
      <c r="U57" t="str">
        <v/>
      </c>
      <c r="V57" t="str">
        <v/>
      </c>
      <c r="W57" t="str">
        <v/>
      </c>
      <c r="X57" t="str">
        <v/>
      </c>
      <c r="Y57" t="str">
        <v/>
      </c>
    </row>
    <row r="58" spans="13:25" x14ac:dyDescent="0.7">
      <c r="M58" t="str">
        <v/>
      </c>
      <c r="N58">
        <v>58</v>
      </c>
      <c r="O58" t="str">
        <v/>
      </c>
      <c r="P58" t="str">
        <v/>
      </c>
      <c r="Q58" t="str">
        <v/>
      </c>
      <c r="R58" t="str">
        <v/>
      </c>
      <c r="S58" t="str">
        <v/>
      </c>
      <c r="T58" t="str">
        <v/>
      </c>
      <c r="U58" t="str">
        <v/>
      </c>
      <c r="V58" t="str">
        <v/>
      </c>
      <c r="W58" t="str">
        <v/>
      </c>
      <c r="X58" t="str">
        <v/>
      </c>
      <c r="Y58" t="str">
        <v/>
      </c>
    </row>
    <row r="59" spans="13:25" x14ac:dyDescent="0.7">
      <c r="M59" t="str">
        <v/>
      </c>
      <c r="N59">
        <v>59</v>
      </c>
      <c r="O59" t="str">
        <v/>
      </c>
      <c r="P59" t="str">
        <v/>
      </c>
      <c r="Q59" t="str">
        <v/>
      </c>
      <c r="R59" t="str">
        <v/>
      </c>
      <c r="S59" t="str">
        <v/>
      </c>
      <c r="T59" t="str">
        <v/>
      </c>
      <c r="U59" t="str">
        <v/>
      </c>
      <c r="V59" t="str">
        <v/>
      </c>
      <c r="W59" t="str">
        <v/>
      </c>
      <c r="X59" t="str">
        <v/>
      </c>
      <c r="Y59" t="str">
        <v/>
      </c>
    </row>
    <row r="60" spans="13:25" x14ac:dyDescent="0.7">
      <c r="M60" t="str">
        <v/>
      </c>
      <c r="N60">
        <v>60</v>
      </c>
      <c r="O60" t="str">
        <v/>
      </c>
      <c r="P60" t="str">
        <v/>
      </c>
      <c r="Q60" t="str">
        <v/>
      </c>
      <c r="R60" t="str">
        <v/>
      </c>
      <c r="S60" t="str">
        <v/>
      </c>
      <c r="T60" t="str">
        <v/>
      </c>
      <c r="U60" t="str">
        <v/>
      </c>
      <c r="V60" t="str">
        <v/>
      </c>
      <c r="W60" t="str">
        <v/>
      </c>
      <c r="X60" t="str">
        <v/>
      </c>
      <c r="Y60" t="str">
        <v/>
      </c>
    </row>
    <row r="61" spans="13:25" x14ac:dyDescent="0.7">
      <c r="M61" t="str">
        <v/>
      </c>
      <c r="N61">
        <v>61</v>
      </c>
      <c r="O61" t="str">
        <v/>
      </c>
      <c r="P61" t="str">
        <v/>
      </c>
      <c r="Q61" t="str">
        <v/>
      </c>
      <c r="R61" t="str">
        <v/>
      </c>
      <c r="S61" t="str">
        <v/>
      </c>
      <c r="T61" t="str">
        <v/>
      </c>
      <c r="U61" t="str">
        <v/>
      </c>
      <c r="V61" t="str">
        <v/>
      </c>
      <c r="W61" t="str">
        <v/>
      </c>
      <c r="X61" t="str">
        <v/>
      </c>
      <c r="Y61" t="str">
        <v/>
      </c>
    </row>
    <row r="62" spans="13:25" x14ac:dyDescent="0.7">
      <c r="M62" t="str">
        <v/>
      </c>
      <c r="N62">
        <v>62</v>
      </c>
      <c r="O62" t="str">
        <v/>
      </c>
      <c r="P62" t="str">
        <v/>
      </c>
      <c r="Q62" t="str">
        <v/>
      </c>
      <c r="R62" t="str">
        <v/>
      </c>
      <c r="S62" t="str">
        <v/>
      </c>
      <c r="T62" t="str">
        <v/>
      </c>
      <c r="U62" t="str">
        <v/>
      </c>
      <c r="V62" t="str">
        <v/>
      </c>
      <c r="W62" t="str">
        <v/>
      </c>
      <c r="X62" t="str">
        <v/>
      </c>
      <c r="Y62" t="str">
        <v/>
      </c>
    </row>
    <row r="63" spans="13:25" x14ac:dyDescent="0.7">
      <c r="M63" t="str">
        <v/>
      </c>
      <c r="N63">
        <v>63</v>
      </c>
      <c r="O63" t="str">
        <v/>
      </c>
      <c r="P63" t="str">
        <v/>
      </c>
      <c r="Q63" t="str">
        <v/>
      </c>
      <c r="R63" t="str">
        <v/>
      </c>
      <c r="S63" t="str">
        <v/>
      </c>
      <c r="T63" t="str">
        <v/>
      </c>
      <c r="U63" t="str">
        <v/>
      </c>
      <c r="V63" t="str">
        <v/>
      </c>
      <c r="W63" t="str">
        <v/>
      </c>
      <c r="X63" t="str">
        <v/>
      </c>
      <c r="Y63" t="str">
        <v/>
      </c>
    </row>
    <row r="64" spans="13:25" x14ac:dyDescent="0.7">
      <c r="M64" t="str">
        <v/>
      </c>
      <c r="N64">
        <v>64</v>
      </c>
      <c r="O64" t="str">
        <v/>
      </c>
      <c r="P64" t="str">
        <v/>
      </c>
      <c r="Q64" t="str">
        <v/>
      </c>
      <c r="R64" t="str">
        <v/>
      </c>
      <c r="S64" t="str">
        <v/>
      </c>
      <c r="T64" t="str">
        <v/>
      </c>
      <c r="U64" t="str">
        <v/>
      </c>
      <c r="V64" t="str">
        <v/>
      </c>
      <c r="W64" t="str">
        <v/>
      </c>
      <c r="X64" t="str">
        <v/>
      </c>
      <c r="Y64" t="str">
        <v/>
      </c>
    </row>
    <row r="65" spans="13:25" x14ac:dyDescent="0.7">
      <c r="M65" t="str">
        <v/>
      </c>
      <c r="N65">
        <v>65</v>
      </c>
      <c r="O65" t="str">
        <v/>
      </c>
      <c r="P65" t="str">
        <v/>
      </c>
      <c r="Q65" t="str">
        <v/>
      </c>
      <c r="R65" t="str">
        <v/>
      </c>
      <c r="S65" t="str">
        <v/>
      </c>
      <c r="T65" t="str">
        <v/>
      </c>
      <c r="U65" t="str">
        <v/>
      </c>
      <c r="V65" t="str">
        <v/>
      </c>
      <c r="W65" t="str">
        <v/>
      </c>
      <c r="X65" t="str">
        <v/>
      </c>
      <c r="Y65" t="str">
        <v/>
      </c>
    </row>
    <row r="66" spans="13:25" x14ac:dyDescent="0.7">
      <c r="M66" t="str">
        <v/>
      </c>
      <c r="N66">
        <v>66</v>
      </c>
      <c r="O66" t="str">
        <v/>
      </c>
      <c r="P66" t="str">
        <v/>
      </c>
      <c r="Q66" t="str">
        <v/>
      </c>
      <c r="R66" t="str">
        <v/>
      </c>
      <c r="S66" t="str">
        <v/>
      </c>
      <c r="T66" t="str">
        <v/>
      </c>
      <c r="U66" t="str">
        <v/>
      </c>
      <c r="V66" t="str">
        <v/>
      </c>
      <c r="W66" t="str">
        <v/>
      </c>
      <c r="X66" t="str">
        <v/>
      </c>
      <c r="Y66" t="str">
        <v/>
      </c>
    </row>
    <row r="67" spans="13:25" x14ac:dyDescent="0.7">
      <c r="M67" t="str">
        <v/>
      </c>
      <c r="N67">
        <v>67</v>
      </c>
      <c r="O67" t="str">
        <v/>
      </c>
      <c r="P67" t="str">
        <v/>
      </c>
      <c r="Q67" t="str">
        <v/>
      </c>
      <c r="R67" t="str">
        <v/>
      </c>
      <c r="S67" t="str">
        <v/>
      </c>
      <c r="T67" t="str">
        <v/>
      </c>
      <c r="U67" t="str">
        <v/>
      </c>
      <c r="V67" t="str">
        <v/>
      </c>
      <c r="W67" t="str">
        <v/>
      </c>
      <c r="X67" t="str">
        <v/>
      </c>
      <c r="Y67" t="str">
        <v/>
      </c>
    </row>
    <row r="68" spans="13:25" x14ac:dyDescent="0.7">
      <c r="M68" t="str">
        <v/>
      </c>
      <c r="N68">
        <v>68</v>
      </c>
      <c r="O68" t="str">
        <v/>
      </c>
      <c r="P68" t="str">
        <v/>
      </c>
      <c r="Q68" t="str">
        <v/>
      </c>
      <c r="R68" t="str">
        <v/>
      </c>
      <c r="S68" t="str">
        <v/>
      </c>
      <c r="T68" t="str">
        <v/>
      </c>
      <c r="U68" t="str">
        <v/>
      </c>
      <c r="V68" t="str">
        <v/>
      </c>
      <c r="W68" t="str">
        <v/>
      </c>
      <c r="X68" t="str">
        <v/>
      </c>
      <c r="Y68" t="str">
        <v/>
      </c>
    </row>
    <row r="69" spans="13:25" x14ac:dyDescent="0.7">
      <c r="M69" t="str">
        <v/>
      </c>
      <c r="N69">
        <v>69</v>
      </c>
      <c r="O69" t="str">
        <v/>
      </c>
      <c r="P69" t="str">
        <v/>
      </c>
      <c r="Q69" t="str">
        <v/>
      </c>
      <c r="R69" t="str">
        <v/>
      </c>
      <c r="S69" t="str">
        <v/>
      </c>
      <c r="T69" t="str">
        <v/>
      </c>
      <c r="U69" t="str">
        <v/>
      </c>
      <c r="V69" t="str">
        <v/>
      </c>
      <c r="W69" t="str">
        <v/>
      </c>
      <c r="X69" t="str">
        <v/>
      </c>
      <c r="Y69" t="str">
        <v/>
      </c>
    </row>
    <row r="70" spans="13:25" x14ac:dyDescent="0.7">
      <c r="M70" t="str">
        <v/>
      </c>
      <c r="N70">
        <v>70</v>
      </c>
      <c r="O70" t="str">
        <v/>
      </c>
      <c r="P70" t="str">
        <v/>
      </c>
      <c r="Q70" t="str">
        <v/>
      </c>
      <c r="R70" t="str">
        <v/>
      </c>
      <c r="S70" t="str">
        <v/>
      </c>
      <c r="T70" t="str">
        <v/>
      </c>
      <c r="U70" t="str">
        <v/>
      </c>
      <c r="V70" t="str">
        <v/>
      </c>
      <c r="W70" t="str">
        <v/>
      </c>
      <c r="X70" t="str">
        <v/>
      </c>
      <c r="Y70" t="str">
        <v/>
      </c>
    </row>
    <row r="71" spans="13:25" x14ac:dyDescent="0.7">
      <c r="M71" t="str">
        <v/>
      </c>
      <c r="N71">
        <v>71</v>
      </c>
      <c r="O71" t="str">
        <v/>
      </c>
      <c r="P71" t="str">
        <v/>
      </c>
      <c r="Q71" t="str">
        <v/>
      </c>
      <c r="R71" t="str">
        <v/>
      </c>
      <c r="S71" t="str">
        <v/>
      </c>
      <c r="T71" t="str">
        <v/>
      </c>
      <c r="U71" t="str">
        <v/>
      </c>
      <c r="V71" t="str">
        <v/>
      </c>
      <c r="W71" t="str">
        <v/>
      </c>
      <c r="X71" t="str">
        <v/>
      </c>
      <c r="Y71" t="str">
        <v/>
      </c>
    </row>
    <row r="72" spans="13:25" x14ac:dyDescent="0.7">
      <c r="M72" t="str">
        <v/>
      </c>
      <c r="N72">
        <v>72</v>
      </c>
      <c r="O72" t="str">
        <v/>
      </c>
      <c r="P72" t="str">
        <v/>
      </c>
      <c r="Q72" t="str">
        <v/>
      </c>
      <c r="R72" t="str">
        <v/>
      </c>
      <c r="S72" t="str">
        <v/>
      </c>
      <c r="T72" t="str">
        <v/>
      </c>
      <c r="U72" t="str">
        <v/>
      </c>
      <c r="V72" t="str">
        <v/>
      </c>
      <c r="W72" t="str">
        <v/>
      </c>
      <c r="X72" t="str">
        <v/>
      </c>
      <c r="Y72" t="str">
        <v/>
      </c>
    </row>
    <row r="73" spans="13:25" x14ac:dyDescent="0.7">
      <c r="M73" t="str">
        <v/>
      </c>
      <c r="N73">
        <v>73</v>
      </c>
      <c r="O73" t="str">
        <v/>
      </c>
      <c r="P73" t="str">
        <v/>
      </c>
      <c r="Q73" t="str">
        <v/>
      </c>
      <c r="R73" t="str">
        <v/>
      </c>
      <c r="S73" t="str">
        <v/>
      </c>
      <c r="T73" t="str">
        <v/>
      </c>
      <c r="U73" t="str">
        <v/>
      </c>
      <c r="V73" t="str">
        <v/>
      </c>
      <c r="W73" t="str">
        <v/>
      </c>
      <c r="X73" t="str">
        <v/>
      </c>
      <c r="Y73" t="str">
        <v/>
      </c>
    </row>
    <row r="74" spans="13:25" x14ac:dyDescent="0.7">
      <c r="M74" t="str">
        <v/>
      </c>
      <c r="N74">
        <v>74</v>
      </c>
      <c r="O74" t="str">
        <v/>
      </c>
      <c r="P74" t="str">
        <v/>
      </c>
      <c r="Q74" t="str">
        <v/>
      </c>
      <c r="R74" t="str">
        <v/>
      </c>
      <c r="S74" t="str">
        <v/>
      </c>
      <c r="T74" t="str">
        <v/>
      </c>
      <c r="U74" t="str">
        <v/>
      </c>
      <c r="V74" t="str">
        <v/>
      </c>
      <c r="W74" t="str">
        <v/>
      </c>
      <c r="X74" t="str">
        <v/>
      </c>
      <c r="Y74" t="str">
        <v/>
      </c>
    </row>
    <row r="75" spans="13:25" x14ac:dyDescent="0.7">
      <c r="M75" t="str">
        <v/>
      </c>
      <c r="N75">
        <v>75</v>
      </c>
      <c r="O75" t="str">
        <v/>
      </c>
      <c r="P75" t="str">
        <v/>
      </c>
      <c r="Q75" t="str">
        <v/>
      </c>
      <c r="R75" t="str">
        <v/>
      </c>
      <c r="S75" t="str">
        <v/>
      </c>
      <c r="T75" t="str">
        <v/>
      </c>
      <c r="U75" t="str">
        <v/>
      </c>
      <c r="V75" t="str">
        <v/>
      </c>
      <c r="W75" t="str">
        <v/>
      </c>
      <c r="X75" t="str">
        <v/>
      </c>
      <c r="Y75" t="str">
        <v/>
      </c>
    </row>
    <row r="76" spans="13:25" x14ac:dyDescent="0.7">
      <c r="M76" t="str">
        <v/>
      </c>
      <c r="N76">
        <v>76</v>
      </c>
      <c r="O76" t="str">
        <v/>
      </c>
      <c r="P76" t="str">
        <v/>
      </c>
      <c r="Q76" t="str">
        <v/>
      </c>
      <c r="R76" t="str">
        <v/>
      </c>
      <c r="S76" t="str">
        <v/>
      </c>
      <c r="T76" t="str">
        <v/>
      </c>
      <c r="U76" t="str">
        <v/>
      </c>
      <c r="V76" t="str">
        <v/>
      </c>
      <c r="W76" t="str">
        <v/>
      </c>
      <c r="X76" t="str">
        <v/>
      </c>
      <c r="Y76" t="str">
        <v/>
      </c>
    </row>
    <row r="77" spans="13:25" x14ac:dyDescent="0.7">
      <c r="M77" t="str">
        <v/>
      </c>
      <c r="N77">
        <v>77</v>
      </c>
      <c r="O77" t="str">
        <v/>
      </c>
      <c r="P77" t="str">
        <v/>
      </c>
      <c r="Q77" t="str">
        <v/>
      </c>
      <c r="R77" t="str">
        <v/>
      </c>
      <c r="S77" t="str">
        <v/>
      </c>
      <c r="T77" t="str">
        <v/>
      </c>
      <c r="U77" t="str">
        <v/>
      </c>
      <c r="V77" t="str">
        <v/>
      </c>
      <c r="W77" t="str">
        <v/>
      </c>
      <c r="X77" t="str">
        <v/>
      </c>
      <c r="Y77" t="str">
        <v/>
      </c>
    </row>
    <row r="78" spans="13:25" x14ac:dyDescent="0.7">
      <c r="M78" t="str">
        <v/>
      </c>
      <c r="N78">
        <v>78</v>
      </c>
      <c r="O78" t="str">
        <v/>
      </c>
      <c r="P78" t="str">
        <v/>
      </c>
      <c r="Q78" t="str">
        <v/>
      </c>
      <c r="R78" t="str">
        <v/>
      </c>
      <c r="S78" t="str">
        <v/>
      </c>
      <c r="T78" t="str">
        <v/>
      </c>
      <c r="U78" t="str">
        <v/>
      </c>
      <c r="V78" t="str">
        <v/>
      </c>
      <c r="W78" t="str">
        <v/>
      </c>
      <c r="X78" t="str">
        <v/>
      </c>
      <c r="Y78" t="str">
        <v/>
      </c>
    </row>
    <row r="79" spans="13:25" x14ac:dyDescent="0.7">
      <c r="M79" t="str">
        <v/>
      </c>
      <c r="N79">
        <v>79</v>
      </c>
      <c r="O79" t="str">
        <v/>
      </c>
      <c r="P79" t="str">
        <v/>
      </c>
      <c r="Q79" t="str">
        <v/>
      </c>
      <c r="R79" t="str">
        <v/>
      </c>
      <c r="S79" t="str">
        <v/>
      </c>
      <c r="T79" t="str">
        <v/>
      </c>
      <c r="U79" t="str">
        <v/>
      </c>
      <c r="V79" t="str">
        <v/>
      </c>
      <c r="W79" t="str">
        <v/>
      </c>
      <c r="X79" t="str">
        <v/>
      </c>
      <c r="Y79" t="str">
        <v/>
      </c>
    </row>
    <row r="80" spans="13:25" x14ac:dyDescent="0.7">
      <c r="M80" t="str">
        <v/>
      </c>
      <c r="N80">
        <v>80</v>
      </c>
      <c r="O80" t="str">
        <v/>
      </c>
      <c r="P80" t="str">
        <v/>
      </c>
      <c r="Q80" t="str">
        <v/>
      </c>
      <c r="R80" t="str">
        <v/>
      </c>
      <c r="S80" t="str">
        <v/>
      </c>
      <c r="T80" t="str">
        <v/>
      </c>
      <c r="U80" t="str">
        <v/>
      </c>
      <c r="V80" t="str">
        <v/>
      </c>
      <c r="W80" t="str">
        <v/>
      </c>
      <c r="X80" t="str">
        <v/>
      </c>
      <c r="Y80" t="str">
        <v/>
      </c>
    </row>
    <row r="81" spans="13:25" x14ac:dyDescent="0.7">
      <c r="M81" t="str">
        <v/>
      </c>
      <c r="N81">
        <v>81</v>
      </c>
      <c r="O81" t="str">
        <v/>
      </c>
      <c r="P81" t="str">
        <v/>
      </c>
      <c r="Q81" t="str">
        <v/>
      </c>
      <c r="R81" t="str">
        <v/>
      </c>
      <c r="S81" t="str">
        <v/>
      </c>
      <c r="T81" t="str">
        <v/>
      </c>
      <c r="U81" t="str">
        <v/>
      </c>
      <c r="V81" t="str">
        <v/>
      </c>
      <c r="W81" t="str">
        <v/>
      </c>
      <c r="X81" t="str">
        <v/>
      </c>
      <c r="Y81" t="str">
        <v/>
      </c>
    </row>
    <row r="82" spans="13:25" x14ac:dyDescent="0.7">
      <c r="M82" t="str">
        <v/>
      </c>
      <c r="N82">
        <v>82</v>
      </c>
      <c r="O82" t="str">
        <v/>
      </c>
      <c r="P82" t="str">
        <v/>
      </c>
      <c r="Q82" t="str">
        <v/>
      </c>
      <c r="R82" t="str">
        <v/>
      </c>
      <c r="S82" t="str">
        <v/>
      </c>
      <c r="T82" t="str">
        <v/>
      </c>
      <c r="U82" t="str">
        <v/>
      </c>
      <c r="V82" t="str">
        <v/>
      </c>
      <c r="W82" t="str">
        <v/>
      </c>
      <c r="X82" t="str">
        <v/>
      </c>
      <c r="Y82" t="str">
        <v/>
      </c>
    </row>
    <row r="83" spans="13:25" x14ac:dyDescent="0.7">
      <c r="M83" t="str">
        <v/>
      </c>
      <c r="N83">
        <v>83</v>
      </c>
      <c r="O83" t="str">
        <v/>
      </c>
      <c r="P83" t="str">
        <v/>
      </c>
      <c r="Q83" t="str">
        <v/>
      </c>
      <c r="R83" t="str">
        <v/>
      </c>
      <c r="S83" t="str">
        <v/>
      </c>
      <c r="T83" t="str">
        <v/>
      </c>
      <c r="U83" t="str">
        <v/>
      </c>
      <c r="V83" t="str">
        <v/>
      </c>
      <c r="W83" t="str">
        <v/>
      </c>
      <c r="X83" t="str">
        <v/>
      </c>
      <c r="Y83" t="str">
        <v/>
      </c>
    </row>
    <row r="84" spans="13:25" x14ac:dyDescent="0.7">
      <c r="M84" t="str">
        <v/>
      </c>
      <c r="N84">
        <v>84</v>
      </c>
      <c r="O84" t="str">
        <v/>
      </c>
      <c r="P84" t="str">
        <v/>
      </c>
      <c r="Q84" t="str">
        <v/>
      </c>
      <c r="R84" t="str">
        <v/>
      </c>
      <c r="S84" t="str">
        <v/>
      </c>
      <c r="T84" t="str">
        <v/>
      </c>
      <c r="U84" t="str">
        <v/>
      </c>
      <c r="V84" t="str">
        <v/>
      </c>
      <c r="W84" t="str">
        <v/>
      </c>
      <c r="X84" t="str">
        <v/>
      </c>
      <c r="Y84" t="str">
        <v/>
      </c>
    </row>
    <row r="85" spans="13:25" x14ac:dyDescent="0.7">
      <c r="M85" t="str">
        <v/>
      </c>
      <c r="N85">
        <v>85</v>
      </c>
      <c r="O85" t="str">
        <v/>
      </c>
      <c r="P85" t="str">
        <v/>
      </c>
      <c r="Q85" t="str">
        <v/>
      </c>
      <c r="R85" t="str">
        <v/>
      </c>
      <c r="S85" t="str">
        <v/>
      </c>
      <c r="T85" t="str">
        <v/>
      </c>
      <c r="U85" t="str">
        <v/>
      </c>
      <c r="V85" t="str">
        <v/>
      </c>
      <c r="W85" t="str">
        <v/>
      </c>
      <c r="X85" t="str">
        <v/>
      </c>
      <c r="Y85" t="str">
        <v/>
      </c>
    </row>
    <row r="86" spans="13:25" x14ac:dyDescent="0.7">
      <c r="M86" t="str">
        <v/>
      </c>
      <c r="N86">
        <v>86</v>
      </c>
      <c r="O86" t="str">
        <v/>
      </c>
      <c r="P86" t="str">
        <v/>
      </c>
      <c r="Q86" t="str">
        <v/>
      </c>
      <c r="R86" t="str">
        <v/>
      </c>
      <c r="S86" t="str">
        <v/>
      </c>
      <c r="T86" t="str">
        <v/>
      </c>
      <c r="U86" t="str">
        <v/>
      </c>
      <c r="V86" t="str">
        <v/>
      </c>
      <c r="W86" t="str">
        <v/>
      </c>
      <c r="X86" t="str">
        <v/>
      </c>
      <c r="Y86" t="str">
        <v/>
      </c>
    </row>
    <row r="87" spans="13:25" x14ac:dyDescent="0.7">
      <c r="M87" t="str">
        <v/>
      </c>
      <c r="N87">
        <v>87</v>
      </c>
      <c r="O87" t="str">
        <v/>
      </c>
      <c r="P87" t="str">
        <v/>
      </c>
      <c r="Q87" t="str">
        <v/>
      </c>
      <c r="R87" t="str">
        <v/>
      </c>
      <c r="S87" t="str">
        <v/>
      </c>
      <c r="T87" t="str">
        <v/>
      </c>
      <c r="U87" t="str">
        <v/>
      </c>
      <c r="V87" t="str">
        <v/>
      </c>
      <c r="W87" t="str">
        <v/>
      </c>
      <c r="X87" t="str">
        <v/>
      </c>
      <c r="Y87" t="str">
        <v/>
      </c>
    </row>
    <row r="88" spans="13:25" x14ac:dyDescent="0.7">
      <c r="M88" t="str">
        <v/>
      </c>
      <c r="N88">
        <v>88</v>
      </c>
      <c r="O88" t="str">
        <v/>
      </c>
      <c r="P88" t="str">
        <v/>
      </c>
      <c r="Q88" t="str">
        <v/>
      </c>
      <c r="R88" t="str">
        <v/>
      </c>
      <c r="S88" t="str">
        <v/>
      </c>
      <c r="T88" t="str">
        <v/>
      </c>
      <c r="U88" t="str">
        <v/>
      </c>
      <c r="V88" t="str">
        <v/>
      </c>
      <c r="W88" t="str">
        <v/>
      </c>
      <c r="X88" t="str">
        <v/>
      </c>
      <c r="Y88" t="str">
        <v/>
      </c>
    </row>
    <row r="89" spans="13:25" x14ac:dyDescent="0.7">
      <c r="M89" t="str">
        <v/>
      </c>
      <c r="N89">
        <v>89</v>
      </c>
      <c r="O89" t="str">
        <v/>
      </c>
      <c r="P89" t="str">
        <v/>
      </c>
      <c r="Q89" t="str">
        <v/>
      </c>
      <c r="R89" t="str">
        <v/>
      </c>
      <c r="S89" t="str">
        <v/>
      </c>
      <c r="T89" t="str">
        <v/>
      </c>
      <c r="U89" t="str">
        <v/>
      </c>
      <c r="V89" t="str">
        <v/>
      </c>
      <c r="W89" t="str">
        <v/>
      </c>
      <c r="X89" t="str">
        <v/>
      </c>
      <c r="Y89" t="str">
        <v/>
      </c>
    </row>
    <row r="90" spans="13:25" x14ac:dyDescent="0.7">
      <c r="M90" t="str">
        <v/>
      </c>
      <c r="N90">
        <v>90</v>
      </c>
      <c r="O90" t="str">
        <v/>
      </c>
      <c r="P90" t="str">
        <v/>
      </c>
      <c r="Q90" t="str">
        <v/>
      </c>
      <c r="R90" t="str">
        <v/>
      </c>
      <c r="S90" t="str">
        <v/>
      </c>
      <c r="T90" t="str">
        <v/>
      </c>
      <c r="U90" t="str">
        <v/>
      </c>
      <c r="V90" t="str">
        <v/>
      </c>
      <c r="W90" t="str">
        <v/>
      </c>
      <c r="X90" t="str">
        <v/>
      </c>
      <c r="Y90" t="str">
        <v/>
      </c>
    </row>
    <row r="91" spans="13:25" x14ac:dyDescent="0.7">
      <c r="M91" t="str">
        <v/>
      </c>
      <c r="N91">
        <v>91</v>
      </c>
      <c r="O91" t="str">
        <v/>
      </c>
      <c r="P91" t="str">
        <v/>
      </c>
      <c r="Q91" t="str">
        <v/>
      </c>
      <c r="R91" t="str">
        <v/>
      </c>
      <c r="S91" t="str">
        <v/>
      </c>
      <c r="T91" t="str">
        <v/>
      </c>
      <c r="U91" t="str">
        <v/>
      </c>
      <c r="V91" t="str">
        <v/>
      </c>
      <c r="W91" t="str">
        <v/>
      </c>
      <c r="X91" t="str">
        <v/>
      </c>
      <c r="Y91" t="str">
        <v/>
      </c>
    </row>
    <row r="92" spans="13:25" x14ac:dyDescent="0.7">
      <c r="M92" t="str">
        <v/>
      </c>
      <c r="N92">
        <v>92</v>
      </c>
      <c r="O92" t="str">
        <v/>
      </c>
      <c r="P92" t="str">
        <v/>
      </c>
      <c r="Q92" t="str">
        <v/>
      </c>
      <c r="R92" t="str">
        <v/>
      </c>
      <c r="S92" t="str">
        <v/>
      </c>
      <c r="T92" t="str">
        <v/>
      </c>
      <c r="U92" t="str">
        <v/>
      </c>
      <c r="V92" t="str">
        <v/>
      </c>
      <c r="W92" t="str">
        <v/>
      </c>
      <c r="X92" t="str">
        <v/>
      </c>
      <c r="Y92" t="str">
        <v/>
      </c>
    </row>
    <row r="93" spans="13:25" x14ac:dyDescent="0.7">
      <c r="M93" t="str">
        <v/>
      </c>
      <c r="N93">
        <v>93</v>
      </c>
      <c r="O93" t="str">
        <v/>
      </c>
      <c r="P93" t="str">
        <v/>
      </c>
      <c r="Q93" t="str">
        <v/>
      </c>
      <c r="R93" t="str">
        <v/>
      </c>
      <c r="S93" t="str">
        <v/>
      </c>
      <c r="T93" t="str">
        <v/>
      </c>
      <c r="U93" t="str">
        <v/>
      </c>
      <c r="V93" t="str">
        <v/>
      </c>
      <c r="W93" t="str">
        <v/>
      </c>
      <c r="X93" t="str">
        <v/>
      </c>
      <c r="Y93" t="str">
        <v/>
      </c>
    </row>
    <row r="94" spans="13:25" x14ac:dyDescent="0.7">
      <c r="M94" t="str">
        <v/>
      </c>
      <c r="N94">
        <v>94</v>
      </c>
      <c r="O94" t="str">
        <v/>
      </c>
      <c r="P94" t="str">
        <v/>
      </c>
      <c r="Q94" t="str">
        <v/>
      </c>
      <c r="R94" t="str">
        <v/>
      </c>
      <c r="S94" t="str">
        <v/>
      </c>
      <c r="T94" t="str">
        <v/>
      </c>
      <c r="U94" t="str">
        <v/>
      </c>
      <c r="V94" t="str">
        <v/>
      </c>
      <c r="W94" t="str">
        <v/>
      </c>
      <c r="X94" t="str">
        <v/>
      </c>
      <c r="Y94" t="str">
        <v/>
      </c>
    </row>
    <row r="95" spans="13:25" x14ac:dyDescent="0.7">
      <c r="M95" t="str">
        <v/>
      </c>
      <c r="N95">
        <v>95</v>
      </c>
      <c r="O95" t="str">
        <v/>
      </c>
      <c r="P95" t="str">
        <v/>
      </c>
      <c r="Q95" t="str">
        <v/>
      </c>
      <c r="R95" t="str">
        <v/>
      </c>
      <c r="S95" t="str">
        <v/>
      </c>
      <c r="T95" t="str">
        <v/>
      </c>
      <c r="U95" t="str">
        <v/>
      </c>
      <c r="V95" t="str">
        <v/>
      </c>
      <c r="W95" t="str">
        <v/>
      </c>
      <c r="X95" t="str">
        <v/>
      </c>
      <c r="Y95" t="str">
        <v/>
      </c>
    </row>
    <row r="96" spans="13:25" x14ac:dyDescent="0.7">
      <c r="M96" t="str">
        <v/>
      </c>
      <c r="N96">
        <v>96</v>
      </c>
      <c r="O96" t="str">
        <v/>
      </c>
      <c r="P96" t="str">
        <v/>
      </c>
      <c r="Q96" t="str">
        <v/>
      </c>
      <c r="R96" t="str">
        <v/>
      </c>
      <c r="S96" t="str">
        <v/>
      </c>
      <c r="T96" t="str">
        <v/>
      </c>
      <c r="U96" t="str">
        <v/>
      </c>
      <c r="V96" t="str">
        <v/>
      </c>
      <c r="W96" t="str">
        <v/>
      </c>
      <c r="X96" t="str">
        <v/>
      </c>
      <c r="Y96" t="str">
        <v/>
      </c>
    </row>
    <row r="97" spans="13:25" x14ac:dyDescent="0.7">
      <c r="M97" t="str">
        <v/>
      </c>
      <c r="N97">
        <v>97</v>
      </c>
      <c r="O97" t="str">
        <v/>
      </c>
      <c r="P97" t="str">
        <v/>
      </c>
      <c r="Q97" t="str">
        <v/>
      </c>
      <c r="R97" t="str">
        <v/>
      </c>
      <c r="S97" t="str">
        <v/>
      </c>
      <c r="T97" t="str">
        <v/>
      </c>
      <c r="U97" t="str">
        <v/>
      </c>
      <c r="V97" t="str">
        <v/>
      </c>
      <c r="W97" t="str">
        <v/>
      </c>
      <c r="X97" t="str">
        <v/>
      </c>
      <c r="Y97" t="str">
        <v/>
      </c>
    </row>
    <row r="98" spans="13:25" x14ac:dyDescent="0.7">
      <c r="M98" t="str">
        <v/>
      </c>
      <c r="N98">
        <v>98</v>
      </c>
      <c r="O98" t="str">
        <v/>
      </c>
      <c r="P98" t="str">
        <v/>
      </c>
      <c r="Q98" t="str">
        <v/>
      </c>
      <c r="R98" t="str">
        <v/>
      </c>
      <c r="S98" t="str">
        <v/>
      </c>
      <c r="T98" t="str">
        <v/>
      </c>
      <c r="U98" t="str">
        <v/>
      </c>
      <c r="V98" t="str">
        <v/>
      </c>
      <c r="W98" t="str">
        <v/>
      </c>
      <c r="X98" t="str">
        <v/>
      </c>
      <c r="Y98" t="str">
        <v/>
      </c>
    </row>
    <row r="99" spans="13:25" x14ac:dyDescent="0.7">
      <c r="M99" t="str">
        <v/>
      </c>
      <c r="N99">
        <v>99</v>
      </c>
      <c r="O99" t="str">
        <v/>
      </c>
      <c r="P99" t="str">
        <v/>
      </c>
      <c r="Q99" t="str">
        <v/>
      </c>
      <c r="R99" t="str">
        <v/>
      </c>
      <c r="S99" t="str">
        <v/>
      </c>
      <c r="T99" t="str">
        <v/>
      </c>
      <c r="U99" t="str">
        <v/>
      </c>
      <c r="V99" t="str">
        <v/>
      </c>
      <c r="W99" t="str">
        <v/>
      </c>
      <c r="X99" t="str">
        <v/>
      </c>
      <c r="Y99" t="str">
        <v/>
      </c>
    </row>
    <row r="100" spans="13:25" x14ac:dyDescent="0.7">
      <c r="M100" t="str">
        <v/>
      </c>
      <c r="N100">
        <v>100</v>
      </c>
      <c r="O100" t="str">
        <v/>
      </c>
      <c r="P100" t="str">
        <v/>
      </c>
      <c r="Q100" t="str">
        <v/>
      </c>
      <c r="R100" t="str">
        <v/>
      </c>
      <c r="S100" t="str">
        <v/>
      </c>
      <c r="T100" t="str">
        <v/>
      </c>
      <c r="U100" t="str">
        <v/>
      </c>
      <c r="V100" t="str">
        <v/>
      </c>
      <c r="W100" t="str">
        <v/>
      </c>
      <c r="X100" t="str">
        <v/>
      </c>
      <c r="Y100" t="str">
        <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E4F3-65F6-46BF-8F5A-34DC1C825DF5}">
  <sheetPr codeName="Sheet4"/>
  <dimension ref="A1:CX25"/>
  <sheetViews>
    <sheetView workbookViewId="0">
      <selection activeCell="G35" sqref="G35:G37"/>
    </sheetView>
  </sheetViews>
  <sheetFormatPr defaultRowHeight="17.649999999999999" x14ac:dyDescent="0.7"/>
  <cols>
    <col min="1" max="3" width="10.1875" bestFit="1" customWidth="1"/>
    <col min="4" max="4" width="9.375" bestFit="1" customWidth="1"/>
    <col min="10" max="10" width="9.375" bestFit="1" customWidth="1"/>
  </cols>
  <sheetData>
    <row r="1" spans="1:102" x14ac:dyDescent="0.7">
      <c r="A1" t="str">
        <f>検査表!AV8</f>
        <v>D-2</v>
      </c>
    </row>
    <row r="2" spans="1:102" x14ac:dyDescent="0.7">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c r="AG2">
        <v>31</v>
      </c>
      <c r="AH2">
        <v>32</v>
      </c>
      <c r="AI2">
        <v>33</v>
      </c>
      <c r="AJ2">
        <v>34</v>
      </c>
      <c r="AK2">
        <v>35</v>
      </c>
      <c r="AL2">
        <v>36</v>
      </c>
      <c r="AM2">
        <v>37</v>
      </c>
      <c r="AN2">
        <v>38</v>
      </c>
      <c r="AO2">
        <v>39</v>
      </c>
      <c r="AP2">
        <v>40</v>
      </c>
      <c r="AQ2">
        <v>41</v>
      </c>
      <c r="AR2">
        <v>42</v>
      </c>
      <c r="AS2">
        <v>43</v>
      </c>
      <c r="AT2">
        <v>44</v>
      </c>
      <c r="AU2">
        <v>45</v>
      </c>
      <c r="AV2">
        <v>46</v>
      </c>
      <c r="AW2">
        <v>47</v>
      </c>
      <c r="AX2">
        <v>48</v>
      </c>
      <c r="AY2">
        <v>49</v>
      </c>
      <c r="AZ2">
        <v>50</v>
      </c>
      <c r="BA2">
        <v>51</v>
      </c>
      <c r="BB2">
        <v>52</v>
      </c>
      <c r="BC2">
        <v>53</v>
      </c>
      <c r="BD2">
        <v>54</v>
      </c>
      <c r="BE2">
        <v>55</v>
      </c>
      <c r="BF2">
        <v>56</v>
      </c>
      <c r="BG2">
        <v>57</v>
      </c>
      <c r="BH2">
        <v>58</v>
      </c>
      <c r="BI2">
        <v>59</v>
      </c>
      <c r="BJ2">
        <v>60</v>
      </c>
      <c r="BK2">
        <v>61</v>
      </c>
      <c r="BL2">
        <v>62</v>
      </c>
      <c r="BM2">
        <v>63</v>
      </c>
      <c r="BN2">
        <v>64</v>
      </c>
      <c r="BO2">
        <v>65</v>
      </c>
      <c r="BP2">
        <v>66</v>
      </c>
      <c r="BQ2">
        <v>67</v>
      </c>
      <c r="BR2">
        <v>68</v>
      </c>
      <c r="BS2">
        <v>69</v>
      </c>
      <c r="BT2">
        <v>70</v>
      </c>
      <c r="BU2">
        <v>71</v>
      </c>
      <c r="BV2">
        <v>72</v>
      </c>
      <c r="BW2">
        <v>73</v>
      </c>
      <c r="BX2">
        <v>74</v>
      </c>
      <c r="BY2">
        <v>75</v>
      </c>
      <c r="BZ2">
        <v>76</v>
      </c>
      <c r="CA2">
        <v>77</v>
      </c>
      <c r="CB2">
        <v>78</v>
      </c>
      <c r="CC2">
        <v>79</v>
      </c>
      <c r="CD2">
        <v>80</v>
      </c>
      <c r="CE2">
        <v>81</v>
      </c>
      <c r="CF2">
        <v>82</v>
      </c>
      <c r="CG2">
        <v>83</v>
      </c>
      <c r="CH2">
        <v>84</v>
      </c>
      <c r="CI2">
        <v>85</v>
      </c>
      <c r="CJ2">
        <v>86</v>
      </c>
      <c r="CK2">
        <v>87</v>
      </c>
      <c r="CL2">
        <v>88</v>
      </c>
      <c r="CM2">
        <v>89</v>
      </c>
      <c r="CN2">
        <v>90</v>
      </c>
      <c r="CO2">
        <v>91</v>
      </c>
      <c r="CP2">
        <v>92</v>
      </c>
      <c r="CQ2">
        <v>93</v>
      </c>
      <c r="CR2">
        <v>94</v>
      </c>
      <c r="CS2">
        <v>95</v>
      </c>
      <c r="CT2">
        <v>96</v>
      </c>
      <c r="CU2">
        <v>97</v>
      </c>
      <c r="CV2">
        <v>98</v>
      </c>
      <c r="CW2">
        <v>99</v>
      </c>
      <c r="CX2">
        <v>100</v>
      </c>
    </row>
    <row r="3" spans="1:102" x14ac:dyDescent="0.7">
      <c r="A3" s="21" t="str">
        <f>IF(検査表!AV6="","",検査表!AV6)</f>
        <v/>
      </c>
      <c r="B3" t="str" cm="1">
        <f t="array" aca="1" ref="B3" ca="1">_xlfn.XLOOKUP(A3,_xlfn._xlws.FILTER(INDIRECT("'"&amp;$A$1&amp;"'!$B$12:$B$8196"),MOD(ROW(INDIRECT("'"&amp;$A$1&amp;"'!$B$12:$B$8196")),3)=0,1),_xlfn._xlws.FILTER(ROW(INDIRECT("'"&amp;$A$1&amp;"'!$B$12:$B$8196")),MOD(ROW(INDIRECT("'"&amp;$A$1&amp;"'!$B$12:$B$8196")),3)=0,1),"",0,1)</f>
        <v/>
      </c>
      <c r="C3" t="str" cm="1">
        <f t="array" aca="1" ref="C3" ca="1">IFERROR(IF(検査表!AV7&lt;1,"",_xlfn._xlws.FILTER(INDIRECT("'"&amp;$A$1&amp;"'!$C$"&amp;$B3&amp;":$CX$"&amp;$B3),INDIRECT("'"&amp;$A$1&amp;"'!$C$2:$CX$2")&lt;&gt;"")),"")</f>
        <v/>
      </c>
    </row>
    <row r="4" spans="1:102" x14ac:dyDescent="0.7">
      <c r="A4" s="21" t="str" cm="1">
        <f t="array" aca="1" ref="A4" ca="1">IFERROR(IF(INDIRECT("'"&amp;$A$1&amp;"'!"&amp;ADDRESS(B4,2))="","",INDIRECT("'"&amp;$A$1&amp;"'!"&amp;ADDRESS(B4,2))),"")</f>
        <v/>
      </c>
      <c r="B4" t="str">
        <f ca="1">IFERROR(B3+1,"")</f>
        <v/>
      </c>
      <c r="C4" t="str" cm="1">
        <f t="array" aca="1" ref="C4" ca="1">IFERROR(IF(検査表!AV7&lt;2,"",_xlfn._xlws.FILTER(INDIRECT("'"&amp;$A$1&amp;"'!$C$"&amp;$B4&amp;":$CX$"&amp;$B4),INDIRECT("'"&amp;$A$1&amp;"'!$C$2:$CX$2")&lt;&gt;"")),"")</f>
        <v/>
      </c>
    </row>
    <row r="5" spans="1:102" x14ac:dyDescent="0.7">
      <c r="A5" s="21" t="str" cm="1">
        <f t="array" aca="1" ref="A5" ca="1">IFERROR(IF(INDIRECT("'"&amp;$A$1&amp;"'!"&amp;ADDRESS(B4,1))="","",INDIRECT("'"&amp;$A$1&amp;"'!"&amp;ADDRESS(B4,1))),"")</f>
        <v/>
      </c>
      <c r="B5" t="str">
        <f ca="1">IFERROR(B3+2,"")</f>
        <v/>
      </c>
      <c r="C5" t="str" cm="1">
        <f t="array" aca="1" ref="C5" ca="1">IFERROR(IF(検査表!AV7&lt;3,"",_xlfn._xlws.FILTER(INDIRECT("'"&amp;$A$1&amp;"'!$C$"&amp;$B5&amp;":$CX$"&amp;$B5),INDIRECT("'"&amp;$A$1&amp;"'!$C$2:$CX$2")&lt;&gt;"")),"")</f>
        <v/>
      </c>
    </row>
    <row r="6" spans="1:102" x14ac:dyDescent="0.7">
      <c r="A6" s="21" t="str">
        <f>IF(検査表!AW6="","",検査表!AW6)</f>
        <v/>
      </c>
      <c r="B6" t="str" cm="1">
        <f t="array" aca="1" ref="B6" ca="1">_xlfn.XLOOKUP(A6,_xlfn._xlws.FILTER(INDIRECT("'"&amp;$A$1&amp;"'!$B$12:$B$8196"),MOD(ROW(INDIRECT("'"&amp;$A$1&amp;"'!$B$12:$B$8196")),3)=0,1),_xlfn._xlws.FILTER(ROW(INDIRECT("'"&amp;$A$1&amp;"'!$B$12:$B$8196")),MOD(ROW(INDIRECT("'"&amp;$A$1&amp;"'!$B$12:$B$8196")),3)=0,1),"",0,1)</f>
        <v/>
      </c>
      <c r="C6" t="str" cm="1">
        <f t="array" aca="1" ref="C6" ca="1">IFERROR(IF(検査表!AW7&lt;1,"",_xlfn._xlws.FILTER(INDIRECT("'"&amp;$A$1&amp;"'!$C$"&amp;$B6&amp;":$CX$"&amp;$B6),INDIRECT("'"&amp;$A$1&amp;"'!$C$2:$CX$2")&lt;&gt;"")),"")</f>
        <v/>
      </c>
    </row>
    <row r="7" spans="1:102" x14ac:dyDescent="0.7">
      <c r="A7" s="21" t="str" cm="1">
        <f t="array" aca="1" ref="A7" ca="1">IFERROR(IF(INDIRECT("'"&amp;$A$1&amp;"'!"&amp;ADDRESS(B7,2))="","",INDIRECT("'"&amp;$A$1&amp;"'!"&amp;ADDRESS(B7,2))),"")</f>
        <v/>
      </c>
      <c r="B7" t="str">
        <f t="shared" ref="B7" ca="1" si="0">IFERROR(B6+1,"")</f>
        <v/>
      </c>
      <c r="C7" t="str" cm="1">
        <f t="array" aca="1" ref="C7" ca="1">IFERROR(IF(検査表!AW7&lt;2,"",_xlfn._xlws.FILTER(INDIRECT("'"&amp;$A$1&amp;"'!$C$"&amp;$B7&amp;":$CX$"&amp;$B7),INDIRECT("'"&amp;$A$1&amp;"'!$C$2:$CX$2")&lt;&gt;"")),"")</f>
        <v/>
      </c>
    </row>
    <row r="8" spans="1:102" x14ac:dyDescent="0.7">
      <c r="A8" s="21" t="str" cm="1">
        <f t="array" aca="1" ref="A8" ca="1">IFERROR(IF(INDIRECT("'"&amp;$A$1&amp;"'!"&amp;ADDRESS(B7,1))="","",INDIRECT("'"&amp;$A$1&amp;"'!"&amp;ADDRESS(B7,1))),"")</f>
        <v/>
      </c>
      <c r="B8" t="str">
        <f t="shared" ref="B8" ca="1" si="1">IFERROR(B6+2,"")</f>
        <v/>
      </c>
      <c r="C8" t="str" cm="1">
        <f t="array" aca="1" ref="C8" ca="1">IFERROR(IF(検査表!AW7&lt;3,"",_xlfn._xlws.FILTER(INDIRECT("'"&amp;$A$1&amp;"'!$C$"&amp;$B8&amp;":$CX$"&amp;$B8),INDIRECT("'"&amp;$A$1&amp;"'!$C$2:$CX$2")&lt;&gt;"")),"")</f>
        <v/>
      </c>
    </row>
    <row r="9" spans="1:102" x14ac:dyDescent="0.7">
      <c r="A9" s="21" t="str">
        <f>IF(検査表!AX6="","",検査表!AX6)</f>
        <v/>
      </c>
      <c r="B9" t="str" cm="1">
        <f t="array" aca="1" ref="B9" ca="1">_xlfn.XLOOKUP(A9,_xlfn._xlws.FILTER(INDIRECT("'"&amp;$A$1&amp;"'!$B$12:$B$8196"),MOD(ROW(INDIRECT("'"&amp;$A$1&amp;"'!$B$12:$B$8196")),3)=0,1),_xlfn._xlws.FILTER(ROW(INDIRECT("'"&amp;$A$1&amp;"'!$B$12:$B$8196")),MOD(ROW(INDIRECT("'"&amp;$A$1&amp;"'!$B$12:$B$8196")),3)=0,1),"",0,1)</f>
        <v/>
      </c>
      <c r="C9" t="str" cm="1">
        <f t="array" aca="1" ref="C9" ca="1">IFERROR(IF(検査表!AX7&lt;1,"",_xlfn._xlws.FILTER(INDIRECT("'"&amp;$A$1&amp;"'!$C$"&amp;$B9&amp;":$CX$"&amp;$B9),INDIRECT("'"&amp;$A$1&amp;"'!$C$2:$CX$2")&lt;&gt;"")),"")</f>
        <v/>
      </c>
    </row>
    <row r="10" spans="1:102" x14ac:dyDescent="0.7">
      <c r="A10" s="21" t="str" cm="1">
        <f t="array" aca="1" ref="A10" ca="1">IFERROR(IF(INDIRECT("'"&amp;$A$1&amp;"'!"&amp;ADDRESS(B10,2))="","",INDIRECT("'"&amp;$A$1&amp;"'!"&amp;ADDRESS(B10,2))),"")</f>
        <v/>
      </c>
      <c r="B10" t="str">
        <f t="shared" ref="B10" ca="1" si="2">IFERROR(B9+1,"")</f>
        <v/>
      </c>
      <c r="C10" t="str" cm="1">
        <f t="array" aca="1" ref="C10" ca="1">IFERROR(IF(検査表!AX7&lt;2,"",_xlfn._xlws.FILTER(INDIRECT("'"&amp;$A$1&amp;"'!$C$"&amp;$B10&amp;":$CX$"&amp;$B10),INDIRECT("'"&amp;$A$1&amp;"'!$C$2:$CX$2")&lt;&gt;"")),"")</f>
        <v/>
      </c>
    </row>
    <row r="11" spans="1:102" x14ac:dyDescent="0.7">
      <c r="A11" s="21" t="str" cm="1">
        <f t="array" aca="1" ref="A11" ca="1">IFERROR(IF(INDIRECT("'"&amp;$A$1&amp;"'!"&amp;ADDRESS(B10,1))="","",INDIRECT("'"&amp;$A$1&amp;"'!"&amp;ADDRESS(B10,1))),"")</f>
        <v/>
      </c>
      <c r="B11" t="str">
        <f t="shared" ref="B11" ca="1" si="3">IFERROR(B9+2,"")</f>
        <v/>
      </c>
      <c r="C11" t="str" cm="1">
        <f t="array" aca="1" ref="C11" ca="1">IFERROR(IF(検査表!AX7&lt;3,"",_xlfn._xlws.FILTER(INDIRECT("'"&amp;$A$1&amp;"'!$C$"&amp;$B11&amp;":$CX$"&amp;$B11),INDIRECT("'"&amp;$A$1&amp;"'!$C$2:$CX$2")&lt;&gt;"")),"")</f>
        <v/>
      </c>
    </row>
    <row r="12" spans="1:102" x14ac:dyDescent="0.7">
      <c r="A12" s="21" t="str">
        <f>IF(検査表!AY6="","",検査表!AY6)</f>
        <v/>
      </c>
      <c r="B12" t="str" cm="1">
        <f t="array" aca="1" ref="B12" ca="1">_xlfn.XLOOKUP(A12,_xlfn._xlws.FILTER(INDIRECT("'"&amp;$A$1&amp;"'!$B$12:$B$8196"),MOD(ROW(INDIRECT("'"&amp;$A$1&amp;"'!$B$12:$B$8196")),3)=0,1),_xlfn._xlws.FILTER(ROW(INDIRECT("'"&amp;$A$1&amp;"'!$B$12:$B$8196")),MOD(ROW(INDIRECT("'"&amp;$A$1&amp;"'!$B$12:$B$8196")),3)=0,1),"",0,1)</f>
        <v/>
      </c>
      <c r="C12" t="str" cm="1">
        <f t="array" aca="1" ref="C12" ca="1">IFERROR(IF(検査表!AY7&lt;1,"",_xlfn._xlws.FILTER(INDIRECT("'"&amp;$A$1&amp;"'!$C$"&amp;$B12&amp;":$CX$"&amp;$B12),INDIRECT("'"&amp;$A$1&amp;"'!$C$2:$CX$2")&lt;&gt;"")),"")</f>
        <v/>
      </c>
    </row>
    <row r="13" spans="1:102" x14ac:dyDescent="0.7">
      <c r="A13" s="21" t="str" cm="1">
        <f t="array" aca="1" ref="A13" ca="1">IFERROR(IF(INDIRECT("'"&amp;$A$1&amp;"'!"&amp;ADDRESS(B13,2))="","",INDIRECT("'"&amp;$A$1&amp;"'!"&amp;ADDRESS(B13,2))),"")</f>
        <v/>
      </c>
      <c r="B13" t="str">
        <f t="shared" ref="B13" ca="1" si="4">IFERROR(B12+1,"")</f>
        <v/>
      </c>
      <c r="C13" t="str" cm="1">
        <f t="array" aca="1" ref="C13" ca="1">IFERROR(IF(検査表!AY7&lt;2,"",_xlfn._xlws.FILTER(INDIRECT("'"&amp;$A$1&amp;"'!$C$"&amp;$B13&amp;":$CX$"&amp;$B13),INDIRECT("'"&amp;$A$1&amp;"'!$C$2:$CX$2")&lt;&gt;"")),"")</f>
        <v/>
      </c>
    </row>
    <row r="14" spans="1:102" x14ac:dyDescent="0.7">
      <c r="A14" s="21" t="str" cm="1">
        <f t="array" aca="1" ref="A14" ca="1">IFERROR(IF(INDIRECT("'"&amp;$A$1&amp;"'!"&amp;ADDRESS(B13,1))="","",INDIRECT("'"&amp;$A$1&amp;"'!"&amp;ADDRESS(B13,1))),"")</f>
        <v/>
      </c>
      <c r="B14" t="str">
        <f t="shared" ref="B14" ca="1" si="5">IFERROR(B12+2,"")</f>
        <v/>
      </c>
      <c r="C14" t="str" cm="1">
        <f t="array" aca="1" ref="C14" ca="1">IFERROR(IF(検査表!AY7&lt;3,"",_xlfn._xlws.FILTER(INDIRECT("'"&amp;$A$1&amp;"'!$C$"&amp;$B14&amp;":$CX$"&amp;$B14),INDIRECT("'"&amp;$A$1&amp;"'!$C$2:$CX$2")&lt;&gt;"")),"")</f>
        <v/>
      </c>
    </row>
    <row r="16" spans="1:102" x14ac:dyDescent="0.7">
      <c r="B16">
        <v>1</v>
      </c>
      <c r="C16" t="str" cm="1">
        <f t="array" aca="1" ref="C16" ca="1">IFERROR(_xlfn._xlws.FILTER(C$3:C$14,(C$3:C$14&lt;&gt;"")*(C$3:C$14&lt;&gt;0)),"")</f>
        <v/>
      </c>
      <c r="D16" t="str" cm="1">
        <f t="array" ref="D16">IFERROR(_xlfn._xlws.FILTER(D$3:D$14,(D$3:D$14&lt;&gt;"")*(D$3:D$14&lt;&gt;0)),"")</f>
        <v/>
      </c>
      <c r="E16" t="str" cm="1">
        <f t="array" ref="E16">IFERROR(_xlfn._xlws.FILTER(E$3:E$14,(E$3:E$14&lt;&gt;"")*(E$3:E$14&lt;&gt;0)),"")</f>
        <v/>
      </c>
      <c r="F16" t="str" cm="1">
        <f t="array" ref="F16">IFERROR(_xlfn._xlws.FILTER(F$3:F$14,(F$3:F$14&lt;&gt;"")*(F$3:F$14&lt;&gt;0)),"")</f>
        <v/>
      </c>
      <c r="G16" t="str" cm="1">
        <f t="array" ref="G16">IFERROR(_xlfn._xlws.FILTER(G$3:G$14,(G$3:G$14&lt;&gt;"")*(G$3:G$14&lt;&gt;0)),"")</f>
        <v/>
      </c>
      <c r="H16" t="str" cm="1">
        <f t="array" ref="H16">IFERROR(_xlfn._xlws.FILTER(H$3:H$14,(H$3:H$14&lt;&gt;"")*(H$3:H$14&lt;&gt;0)),"")</f>
        <v/>
      </c>
      <c r="I16" t="str" cm="1">
        <f t="array" ref="I16">IFERROR(_xlfn._xlws.FILTER(I$3:I$14,(I$3:I$14&lt;&gt;"")*(I$3:I$14&lt;&gt;0)),"")</f>
        <v/>
      </c>
      <c r="J16" t="str" cm="1">
        <f t="array" ref="J16">IFERROR(_xlfn._xlws.FILTER(J$3:J$14,(J$3:J$14&lt;&gt;"")*(J$3:J$14&lt;&gt;0)),"")</f>
        <v/>
      </c>
      <c r="K16" t="str" cm="1">
        <f t="array" ref="K16">IFERROR(_xlfn._xlws.FILTER(K$3:K$14,(K$3:K$14&lt;&gt;"")*(K$3:K$14&lt;&gt;0)),"")</f>
        <v/>
      </c>
      <c r="L16" t="str" cm="1">
        <f t="array" ref="L16">IFERROR(_xlfn._xlws.FILTER(L$3:L$14,(L$3:L$14&lt;&gt;"")*(L$3:L$14&lt;&gt;0)),"")</f>
        <v/>
      </c>
      <c r="M16" t="str" cm="1">
        <f t="array" ref="M16">IFERROR(_xlfn._xlws.FILTER(M$3:M$14,(M$3:M$14&lt;&gt;"")*(M$3:M$14&lt;&gt;0)),"")</f>
        <v/>
      </c>
      <c r="N16" t="str" cm="1">
        <f t="array" ref="N16">IFERROR(_xlfn._xlws.FILTER(N$3:N$14,(N$3:N$14&lt;&gt;"")*(N$3:N$14&lt;&gt;0)),"")</f>
        <v/>
      </c>
      <c r="O16" t="str" cm="1">
        <f t="array" ref="O16">IFERROR(_xlfn._xlws.FILTER(O$3:O$14,(O$3:O$14&lt;&gt;"")*(O$3:O$14&lt;&gt;0)),"")</f>
        <v/>
      </c>
      <c r="P16" t="str" cm="1">
        <f t="array" ref="P16">IFERROR(_xlfn._xlws.FILTER(P$3:P$14,(P$3:P$14&lt;&gt;"")*(P$3:P$14&lt;&gt;0)),"")</f>
        <v/>
      </c>
      <c r="Q16" t="str" cm="1">
        <f t="array" ref="Q16">IFERROR(_xlfn._xlws.FILTER(Q$3:Q$14,(Q$3:Q$14&lt;&gt;"")*(Q$3:Q$14&lt;&gt;0)),"")</f>
        <v/>
      </c>
      <c r="R16" t="str" cm="1">
        <f t="array" ref="R16">IFERROR(_xlfn._xlws.FILTER(R$3:R$14,(R$3:R$14&lt;&gt;"")*(R$3:R$14&lt;&gt;0)),"")</f>
        <v/>
      </c>
      <c r="S16" t="str" cm="1">
        <f t="array" ref="S16">IFERROR(_xlfn._xlws.FILTER(S$3:S$14,(S$3:S$14&lt;&gt;"")*(S$3:S$14&lt;&gt;0)),"")</f>
        <v/>
      </c>
      <c r="T16" t="str" cm="1">
        <f t="array" ref="T16">IFERROR(_xlfn._xlws.FILTER(T$3:T$14,(T$3:T$14&lt;&gt;"")*(T$3:T$14&lt;&gt;0)),"")</f>
        <v/>
      </c>
      <c r="U16" t="str" cm="1">
        <f t="array" ref="U16">IFERROR(_xlfn._xlws.FILTER(U$3:U$14,(U$3:U$14&lt;&gt;"")*(U$3:U$14&lt;&gt;0)),"")</f>
        <v/>
      </c>
      <c r="V16" t="str" cm="1">
        <f t="array" ref="V16">IFERROR(_xlfn._xlws.FILTER(V$3:V$14,(V$3:V$14&lt;&gt;"")*(V$3:V$14&lt;&gt;0)),"")</f>
        <v/>
      </c>
      <c r="W16" t="str" cm="1">
        <f t="array" ref="W16">IFERROR(_xlfn._xlws.FILTER(W$3:W$14,(W$3:W$14&lt;&gt;"")*(W$3:W$14&lt;&gt;0)),"")</f>
        <v/>
      </c>
      <c r="X16" t="str" cm="1">
        <f t="array" ref="X16">IFERROR(_xlfn._xlws.FILTER(X$3:X$14,(X$3:X$14&lt;&gt;"")*(X$3:X$14&lt;&gt;0)),"")</f>
        <v/>
      </c>
      <c r="Y16" t="str" cm="1">
        <f t="array" ref="Y16">IFERROR(_xlfn._xlws.FILTER(Y$3:Y$14,(Y$3:Y$14&lt;&gt;"")*(Y$3:Y$14&lt;&gt;0)),"")</f>
        <v/>
      </c>
      <c r="Z16" t="str" cm="1">
        <f t="array" ref="Z16">IFERROR(_xlfn._xlws.FILTER(Z$3:Z$14,(Z$3:Z$14&lt;&gt;"")*(Z$3:Z$14&lt;&gt;0)),"")</f>
        <v/>
      </c>
      <c r="AA16" t="str" cm="1">
        <f t="array" ref="AA16">IFERROR(_xlfn._xlws.FILTER(AA$3:AA$14,(AA$3:AA$14&lt;&gt;"")*(AA$3:AA$14&lt;&gt;0)),"")</f>
        <v/>
      </c>
      <c r="AB16" t="str" cm="1">
        <f t="array" ref="AB16">IFERROR(_xlfn._xlws.FILTER(AB$3:AB$14,(AB$3:AB$14&lt;&gt;"")*(AB$3:AB$14&lt;&gt;0)),"")</f>
        <v/>
      </c>
      <c r="AC16" t="str" cm="1">
        <f t="array" ref="AC16">IFERROR(_xlfn._xlws.FILTER(AC$3:AC$14,(AC$3:AC$14&lt;&gt;"")*(AC$3:AC$14&lt;&gt;0)),"")</f>
        <v/>
      </c>
      <c r="AD16" t="str" cm="1">
        <f t="array" ref="AD16">IFERROR(_xlfn._xlws.FILTER(AD$3:AD$14,(AD$3:AD$14&lt;&gt;"")*(AD$3:AD$14&lt;&gt;0)),"")</f>
        <v/>
      </c>
      <c r="AE16" t="str" cm="1">
        <f t="array" ref="AE16">IFERROR(_xlfn._xlws.FILTER(AE$3:AE$14,(AE$3:AE$14&lt;&gt;"")*(AE$3:AE$14&lt;&gt;0)),"")</f>
        <v/>
      </c>
      <c r="AF16" t="str" cm="1">
        <f t="array" ref="AF16">IFERROR(_xlfn._xlws.FILTER(AF$3:AF$14,(AF$3:AF$14&lt;&gt;"")*(AF$3:AF$14&lt;&gt;0)),"")</f>
        <v/>
      </c>
      <c r="AG16" t="str" cm="1">
        <f t="array" ref="AG16">IFERROR(_xlfn._xlws.FILTER(AG$3:AG$14,(AG$3:AG$14&lt;&gt;"")*(AG$3:AG$14&lt;&gt;0)),"")</f>
        <v/>
      </c>
      <c r="AH16" t="str" cm="1">
        <f t="array" ref="AH16">IFERROR(_xlfn._xlws.FILTER(AH$3:AH$14,(AH$3:AH$14&lt;&gt;"")*(AH$3:AH$14&lt;&gt;0)),"")</f>
        <v/>
      </c>
      <c r="AI16" t="str" cm="1">
        <f t="array" ref="AI16">IFERROR(_xlfn._xlws.FILTER(AI$3:AI$14,(AI$3:AI$14&lt;&gt;"")*(AI$3:AI$14&lt;&gt;0)),"")</f>
        <v/>
      </c>
      <c r="AJ16" t="str" cm="1">
        <f t="array" ref="AJ16">IFERROR(_xlfn._xlws.FILTER(AJ$3:AJ$14,(AJ$3:AJ$14&lt;&gt;"")*(AJ$3:AJ$14&lt;&gt;0)),"")</f>
        <v/>
      </c>
      <c r="AK16" t="str" cm="1">
        <f t="array" ref="AK16">IFERROR(_xlfn._xlws.FILTER(AK$3:AK$14,(AK$3:AK$14&lt;&gt;"")*(AK$3:AK$14&lt;&gt;0)),"")</f>
        <v/>
      </c>
      <c r="AL16" t="str" cm="1">
        <f t="array" ref="AL16">IFERROR(_xlfn._xlws.FILTER(AL$3:AL$14,(AL$3:AL$14&lt;&gt;"")*(AL$3:AL$14&lt;&gt;0)),"")</f>
        <v/>
      </c>
      <c r="AM16" t="str" cm="1">
        <f t="array" ref="AM16">IFERROR(_xlfn._xlws.FILTER(AM$3:AM$14,(AM$3:AM$14&lt;&gt;"")*(AM$3:AM$14&lt;&gt;0)),"")</f>
        <v/>
      </c>
      <c r="AN16" t="str" cm="1">
        <f t="array" ref="AN16">IFERROR(_xlfn._xlws.FILTER(AN$3:AN$14,(AN$3:AN$14&lt;&gt;"")*(AN$3:AN$14&lt;&gt;0)),"")</f>
        <v/>
      </c>
      <c r="AO16" t="str" cm="1">
        <f t="array" ref="AO16">IFERROR(_xlfn._xlws.FILTER(AO$3:AO$14,(AO$3:AO$14&lt;&gt;"")*(AO$3:AO$14&lt;&gt;0)),"")</f>
        <v/>
      </c>
      <c r="AP16" t="str" cm="1">
        <f t="array" ref="AP16">IFERROR(_xlfn._xlws.FILTER(AP$3:AP$14,(AP$3:AP$14&lt;&gt;"")*(AP$3:AP$14&lt;&gt;0)),"")</f>
        <v/>
      </c>
      <c r="AQ16" t="str" cm="1">
        <f t="array" ref="AQ16">IFERROR(_xlfn._xlws.FILTER(AQ$3:AQ$14,(AQ$3:AQ$14&lt;&gt;"")*(AQ$3:AQ$14&lt;&gt;0)),"")</f>
        <v/>
      </c>
      <c r="AR16" t="str" cm="1">
        <f t="array" ref="AR16">IFERROR(_xlfn._xlws.FILTER(AR$3:AR$14,(AR$3:AR$14&lt;&gt;"")*(AR$3:AR$14&lt;&gt;0)),"")</f>
        <v/>
      </c>
      <c r="AS16" t="str" cm="1">
        <f t="array" ref="AS16">IFERROR(_xlfn._xlws.FILTER(AS$3:AS$14,(AS$3:AS$14&lt;&gt;"")*(AS$3:AS$14&lt;&gt;0)),"")</f>
        <v/>
      </c>
      <c r="AT16" t="str" cm="1">
        <f t="array" ref="AT16">IFERROR(_xlfn._xlws.FILTER(AT$3:AT$14,(AT$3:AT$14&lt;&gt;"")*(AT$3:AT$14&lt;&gt;0)),"")</f>
        <v/>
      </c>
      <c r="AU16" t="str" cm="1">
        <f t="array" ref="AU16">IFERROR(_xlfn._xlws.FILTER(AU$3:AU$14,(AU$3:AU$14&lt;&gt;"")*(AU$3:AU$14&lt;&gt;0)),"")</f>
        <v/>
      </c>
      <c r="AV16" t="str" cm="1">
        <f t="array" ref="AV16">IFERROR(_xlfn._xlws.FILTER(AV$3:AV$14,(AV$3:AV$14&lt;&gt;"")*(AV$3:AV$14&lt;&gt;0)),"")</f>
        <v/>
      </c>
      <c r="AW16" t="str" cm="1">
        <f t="array" ref="AW16">IFERROR(_xlfn._xlws.FILTER(AW$3:AW$14,(AW$3:AW$14&lt;&gt;"")*(AW$3:AW$14&lt;&gt;0)),"")</f>
        <v/>
      </c>
      <c r="AX16" t="str" cm="1">
        <f t="array" ref="AX16">IFERROR(_xlfn._xlws.FILTER(AX$3:AX$14,(AX$3:AX$14&lt;&gt;"")*(AX$3:AX$14&lt;&gt;0)),"")</f>
        <v/>
      </c>
      <c r="AY16" t="str" cm="1">
        <f t="array" ref="AY16">IFERROR(_xlfn._xlws.FILTER(AY$3:AY$14,(AY$3:AY$14&lt;&gt;"")*(AY$3:AY$14&lt;&gt;0)),"")</f>
        <v/>
      </c>
      <c r="AZ16" t="str" cm="1">
        <f t="array" ref="AZ16">IFERROR(_xlfn._xlws.FILTER(AZ$3:AZ$14,(AZ$3:AZ$14&lt;&gt;"")*(AZ$3:AZ$14&lt;&gt;0)),"")</f>
        <v/>
      </c>
      <c r="BA16" t="str" cm="1">
        <f t="array" ref="BA16">IFERROR(_xlfn._xlws.FILTER(BA$3:BA$14,(BA$3:BA$14&lt;&gt;"")*(BA$3:BA$14&lt;&gt;0)),"")</f>
        <v/>
      </c>
      <c r="BB16" t="str" cm="1">
        <f t="array" ref="BB16">IFERROR(_xlfn._xlws.FILTER(BB$3:BB$14,(BB$3:BB$14&lt;&gt;"")*(BB$3:BB$14&lt;&gt;0)),"")</f>
        <v/>
      </c>
      <c r="BC16" t="str" cm="1">
        <f t="array" ref="BC16">IFERROR(_xlfn._xlws.FILTER(BC$3:BC$14,(BC$3:BC$14&lt;&gt;"")*(BC$3:BC$14&lt;&gt;0)),"")</f>
        <v/>
      </c>
      <c r="BD16" t="str" cm="1">
        <f t="array" ref="BD16">IFERROR(_xlfn._xlws.FILTER(BD$3:BD$14,(BD$3:BD$14&lt;&gt;"")*(BD$3:BD$14&lt;&gt;0)),"")</f>
        <v/>
      </c>
      <c r="BE16" t="str" cm="1">
        <f t="array" ref="BE16">IFERROR(_xlfn._xlws.FILTER(BE$3:BE$14,(BE$3:BE$14&lt;&gt;"")*(BE$3:BE$14&lt;&gt;0)),"")</f>
        <v/>
      </c>
      <c r="BF16" t="str" cm="1">
        <f t="array" ref="BF16">IFERROR(_xlfn._xlws.FILTER(BF$3:BF$14,(BF$3:BF$14&lt;&gt;"")*(BF$3:BF$14&lt;&gt;0)),"")</f>
        <v/>
      </c>
      <c r="BG16" t="str" cm="1">
        <f t="array" ref="BG16">IFERROR(_xlfn._xlws.FILTER(BG$3:BG$14,(BG$3:BG$14&lt;&gt;"")*(BG$3:BG$14&lt;&gt;0)),"")</f>
        <v/>
      </c>
      <c r="BH16" t="str" cm="1">
        <f t="array" ref="BH16">IFERROR(_xlfn._xlws.FILTER(BH$3:BH$14,(BH$3:BH$14&lt;&gt;"")*(BH$3:BH$14&lt;&gt;0)),"")</f>
        <v/>
      </c>
      <c r="BI16" t="str" cm="1">
        <f t="array" ref="BI16">IFERROR(_xlfn._xlws.FILTER(BI$3:BI$14,(BI$3:BI$14&lt;&gt;"")*(BI$3:BI$14&lt;&gt;0)),"")</f>
        <v/>
      </c>
      <c r="BJ16" t="str" cm="1">
        <f t="array" ref="BJ16">IFERROR(_xlfn._xlws.FILTER(BJ$3:BJ$14,(BJ$3:BJ$14&lt;&gt;"")*(BJ$3:BJ$14&lt;&gt;0)),"")</f>
        <v/>
      </c>
      <c r="BK16" t="str" cm="1">
        <f t="array" ref="BK16">IFERROR(_xlfn._xlws.FILTER(BK$3:BK$14,(BK$3:BK$14&lt;&gt;"")*(BK$3:BK$14&lt;&gt;0)),"")</f>
        <v/>
      </c>
      <c r="BL16" t="str" cm="1">
        <f t="array" ref="BL16">IFERROR(_xlfn._xlws.FILTER(BL$3:BL$14,(BL$3:BL$14&lt;&gt;"")*(BL$3:BL$14&lt;&gt;0)),"")</f>
        <v/>
      </c>
      <c r="BM16" t="str" cm="1">
        <f t="array" ref="BM16">IFERROR(_xlfn._xlws.FILTER(BM$3:BM$14,(BM$3:BM$14&lt;&gt;"")*(BM$3:BM$14&lt;&gt;0)),"")</f>
        <v/>
      </c>
      <c r="BN16" t="str" cm="1">
        <f t="array" ref="BN16">IFERROR(_xlfn._xlws.FILTER(BN$3:BN$14,(BN$3:BN$14&lt;&gt;"")*(BN$3:BN$14&lt;&gt;0)),"")</f>
        <v/>
      </c>
      <c r="BO16" t="str" cm="1">
        <f t="array" ref="BO16">IFERROR(_xlfn._xlws.FILTER(BO$3:BO$14,(BO$3:BO$14&lt;&gt;"")*(BO$3:BO$14&lt;&gt;0)),"")</f>
        <v/>
      </c>
      <c r="BP16" t="str" cm="1">
        <f t="array" ref="BP16">IFERROR(_xlfn._xlws.FILTER(BP$3:BP$14,(BP$3:BP$14&lt;&gt;"")*(BP$3:BP$14&lt;&gt;0)),"")</f>
        <v/>
      </c>
      <c r="BQ16" t="str" cm="1">
        <f t="array" ref="BQ16">IFERROR(_xlfn._xlws.FILTER(BQ$3:BQ$14,(BQ$3:BQ$14&lt;&gt;"")*(BQ$3:BQ$14&lt;&gt;0)),"")</f>
        <v/>
      </c>
      <c r="BR16" t="str" cm="1">
        <f t="array" ref="BR16">IFERROR(_xlfn._xlws.FILTER(BR$3:BR$14,(BR$3:BR$14&lt;&gt;"")*(BR$3:BR$14&lt;&gt;0)),"")</f>
        <v/>
      </c>
      <c r="BS16" t="str" cm="1">
        <f t="array" ref="BS16">IFERROR(_xlfn._xlws.FILTER(BS$3:BS$14,(BS$3:BS$14&lt;&gt;"")*(BS$3:BS$14&lt;&gt;0)),"")</f>
        <v/>
      </c>
      <c r="BT16" t="str" cm="1">
        <f t="array" ref="BT16">IFERROR(_xlfn._xlws.FILTER(BT$3:BT$14,(BT$3:BT$14&lt;&gt;"")*(BT$3:BT$14&lt;&gt;0)),"")</f>
        <v/>
      </c>
      <c r="BU16" t="str" cm="1">
        <f t="array" ref="BU16">IFERROR(_xlfn._xlws.FILTER(BU$3:BU$14,(BU$3:BU$14&lt;&gt;"")*(BU$3:BU$14&lt;&gt;0)),"")</f>
        <v/>
      </c>
      <c r="BV16" t="str" cm="1">
        <f t="array" ref="BV16">IFERROR(_xlfn._xlws.FILTER(BV$3:BV$14,(BV$3:BV$14&lt;&gt;"")*(BV$3:BV$14&lt;&gt;0)),"")</f>
        <v/>
      </c>
      <c r="BW16" t="str" cm="1">
        <f t="array" ref="BW16">IFERROR(_xlfn._xlws.FILTER(BW$3:BW$14,(BW$3:BW$14&lt;&gt;"")*(BW$3:BW$14&lt;&gt;0)),"")</f>
        <v/>
      </c>
      <c r="BX16" t="str" cm="1">
        <f t="array" ref="BX16">IFERROR(_xlfn._xlws.FILTER(BX$3:BX$14,(BX$3:BX$14&lt;&gt;"")*(BX$3:BX$14&lt;&gt;0)),"")</f>
        <v/>
      </c>
      <c r="BY16" t="str" cm="1">
        <f t="array" ref="BY16">IFERROR(_xlfn._xlws.FILTER(BY$3:BY$14,(BY$3:BY$14&lt;&gt;"")*(BY$3:BY$14&lt;&gt;0)),"")</f>
        <v/>
      </c>
      <c r="BZ16" t="str" cm="1">
        <f t="array" ref="BZ16">IFERROR(_xlfn._xlws.FILTER(BZ$3:BZ$14,(BZ$3:BZ$14&lt;&gt;"")*(BZ$3:BZ$14&lt;&gt;0)),"")</f>
        <v/>
      </c>
      <c r="CA16" t="str" cm="1">
        <f t="array" ref="CA16">IFERROR(_xlfn._xlws.FILTER(CA$3:CA$14,(CA$3:CA$14&lt;&gt;"")*(CA$3:CA$14&lt;&gt;0)),"")</f>
        <v/>
      </c>
      <c r="CB16" t="str" cm="1">
        <f t="array" ref="CB16">IFERROR(_xlfn._xlws.FILTER(CB$3:CB$14,(CB$3:CB$14&lt;&gt;"")*(CB$3:CB$14&lt;&gt;0)),"")</f>
        <v/>
      </c>
      <c r="CC16" t="str" cm="1">
        <f t="array" ref="CC16">IFERROR(_xlfn._xlws.FILTER(CC$3:CC$14,(CC$3:CC$14&lt;&gt;"")*(CC$3:CC$14&lt;&gt;0)),"")</f>
        <v/>
      </c>
      <c r="CD16" t="str" cm="1">
        <f t="array" ref="CD16">IFERROR(_xlfn._xlws.FILTER(CD$3:CD$14,(CD$3:CD$14&lt;&gt;"")*(CD$3:CD$14&lt;&gt;0)),"")</f>
        <v/>
      </c>
      <c r="CE16" t="str" cm="1">
        <f t="array" ref="CE16">IFERROR(_xlfn._xlws.FILTER(CE$3:CE$14,(CE$3:CE$14&lt;&gt;"")*(CE$3:CE$14&lt;&gt;0)),"")</f>
        <v/>
      </c>
      <c r="CF16" t="str" cm="1">
        <f t="array" ref="CF16">IFERROR(_xlfn._xlws.FILTER(CF$3:CF$14,(CF$3:CF$14&lt;&gt;"")*(CF$3:CF$14&lt;&gt;0)),"")</f>
        <v/>
      </c>
      <c r="CG16" t="str" cm="1">
        <f t="array" ref="CG16">IFERROR(_xlfn._xlws.FILTER(CG$3:CG$14,(CG$3:CG$14&lt;&gt;"")*(CG$3:CG$14&lt;&gt;0)),"")</f>
        <v/>
      </c>
      <c r="CH16" t="str" cm="1">
        <f t="array" ref="CH16">IFERROR(_xlfn._xlws.FILTER(CH$3:CH$14,(CH$3:CH$14&lt;&gt;"")*(CH$3:CH$14&lt;&gt;0)),"")</f>
        <v/>
      </c>
      <c r="CI16" t="str" cm="1">
        <f t="array" ref="CI16">IFERROR(_xlfn._xlws.FILTER(CI$3:CI$14,(CI$3:CI$14&lt;&gt;"")*(CI$3:CI$14&lt;&gt;0)),"")</f>
        <v/>
      </c>
      <c r="CJ16" t="str" cm="1">
        <f t="array" ref="CJ16">IFERROR(_xlfn._xlws.FILTER(CJ$3:CJ$14,(CJ$3:CJ$14&lt;&gt;"")*(CJ$3:CJ$14&lt;&gt;0)),"")</f>
        <v/>
      </c>
      <c r="CK16" t="str" cm="1">
        <f t="array" ref="CK16">IFERROR(_xlfn._xlws.FILTER(CK$3:CK$14,(CK$3:CK$14&lt;&gt;"")*(CK$3:CK$14&lt;&gt;0)),"")</f>
        <v/>
      </c>
      <c r="CL16" t="str" cm="1">
        <f t="array" ref="CL16">IFERROR(_xlfn._xlws.FILTER(CL$3:CL$14,(CL$3:CL$14&lt;&gt;"")*(CL$3:CL$14&lt;&gt;0)),"")</f>
        <v/>
      </c>
      <c r="CM16" t="str" cm="1">
        <f t="array" ref="CM16">IFERROR(_xlfn._xlws.FILTER(CM$3:CM$14,(CM$3:CM$14&lt;&gt;"")*(CM$3:CM$14&lt;&gt;0)),"")</f>
        <v/>
      </c>
      <c r="CN16" t="str" cm="1">
        <f t="array" ref="CN16">IFERROR(_xlfn._xlws.FILTER(CN$3:CN$14,(CN$3:CN$14&lt;&gt;"")*(CN$3:CN$14&lt;&gt;0)),"")</f>
        <v/>
      </c>
      <c r="CO16" t="str" cm="1">
        <f t="array" ref="CO16">IFERROR(_xlfn._xlws.FILTER(CO$3:CO$14,(CO$3:CO$14&lt;&gt;"")*(CO$3:CO$14&lt;&gt;0)),"")</f>
        <v/>
      </c>
      <c r="CP16" t="str" cm="1">
        <f t="array" ref="CP16">IFERROR(_xlfn._xlws.FILTER(CP$3:CP$14,(CP$3:CP$14&lt;&gt;"")*(CP$3:CP$14&lt;&gt;0)),"")</f>
        <v/>
      </c>
      <c r="CQ16" t="str" cm="1">
        <f t="array" ref="CQ16">IFERROR(_xlfn._xlws.FILTER(CQ$3:CQ$14,(CQ$3:CQ$14&lt;&gt;"")*(CQ$3:CQ$14&lt;&gt;0)),"")</f>
        <v/>
      </c>
      <c r="CR16" t="str" cm="1">
        <f t="array" ref="CR16">IFERROR(_xlfn._xlws.FILTER(CR$3:CR$14,(CR$3:CR$14&lt;&gt;"")*(CR$3:CR$14&lt;&gt;0)),"")</f>
        <v/>
      </c>
      <c r="CS16" t="str" cm="1">
        <f t="array" ref="CS16">IFERROR(_xlfn._xlws.FILTER(CS$3:CS$14,(CS$3:CS$14&lt;&gt;"")*(CS$3:CS$14&lt;&gt;0)),"")</f>
        <v/>
      </c>
      <c r="CT16" t="str" cm="1">
        <f t="array" ref="CT16">IFERROR(_xlfn._xlws.FILTER(CT$3:CT$14,(CT$3:CT$14&lt;&gt;"")*(CT$3:CT$14&lt;&gt;0)),"")</f>
        <v/>
      </c>
      <c r="CU16" t="str" cm="1">
        <f t="array" ref="CU16">IFERROR(_xlfn._xlws.FILTER(CU$3:CU$14,(CU$3:CU$14&lt;&gt;"")*(CU$3:CU$14&lt;&gt;0)),"")</f>
        <v/>
      </c>
      <c r="CV16" t="str" cm="1">
        <f t="array" ref="CV16">IFERROR(_xlfn._xlws.FILTER(CV$3:CV$14,(CV$3:CV$14&lt;&gt;"")*(CV$3:CV$14&lt;&gt;0)),"")</f>
        <v/>
      </c>
      <c r="CW16" t="str" cm="1">
        <f t="array" ref="CW16">IFERROR(_xlfn._xlws.FILTER(CW$3:CW$14,(CW$3:CW$14&lt;&gt;"")*(CW$3:CW$14&lt;&gt;0)),"")</f>
        <v/>
      </c>
      <c r="CX16" t="str" cm="1">
        <f t="array" ref="CX16">IFERROR(_xlfn._xlws.FILTER(CX$3:CX$14,(CX$3:CX$14&lt;&gt;"")*(CX$3:CX$14&lt;&gt;0)),"")</f>
        <v/>
      </c>
    </row>
    <row r="17" spans="2:2" x14ac:dyDescent="0.7">
      <c r="B17">
        <v>2</v>
      </c>
    </row>
    <row r="18" spans="2:2" x14ac:dyDescent="0.7">
      <c r="B18">
        <v>3</v>
      </c>
    </row>
    <row r="19" spans="2:2" x14ac:dyDescent="0.7">
      <c r="B19">
        <v>4</v>
      </c>
    </row>
    <row r="20" spans="2:2" x14ac:dyDescent="0.7">
      <c r="B20">
        <v>5</v>
      </c>
    </row>
    <row r="21" spans="2:2" x14ac:dyDescent="0.7">
      <c r="B21">
        <v>6</v>
      </c>
    </row>
    <row r="22" spans="2:2" x14ac:dyDescent="0.7">
      <c r="B22">
        <v>7</v>
      </c>
    </row>
    <row r="23" spans="2:2" x14ac:dyDescent="0.7">
      <c r="B23">
        <v>8</v>
      </c>
    </row>
    <row r="24" spans="2:2" x14ac:dyDescent="0.7">
      <c r="B24">
        <v>9</v>
      </c>
    </row>
    <row r="25" spans="2:2" x14ac:dyDescent="0.7">
      <c r="B25">
        <v>10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BDFB-7B4A-4C30-A2ED-203362B1AFAA}">
  <sheetPr codeName="Sheet5"/>
  <dimension ref="A1:SR310"/>
  <sheetViews>
    <sheetView tabSelected="1" zoomScaleNormal="100" workbookViewId="0">
      <pane xSplit="11" ySplit="10" topLeftCell="L11" activePane="bottomRight" state="frozen"/>
      <selection activeCell="A4" sqref="A4"/>
      <selection pane="topRight" activeCell="A4" sqref="A4"/>
      <selection pane="bottomLeft" activeCell="A4" sqref="A4"/>
      <selection pane="bottomRight" activeCell="A17" sqref="A17:A19"/>
    </sheetView>
  </sheetViews>
  <sheetFormatPr defaultColWidth="9" defaultRowHeight="15" customHeight="1" x14ac:dyDescent="0.7"/>
  <cols>
    <col min="1" max="1" width="4.5" style="62" customWidth="1"/>
    <col min="2" max="2" width="8.6875" style="62" customWidth="1"/>
    <col min="3" max="6" width="6.6875" style="62" customWidth="1"/>
    <col min="7" max="7" width="10.6875" style="62" customWidth="1"/>
    <col min="8" max="8" width="8.6875" style="62" hidden="1" customWidth="1"/>
    <col min="9" max="9" width="6.6875" style="62" customWidth="1"/>
    <col min="10" max="10" width="9.125" style="62" hidden="1" customWidth="1"/>
    <col min="11" max="11" width="8.6875" style="77" customWidth="1"/>
    <col min="12" max="512" width="11" style="50" bestFit="1" customWidth="1"/>
    <col min="513" max="16384" width="9" style="50"/>
  </cols>
  <sheetData>
    <row r="1" spans="1:512" s="47" customFormat="1" ht="16.25" customHeight="1" x14ac:dyDescent="0.65">
      <c r="A1" s="178" t="s">
        <v>109</v>
      </c>
      <c r="B1" s="179"/>
      <c r="C1" s="180" t="s">
        <v>265</v>
      </c>
      <c r="D1" s="180"/>
      <c r="E1" s="180"/>
      <c r="F1" s="180"/>
      <c r="G1" s="78" t="s">
        <v>110</v>
      </c>
      <c r="H1" s="62"/>
      <c r="I1" s="79">
        <v>38</v>
      </c>
      <c r="J1" s="79"/>
      <c r="K1" s="80" t="s">
        <v>111</v>
      </c>
      <c r="L1" s="47" cm="1">
        <f t="array" ref="L1">SUMPRODUCT((IFERROR(_xlfn._xlws.FILTER(INDEX(L:L,_xlfn.SEQUENCE(100,1,11,3)),INDEX(L:L,_xlfn.SEQUENCE(100,1,11,3))&lt;&gt;""),"")&lt;&gt;"")*1)</f>
        <v>0</v>
      </c>
      <c r="M1" s="47" cm="1">
        <f t="array" ref="M1">SUMPRODUCT((IFERROR(_xlfn._xlws.FILTER(INDEX(M:M,_xlfn.SEQUENCE(100,1,11,3)),INDEX(M:M,_xlfn.SEQUENCE(100,1,11,3))&lt;&gt;""),"")&lt;&gt;"")*1)</f>
        <v>0</v>
      </c>
      <c r="N1" s="47" cm="1">
        <f t="array" ref="N1">SUMPRODUCT((IFERROR(_xlfn._xlws.FILTER(INDEX(N:N,_xlfn.SEQUENCE(100,1,11,3)),INDEX(N:N,_xlfn.SEQUENCE(100,1,11,3))&lt;&gt;""),"")&lt;&gt;"")*1)</f>
        <v>0</v>
      </c>
      <c r="O1" s="47" cm="1">
        <f t="array" ref="O1">SUMPRODUCT((IFERROR(_xlfn._xlws.FILTER(INDEX(O:O,_xlfn.SEQUENCE(100,1,11,3)),INDEX(O:O,_xlfn.SEQUENCE(100,1,11,3))&lt;&gt;""),"")&lt;&gt;"")*1)</f>
        <v>0</v>
      </c>
      <c r="P1" s="47" cm="1">
        <f t="array" ref="P1">SUMPRODUCT((IFERROR(_xlfn._xlws.FILTER(INDEX(P:P,_xlfn.SEQUENCE(100,1,11,3)),INDEX(P:P,_xlfn.SEQUENCE(100,1,11,3))&lt;&gt;""),"")&lt;&gt;"")*1)</f>
        <v>0</v>
      </c>
      <c r="Q1" s="47" cm="1">
        <f t="array" ref="Q1">SUMPRODUCT((IFERROR(_xlfn._xlws.FILTER(INDEX(Q:Q,_xlfn.SEQUENCE(100,1,11,3)),INDEX(Q:Q,_xlfn.SEQUENCE(100,1,11,3))&lt;&gt;""),"")&lt;&gt;"")*1)</f>
        <v>0</v>
      </c>
      <c r="R1" s="47" cm="1">
        <f t="array" ref="R1">SUMPRODUCT((IFERROR(_xlfn._xlws.FILTER(INDEX(R:R,_xlfn.SEQUENCE(100,1,11,3)),INDEX(R:R,_xlfn.SEQUENCE(100,1,11,3))&lt;&gt;""),"")&lt;&gt;"")*1)</f>
        <v>0</v>
      </c>
      <c r="S1" s="47" cm="1">
        <f t="array" ref="S1">SUMPRODUCT((IFERROR(_xlfn._xlws.FILTER(INDEX(S:S,_xlfn.SEQUENCE(100,1,11,3)),INDEX(S:S,_xlfn.SEQUENCE(100,1,11,3))&lt;&gt;""),"")&lt;&gt;"")*1)</f>
        <v>0</v>
      </c>
      <c r="T1" s="47" cm="1">
        <f t="array" ref="T1">SUMPRODUCT((IFERROR(_xlfn._xlws.FILTER(INDEX(T:T,_xlfn.SEQUENCE(100,1,11,3)),INDEX(T:T,_xlfn.SEQUENCE(100,1,11,3))&lt;&gt;""),"")&lt;&gt;"")*1)</f>
        <v>0</v>
      </c>
      <c r="U1" s="47" cm="1">
        <f t="array" ref="U1">SUMPRODUCT((IFERROR(_xlfn._xlws.FILTER(INDEX(U:U,_xlfn.SEQUENCE(100,1,11,3)),INDEX(U:U,_xlfn.SEQUENCE(100,1,11,3))&lt;&gt;""),"")&lt;&gt;"")*1)</f>
        <v>0</v>
      </c>
      <c r="V1" s="47" cm="1">
        <f t="array" ref="V1">SUMPRODUCT((IFERROR(_xlfn._xlws.FILTER(INDEX(V:V,_xlfn.SEQUENCE(100,1,11,3)),INDEX(V:V,_xlfn.SEQUENCE(100,1,11,3))&lt;&gt;""),"")&lt;&gt;"")*1)</f>
        <v>0</v>
      </c>
      <c r="W1" s="47" cm="1">
        <f t="array" ref="W1">SUMPRODUCT((IFERROR(_xlfn._xlws.FILTER(INDEX(W:W,_xlfn.SEQUENCE(100,1,11,3)),INDEX(W:W,_xlfn.SEQUENCE(100,1,11,3))&lt;&gt;""),"")&lt;&gt;"")*1)</f>
        <v>0</v>
      </c>
      <c r="X1" s="47" cm="1">
        <f t="array" ref="X1">SUMPRODUCT((IFERROR(_xlfn._xlws.FILTER(INDEX(X:X,_xlfn.SEQUENCE(100,1,11,3)),INDEX(X:X,_xlfn.SEQUENCE(100,1,11,3))&lt;&gt;""),"")&lt;&gt;"")*1)</f>
        <v>0</v>
      </c>
      <c r="Y1" s="47" cm="1">
        <f t="array" ref="Y1">SUMPRODUCT((IFERROR(_xlfn._xlws.FILTER(INDEX(Y:Y,_xlfn.SEQUENCE(100,1,11,3)),INDEX(Y:Y,_xlfn.SEQUENCE(100,1,11,3))&lt;&gt;""),"")&lt;&gt;"")*1)</f>
        <v>0</v>
      </c>
      <c r="Z1" s="47" cm="1">
        <f t="array" ref="Z1">SUMPRODUCT((IFERROR(_xlfn._xlws.FILTER(INDEX(Z:Z,_xlfn.SEQUENCE(100,1,11,3)),INDEX(Z:Z,_xlfn.SEQUENCE(100,1,11,3))&lt;&gt;""),"")&lt;&gt;"")*1)</f>
        <v>0</v>
      </c>
      <c r="AA1" s="47" cm="1">
        <f t="array" ref="AA1">SUMPRODUCT((IFERROR(_xlfn._xlws.FILTER(INDEX(AA:AA,_xlfn.SEQUENCE(100,1,11,3)),INDEX(AA:AA,_xlfn.SEQUENCE(100,1,11,3))&lt;&gt;""),"")&lt;&gt;"")*1)</f>
        <v>0</v>
      </c>
      <c r="AB1" s="47" cm="1">
        <f t="array" ref="AB1">SUMPRODUCT((IFERROR(_xlfn._xlws.FILTER(INDEX(AB:AB,_xlfn.SEQUENCE(100,1,11,3)),INDEX(AB:AB,_xlfn.SEQUENCE(100,1,11,3))&lt;&gt;""),"")&lt;&gt;"")*1)</f>
        <v>0</v>
      </c>
      <c r="AC1" s="47" cm="1">
        <f t="array" ref="AC1">SUMPRODUCT((IFERROR(_xlfn._xlws.FILTER(INDEX(AC:AC,_xlfn.SEQUENCE(100,1,11,3)),INDEX(AC:AC,_xlfn.SEQUENCE(100,1,11,3))&lt;&gt;""),"")&lt;&gt;"")*1)</f>
        <v>0</v>
      </c>
      <c r="AD1" s="47" cm="1">
        <f t="array" ref="AD1">SUMPRODUCT((IFERROR(_xlfn._xlws.FILTER(INDEX(AD:AD,_xlfn.SEQUENCE(100,1,11,3)),INDEX(AD:AD,_xlfn.SEQUENCE(100,1,11,3))&lt;&gt;""),"")&lt;&gt;"")*1)</f>
        <v>0</v>
      </c>
      <c r="AE1" s="47" cm="1">
        <f t="array" ref="AE1">SUMPRODUCT((IFERROR(_xlfn._xlws.FILTER(INDEX(AE:AE,_xlfn.SEQUENCE(100,1,11,3)),INDEX(AE:AE,_xlfn.SEQUENCE(100,1,11,3))&lt;&gt;""),"")&lt;&gt;"")*1)</f>
        <v>0</v>
      </c>
      <c r="AF1" s="47" cm="1">
        <f t="array" ref="AF1">SUMPRODUCT((IFERROR(_xlfn._xlws.FILTER(INDEX(AF:AF,_xlfn.SEQUENCE(100,1,11,3)),INDEX(AF:AF,_xlfn.SEQUENCE(100,1,11,3))&lt;&gt;""),"")&lt;&gt;"")*1)</f>
        <v>0</v>
      </c>
      <c r="AG1" s="47" cm="1">
        <f t="array" ref="AG1">SUMPRODUCT((IFERROR(_xlfn._xlws.FILTER(INDEX(AG:AG,_xlfn.SEQUENCE(100,1,11,3)),INDEX(AG:AG,_xlfn.SEQUENCE(100,1,11,3))&lt;&gt;""),"")&lt;&gt;"")*1)</f>
        <v>0</v>
      </c>
      <c r="AH1" s="47" cm="1">
        <f t="array" ref="AH1">SUMPRODUCT((IFERROR(_xlfn._xlws.FILTER(INDEX(AH:AH,_xlfn.SEQUENCE(100,1,11,3)),INDEX(AH:AH,_xlfn.SEQUENCE(100,1,11,3))&lt;&gt;""),"")&lt;&gt;"")*1)</f>
        <v>0</v>
      </c>
      <c r="AI1" s="47" cm="1">
        <f t="array" ref="AI1">SUMPRODUCT((IFERROR(_xlfn._xlws.FILTER(INDEX(AI:AI,_xlfn.SEQUENCE(100,1,11,3)),INDEX(AI:AI,_xlfn.SEQUENCE(100,1,11,3))&lt;&gt;""),"")&lt;&gt;"")*1)</f>
        <v>0</v>
      </c>
      <c r="AJ1" s="47" cm="1">
        <f t="array" ref="AJ1">SUMPRODUCT((IFERROR(_xlfn._xlws.FILTER(INDEX(AJ:AJ,_xlfn.SEQUENCE(100,1,11,3)),INDEX(AJ:AJ,_xlfn.SEQUENCE(100,1,11,3))&lt;&gt;""),"")&lt;&gt;"")*1)</f>
        <v>0</v>
      </c>
      <c r="AK1" s="47" cm="1">
        <f t="array" ref="AK1">SUMPRODUCT((IFERROR(_xlfn._xlws.FILTER(INDEX(AK:AK,_xlfn.SEQUENCE(100,1,11,3)),INDEX(AK:AK,_xlfn.SEQUENCE(100,1,11,3))&lt;&gt;""),"")&lt;&gt;"")*1)</f>
        <v>0</v>
      </c>
      <c r="AL1" s="47" cm="1">
        <f t="array" ref="AL1">SUMPRODUCT((IFERROR(_xlfn._xlws.FILTER(INDEX(AL:AL,_xlfn.SEQUENCE(100,1,11,3)),INDEX(AL:AL,_xlfn.SEQUENCE(100,1,11,3))&lt;&gt;""),"")&lt;&gt;"")*1)</f>
        <v>0</v>
      </c>
      <c r="AM1" s="47" cm="1">
        <f t="array" ref="AM1">SUMPRODUCT((IFERROR(_xlfn._xlws.FILTER(INDEX(AM:AM,_xlfn.SEQUENCE(100,1,11,3)),INDEX(AM:AM,_xlfn.SEQUENCE(100,1,11,3))&lt;&gt;""),"")&lt;&gt;"")*1)</f>
        <v>0</v>
      </c>
      <c r="AN1" s="47" cm="1">
        <f t="array" ref="AN1">SUMPRODUCT((IFERROR(_xlfn._xlws.FILTER(INDEX(AN:AN,_xlfn.SEQUENCE(100,1,11,3)),INDEX(AN:AN,_xlfn.SEQUENCE(100,1,11,3))&lt;&gt;""),"")&lt;&gt;"")*1)</f>
        <v>0</v>
      </c>
      <c r="AO1" s="47" cm="1">
        <f t="array" ref="AO1">SUMPRODUCT((IFERROR(_xlfn._xlws.FILTER(INDEX(AO:AO,_xlfn.SEQUENCE(100,1,11,3)),INDEX(AO:AO,_xlfn.SEQUENCE(100,1,11,3))&lt;&gt;""),"")&lt;&gt;"")*1)</f>
        <v>0</v>
      </c>
      <c r="AP1" s="47" cm="1">
        <f t="array" ref="AP1">SUMPRODUCT((IFERROR(_xlfn._xlws.FILTER(INDEX(AP:AP,_xlfn.SEQUENCE(100,1,11,3)),INDEX(AP:AP,_xlfn.SEQUENCE(100,1,11,3))&lt;&gt;""),"")&lt;&gt;"")*1)</f>
        <v>0</v>
      </c>
      <c r="AQ1" s="47" cm="1">
        <f t="array" ref="AQ1">SUMPRODUCT((IFERROR(_xlfn._xlws.FILTER(INDEX(AQ:AQ,_xlfn.SEQUENCE(100,1,11,3)),INDEX(AQ:AQ,_xlfn.SEQUENCE(100,1,11,3))&lt;&gt;""),"")&lt;&gt;"")*1)</f>
        <v>0</v>
      </c>
      <c r="AR1" s="47" cm="1">
        <f t="array" ref="AR1">SUMPRODUCT((IFERROR(_xlfn._xlws.FILTER(INDEX(AR:AR,_xlfn.SEQUENCE(100,1,11,3)),INDEX(AR:AR,_xlfn.SEQUENCE(100,1,11,3))&lt;&gt;""),"")&lt;&gt;"")*1)</f>
        <v>0</v>
      </c>
      <c r="AS1" s="47" cm="1">
        <f t="array" ref="AS1">SUMPRODUCT((IFERROR(_xlfn._xlws.FILTER(INDEX(AS:AS,_xlfn.SEQUENCE(100,1,11,3)),INDEX(AS:AS,_xlfn.SEQUENCE(100,1,11,3))&lt;&gt;""),"")&lt;&gt;"")*1)</f>
        <v>0</v>
      </c>
      <c r="AT1" s="47" cm="1">
        <f t="array" ref="AT1">SUMPRODUCT((IFERROR(_xlfn._xlws.FILTER(INDEX(AT:AT,_xlfn.SEQUENCE(100,1,11,3)),INDEX(AT:AT,_xlfn.SEQUENCE(100,1,11,3))&lt;&gt;""),"")&lt;&gt;"")*1)</f>
        <v>0</v>
      </c>
      <c r="AU1" s="47" cm="1">
        <f t="array" ref="AU1">SUMPRODUCT((IFERROR(_xlfn._xlws.FILTER(INDEX(AU:AU,_xlfn.SEQUENCE(100,1,11,3)),INDEX(AU:AU,_xlfn.SEQUENCE(100,1,11,3))&lt;&gt;""),"")&lt;&gt;"")*1)</f>
        <v>0</v>
      </c>
      <c r="AV1" s="47" cm="1">
        <f t="array" ref="AV1">SUMPRODUCT((IFERROR(_xlfn._xlws.FILTER(INDEX(AV:AV,_xlfn.SEQUENCE(100,1,11,3)),INDEX(AV:AV,_xlfn.SEQUENCE(100,1,11,3))&lt;&gt;""),"")&lt;&gt;"")*1)</f>
        <v>0</v>
      </c>
      <c r="AW1" s="47" cm="1">
        <f t="array" ref="AW1">SUMPRODUCT((IFERROR(_xlfn._xlws.FILTER(INDEX(AW:AW,_xlfn.SEQUENCE(100,1,11,3)),INDEX(AW:AW,_xlfn.SEQUENCE(100,1,11,3))&lt;&gt;""),"")&lt;&gt;"")*1)</f>
        <v>0</v>
      </c>
      <c r="AX1" s="47" cm="1">
        <f t="array" ref="AX1">SUMPRODUCT((IFERROR(_xlfn._xlws.FILTER(INDEX(AX:AX,_xlfn.SEQUENCE(100,1,11,3)),INDEX(AX:AX,_xlfn.SEQUENCE(100,1,11,3))&lt;&gt;""),"")&lt;&gt;"")*1)</f>
        <v>0</v>
      </c>
      <c r="AY1" s="47" cm="1">
        <f t="array" ref="AY1">SUMPRODUCT((IFERROR(_xlfn._xlws.FILTER(INDEX(AY:AY,_xlfn.SEQUENCE(100,1,11,3)),INDEX(AY:AY,_xlfn.SEQUENCE(100,1,11,3))&lt;&gt;""),"")&lt;&gt;"")*1)</f>
        <v>0</v>
      </c>
      <c r="AZ1" s="47" cm="1">
        <f t="array" ref="AZ1">SUMPRODUCT((IFERROR(_xlfn._xlws.FILTER(INDEX(AZ:AZ,_xlfn.SEQUENCE(100,1,11,3)),INDEX(AZ:AZ,_xlfn.SEQUENCE(100,1,11,3))&lt;&gt;""),"")&lt;&gt;"")*1)</f>
        <v>0</v>
      </c>
      <c r="BA1" s="47" cm="1">
        <f t="array" ref="BA1">SUMPRODUCT((IFERROR(_xlfn._xlws.FILTER(INDEX(BA:BA,_xlfn.SEQUENCE(100,1,11,3)),INDEX(BA:BA,_xlfn.SEQUENCE(100,1,11,3))&lt;&gt;""),"")&lt;&gt;"")*1)</f>
        <v>0</v>
      </c>
      <c r="BB1" s="47" cm="1">
        <f t="array" ref="BB1">SUMPRODUCT((IFERROR(_xlfn._xlws.FILTER(INDEX(BB:BB,_xlfn.SEQUENCE(100,1,11,3)),INDEX(BB:BB,_xlfn.SEQUENCE(100,1,11,3))&lt;&gt;""),"")&lt;&gt;"")*1)</f>
        <v>0</v>
      </c>
      <c r="BC1" s="47" cm="1">
        <f t="array" ref="BC1">SUMPRODUCT((IFERROR(_xlfn._xlws.FILTER(INDEX(BC:BC,_xlfn.SEQUENCE(100,1,11,3)),INDEX(BC:BC,_xlfn.SEQUENCE(100,1,11,3))&lt;&gt;""),"")&lt;&gt;"")*1)</f>
        <v>0</v>
      </c>
      <c r="BD1" s="47" cm="1">
        <f t="array" ref="BD1">SUMPRODUCT((IFERROR(_xlfn._xlws.FILTER(INDEX(BD:BD,_xlfn.SEQUENCE(100,1,11,3)),INDEX(BD:BD,_xlfn.SEQUENCE(100,1,11,3))&lt;&gt;""),"")&lt;&gt;"")*1)</f>
        <v>0</v>
      </c>
      <c r="BE1" s="47" cm="1">
        <f t="array" ref="BE1">SUMPRODUCT((IFERROR(_xlfn._xlws.FILTER(INDEX(BE:BE,_xlfn.SEQUENCE(100,1,11,3)),INDEX(BE:BE,_xlfn.SEQUENCE(100,1,11,3))&lt;&gt;""),"")&lt;&gt;"")*1)</f>
        <v>0</v>
      </c>
      <c r="BF1" s="47" cm="1">
        <f t="array" ref="BF1">SUMPRODUCT((IFERROR(_xlfn._xlws.FILTER(INDEX(BF:BF,_xlfn.SEQUENCE(100,1,11,3)),INDEX(BF:BF,_xlfn.SEQUENCE(100,1,11,3))&lt;&gt;""),"")&lt;&gt;"")*1)</f>
        <v>0</v>
      </c>
      <c r="BG1" s="47" cm="1">
        <f t="array" ref="BG1">SUMPRODUCT((IFERROR(_xlfn._xlws.FILTER(INDEX(BG:BG,_xlfn.SEQUENCE(100,1,11,3)),INDEX(BG:BG,_xlfn.SEQUENCE(100,1,11,3))&lt;&gt;""),"")&lt;&gt;"")*1)</f>
        <v>0</v>
      </c>
      <c r="BH1" s="47" cm="1">
        <f t="array" ref="BH1">SUMPRODUCT((IFERROR(_xlfn._xlws.FILTER(INDEX(BH:BH,_xlfn.SEQUENCE(100,1,11,3)),INDEX(BH:BH,_xlfn.SEQUENCE(100,1,11,3))&lt;&gt;""),"")&lt;&gt;"")*1)</f>
        <v>0</v>
      </c>
      <c r="BI1" s="47" cm="1">
        <f t="array" ref="BI1">SUMPRODUCT((IFERROR(_xlfn._xlws.FILTER(INDEX(BI:BI,_xlfn.SEQUENCE(100,1,11,3)),INDEX(BI:BI,_xlfn.SEQUENCE(100,1,11,3))&lt;&gt;""),"")&lt;&gt;"")*1)</f>
        <v>0</v>
      </c>
      <c r="BJ1" s="47" cm="1">
        <f t="array" ref="BJ1">SUMPRODUCT((IFERROR(_xlfn._xlws.FILTER(INDEX(BJ:BJ,_xlfn.SEQUENCE(100,1,11,3)),INDEX(BJ:BJ,_xlfn.SEQUENCE(100,1,11,3))&lt;&gt;""),"")&lt;&gt;"")*1)</f>
        <v>0</v>
      </c>
      <c r="BK1" s="47" cm="1">
        <f t="array" ref="BK1">SUMPRODUCT((IFERROR(_xlfn._xlws.FILTER(INDEX(BK:BK,_xlfn.SEQUENCE(100,1,11,3)),INDEX(BK:BK,_xlfn.SEQUENCE(100,1,11,3))&lt;&gt;""),"")&lt;&gt;"")*1)</f>
        <v>0</v>
      </c>
      <c r="BL1" s="47" cm="1">
        <f t="array" ref="BL1">SUMPRODUCT((IFERROR(_xlfn._xlws.FILTER(INDEX(BL:BL,_xlfn.SEQUENCE(100,1,11,3)),INDEX(BL:BL,_xlfn.SEQUENCE(100,1,11,3))&lt;&gt;""),"")&lt;&gt;"")*1)</f>
        <v>0</v>
      </c>
      <c r="BM1" s="47" cm="1">
        <f t="array" ref="BM1">SUMPRODUCT((IFERROR(_xlfn._xlws.FILTER(INDEX(BM:BM,_xlfn.SEQUENCE(100,1,11,3)),INDEX(BM:BM,_xlfn.SEQUENCE(100,1,11,3))&lt;&gt;""),"")&lt;&gt;"")*1)</f>
        <v>0</v>
      </c>
      <c r="BN1" s="47" cm="1">
        <f t="array" ref="BN1">SUMPRODUCT((IFERROR(_xlfn._xlws.FILTER(INDEX(BN:BN,_xlfn.SEQUENCE(100,1,11,3)),INDEX(BN:BN,_xlfn.SEQUENCE(100,1,11,3))&lt;&gt;""),"")&lt;&gt;"")*1)</f>
        <v>0</v>
      </c>
      <c r="BO1" s="47" cm="1">
        <f t="array" ref="BO1">SUMPRODUCT((IFERROR(_xlfn._xlws.FILTER(INDEX(BO:BO,_xlfn.SEQUENCE(100,1,11,3)),INDEX(BO:BO,_xlfn.SEQUENCE(100,1,11,3))&lt;&gt;""),"")&lt;&gt;"")*1)</f>
        <v>0</v>
      </c>
      <c r="BP1" s="47" cm="1">
        <f t="array" ref="BP1">SUMPRODUCT((IFERROR(_xlfn._xlws.FILTER(INDEX(BP:BP,_xlfn.SEQUENCE(100,1,11,3)),INDEX(BP:BP,_xlfn.SEQUENCE(100,1,11,3))&lt;&gt;""),"")&lt;&gt;"")*1)</f>
        <v>0</v>
      </c>
      <c r="BQ1" s="47" cm="1">
        <f t="array" ref="BQ1">SUMPRODUCT((IFERROR(_xlfn._xlws.FILTER(INDEX(BQ:BQ,_xlfn.SEQUENCE(100,1,11,3)),INDEX(BQ:BQ,_xlfn.SEQUENCE(100,1,11,3))&lt;&gt;""),"")&lt;&gt;"")*1)</f>
        <v>0</v>
      </c>
      <c r="BR1" s="47" cm="1">
        <f t="array" ref="BR1">SUMPRODUCT((IFERROR(_xlfn._xlws.FILTER(INDEX(BR:BR,_xlfn.SEQUENCE(100,1,11,3)),INDEX(BR:BR,_xlfn.SEQUENCE(100,1,11,3))&lt;&gt;""),"")&lt;&gt;"")*1)</f>
        <v>0</v>
      </c>
      <c r="BS1" s="47" cm="1">
        <f t="array" ref="BS1">SUMPRODUCT((IFERROR(_xlfn._xlws.FILTER(INDEX(BS:BS,_xlfn.SEQUENCE(100,1,11,3)),INDEX(BS:BS,_xlfn.SEQUENCE(100,1,11,3))&lt;&gt;""),"")&lt;&gt;"")*1)</f>
        <v>0</v>
      </c>
      <c r="BT1" s="47" cm="1">
        <f t="array" ref="BT1">SUMPRODUCT((IFERROR(_xlfn._xlws.FILTER(INDEX(BT:BT,_xlfn.SEQUENCE(100,1,11,3)),INDEX(BT:BT,_xlfn.SEQUENCE(100,1,11,3))&lt;&gt;""),"")&lt;&gt;"")*1)</f>
        <v>0</v>
      </c>
      <c r="BU1" s="47" cm="1">
        <f t="array" ref="BU1">SUMPRODUCT((IFERROR(_xlfn._xlws.FILTER(INDEX(BU:BU,_xlfn.SEQUENCE(100,1,11,3)),INDEX(BU:BU,_xlfn.SEQUENCE(100,1,11,3))&lt;&gt;""),"")&lt;&gt;"")*1)</f>
        <v>0</v>
      </c>
      <c r="BV1" s="47" cm="1">
        <f t="array" ref="BV1">SUMPRODUCT((IFERROR(_xlfn._xlws.FILTER(INDEX(BV:BV,_xlfn.SEQUENCE(100,1,11,3)),INDEX(BV:BV,_xlfn.SEQUENCE(100,1,11,3))&lt;&gt;""),"")&lt;&gt;"")*1)</f>
        <v>0</v>
      </c>
      <c r="BW1" s="47" cm="1">
        <f t="array" ref="BW1">SUMPRODUCT((IFERROR(_xlfn._xlws.FILTER(INDEX(BW:BW,_xlfn.SEQUENCE(100,1,11,3)),INDEX(BW:BW,_xlfn.SEQUENCE(100,1,11,3))&lt;&gt;""),"")&lt;&gt;"")*1)</f>
        <v>0</v>
      </c>
      <c r="BX1" s="47" cm="1">
        <f t="array" ref="BX1">SUMPRODUCT((IFERROR(_xlfn._xlws.FILTER(INDEX(BX:BX,_xlfn.SEQUENCE(100,1,11,3)),INDEX(BX:BX,_xlfn.SEQUENCE(100,1,11,3))&lt;&gt;""),"")&lt;&gt;"")*1)</f>
        <v>0</v>
      </c>
      <c r="BY1" s="47" cm="1">
        <f t="array" ref="BY1">SUMPRODUCT((IFERROR(_xlfn._xlws.FILTER(INDEX(BY:BY,_xlfn.SEQUENCE(100,1,11,3)),INDEX(BY:BY,_xlfn.SEQUENCE(100,1,11,3))&lt;&gt;""),"")&lt;&gt;"")*1)</f>
        <v>0</v>
      </c>
      <c r="BZ1" s="47" cm="1">
        <f t="array" ref="BZ1">SUMPRODUCT((IFERROR(_xlfn._xlws.FILTER(INDEX(BZ:BZ,_xlfn.SEQUENCE(100,1,11,3)),INDEX(BZ:BZ,_xlfn.SEQUENCE(100,1,11,3))&lt;&gt;""),"")&lt;&gt;"")*1)</f>
        <v>0</v>
      </c>
      <c r="CA1" s="47" cm="1">
        <f t="array" ref="CA1">SUMPRODUCT((IFERROR(_xlfn._xlws.FILTER(INDEX(CA:CA,_xlfn.SEQUENCE(100,1,11,3)),INDEX(CA:CA,_xlfn.SEQUENCE(100,1,11,3))&lt;&gt;""),"")&lt;&gt;"")*1)</f>
        <v>0</v>
      </c>
      <c r="CB1" s="47" cm="1">
        <f t="array" ref="CB1">SUMPRODUCT((IFERROR(_xlfn._xlws.FILTER(INDEX(CB:CB,_xlfn.SEQUENCE(100,1,11,3)),INDEX(CB:CB,_xlfn.SEQUENCE(100,1,11,3))&lt;&gt;""),"")&lt;&gt;"")*1)</f>
        <v>0</v>
      </c>
      <c r="CC1" s="47" cm="1">
        <f t="array" ref="CC1">SUMPRODUCT((IFERROR(_xlfn._xlws.FILTER(INDEX(CC:CC,_xlfn.SEQUENCE(100,1,11,3)),INDEX(CC:CC,_xlfn.SEQUENCE(100,1,11,3))&lt;&gt;""),"")&lt;&gt;"")*1)</f>
        <v>0</v>
      </c>
      <c r="CD1" s="47" cm="1">
        <f t="array" ref="CD1">SUMPRODUCT((IFERROR(_xlfn._xlws.FILTER(INDEX(CD:CD,_xlfn.SEQUENCE(100,1,11,3)),INDEX(CD:CD,_xlfn.SEQUENCE(100,1,11,3))&lt;&gt;""),"")&lt;&gt;"")*1)</f>
        <v>0</v>
      </c>
      <c r="CE1" s="47" cm="1">
        <f t="array" ref="CE1">SUMPRODUCT((IFERROR(_xlfn._xlws.FILTER(INDEX(CE:CE,_xlfn.SEQUENCE(100,1,11,3)),INDEX(CE:CE,_xlfn.SEQUENCE(100,1,11,3))&lt;&gt;""),"")&lt;&gt;"")*1)</f>
        <v>0</v>
      </c>
      <c r="CF1" s="47" cm="1">
        <f t="array" ref="CF1">SUMPRODUCT((IFERROR(_xlfn._xlws.FILTER(INDEX(CF:CF,_xlfn.SEQUENCE(100,1,11,3)),INDEX(CF:CF,_xlfn.SEQUENCE(100,1,11,3))&lt;&gt;""),"")&lt;&gt;"")*1)</f>
        <v>0</v>
      </c>
      <c r="CG1" s="47" cm="1">
        <f t="array" ref="CG1">SUMPRODUCT((IFERROR(_xlfn._xlws.FILTER(INDEX(CG:CG,_xlfn.SEQUENCE(100,1,11,3)),INDEX(CG:CG,_xlfn.SEQUENCE(100,1,11,3))&lt;&gt;""),"")&lt;&gt;"")*1)</f>
        <v>0</v>
      </c>
      <c r="CH1" s="47" cm="1">
        <f t="array" ref="CH1">SUMPRODUCT((IFERROR(_xlfn._xlws.FILTER(INDEX(CH:CH,_xlfn.SEQUENCE(100,1,11,3)),INDEX(CH:CH,_xlfn.SEQUENCE(100,1,11,3))&lt;&gt;""),"")&lt;&gt;"")*1)</f>
        <v>0</v>
      </c>
      <c r="CI1" s="47" cm="1">
        <f t="array" ref="CI1">SUMPRODUCT((IFERROR(_xlfn._xlws.FILTER(INDEX(CI:CI,_xlfn.SEQUENCE(100,1,11,3)),INDEX(CI:CI,_xlfn.SEQUENCE(100,1,11,3))&lt;&gt;""),"")&lt;&gt;"")*1)</f>
        <v>0</v>
      </c>
      <c r="CJ1" s="47" cm="1">
        <f t="array" ref="CJ1">SUMPRODUCT((IFERROR(_xlfn._xlws.FILTER(INDEX(CJ:CJ,_xlfn.SEQUENCE(100,1,11,3)),INDEX(CJ:CJ,_xlfn.SEQUENCE(100,1,11,3))&lt;&gt;""),"")&lt;&gt;"")*1)</f>
        <v>0</v>
      </c>
      <c r="CK1" s="47" cm="1">
        <f t="array" ref="CK1">SUMPRODUCT((IFERROR(_xlfn._xlws.FILTER(INDEX(CK:CK,_xlfn.SEQUENCE(100,1,11,3)),INDEX(CK:CK,_xlfn.SEQUENCE(100,1,11,3))&lt;&gt;""),"")&lt;&gt;"")*1)</f>
        <v>0</v>
      </c>
      <c r="CL1" s="47" cm="1">
        <f t="array" ref="CL1">SUMPRODUCT((IFERROR(_xlfn._xlws.FILTER(INDEX(CL:CL,_xlfn.SEQUENCE(100,1,11,3)),INDEX(CL:CL,_xlfn.SEQUENCE(100,1,11,3))&lt;&gt;""),"")&lt;&gt;"")*1)</f>
        <v>0</v>
      </c>
      <c r="CM1" s="47" cm="1">
        <f t="array" ref="CM1">SUMPRODUCT((IFERROR(_xlfn._xlws.FILTER(INDEX(CM:CM,_xlfn.SEQUENCE(100,1,11,3)),INDEX(CM:CM,_xlfn.SEQUENCE(100,1,11,3))&lt;&gt;""),"")&lt;&gt;"")*1)</f>
        <v>0</v>
      </c>
      <c r="CN1" s="47" cm="1">
        <f t="array" ref="CN1">SUMPRODUCT((IFERROR(_xlfn._xlws.FILTER(INDEX(CN:CN,_xlfn.SEQUENCE(100,1,11,3)),INDEX(CN:CN,_xlfn.SEQUENCE(100,1,11,3))&lt;&gt;""),"")&lt;&gt;"")*1)</f>
        <v>0</v>
      </c>
      <c r="CO1" s="47" cm="1">
        <f t="array" ref="CO1">SUMPRODUCT((IFERROR(_xlfn._xlws.FILTER(INDEX(CO:CO,_xlfn.SEQUENCE(100,1,11,3)),INDEX(CO:CO,_xlfn.SEQUENCE(100,1,11,3))&lt;&gt;""),"")&lt;&gt;"")*1)</f>
        <v>0</v>
      </c>
      <c r="CP1" s="47" cm="1">
        <f t="array" ref="CP1">SUMPRODUCT((IFERROR(_xlfn._xlws.FILTER(INDEX(CP:CP,_xlfn.SEQUENCE(100,1,11,3)),INDEX(CP:CP,_xlfn.SEQUENCE(100,1,11,3))&lt;&gt;""),"")&lt;&gt;"")*1)</f>
        <v>0</v>
      </c>
      <c r="CQ1" s="47" cm="1">
        <f t="array" ref="CQ1">SUMPRODUCT((IFERROR(_xlfn._xlws.FILTER(INDEX(CQ:CQ,_xlfn.SEQUENCE(100,1,11,3)),INDEX(CQ:CQ,_xlfn.SEQUENCE(100,1,11,3))&lt;&gt;""),"")&lt;&gt;"")*1)</f>
        <v>0</v>
      </c>
      <c r="CR1" s="47" cm="1">
        <f t="array" ref="CR1">SUMPRODUCT((IFERROR(_xlfn._xlws.FILTER(INDEX(CR:CR,_xlfn.SEQUENCE(100,1,11,3)),INDEX(CR:CR,_xlfn.SEQUENCE(100,1,11,3))&lt;&gt;""),"")&lt;&gt;"")*1)</f>
        <v>0</v>
      </c>
      <c r="CS1" s="47" cm="1">
        <f t="array" ref="CS1">SUMPRODUCT((IFERROR(_xlfn._xlws.FILTER(INDEX(CS:CS,_xlfn.SEQUENCE(100,1,11,3)),INDEX(CS:CS,_xlfn.SEQUENCE(100,1,11,3))&lt;&gt;""),"")&lt;&gt;"")*1)</f>
        <v>0</v>
      </c>
      <c r="CT1" s="47" cm="1">
        <f t="array" ref="CT1">SUMPRODUCT((IFERROR(_xlfn._xlws.FILTER(INDEX(CT:CT,_xlfn.SEQUENCE(100,1,11,3)),INDEX(CT:CT,_xlfn.SEQUENCE(100,1,11,3))&lt;&gt;""),"")&lt;&gt;"")*1)</f>
        <v>0</v>
      </c>
      <c r="CU1" s="47" cm="1">
        <f t="array" ref="CU1">SUMPRODUCT((IFERROR(_xlfn._xlws.FILTER(INDEX(CU:CU,_xlfn.SEQUENCE(100,1,11,3)),INDEX(CU:CU,_xlfn.SEQUENCE(100,1,11,3))&lt;&gt;""),"")&lt;&gt;"")*1)</f>
        <v>0</v>
      </c>
      <c r="CV1" s="47" cm="1">
        <f t="array" ref="CV1">SUMPRODUCT((IFERROR(_xlfn._xlws.FILTER(INDEX(CV:CV,_xlfn.SEQUENCE(100,1,11,3)),INDEX(CV:CV,_xlfn.SEQUENCE(100,1,11,3))&lt;&gt;""),"")&lt;&gt;"")*1)</f>
        <v>0</v>
      </c>
      <c r="CW1" s="47" cm="1">
        <f t="array" ref="CW1">SUMPRODUCT((IFERROR(_xlfn._xlws.FILTER(INDEX(CW:CW,_xlfn.SEQUENCE(100,1,11,3)),INDEX(CW:CW,_xlfn.SEQUENCE(100,1,11,3))&lt;&gt;""),"")&lt;&gt;"")*1)</f>
        <v>0</v>
      </c>
      <c r="CX1" s="47" cm="1">
        <f t="array" ref="CX1">SUMPRODUCT((IFERROR(_xlfn._xlws.FILTER(INDEX(CX:CX,_xlfn.SEQUENCE(100,1,11,3)),INDEX(CX:CX,_xlfn.SEQUENCE(100,1,11,3))&lt;&gt;""),"")&lt;&gt;"")*1)</f>
        <v>0</v>
      </c>
      <c r="CY1" s="47" cm="1">
        <f t="array" ref="CY1">SUMPRODUCT((IFERROR(_xlfn._xlws.FILTER(INDEX(CY:CY,_xlfn.SEQUENCE(100,1,11,3)),INDEX(CY:CY,_xlfn.SEQUENCE(100,1,11,3))&lt;&gt;""),"")&lt;&gt;"")*1)</f>
        <v>0</v>
      </c>
      <c r="CZ1" s="47" cm="1">
        <f t="array" ref="CZ1">SUMPRODUCT((IFERROR(_xlfn._xlws.FILTER(INDEX(CZ:CZ,_xlfn.SEQUENCE(100,1,11,3)),INDEX(CZ:CZ,_xlfn.SEQUENCE(100,1,11,3))&lt;&gt;""),"")&lt;&gt;"")*1)</f>
        <v>0</v>
      </c>
      <c r="DA1" s="47" cm="1">
        <f t="array" ref="DA1">SUMPRODUCT((IFERROR(_xlfn._xlws.FILTER(INDEX(DA:DA,_xlfn.SEQUENCE(100,1,11,3)),INDEX(DA:DA,_xlfn.SEQUENCE(100,1,11,3))&lt;&gt;""),"")&lt;&gt;"")*1)</f>
        <v>0</v>
      </c>
      <c r="DB1" s="47" cm="1">
        <f t="array" ref="DB1">SUMPRODUCT((IFERROR(_xlfn._xlws.FILTER(INDEX(DB:DB,_xlfn.SEQUENCE(100,1,11,3)),INDEX(DB:DB,_xlfn.SEQUENCE(100,1,11,3))&lt;&gt;""),"")&lt;&gt;"")*1)</f>
        <v>0</v>
      </c>
      <c r="DC1" s="47" cm="1">
        <f t="array" ref="DC1">SUMPRODUCT((IFERROR(_xlfn._xlws.FILTER(INDEX(DC:DC,_xlfn.SEQUENCE(100,1,11,3)),INDEX(DC:DC,_xlfn.SEQUENCE(100,1,11,3))&lt;&gt;""),"")&lt;&gt;"")*1)</f>
        <v>0</v>
      </c>
      <c r="DD1" s="47" cm="1">
        <f t="array" ref="DD1">SUMPRODUCT((IFERROR(_xlfn._xlws.FILTER(INDEX(DD:DD,_xlfn.SEQUENCE(100,1,11,3)),INDEX(DD:DD,_xlfn.SEQUENCE(100,1,11,3))&lt;&gt;""),"")&lt;&gt;"")*1)</f>
        <v>0</v>
      </c>
      <c r="DE1" s="47" cm="1">
        <f t="array" ref="DE1">SUMPRODUCT((IFERROR(_xlfn._xlws.FILTER(INDEX(DE:DE,_xlfn.SEQUENCE(100,1,11,3)),INDEX(DE:DE,_xlfn.SEQUENCE(100,1,11,3))&lt;&gt;""),"")&lt;&gt;"")*1)</f>
        <v>0</v>
      </c>
      <c r="DF1" s="47" cm="1">
        <f t="array" ref="DF1">SUMPRODUCT((IFERROR(_xlfn._xlws.FILTER(INDEX(DF:DF,_xlfn.SEQUENCE(100,1,11,3)),INDEX(DF:DF,_xlfn.SEQUENCE(100,1,11,3))&lt;&gt;""),"")&lt;&gt;"")*1)</f>
        <v>0</v>
      </c>
      <c r="DG1" s="47" cm="1">
        <f t="array" ref="DG1">SUMPRODUCT((IFERROR(_xlfn._xlws.FILTER(INDEX(DG:DG,_xlfn.SEQUENCE(100,1,11,3)),INDEX(DG:DG,_xlfn.SEQUENCE(100,1,11,3))&lt;&gt;""),"")&lt;&gt;"")*1)</f>
        <v>0</v>
      </c>
      <c r="DH1" s="47" cm="1">
        <f t="array" ref="DH1">SUMPRODUCT((IFERROR(_xlfn._xlws.FILTER(INDEX(DH:DH,_xlfn.SEQUENCE(100,1,11,3)),INDEX(DH:DH,_xlfn.SEQUENCE(100,1,11,3))&lt;&gt;""),"")&lt;&gt;"")*1)</f>
        <v>0</v>
      </c>
      <c r="DI1" s="47" cm="1">
        <f t="array" ref="DI1">SUMPRODUCT((IFERROR(_xlfn._xlws.FILTER(INDEX(DI:DI,_xlfn.SEQUENCE(100,1,11,3)),INDEX(DI:DI,_xlfn.SEQUENCE(100,1,11,3))&lt;&gt;""),"")&lt;&gt;"")*1)</f>
        <v>0</v>
      </c>
      <c r="DJ1" s="47" cm="1">
        <f t="array" ref="DJ1">SUMPRODUCT((IFERROR(_xlfn._xlws.FILTER(INDEX(DJ:DJ,_xlfn.SEQUENCE(100,1,11,3)),INDEX(DJ:DJ,_xlfn.SEQUENCE(100,1,11,3))&lt;&gt;""),"")&lt;&gt;"")*1)</f>
        <v>0</v>
      </c>
      <c r="DK1" s="47" cm="1">
        <f t="array" ref="DK1">SUMPRODUCT((IFERROR(_xlfn._xlws.FILTER(INDEX(DK:DK,_xlfn.SEQUENCE(100,1,11,3)),INDEX(DK:DK,_xlfn.SEQUENCE(100,1,11,3))&lt;&gt;""),"")&lt;&gt;"")*1)</f>
        <v>0</v>
      </c>
      <c r="DL1" s="47" cm="1">
        <f t="array" ref="DL1">SUMPRODUCT((IFERROR(_xlfn._xlws.FILTER(INDEX(DL:DL,_xlfn.SEQUENCE(100,1,11,3)),INDEX(DL:DL,_xlfn.SEQUENCE(100,1,11,3))&lt;&gt;""),"")&lt;&gt;"")*1)</f>
        <v>0</v>
      </c>
      <c r="DM1" s="47" cm="1">
        <f t="array" ref="DM1">SUMPRODUCT((IFERROR(_xlfn._xlws.FILTER(INDEX(DM:DM,_xlfn.SEQUENCE(100,1,11,3)),INDEX(DM:DM,_xlfn.SEQUENCE(100,1,11,3))&lt;&gt;""),"")&lt;&gt;"")*1)</f>
        <v>0</v>
      </c>
      <c r="DN1" s="47" cm="1">
        <f t="array" ref="DN1">SUMPRODUCT((IFERROR(_xlfn._xlws.FILTER(INDEX(DN:DN,_xlfn.SEQUENCE(100,1,11,3)),INDEX(DN:DN,_xlfn.SEQUENCE(100,1,11,3))&lt;&gt;""),"")&lt;&gt;"")*1)</f>
        <v>0</v>
      </c>
      <c r="DO1" s="47" cm="1">
        <f t="array" ref="DO1">SUMPRODUCT((IFERROR(_xlfn._xlws.FILTER(INDEX(DO:DO,_xlfn.SEQUENCE(100,1,11,3)),INDEX(DO:DO,_xlfn.SEQUENCE(100,1,11,3))&lt;&gt;""),"")&lt;&gt;"")*1)</f>
        <v>0</v>
      </c>
      <c r="DP1" s="47" cm="1">
        <f t="array" ref="DP1">SUMPRODUCT((IFERROR(_xlfn._xlws.FILTER(INDEX(DP:DP,_xlfn.SEQUENCE(100,1,11,3)),INDEX(DP:DP,_xlfn.SEQUENCE(100,1,11,3))&lt;&gt;""),"")&lt;&gt;"")*1)</f>
        <v>0</v>
      </c>
      <c r="DQ1" s="47" cm="1">
        <f t="array" ref="DQ1">SUMPRODUCT((IFERROR(_xlfn._xlws.FILTER(INDEX(DQ:DQ,_xlfn.SEQUENCE(100,1,11,3)),INDEX(DQ:DQ,_xlfn.SEQUENCE(100,1,11,3))&lt;&gt;""),"")&lt;&gt;"")*1)</f>
        <v>0</v>
      </c>
      <c r="DR1" s="47" cm="1">
        <f t="array" ref="DR1">SUMPRODUCT((IFERROR(_xlfn._xlws.FILTER(INDEX(DR:DR,_xlfn.SEQUENCE(100,1,11,3)),INDEX(DR:DR,_xlfn.SEQUENCE(100,1,11,3))&lt;&gt;""),"")&lt;&gt;"")*1)</f>
        <v>0</v>
      </c>
      <c r="DS1" s="47" cm="1">
        <f t="array" ref="DS1">SUMPRODUCT((IFERROR(_xlfn._xlws.FILTER(INDEX(DS:DS,_xlfn.SEQUENCE(100,1,11,3)),INDEX(DS:DS,_xlfn.SEQUENCE(100,1,11,3))&lt;&gt;""),"")&lt;&gt;"")*1)</f>
        <v>0</v>
      </c>
      <c r="DT1" s="47" cm="1">
        <f t="array" ref="DT1">SUMPRODUCT((IFERROR(_xlfn._xlws.FILTER(INDEX(DT:DT,_xlfn.SEQUENCE(100,1,11,3)),INDEX(DT:DT,_xlfn.SEQUENCE(100,1,11,3))&lt;&gt;""),"")&lt;&gt;"")*1)</f>
        <v>0</v>
      </c>
      <c r="DU1" s="47" cm="1">
        <f t="array" ref="DU1">SUMPRODUCT((IFERROR(_xlfn._xlws.FILTER(INDEX(DU:DU,_xlfn.SEQUENCE(100,1,11,3)),INDEX(DU:DU,_xlfn.SEQUENCE(100,1,11,3))&lt;&gt;""),"")&lt;&gt;"")*1)</f>
        <v>0</v>
      </c>
      <c r="DV1" s="47" cm="1">
        <f t="array" ref="DV1">SUMPRODUCT((IFERROR(_xlfn._xlws.FILTER(INDEX(DV:DV,_xlfn.SEQUENCE(100,1,11,3)),INDEX(DV:DV,_xlfn.SEQUENCE(100,1,11,3))&lt;&gt;""),"")&lt;&gt;"")*1)</f>
        <v>0</v>
      </c>
      <c r="DW1" s="47" cm="1">
        <f t="array" ref="DW1">SUMPRODUCT((IFERROR(_xlfn._xlws.FILTER(INDEX(DW:DW,_xlfn.SEQUENCE(100,1,11,3)),INDEX(DW:DW,_xlfn.SEQUENCE(100,1,11,3))&lt;&gt;""),"")&lt;&gt;"")*1)</f>
        <v>0</v>
      </c>
      <c r="DX1" s="47" cm="1">
        <f t="array" ref="DX1">SUMPRODUCT((IFERROR(_xlfn._xlws.FILTER(INDEX(DX:DX,_xlfn.SEQUENCE(100,1,11,3)),INDEX(DX:DX,_xlfn.SEQUENCE(100,1,11,3))&lt;&gt;""),"")&lt;&gt;"")*1)</f>
        <v>0</v>
      </c>
      <c r="DY1" s="47" cm="1">
        <f t="array" ref="DY1">SUMPRODUCT((IFERROR(_xlfn._xlws.FILTER(INDEX(DY:DY,_xlfn.SEQUENCE(100,1,11,3)),INDEX(DY:DY,_xlfn.SEQUENCE(100,1,11,3))&lt;&gt;""),"")&lt;&gt;"")*1)</f>
        <v>0</v>
      </c>
      <c r="DZ1" s="47" cm="1">
        <f t="array" ref="DZ1">SUMPRODUCT((IFERROR(_xlfn._xlws.FILTER(INDEX(DZ:DZ,_xlfn.SEQUENCE(100,1,11,3)),INDEX(DZ:DZ,_xlfn.SEQUENCE(100,1,11,3))&lt;&gt;""),"")&lt;&gt;"")*1)</f>
        <v>0</v>
      </c>
      <c r="EA1" s="47" cm="1">
        <f t="array" ref="EA1">SUMPRODUCT((IFERROR(_xlfn._xlws.FILTER(INDEX(EA:EA,_xlfn.SEQUENCE(100,1,11,3)),INDEX(EA:EA,_xlfn.SEQUENCE(100,1,11,3))&lt;&gt;""),"")&lt;&gt;"")*1)</f>
        <v>0</v>
      </c>
      <c r="EB1" s="47" cm="1">
        <f t="array" ref="EB1">SUMPRODUCT((IFERROR(_xlfn._xlws.FILTER(INDEX(EB:EB,_xlfn.SEQUENCE(100,1,11,3)),INDEX(EB:EB,_xlfn.SEQUENCE(100,1,11,3))&lt;&gt;""),"")&lt;&gt;"")*1)</f>
        <v>0</v>
      </c>
      <c r="EC1" s="47" cm="1">
        <f t="array" ref="EC1">SUMPRODUCT((IFERROR(_xlfn._xlws.FILTER(INDEX(EC:EC,_xlfn.SEQUENCE(100,1,11,3)),INDEX(EC:EC,_xlfn.SEQUENCE(100,1,11,3))&lt;&gt;""),"")&lt;&gt;"")*1)</f>
        <v>0</v>
      </c>
      <c r="ED1" s="47" cm="1">
        <f t="array" ref="ED1">SUMPRODUCT((IFERROR(_xlfn._xlws.FILTER(INDEX(ED:ED,_xlfn.SEQUENCE(100,1,11,3)),INDEX(ED:ED,_xlfn.SEQUENCE(100,1,11,3))&lt;&gt;""),"")&lt;&gt;"")*1)</f>
        <v>0</v>
      </c>
      <c r="EE1" s="47" cm="1">
        <f t="array" ref="EE1">SUMPRODUCT((IFERROR(_xlfn._xlws.FILTER(INDEX(EE:EE,_xlfn.SEQUENCE(100,1,11,3)),INDEX(EE:EE,_xlfn.SEQUENCE(100,1,11,3))&lt;&gt;""),"")&lt;&gt;"")*1)</f>
        <v>0</v>
      </c>
      <c r="EF1" s="47" cm="1">
        <f t="array" ref="EF1">SUMPRODUCT((IFERROR(_xlfn._xlws.FILTER(INDEX(EF:EF,_xlfn.SEQUENCE(100,1,11,3)),INDEX(EF:EF,_xlfn.SEQUENCE(100,1,11,3))&lt;&gt;""),"")&lt;&gt;"")*1)</f>
        <v>0</v>
      </c>
      <c r="EG1" s="47" cm="1">
        <f t="array" ref="EG1">SUMPRODUCT((IFERROR(_xlfn._xlws.FILTER(INDEX(EG:EG,_xlfn.SEQUENCE(100,1,11,3)),INDEX(EG:EG,_xlfn.SEQUENCE(100,1,11,3))&lt;&gt;""),"")&lt;&gt;"")*1)</f>
        <v>0</v>
      </c>
      <c r="EH1" s="47" cm="1">
        <f t="array" ref="EH1">SUMPRODUCT((IFERROR(_xlfn._xlws.FILTER(INDEX(EH:EH,_xlfn.SEQUENCE(100,1,11,3)),INDEX(EH:EH,_xlfn.SEQUENCE(100,1,11,3))&lt;&gt;""),"")&lt;&gt;"")*1)</f>
        <v>0</v>
      </c>
      <c r="EI1" s="47" cm="1">
        <f t="array" ref="EI1">SUMPRODUCT((IFERROR(_xlfn._xlws.FILTER(INDEX(EI:EI,_xlfn.SEQUENCE(100,1,11,3)),INDEX(EI:EI,_xlfn.SEQUENCE(100,1,11,3))&lt;&gt;""),"")&lt;&gt;"")*1)</f>
        <v>0</v>
      </c>
      <c r="EJ1" s="47" cm="1">
        <f t="array" ref="EJ1">SUMPRODUCT((IFERROR(_xlfn._xlws.FILTER(INDEX(EJ:EJ,_xlfn.SEQUENCE(100,1,11,3)),INDEX(EJ:EJ,_xlfn.SEQUENCE(100,1,11,3))&lt;&gt;""),"")&lt;&gt;"")*1)</f>
        <v>0</v>
      </c>
      <c r="EK1" s="47" cm="1">
        <f t="array" ref="EK1">SUMPRODUCT((IFERROR(_xlfn._xlws.FILTER(INDEX(EK:EK,_xlfn.SEQUENCE(100,1,11,3)),INDEX(EK:EK,_xlfn.SEQUENCE(100,1,11,3))&lt;&gt;""),"")&lt;&gt;"")*1)</f>
        <v>0</v>
      </c>
      <c r="EL1" s="47" cm="1">
        <f t="array" ref="EL1">SUMPRODUCT((IFERROR(_xlfn._xlws.FILTER(INDEX(EL:EL,_xlfn.SEQUENCE(100,1,11,3)),INDEX(EL:EL,_xlfn.SEQUENCE(100,1,11,3))&lt;&gt;""),"")&lt;&gt;"")*1)</f>
        <v>0</v>
      </c>
      <c r="EM1" s="47" cm="1">
        <f t="array" ref="EM1">SUMPRODUCT((IFERROR(_xlfn._xlws.FILTER(INDEX(EM:EM,_xlfn.SEQUENCE(100,1,11,3)),INDEX(EM:EM,_xlfn.SEQUENCE(100,1,11,3))&lt;&gt;""),"")&lt;&gt;"")*1)</f>
        <v>0</v>
      </c>
      <c r="EN1" s="47" cm="1">
        <f t="array" ref="EN1">SUMPRODUCT((IFERROR(_xlfn._xlws.FILTER(INDEX(EN:EN,_xlfn.SEQUENCE(100,1,11,3)),INDEX(EN:EN,_xlfn.SEQUENCE(100,1,11,3))&lt;&gt;""),"")&lt;&gt;"")*1)</f>
        <v>0</v>
      </c>
      <c r="EO1" s="47" cm="1">
        <f t="array" ref="EO1">SUMPRODUCT((IFERROR(_xlfn._xlws.FILTER(INDEX(EO:EO,_xlfn.SEQUENCE(100,1,11,3)),INDEX(EO:EO,_xlfn.SEQUENCE(100,1,11,3))&lt;&gt;""),"")&lt;&gt;"")*1)</f>
        <v>0</v>
      </c>
      <c r="EP1" s="47" cm="1">
        <f t="array" ref="EP1">SUMPRODUCT((IFERROR(_xlfn._xlws.FILTER(INDEX(EP:EP,_xlfn.SEQUENCE(100,1,11,3)),INDEX(EP:EP,_xlfn.SEQUENCE(100,1,11,3))&lt;&gt;""),"")&lt;&gt;"")*1)</f>
        <v>0</v>
      </c>
      <c r="EQ1" s="47" cm="1">
        <f t="array" ref="EQ1">SUMPRODUCT((IFERROR(_xlfn._xlws.FILTER(INDEX(EQ:EQ,_xlfn.SEQUENCE(100,1,11,3)),INDEX(EQ:EQ,_xlfn.SEQUENCE(100,1,11,3))&lt;&gt;""),"")&lt;&gt;"")*1)</f>
        <v>0</v>
      </c>
      <c r="ER1" s="47" cm="1">
        <f t="array" ref="ER1">SUMPRODUCT((IFERROR(_xlfn._xlws.FILTER(INDEX(ER:ER,_xlfn.SEQUENCE(100,1,11,3)),INDEX(ER:ER,_xlfn.SEQUENCE(100,1,11,3))&lt;&gt;""),"")&lt;&gt;"")*1)</f>
        <v>0</v>
      </c>
      <c r="ES1" s="47" cm="1">
        <f t="array" ref="ES1">SUMPRODUCT((IFERROR(_xlfn._xlws.FILTER(INDEX(ES:ES,_xlfn.SEQUENCE(100,1,11,3)),INDEX(ES:ES,_xlfn.SEQUENCE(100,1,11,3))&lt;&gt;""),"")&lt;&gt;"")*1)</f>
        <v>0</v>
      </c>
      <c r="ET1" s="47" cm="1">
        <f t="array" ref="ET1">SUMPRODUCT((IFERROR(_xlfn._xlws.FILTER(INDEX(ET:ET,_xlfn.SEQUENCE(100,1,11,3)),INDEX(ET:ET,_xlfn.SEQUENCE(100,1,11,3))&lt;&gt;""),"")&lt;&gt;"")*1)</f>
        <v>0</v>
      </c>
      <c r="EU1" s="47" cm="1">
        <f t="array" ref="EU1">SUMPRODUCT((IFERROR(_xlfn._xlws.FILTER(INDEX(EU:EU,_xlfn.SEQUENCE(100,1,11,3)),INDEX(EU:EU,_xlfn.SEQUENCE(100,1,11,3))&lt;&gt;""),"")&lt;&gt;"")*1)</f>
        <v>0</v>
      </c>
      <c r="EV1" s="47" cm="1">
        <f t="array" ref="EV1">SUMPRODUCT((IFERROR(_xlfn._xlws.FILTER(INDEX(EV:EV,_xlfn.SEQUENCE(100,1,11,3)),INDEX(EV:EV,_xlfn.SEQUENCE(100,1,11,3))&lt;&gt;""),"")&lt;&gt;"")*1)</f>
        <v>0</v>
      </c>
      <c r="EW1" s="47" cm="1">
        <f t="array" ref="EW1">SUMPRODUCT((IFERROR(_xlfn._xlws.FILTER(INDEX(EW:EW,_xlfn.SEQUENCE(100,1,11,3)),INDEX(EW:EW,_xlfn.SEQUENCE(100,1,11,3))&lt;&gt;""),"")&lt;&gt;"")*1)</f>
        <v>0</v>
      </c>
      <c r="EX1" s="47" cm="1">
        <f t="array" ref="EX1">SUMPRODUCT((IFERROR(_xlfn._xlws.FILTER(INDEX(EX:EX,_xlfn.SEQUENCE(100,1,11,3)),INDEX(EX:EX,_xlfn.SEQUENCE(100,1,11,3))&lt;&gt;""),"")&lt;&gt;"")*1)</f>
        <v>0</v>
      </c>
      <c r="EY1" s="47" cm="1">
        <f t="array" ref="EY1">SUMPRODUCT((IFERROR(_xlfn._xlws.FILTER(INDEX(EY:EY,_xlfn.SEQUENCE(100,1,11,3)),INDEX(EY:EY,_xlfn.SEQUENCE(100,1,11,3))&lt;&gt;""),"")&lt;&gt;"")*1)</f>
        <v>0</v>
      </c>
      <c r="EZ1" s="47" cm="1">
        <f t="array" ref="EZ1">SUMPRODUCT((IFERROR(_xlfn._xlws.FILTER(INDEX(EZ:EZ,_xlfn.SEQUENCE(100,1,11,3)),INDEX(EZ:EZ,_xlfn.SEQUENCE(100,1,11,3))&lt;&gt;""),"")&lt;&gt;"")*1)</f>
        <v>0</v>
      </c>
      <c r="FA1" s="47" cm="1">
        <f t="array" ref="FA1">SUMPRODUCT((IFERROR(_xlfn._xlws.FILTER(INDEX(FA:FA,_xlfn.SEQUENCE(100,1,11,3)),INDEX(FA:FA,_xlfn.SEQUENCE(100,1,11,3))&lt;&gt;""),"")&lt;&gt;"")*1)</f>
        <v>0</v>
      </c>
      <c r="FB1" s="47" cm="1">
        <f t="array" ref="FB1">SUMPRODUCT((IFERROR(_xlfn._xlws.FILTER(INDEX(FB:FB,_xlfn.SEQUENCE(100,1,11,3)),INDEX(FB:FB,_xlfn.SEQUENCE(100,1,11,3))&lt;&gt;""),"")&lt;&gt;"")*1)</f>
        <v>0</v>
      </c>
      <c r="FC1" s="47" cm="1">
        <f t="array" ref="FC1">SUMPRODUCT((IFERROR(_xlfn._xlws.FILTER(INDEX(FC:FC,_xlfn.SEQUENCE(100,1,11,3)),INDEX(FC:FC,_xlfn.SEQUENCE(100,1,11,3))&lt;&gt;""),"")&lt;&gt;"")*1)</f>
        <v>0</v>
      </c>
      <c r="FD1" s="47" cm="1">
        <f t="array" ref="FD1">SUMPRODUCT((IFERROR(_xlfn._xlws.FILTER(INDEX(FD:FD,_xlfn.SEQUENCE(100,1,11,3)),INDEX(FD:FD,_xlfn.SEQUENCE(100,1,11,3))&lt;&gt;""),"")&lt;&gt;"")*1)</f>
        <v>0</v>
      </c>
      <c r="FE1" s="47" cm="1">
        <f t="array" ref="FE1">SUMPRODUCT((IFERROR(_xlfn._xlws.FILTER(INDEX(FE:FE,_xlfn.SEQUENCE(100,1,11,3)),INDEX(FE:FE,_xlfn.SEQUENCE(100,1,11,3))&lt;&gt;""),"")&lt;&gt;"")*1)</f>
        <v>0</v>
      </c>
      <c r="FF1" s="47" cm="1">
        <f t="array" ref="FF1">SUMPRODUCT((IFERROR(_xlfn._xlws.FILTER(INDEX(FF:FF,_xlfn.SEQUENCE(100,1,11,3)),INDEX(FF:FF,_xlfn.SEQUENCE(100,1,11,3))&lt;&gt;""),"")&lt;&gt;"")*1)</f>
        <v>0</v>
      </c>
      <c r="FG1" s="47" cm="1">
        <f t="array" ref="FG1">SUMPRODUCT((IFERROR(_xlfn._xlws.FILTER(INDEX(FG:FG,_xlfn.SEQUENCE(100,1,11,3)),INDEX(FG:FG,_xlfn.SEQUENCE(100,1,11,3))&lt;&gt;""),"")&lt;&gt;"")*1)</f>
        <v>0</v>
      </c>
      <c r="FH1" s="47" cm="1">
        <f t="array" ref="FH1">SUMPRODUCT((IFERROR(_xlfn._xlws.FILTER(INDEX(FH:FH,_xlfn.SEQUENCE(100,1,11,3)),INDEX(FH:FH,_xlfn.SEQUENCE(100,1,11,3))&lt;&gt;""),"")&lt;&gt;"")*1)</f>
        <v>0</v>
      </c>
      <c r="FI1" s="47" cm="1">
        <f t="array" ref="FI1">SUMPRODUCT((IFERROR(_xlfn._xlws.FILTER(INDEX(FI:FI,_xlfn.SEQUENCE(100,1,11,3)),INDEX(FI:FI,_xlfn.SEQUENCE(100,1,11,3))&lt;&gt;""),"")&lt;&gt;"")*1)</f>
        <v>0</v>
      </c>
      <c r="FJ1" s="47" cm="1">
        <f t="array" ref="FJ1">SUMPRODUCT((IFERROR(_xlfn._xlws.FILTER(INDEX(FJ:FJ,_xlfn.SEQUENCE(100,1,11,3)),INDEX(FJ:FJ,_xlfn.SEQUENCE(100,1,11,3))&lt;&gt;""),"")&lt;&gt;"")*1)</f>
        <v>0</v>
      </c>
      <c r="FK1" s="47" cm="1">
        <f t="array" ref="FK1">SUMPRODUCT((IFERROR(_xlfn._xlws.FILTER(INDEX(FK:FK,_xlfn.SEQUENCE(100,1,11,3)),INDEX(FK:FK,_xlfn.SEQUENCE(100,1,11,3))&lt;&gt;""),"")&lt;&gt;"")*1)</f>
        <v>0</v>
      </c>
      <c r="FL1" s="47" cm="1">
        <f t="array" ref="FL1">SUMPRODUCT((IFERROR(_xlfn._xlws.FILTER(INDEX(FL:FL,_xlfn.SEQUENCE(100,1,11,3)),INDEX(FL:FL,_xlfn.SEQUENCE(100,1,11,3))&lt;&gt;""),"")&lt;&gt;"")*1)</f>
        <v>0</v>
      </c>
      <c r="FM1" s="47" cm="1">
        <f t="array" ref="FM1">SUMPRODUCT((IFERROR(_xlfn._xlws.FILTER(INDEX(FM:FM,_xlfn.SEQUENCE(100,1,11,3)),INDEX(FM:FM,_xlfn.SEQUENCE(100,1,11,3))&lt;&gt;""),"")&lt;&gt;"")*1)</f>
        <v>0</v>
      </c>
      <c r="FN1" s="47" cm="1">
        <f t="array" ref="FN1">SUMPRODUCT((IFERROR(_xlfn._xlws.FILTER(INDEX(FN:FN,_xlfn.SEQUENCE(100,1,11,3)),INDEX(FN:FN,_xlfn.SEQUENCE(100,1,11,3))&lt;&gt;""),"")&lt;&gt;"")*1)</f>
        <v>0</v>
      </c>
      <c r="FO1" s="47" cm="1">
        <f t="array" ref="FO1">SUMPRODUCT((IFERROR(_xlfn._xlws.FILTER(INDEX(FO:FO,_xlfn.SEQUENCE(100,1,11,3)),INDEX(FO:FO,_xlfn.SEQUENCE(100,1,11,3))&lt;&gt;""),"")&lt;&gt;"")*1)</f>
        <v>0</v>
      </c>
      <c r="FP1" s="47" cm="1">
        <f t="array" ref="FP1">SUMPRODUCT((IFERROR(_xlfn._xlws.FILTER(INDEX(FP:FP,_xlfn.SEQUENCE(100,1,11,3)),INDEX(FP:FP,_xlfn.SEQUENCE(100,1,11,3))&lt;&gt;""),"")&lt;&gt;"")*1)</f>
        <v>0</v>
      </c>
      <c r="FQ1" s="47" cm="1">
        <f t="array" ref="FQ1">SUMPRODUCT((IFERROR(_xlfn._xlws.FILTER(INDEX(FQ:FQ,_xlfn.SEQUENCE(100,1,11,3)),INDEX(FQ:FQ,_xlfn.SEQUENCE(100,1,11,3))&lt;&gt;""),"")&lt;&gt;"")*1)</f>
        <v>0</v>
      </c>
      <c r="FR1" s="47" cm="1">
        <f t="array" ref="FR1">SUMPRODUCT((IFERROR(_xlfn._xlws.FILTER(INDEX(FR:FR,_xlfn.SEQUENCE(100,1,11,3)),INDEX(FR:FR,_xlfn.SEQUENCE(100,1,11,3))&lt;&gt;""),"")&lt;&gt;"")*1)</f>
        <v>0</v>
      </c>
      <c r="FS1" s="47" cm="1">
        <f t="array" ref="FS1">SUMPRODUCT((IFERROR(_xlfn._xlws.FILTER(INDEX(FS:FS,_xlfn.SEQUENCE(100,1,11,3)),INDEX(FS:FS,_xlfn.SEQUENCE(100,1,11,3))&lt;&gt;""),"")&lt;&gt;"")*1)</f>
        <v>0</v>
      </c>
      <c r="FT1" s="47" cm="1">
        <f t="array" ref="FT1">SUMPRODUCT((IFERROR(_xlfn._xlws.FILTER(INDEX(FT:FT,_xlfn.SEQUENCE(100,1,11,3)),INDEX(FT:FT,_xlfn.SEQUENCE(100,1,11,3))&lt;&gt;""),"")&lt;&gt;"")*1)</f>
        <v>0</v>
      </c>
      <c r="FU1" s="47" cm="1">
        <f t="array" ref="FU1">SUMPRODUCT((IFERROR(_xlfn._xlws.FILTER(INDEX(FU:FU,_xlfn.SEQUENCE(100,1,11,3)),INDEX(FU:FU,_xlfn.SEQUENCE(100,1,11,3))&lt;&gt;""),"")&lt;&gt;"")*1)</f>
        <v>0</v>
      </c>
      <c r="FV1" s="47" cm="1">
        <f t="array" ref="FV1">SUMPRODUCT((IFERROR(_xlfn._xlws.FILTER(INDEX(FV:FV,_xlfn.SEQUENCE(100,1,11,3)),INDEX(FV:FV,_xlfn.SEQUENCE(100,1,11,3))&lt;&gt;""),"")&lt;&gt;"")*1)</f>
        <v>0</v>
      </c>
      <c r="FW1" s="47" cm="1">
        <f t="array" ref="FW1">SUMPRODUCT((IFERROR(_xlfn._xlws.FILTER(INDEX(FW:FW,_xlfn.SEQUENCE(100,1,11,3)),INDEX(FW:FW,_xlfn.SEQUENCE(100,1,11,3))&lt;&gt;""),"")&lt;&gt;"")*1)</f>
        <v>0</v>
      </c>
      <c r="FX1" s="47" cm="1">
        <f t="array" ref="FX1">SUMPRODUCT((IFERROR(_xlfn._xlws.FILTER(INDEX(FX:FX,_xlfn.SEQUENCE(100,1,11,3)),INDEX(FX:FX,_xlfn.SEQUENCE(100,1,11,3))&lt;&gt;""),"")&lt;&gt;"")*1)</f>
        <v>0</v>
      </c>
      <c r="FY1" s="47" cm="1">
        <f t="array" ref="FY1">SUMPRODUCT((IFERROR(_xlfn._xlws.FILTER(INDEX(FY:FY,_xlfn.SEQUENCE(100,1,11,3)),INDEX(FY:FY,_xlfn.SEQUENCE(100,1,11,3))&lt;&gt;""),"")&lt;&gt;"")*1)</f>
        <v>0</v>
      </c>
      <c r="FZ1" s="47" cm="1">
        <f t="array" ref="FZ1">SUMPRODUCT((IFERROR(_xlfn._xlws.FILTER(INDEX(FZ:FZ,_xlfn.SEQUENCE(100,1,11,3)),INDEX(FZ:FZ,_xlfn.SEQUENCE(100,1,11,3))&lt;&gt;""),"")&lt;&gt;"")*1)</f>
        <v>0</v>
      </c>
      <c r="GA1" s="47" cm="1">
        <f t="array" ref="GA1">SUMPRODUCT((IFERROR(_xlfn._xlws.FILTER(INDEX(GA:GA,_xlfn.SEQUENCE(100,1,11,3)),INDEX(GA:GA,_xlfn.SEQUENCE(100,1,11,3))&lt;&gt;""),"")&lt;&gt;"")*1)</f>
        <v>0</v>
      </c>
      <c r="GB1" s="47" cm="1">
        <f t="array" ref="GB1">SUMPRODUCT((IFERROR(_xlfn._xlws.FILTER(INDEX(GB:GB,_xlfn.SEQUENCE(100,1,11,3)),INDEX(GB:GB,_xlfn.SEQUENCE(100,1,11,3))&lt;&gt;""),"")&lt;&gt;"")*1)</f>
        <v>0</v>
      </c>
      <c r="GC1" s="47" cm="1">
        <f t="array" ref="GC1">SUMPRODUCT((IFERROR(_xlfn._xlws.FILTER(INDEX(GC:GC,_xlfn.SEQUENCE(100,1,11,3)),INDEX(GC:GC,_xlfn.SEQUENCE(100,1,11,3))&lt;&gt;""),"")&lt;&gt;"")*1)</f>
        <v>0</v>
      </c>
      <c r="GD1" s="47" cm="1">
        <f t="array" ref="GD1">SUMPRODUCT((IFERROR(_xlfn._xlws.FILTER(INDEX(GD:GD,_xlfn.SEQUENCE(100,1,11,3)),INDEX(GD:GD,_xlfn.SEQUENCE(100,1,11,3))&lt;&gt;""),"")&lt;&gt;"")*1)</f>
        <v>0</v>
      </c>
      <c r="GE1" s="47" cm="1">
        <f t="array" ref="GE1">SUMPRODUCT((IFERROR(_xlfn._xlws.FILTER(INDEX(GE:GE,_xlfn.SEQUENCE(100,1,11,3)),INDEX(GE:GE,_xlfn.SEQUENCE(100,1,11,3))&lt;&gt;""),"")&lt;&gt;"")*1)</f>
        <v>0</v>
      </c>
      <c r="GF1" s="47" cm="1">
        <f t="array" ref="GF1">SUMPRODUCT((IFERROR(_xlfn._xlws.FILTER(INDEX(GF:GF,_xlfn.SEQUENCE(100,1,11,3)),INDEX(GF:GF,_xlfn.SEQUENCE(100,1,11,3))&lt;&gt;""),"")&lt;&gt;"")*1)</f>
        <v>0</v>
      </c>
      <c r="GG1" s="47" cm="1">
        <f t="array" ref="GG1">SUMPRODUCT((IFERROR(_xlfn._xlws.FILTER(INDEX(GG:GG,_xlfn.SEQUENCE(100,1,11,3)),INDEX(GG:GG,_xlfn.SEQUENCE(100,1,11,3))&lt;&gt;""),"")&lt;&gt;"")*1)</f>
        <v>0</v>
      </c>
      <c r="GH1" s="47" cm="1">
        <f t="array" ref="GH1">SUMPRODUCT((IFERROR(_xlfn._xlws.FILTER(INDEX(GH:GH,_xlfn.SEQUENCE(100,1,11,3)),INDEX(GH:GH,_xlfn.SEQUENCE(100,1,11,3))&lt;&gt;""),"")&lt;&gt;"")*1)</f>
        <v>0</v>
      </c>
      <c r="GI1" s="47" cm="1">
        <f t="array" ref="GI1">SUMPRODUCT((IFERROR(_xlfn._xlws.FILTER(INDEX(GI:GI,_xlfn.SEQUENCE(100,1,11,3)),INDEX(GI:GI,_xlfn.SEQUENCE(100,1,11,3))&lt;&gt;""),"")&lt;&gt;"")*1)</f>
        <v>0</v>
      </c>
      <c r="GJ1" s="47" cm="1">
        <f t="array" ref="GJ1">SUMPRODUCT((IFERROR(_xlfn._xlws.FILTER(INDEX(GJ:GJ,_xlfn.SEQUENCE(100,1,11,3)),INDEX(GJ:GJ,_xlfn.SEQUENCE(100,1,11,3))&lt;&gt;""),"")&lt;&gt;"")*1)</f>
        <v>0</v>
      </c>
      <c r="GK1" s="47" cm="1">
        <f t="array" ref="GK1">SUMPRODUCT((IFERROR(_xlfn._xlws.FILTER(INDEX(GK:GK,_xlfn.SEQUENCE(100,1,11,3)),INDEX(GK:GK,_xlfn.SEQUENCE(100,1,11,3))&lt;&gt;""),"")&lt;&gt;"")*1)</f>
        <v>0</v>
      </c>
      <c r="GL1" s="47" cm="1">
        <f t="array" ref="GL1">SUMPRODUCT((IFERROR(_xlfn._xlws.FILTER(INDEX(GL:GL,_xlfn.SEQUENCE(100,1,11,3)),INDEX(GL:GL,_xlfn.SEQUENCE(100,1,11,3))&lt;&gt;""),"")&lt;&gt;"")*1)</f>
        <v>0</v>
      </c>
      <c r="GM1" s="47" cm="1">
        <f t="array" ref="GM1">SUMPRODUCT((IFERROR(_xlfn._xlws.FILTER(INDEX(GM:GM,_xlfn.SEQUENCE(100,1,11,3)),INDEX(GM:GM,_xlfn.SEQUENCE(100,1,11,3))&lt;&gt;""),"")&lt;&gt;"")*1)</f>
        <v>0</v>
      </c>
      <c r="GN1" s="47" cm="1">
        <f t="array" ref="GN1">SUMPRODUCT((IFERROR(_xlfn._xlws.FILTER(INDEX(GN:GN,_xlfn.SEQUENCE(100,1,11,3)),INDEX(GN:GN,_xlfn.SEQUENCE(100,1,11,3))&lt;&gt;""),"")&lt;&gt;"")*1)</f>
        <v>0</v>
      </c>
      <c r="GO1" s="47" cm="1">
        <f t="array" ref="GO1">SUMPRODUCT((IFERROR(_xlfn._xlws.FILTER(INDEX(GO:GO,_xlfn.SEQUENCE(100,1,11,3)),INDEX(GO:GO,_xlfn.SEQUENCE(100,1,11,3))&lt;&gt;""),"")&lt;&gt;"")*1)</f>
        <v>0</v>
      </c>
      <c r="GP1" s="47" cm="1">
        <f t="array" ref="GP1">SUMPRODUCT((IFERROR(_xlfn._xlws.FILTER(INDEX(GP:GP,_xlfn.SEQUENCE(100,1,11,3)),INDEX(GP:GP,_xlfn.SEQUENCE(100,1,11,3))&lt;&gt;""),"")&lt;&gt;"")*1)</f>
        <v>0</v>
      </c>
      <c r="GQ1" s="47" cm="1">
        <f t="array" ref="GQ1">SUMPRODUCT((IFERROR(_xlfn._xlws.FILTER(INDEX(GQ:GQ,_xlfn.SEQUENCE(100,1,11,3)),INDEX(GQ:GQ,_xlfn.SEQUENCE(100,1,11,3))&lt;&gt;""),"")&lt;&gt;"")*1)</f>
        <v>0</v>
      </c>
      <c r="GR1" s="47" cm="1">
        <f t="array" ref="GR1">SUMPRODUCT((IFERROR(_xlfn._xlws.FILTER(INDEX(GR:GR,_xlfn.SEQUENCE(100,1,11,3)),INDEX(GR:GR,_xlfn.SEQUENCE(100,1,11,3))&lt;&gt;""),"")&lt;&gt;"")*1)</f>
        <v>0</v>
      </c>
      <c r="GS1" s="47" cm="1">
        <f t="array" ref="GS1">SUMPRODUCT((IFERROR(_xlfn._xlws.FILTER(INDEX(GS:GS,_xlfn.SEQUENCE(100,1,11,3)),INDEX(GS:GS,_xlfn.SEQUENCE(100,1,11,3))&lt;&gt;""),"")&lt;&gt;"")*1)</f>
        <v>0</v>
      </c>
      <c r="GT1" s="47" cm="1">
        <f t="array" ref="GT1">SUMPRODUCT((IFERROR(_xlfn._xlws.FILTER(INDEX(GT:GT,_xlfn.SEQUENCE(100,1,11,3)),INDEX(GT:GT,_xlfn.SEQUENCE(100,1,11,3))&lt;&gt;""),"")&lt;&gt;"")*1)</f>
        <v>0</v>
      </c>
      <c r="GU1" s="47" cm="1">
        <f t="array" ref="GU1">SUMPRODUCT((IFERROR(_xlfn._xlws.FILTER(INDEX(GU:GU,_xlfn.SEQUENCE(100,1,11,3)),INDEX(GU:GU,_xlfn.SEQUENCE(100,1,11,3))&lt;&gt;""),"")&lt;&gt;"")*1)</f>
        <v>0</v>
      </c>
      <c r="GV1" s="47" cm="1">
        <f t="array" ref="GV1">SUMPRODUCT((IFERROR(_xlfn._xlws.FILTER(INDEX(GV:GV,_xlfn.SEQUENCE(100,1,11,3)),INDEX(GV:GV,_xlfn.SEQUENCE(100,1,11,3))&lt;&gt;""),"")&lt;&gt;"")*1)</f>
        <v>0</v>
      </c>
      <c r="GW1" s="47" cm="1">
        <f t="array" ref="GW1">SUMPRODUCT((IFERROR(_xlfn._xlws.FILTER(INDEX(GW:GW,_xlfn.SEQUENCE(100,1,11,3)),INDEX(GW:GW,_xlfn.SEQUENCE(100,1,11,3))&lt;&gt;""),"")&lt;&gt;"")*1)</f>
        <v>0</v>
      </c>
      <c r="GX1" s="47" cm="1">
        <f t="array" ref="GX1">SUMPRODUCT((IFERROR(_xlfn._xlws.FILTER(INDEX(GX:GX,_xlfn.SEQUENCE(100,1,11,3)),INDEX(GX:GX,_xlfn.SEQUENCE(100,1,11,3))&lt;&gt;""),"")&lt;&gt;"")*1)</f>
        <v>0</v>
      </c>
      <c r="GY1" s="47" cm="1">
        <f t="array" ref="GY1">SUMPRODUCT((IFERROR(_xlfn._xlws.FILTER(INDEX(GY:GY,_xlfn.SEQUENCE(100,1,11,3)),INDEX(GY:GY,_xlfn.SEQUENCE(100,1,11,3))&lt;&gt;""),"")&lt;&gt;"")*1)</f>
        <v>0</v>
      </c>
      <c r="GZ1" s="47" cm="1">
        <f t="array" ref="GZ1">SUMPRODUCT((IFERROR(_xlfn._xlws.FILTER(INDEX(GZ:GZ,_xlfn.SEQUENCE(100,1,11,3)),INDEX(GZ:GZ,_xlfn.SEQUENCE(100,1,11,3))&lt;&gt;""),"")&lt;&gt;"")*1)</f>
        <v>0</v>
      </c>
      <c r="HA1" s="47" cm="1">
        <f t="array" ref="HA1">SUMPRODUCT((IFERROR(_xlfn._xlws.FILTER(INDEX(HA:HA,_xlfn.SEQUENCE(100,1,11,3)),INDEX(HA:HA,_xlfn.SEQUENCE(100,1,11,3))&lt;&gt;""),"")&lt;&gt;"")*1)</f>
        <v>0</v>
      </c>
      <c r="HB1" s="47" cm="1">
        <f t="array" ref="HB1">SUMPRODUCT((IFERROR(_xlfn._xlws.FILTER(INDEX(HB:HB,_xlfn.SEQUENCE(100,1,11,3)),INDEX(HB:HB,_xlfn.SEQUENCE(100,1,11,3))&lt;&gt;""),"")&lt;&gt;"")*1)</f>
        <v>0</v>
      </c>
      <c r="HC1" s="47" cm="1">
        <f t="array" ref="HC1">SUMPRODUCT((IFERROR(_xlfn._xlws.FILTER(INDEX(HC:HC,_xlfn.SEQUENCE(100,1,11,3)),INDEX(HC:HC,_xlfn.SEQUENCE(100,1,11,3))&lt;&gt;""),"")&lt;&gt;"")*1)</f>
        <v>0</v>
      </c>
      <c r="HD1" s="47" cm="1">
        <f t="array" ref="HD1">SUMPRODUCT((IFERROR(_xlfn._xlws.FILTER(INDEX(HD:HD,_xlfn.SEQUENCE(100,1,11,3)),INDEX(HD:HD,_xlfn.SEQUENCE(100,1,11,3))&lt;&gt;""),"")&lt;&gt;"")*1)</f>
        <v>0</v>
      </c>
      <c r="HE1" s="47" cm="1">
        <f t="array" ref="HE1">SUMPRODUCT((IFERROR(_xlfn._xlws.FILTER(INDEX(HE:HE,_xlfn.SEQUENCE(100,1,11,3)),INDEX(HE:HE,_xlfn.SEQUENCE(100,1,11,3))&lt;&gt;""),"")&lt;&gt;"")*1)</f>
        <v>0</v>
      </c>
      <c r="HF1" s="47" cm="1">
        <f t="array" ref="HF1">SUMPRODUCT((IFERROR(_xlfn._xlws.FILTER(INDEX(HF:HF,_xlfn.SEQUENCE(100,1,11,3)),INDEX(HF:HF,_xlfn.SEQUENCE(100,1,11,3))&lt;&gt;""),"")&lt;&gt;"")*1)</f>
        <v>0</v>
      </c>
      <c r="HG1" s="47" cm="1">
        <f t="array" ref="HG1">SUMPRODUCT((IFERROR(_xlfn._xlws.FILTER(INDEX(HG:HG,_xlfn.SEQUENCE(100,1,11,3)),INDEX(HG:HG,_xlfn.SEQUENCE(100,1,11,3))&lt;&gt;""),"")&lt;&gt;"")*1)</f>
        <v>0</v>
      </c>
      <c r="HH1" s="47" cm="1">
        <f t="array" ref="HH1">SUMPRODUCT((IFERROR(_xlfn._xlws.FILTER(INDEX(HH:HH,_xlfn.SEQUENCE(100,1,11,3)),INDEX(HH:HH,_xlfn.SEQUENCE(100,1,11,3))&lt;&gt;""),"")&lt;&gt;"")*1)</f>
        <v>0</v>
      </c>
      <c r="HI1" s="47" cm="1">
        <f t="array" ref="HI1">SUMPRODUCT((IFERROR(_xlfn._xlws.FILTER(INDEX(HI:HI,_xlfn.SEQUENCE(100,1,11,3)),INDEX(HI:HI,_xlfn.SEQUENCE(100,1,11,3))&lt;&gt;""),"")&lt;&gt;"")*1)</f>
        <v>0</v>
      </c>
      <c r="HJ1" s="47" cm="1">
        <f t="array" ref="HJ1">SUMPRODUCT((IFERROR(_xlfn._xlws.FILTER(INDEX(HJ:HJ,_xlfn.SEQUENCE(100,1,11,3)),INDEX(HJ:HJ,_xlfn.SEQUENCE(100,1,11,3))&lt;&gt;""),"")&lt;&gt;"")*1)</f>
        <v>0</v>
      </c>
      <c r="HK1" s="47" cm="1">
        <f t="array" ref="HK1">SUMPRODUCT((IFERROR(_xlfn._xlws.FILTER(INDEX(HK:HK,_xlfn.SEQUENCE(100,1,11,3)),INDEX(HK:HK,_xlfn.SEQUENCE(100,1,11,3))&lt;&gt;""),"")&lt;&gt;"")*1)</f>
        <v>0</v>
      </c>
      <c r="HL1" s="47" cm="1">
        <f t="array" ref="HL1">SUMPRODUCT((IFERROR(_xlfn._xlws.FILTER(INDEX(HL:HL,_xlfn.SEQUENCE(100,1,11,3)),INDEX(HL:HL,_xlfn.SEQUENCE(100,1,11,3))&lt;&gt;""),"")&lt;&gt;"")*1)</f>
        <v>0</v>
      </c>
      <c r="HM1" s="47" cm="1">
        <f t="array" ref="HM1">SUMPRODUCT((IFERROR(_xlfn._xlws.FILTER(INDEX(HM:HM,_xlfn.SEQUENCE(100,1,11,3)),INDEX(HM:HM,_xlfn.SEQUENCE(100,1,11,3))&lt;&gt;""),"")&lt;&gt;"")*1)</f>
        <v>0</v>
      </c>
      <c r="HN1" s="47" cm="1">
        <f t="array" ref="HN1">SUMPRODUCT((IFERROR(_xlfn._xlws.FILTER(INDEX(HN:HN,_xlfn.SEQUENCE(100,1,11,3)),INDEX(HN:HN,_xlfn.SEQUENCE(100,1,11,3))&lt;&gt;""),"")&lt;&gt;"")*1)</f>
        <v>0</v>
      </c>
      <c r="HO1" s="47" cm="1">
        <f t="array" ref="HO1">SUMPRODUCT((IFERROR(_xlfn._xlws.FILTER(INDEX(HO:HO,_xlfn.SEQUENCE(100,1,11,3)),INDEX(HO:HO,_xlfn.SEQUENCE(100,1,11,3))&lt;&gt;""),"")&lt;&gt;"")*1)</f>
        <v>0</v>
      </c>
      <c r="HP1" s="47" cm="1">
        <f t="array" ref="HP1">SUMPRODUCT((IFERROR(_xlfn._xlws.FILTER(INDEX(HP:HP,_xlfn.SEQUENCE(100,1,11,3)),INDEX(HP:HP,_xlfn.SEQUENCE(100,1,11,3))&lt;&gt;""),"")&lt;&gt;"")*1)</f>
        <v>0</v>
      </c>
      <c r="HQ1" s="47" cm="1">
        <f t="array" ref="HQ1">SUMPRODUCT((IFERROR(_xlfn._xlws.FILTER(INDEX(HQ:HQ,_xlfn.SEQUENCE(100,1,11,3)),INDEX(HQ:HQ,_xlfn.SEQUENCE(100,1,11,3))&lt;&gt;""),"")&lt;&gt;"")*1)</f>
        <v>0</v>
      </c>
      <c r="HR1" s="47" cm="1">
        <f t="array" ref="HR1">SUMPRODUCT((IFERROR(_xlfn._xlws.FILTER(INDEX(HR:HR,_xlfn.SEQUENCE(100,1,11,3)),INDEX(HR:HR,_xlfn.SEQUENCE(100,1,11,3))&lt;&gt;""),"")&lt;&gt;"")*1)</f>
        <v>0</v>
      </c>
      <c r="HS1" s="47" cm="1">
        <f t="array" ref="HS1">SUMPRODUCT((IFERROR(_xlfn._xlws.FILTER(INDEX(HS:HS,_xlfn.SEQUENCE(100,1,11,3)),INDEX(HS:HS,_xlfn.SEQUENCE(100,1,11,3))&lt;&gt;""),"")&lt;&gt;"")*1)</f>
        <v>0</v>
      </c>
      <c r="HT1" s="47" cm="1">
        <f t="array" ref="HT1">SUMPRODUCT((IFERROR(_xlfn._xlws.FILTER(INDEX(HT:HT,_xlfn.SEQUENCE(100,1,11,3)),INDEX(HT:HT,_xlfn.SEQUENCE(100,1,11,3))&lt;&gt;""),"")&lt;&gt;"")*1)</f>
        <v>0</v>
      </c>
      <c r="HU1" s="47" cm="1">
        <f t="array" ref="HU1">SUMPRODUCT((IFERROR(_xlfn._xlws.FILTER(INDEX(HU:HU,_xlfn.SEQUENCE(100,1,11,3)),INDEX(HU:HU,_xlfn.SEQUENCE(100,1,11,3))&lt;&gt;""),"")&lt;&gt;"")*1)</f>
        <v>0</v>
      </c>
      <c r="HV1" s="47" cm="1">
        <f t="array" ref="HV1">SUMPRODUCT((IFERROR(_xlfn._xlws.FILTER(INDEX(HV:HV,_xlfn.SEQUENCE(100,1,11,3)),INDEX(HV:HV,_xlfn.SEQUENCE(100,1,11,3))&lt;&gt;""),"")&lt;&gt;"")*1)</f>
        <v>0</v>
      </c>
      <c r="HW1" s="47" cm="1">
        <f t="array" ref="HW1">SUMPRODUCT((IFERROR(_xlfn._xlws.FILTER(INDEX(HW:HW,_xlfn.SEQUENCE(100,1,11,3)),INDEX(HW:HW,_xlfn.SEQUENCE(100,1,11,3))&lt;&gt;""),"")&lt;&gt;"")*1)</f>
        <v>0</v>
      </c>
      <c r="HX1" s="47" cm="1">
        <f t="array" ref="HX1">SUMPRODUCT((IFERROR(_xlfn._xlws.FILTER(INDEX(HX:HX,_xlfn.SEQUENCE(100,1,11,3)),INDEX(HX:HX,_xlfn.SEQUENCE(100,1,11,3))&lt;&gt;""),"")&lt;&gt;"")*1)</f>
        <v>0</v>
      </c>
      <c r="HY1" s="47" cm="1">
        <f t="array" ref="HY1">SUMPRODUCT((IFERROR(_xlfn._xlws.FILTER(INDEX(HY:HY,_xlfn.SEQUENCE(100,1,11,3)),INDEX(HY:HY,_xlfn.SEQUENCE(100,1,11,3))&lt;&gt;""),"")&lt;&gt;"")*1)</f>
        <v>0</v>
      </c>
      <c r="HZ1" s="47" cm="1">
        <f t="array" ref="HZ1">SUMPRODUCT((IFERROR(_xlfn._xlws.FILTER(INDEX(HZ:HZ,_xlfn.SEQUENCE(100,1,11,3)),INDEX(HZ:HZ,_xlfn.SEQUENCE(100,1,11,3))&lt;&gt;""),"")&lt;&gt;"")*1)</f>
        <v>0</v>
      </c>
      <c r="IA1" s="47" cm="1">
        <f t="array" ref="IA1">SUMPRODUCT((IFERROR(_xlfn._xlws.FILTER(INDEX(IA:IA,_xlfn.SEQUENCE(100,1,11,3)),INDEX(IA:IA,_xlfn.SEQUENCE(100,1,11,3))&lt;&gt;""),"")&lt;&gt;"")*1)</f>
        <v>0</v>
      </c>
      <c r="IB1" s="47" cm="1">
        <f t="array" ref="IB1">SUMPRODUCT((IFERROR(_xlfn._xlws.FILTER(INDEX(IB:IB,_xlfn.SEQUENCE(100,1,11,3)),INDEX(IB:IB,_xlfn.SEQUENCE(100,1,11,3))&lt;&gt;""),"")&lt;&gt;"")*1)</f>
        <v>0</v>
      </c>
      <c r="IC1" s="47" cm="1">
        <f t="array" ref="IC1">SUMPRODUCT((IFERROR(_xlfn._xlws.FILTER(INDEX(IC:IC,_xlfn.SEQUENCE(100,1,11,3)),INDEX(IC:IC,_xlfn.SEQUENCE(100,1,11,3))&lt;&gt;""),"")&lt;&gt;"")*1)</f>
        <v>0</v>
      </c>
      <c r="ID1" s="47" cm="1">
        <f t="array" ref="ID1">SUMPRODUCT((IFERROR(_xlfn._xlws.FILTER(INDEX(ID:ID,_xlfn.SEQUENCE(100,1,11,3)),INDEX(ID:ID,_xlfn.SEQUENCE(100,1,11,3))&lt;&gt;""),"")&lt;&gt;"")*1)</f>
        <v>0</v>
      </c>
      <c r="IE1" s="47" cm="1">
        <f t="array" ref="IE1">SUMPRODUCT((IFERROR(_xlfn._xlws.FILTER(INDEX(IE:IE,_xlfn.SEQUENCE(100,1,11,3)),INDEX(IE:IE,_xlfn.SEQUENCE(100,1,11,3))&lt;&gt;""),"")&lt;&gt;"")*1)</f>
        <v>0</v>
      </c>
      <c r="IF1" s="47" cm="1">
        <f t="array" ref="IF1">SUMPRODUCT((IFERROR(_xlfn._xlws.FILTER(INDEX(IF:IF,_xlfn.SEQUENCE(100,1,11,3)),INDEX(IF:IF,_xlfn.SEQUENCE(100,1,11,3))&lt;&gt;""),"")&lt;&gt;"")*1)</f>
        <v>0</v>
      </c>
      <c r="IG1" s="47" cm="1">
        <f t="array" ref="IG1">SUMPRODUCT((IFERROR(_xlfn._xlws.FILTER(INDEX(IG:IG,_xlfn.SEQUENCE(100,1,11,3)),INDEX(IG:IG,_xlfn.SEQUENCE(100,1,11,3))&lt;&gt;""),"")&lt;&gt;"")*1)</f>
        <v>0</v>
      </c>
      <c r="IH1" s="47" cm="1">
        <f t="array" ref="IH1">SUMPRODUCT((IFERROR(_xlfn._xlws.FILTER(INDEX(IH:IH,_xlfn.SEQUENCE(100,1,11,3)),INDEX(IH:IH,_xlfn.SEQUENCE(100,1,11,3))&lt;&gt;""),"")&lt;&gt;"")*1)</f>
        <v>0</v>
      </c>
      <c r="II1" s="47" cm="1">
        <f t="array" ref="II1">SUMPRODUCT((IFERROR(_xlfn._xlws.FILTER(INDEX(II:II,_xlfn.SEQUENCE(100,1,11,3)),INDEX(II:II,_xlfn.SEQUENCE(100,1,11,3))&lt;&gt;""),"")&lt;&gt;"")*1)</f>
        <v>0</v>
      </c>
      <c r="IJ1" s="47" cm="1">
        <f t="array" ref="IJ1">SUMPRODUCT((IFERROR(_xlfn._xlws.FILTER(INDEX(IJ:IJ,_xlfn.SEQUENCE(100,1,11,3)),INDEX(IJ:IJ,_xlfn.SEQUENCE(100,1,11,3))&lt;&gt;""),"")&lt;&gt;"")*1)</f>
        <v>0</v>
      </c>
      <c r="IK1" s="47" cm="1">
        <f t="array" ref="IK1">SUMPRODUCT((IFERROR(_xlfn._xlws.FILTER(INDEX(IK:IK,_xlfn.SEQUENCE(100,1,11,3)),INDEX(IK:IK,_xlfn.SEQUENCE(100,1,11,3))&lt;&gt;""),"")&lt;&gt;"")*1)</f>
        <v>0</v>
      </c>
      <c r="IL1" s="47" cm="1">
        <f t="array" ref="IL1">SUMPRODUCT((IFERROR(_xlfn._xlws.FILTER(INDEX(IL:IL,_xlfn.SEQUENCE(100,1,11,3)),INDEX(IL:IL,_xlfn.SEQUENCE(100,1,11,3))&lt;&gt;""),"")&lt;&gt;"")*1)</f>
        <v>0</v>
      </c>
      <c r="IM1" s="47" cm="1">
        <f t="array" ref="IM1">SUMPRODUCT((IFERROR(_xlfn._xlws.FILTER(INDEX(IM:IM,_xlfn.SEQUENCE(100,1,11,3)),INDEX(IM:IM,_xlfn.SEQUENCE(100,1,11,3))&lt;&gt;""),"")&lt;&gt;"")*1)</f>
        <v>0</v>
      </c>
      <c r="IN1" s="47" cm="1">
        <f t="array" ref="IN1">SUMPRODUCT((IFERROR(_xlfn._xlws.FILTER(INDEX(IN:IN,_xlfn.SEQUENCE(100,1,11,3)),INDEX(IN:IN,_xlfn.SEQUENCE(100,1,11,3))&lt;&gt;""),"")&lt;&gt;"")*1)</f>
        <v>0</v>
      </c>
      <c r="IO1" s="47" cm="1">
        <f t="array" ref="IO1">SUMPRODUCT((IFERROR(_xlfn._xlws.FILTER(INDEX(IO:IO,_xlfn.SEQUENCE(100,1,11,3)),INDEX(IO:IO,_xlfn.SEQUENCE(100,1,11,3))&lt;&gt;""),"")&lt;&gt;"")*1)</f>
        <v>0</v>
      </c>
      <c r="IP1" s="47" cm="1">
        <f t="array" ref="IP1">SUMPRODUCT((IFERROR(_xlfn._xlws.FILTER(INDEX(IP:IP,_xlfn.SEQUENCE(100,1,11,3)),INDEX(IP:IP,_xlfn.SEQUENCE(100,1,11,3))&lt;&gt;""),"")&lt;&gt;"")*1)</f>
        <v>0</v>
      </c>
      <c r="IQ1" s="47" cm="1">
        <f t="array" ref="IQ1">SUMPRODUCT((IFERROR(_xlfn._xlws.FILTER(INDEX(IQ:IQ,_xlfn.SEQUENCE(100,1,11,3)),INDEX(IQ:IQ,_xlfn.SEQUENCE(100,1,11,3))&lt;&gt;""),"")&lt;&gt;"")*1)</f>
        <v>0</v>
      </c>
      <c r="IR1" s="47" cm="1">
        <f t="array" ref="IR1">SUMPRODUCT((IFERROR(_xlfn._xlws.FILTER(INDEX(IR:IR,_xlfn.SEQUENCE(100,1,11,3)),INDEX(IR:IR,_xlfn.SEQUENCE(100,1,11,3))&lt;&gt;""),"")&lt;&gt;"")*1)</f>
        <v>0</v>
      </c>
      <c r="IS1" s="47" cm="1">
        <f t="array" ref="IS1">SUMPRODUCT((IFERROR(_xlfn._xlws.FILTER(INDEX(IS:IS,_xlfn.SEQUENCE(100,1,11,3)),INDEX(IS:IS,_xlfn.SEQUENCE(100,1,11,3))&lt;&gt;""),"")&lt;&gt;"")*1)</f>
        <v>0</v>
      </c>
      <c r="IT1" s="47" cm="1">
        <f t="array" ref="IT1">SUMPRODUCT((IFERROR(_xlfn._xlws.FILTER(INDEX(IT:IT,_xlfn.SEQUENCE(100,1,11,3)),INDEX(IT:IT,_xlfn.SEQUENCE(100,1,11,3))&lt;&gt;""),"")&lt;&gt;"")*1)</f>
        <v>0</v>
      </c>
      <c r="IU1" s="47" cm="1">
        <f t="array" ref="IU1">SUMPRODUCT((IFERROR(_xlfn._xlws.FILTER(INDEX(IU:IU,_xlfn.SEQUENCE(100,1,11,3)),INDEX(IU:IU,_xlfn.SEQUENCE(100,1,11,3))&lt;&gt;""),"")&lt;&gt;"")*1)</f>
        <v>0</v>
      </c>
      <c r="IV1" s="47" cm="1">
        <f t="array" ref="IV1">SUMPRODUCT((IFERROR(_xlfn._xlws.FILTER(INDEX(IV:IV,_xlfn.SEQUENCE(100,1,11,3)),INDEX(IV:IV,_xlfn.SEQUENCE(100,1,11,3))&lt;&gt;""),"")&lt;&gt;"")*1)</f>
        <v>0</v>
      </c>
      <c r="IW1" s="47" cm="1">
        <f t="array" ref="IW1">SUMPRODUCT((IFERROR(_xlfn._xlws.FILTER(INDEX(IW:IW,_xlfn.SEQUENCE(100,1,11,3)),INDEX(IW:IW,_xlfn.SEQUENCE(100,1,11,3))&lt;&gt;""),"")&lt;&gt;"")*1)</f>
        <v>0</v>
      </c>
      <c r="IX1" s="47" cm="1">
        <f t="array" ref="IX1">SUMPRODUCT((IFERROR(_xlfn._xlws.FILTER(INDEX(IX:IX,_xlfn.SEQUENCE(100,1,11,3)),INDEX(IX:IX,_xlfn.SEQUENCE(100,1,11,3))&lt;&gt;""),"")&lt;&gt;"")*1)</f>
        <v>0</v>
      </c>
      <c r="IY1" s="47" cm="1">
        <f t="array" ref="IY1">SUMPRODUCT((IFERROR(_xlfn._xlws.FILTER(INDEX(IY:IY,_xlfn.SEQUENCE(100,1,11,3)),INDEX(IY:IY,_xlfn.SEQUENCE(100,1,11,3))&lt;&gt;""),"")&lt;&gt;"")*1)</f>
        <v>0</v>
      </c>
      <c r="IZ1" s="47" cm="1">
        <f t="array" ref="IZ1">SUMPRODUCT((IFERROR(_xlfn._xlws.FILTER(INDEX(IZ:IZ,_xlfn.SEQUENCE(100,1,11,3)),INDEX(IZ:IZ,_xlfn.SEQUENCE(100,1,11,3))&lt;&gt;""),"")&lt;&gt;"")*1)</f>
        <v>0</v>
      </c>
      <c r="JA1" s="47" cm="1">
        <f t="array" ref="JA1">SUMPRODUCT((IFERROR(_xlfn._xlws.FILTER(INDEX(JA:JA,_xlfn.SEQUENCE(100,1,11,3)),INDEX(JA:JA,_xlfn.SEQUENCE(100,1,11,3))&lt;&gt;""),"")&lt;&gt;"")*1)</f>
        <v>0</v>
      </c>
      <c r="JB1" s="47" cm="1">
        <f t="array" ref="JB1">SUMPRODUCT((IFERROR(_xlfn._xlws.FILTER(INDEX(JB:JB,_xlfn.SEQUENCE(100,1,11,3)),INDEX(JB:JB,_xlfn.SEQUENCE(100,1,11,3))&lt;&gt;""),"")&lt;&gt;"")*1)</f>
        <v>0</v>
      </c>
      <c r="JC1" s="47" cm="1">
        <f t="array" ref="JC1">SUMPRODUCT((IFERROR(_xlfn._xlws.FILTER(INDEX(JC:JC,_xlfn.SEQUENCE(100,1,11,3)),INDEX(JC:JC,_xlfn.SEQUENCE(100,1,11,3))&lt;&gt;""),"")&lt;&gt;"")*1)</f>
        <v>0</v>
      </c>
      <c r="JD1" s="47" cm="1">
        <f t="array" ref="JD1">SUMPRODUCT((IFERROR(_xlfn._xlws.FILTER(INDEX(JD:JD,_xlfn.SEQUENCE(100,1,11,3)),INDEX(JD:JD,_xlfn.SEQUENCE(100,1,11,3))&lt;&gt;""),"")&lt;&gt;"")*1)</f>
        <v>0</v>
      </c>
      <c r="JE1" s="47" cm="1">
        <f t="array" ref="JE1">SUMPRODUCT((IFERROR(_xlfn._xlws.FILTER(INDEX(JE:JE,_xlfn.SEQUENCE(100,1,11,3)),INDEX(JE:JE,_xlfn.SEQUENCE(100,1,11,3))&lt;&gt;""),"")&lt;&gt;"")*1)</f>
        <v>0</v>
      </c>
      <c r="JF1" s="47" cm="1">
        <f t="array" ref="JF1">SUMPRODUCT((IFERROR(_xlfn._xlws.FILTER(INDEX(JF:JF,_xlfn.SEQUENCE(100,1,11,3)),INDEX(JF:JF,_xlfn.SEQUENCE(100,1,11,3))&lt;&gt;""),"")&lt;&gt;"")*1)</f>
        <v>0</v>
      </c>
      <c r="JG1" s="47" cm="1">
        <f t="array" ref="JG1">SUMPRODUCT((IFERROR(_xlfn._xlws.FILTER(INDEX(JG:JG,_xlfn.SEQUENCE(100,1,11,3)),INDEX(JG:JG,_xlfn.SEQUENCE(100,1,11,3))&lt;&gt;""),"")&lt;&gt;"")*1)</f>
        <v>0</v>
      </c>
      <c r="JH1" s="47" cm="1">
        <f t="array" ref="JH1">SUMPRODUCT((IFERROR(_xlfn._xlws.FILTER(INDEX(JH:JH,_xlfn.SEQUENCE(100,1,11,3)),INDEX(JH:JH,_xlfn.SEQUENCE(100,1,11,3))&lt;&gt;""),"")&lt;&gt;"")*1)</f>
        <v>0</v>
      </c>
      <c r="JI1" s="47" cm="1">
        <f t="array" ref="JI1">SUMPRODUCT((IFERROR(_xlfn._xlws.FILTER(INDEX(JI:JI,_xlfn.SEQUENCE(100,1,11,3)),INDEX(JI:JI,_xlfn.SEQUENCE(100,1,11,3))&lt;&gt;""),"")&lt;&gt;"")*1)</f>
        <v>0</v>
      </c>
      <c r="JJ1" s="47" cm="1">
        <f t="array" ref="JJ1">SUMPRODUCT((IFERROR(_xlfn._xlws.FILTER(INDEX(JJ:JJ,_xlfn.SEQUENCE(100,1,11,3)),INDEX(JJ:JJ,_xlfn.SEQUENCE(100,1,11,3))&lt;&gt;""),"")&lt;&gt;"")*1)</f>
        <v>0</v>
      </c>
      <c r="JK1" s="47" cm="1">
        <f t="array" ref="JK1">SUMPRODUCT((IFERROR(_xlfn._xlws.FILTER(INDEX(JK:JK,_xlfn.SEQUENCE(100,1,11,3)),INDEX(JK:JK,_xlfn.SEQUENCE(100,1,11,3))&lt;&gt;""),"")&lt;&gt;"")*1)</f>
        <v>0</v>
      </c>
      <c r="JL1" s="47" cm="1">
        <f t="array" ref="JL1">SUMPRODUCT((IFERROR(_xlfn._xlws.FILTER(INDEX(JL:JL,_xlfn.SEQUENCE(100,1,11,3)),INDEX(JL:JL,_xlfn.SEQUENCE(100,1,11,3))&lt;&gt;""),"")&lt;&gt;"")*1)</f>
        <v>0</v>
      </c>
      <c r="JM1" s="47" cm="1">
        <f t="array" ref="JM1">SUMPRODUCT((IFERROR(_xlfn._xlws.FILTER(INDEX(JM:JM,_xlfn.SEQUENCE(100,1,11,3)),INDEX(JM:JM,_xlfn.SEQUENCE(100,1,11,3))&lt;&gt;""),"")&lt;&gt;"")*1)</f>
        <v>0</v>
      </c>
      <c r="JN1" s="47" cm="1">
        <f t="array" ref="JN1">SUMPRODUCT((IFERROR(_xlfn._xlws.FILTER(INDEX(JN:JN,_xlfn.SEQUENCE(100,1,11,3)),INDEX(JN:JN,_xlfn.SEQUENCE(100,1,11,3))&lt;&gt;""),"")&lt;&gt;"")*1)</f>
        <v>0</v>
      </c>
      <c r="JO1" s="47" cm="1">
        <f t="array" ref="JO1">SUMPRODUCT((IFERROR(_xlfn._xlws.FILTER(INDEX(JO:JO,_xlfn.SEQUENCE(100,1,11,3)),INDEX(JO:JO,_xlfn.SEQUENCE(100,1,11,3))&lt;&gt;""),"")&lt;&gt;"")*1)</f>
        <v>0</v>
      </c>
      <c r="JP1" s="47" cm="1">
        <f t="array" ref="JP1">SUMPRODUCT((IFERROR(_xlfn._xlws.FILTER(INDEX(JP:JP,_xlfn.SEQUENCE(100,1,11,3)),INDEX(JP:JP,_xlfn.SEQUENCE(100,1,11,3))&lt;&gt;""),"")&lt;&gt;"")*1)</f>
        <v>0</v>
      </c>
      <c r="JQ1" s="47" cm="1">
        <f t="array" ref="JQ1">SUMPRODUCT((IFERROR(_xlfn._xlws.FILTER(INDEX(JQ:JQ,_xlfn.SEQUENCE(100,1,11,3)),INDEX(JQ:JQ,_xlfn.SEQUENCE(100,1,11,3))&lt;&gt;""),"")&lt;&gt;"")*1)</f>
        <v>0</v>
      </c>
      <c r="JR1" s="47" cm="1">
        <f t="array" ref="JR1">SUMPRODUCT((IFERROR(_xlfn._xlws.FILTER(INDEX(JR:JR,_xlfn.SEQUENCE(100,1,11,3)),INDEX(JR:JR,_xlfn.SEQUENCE(100,1,11,3))&lt;&gt;""),"")&lt;&gt;"")*1)</f>
        <v>0</v>
      </c>
      <c r="JS1" s="47" cm="1">
        <f t="array" ref="JS1">SUMPRODUCT((IFERROR(_xlfn._xlws.FILTER(INDEX(JS:JS,_xlfn.SEQUENCE(100,1,11,3)),INDEX(JS:JS,_xlfn.SEQUENCE(100,1,11,3))&lt;&gt;""),"")&lt;&gt;"")*1)</f>
        <v>0</v>
      </c>
      <c r="JT1" s="47" cm="1">
        <f t="array" ref="JT1">SUMPRODUCT((IFERROR(_xlfn._xlws.FILTER(INDEX(JT:JT,_xlfn.SEQUENCE(100,1,11,3)),INDEX(JT:JT,_xlfn.SEQUENCE(100,1,11,3))&lt;&gt;""),"")&lt;&gt;"")*1)</f>
        <v>0</v>
      </c>
      <c r="JU1" s="47" cm="1">
        <f t="array" ref="JU1">SUMPRODUCT((IFERROR(_xlfn._xlws.FILTER(INDEX(JU:JU,_xlfn.SEQUENCE(100,1,11,3)),INDEX(JU:JU,_xlfn.SEQUENCE(100,1,11,3))&lt;&gt;""),"")&lt;&gt;"")*1)</f>
        <v>0</v>
      </c>
      <c r="JV1" s="47" cm="1">
        <f t="array" ref="JV1">SUMPRODUCT((IFERROR(_xlfn._xlws.FILTER(INDEX(JV:JV,_xlfn.SEQUENCE(100,1,11,3)),INDEX(JV:JV,_xlfn.SEQUENCE(100,1,11,3))&lt;&gt;""),"")&lt;&gt;"")*1)</f>
        <v>0</v>
      </c>
      <c r="JW1" s="47" cm="1">
        <f t="array" ref="JW1">SUMPRODUCT((IFERROR(_xlfn._xlws.FILTER(INDEX(JW:JW,_xlfn.SEQUENCE(100,1,11,3)),INDEX(JW:JW,_xlfn.SEQUENCE(100,1,11,3))&lt;&gt;""),"")&lt;&gt;"")*1)</f>
        <v>0</v>
      </c>
      <c r="JX1" s="47" cm="1">
        <f t="array" ref="JX1">SUMPRODUCT((IFERROR(_xlfn._xlws.FILTER(INDEX(JX:JX,_xlfn.SEQUENCE(100,1,11,3)),INDEX(JX:JX,_xlfn.SEQUENCE(100,1,11,3))&lt;&gt;""),"")&lt;&gt;"")*1)</f>
        <v>0</v>
      </c>
      <c r="JY1" s="47" cm="1">
        <f t="array" ref="JY1">SUMPRODUCT((IFERROR(_xlfn._xlws.FILTER(INDEX(JY:JY,_xlfn.SEQUENCE(100,1,11,3)),INDEX(JY:JY,_xlfn.SEQUENCE(100,1,11,3))&lt;&gt;""),"")&lt;&gt;"")*1)</f>
        <v>0</v>
      </c>
      <c r="JZ1" s="47" cm="1">
        <f t="array" ref="JZ1">SUMPRODUCT((IFERROR(_xlfn._xlws.FILTER(INDEX(JZ:JZ,_xlfn.SEQUENCE(100,1,11,3)),INDEX(JZ:JZ,_xlfn.SEQUENCE(100,1,11,3))&lt;&gt;""),"")&lt;&gt;"")*1)</f>
        <v>0</v>
      </c>
      <c r="KA1" s="47" cm="1">
        <f t="array" ref="KA1">SUMPRODUCT((IFERROR(_xlfn._xlws.FILTER(INDEX(KA:KA,_xlfn.SEQUENCE(100,1,11,3)),INDEX(KA:KA,_xlfn.SEQUENCE(100,1,11,3))&lt;&gt;""),"")&lt;&gt;"")*1)</f>
        <v>0</v>
      </c>
      <c r="KB1" s="47" cm="1">
        <f t="array" ref="KB1">SUMPRODUCT((IFERROR(_xlfn._xlws.FILTER(INDEX(KB:KB,_xlfn.SEQUENCE(100,1,11,3)),INDEX(KB:KB,_xlfn.SEQUENCE(100,1,11,3))&lt;&gt;""),"")&lt;&gt;"")*1)</f>
        <v>0</v>
      </c>
      <c r="KC1" s="47" cm="1">
        <f t="array" ref="KC1">SUMPRODUCT((IFERROR(_xlfn._xlws.FILTER(INDEX(KC:KC,_xlfn.SEQUENCE(100,1,11,3)),INDEX(KC:KC,_xlfn.SEQUENCE(100,1,11,3))&lt;&gt;""),"")&lt;&gt;"")*1)</f>
        <v>0</v>
      </c>
      <c r="KD1" s="47" cm="1">
        <f t="array" ref="KD1">SUMPRODUCT((IFERROR(_xlfn._xlws.FILTER(INDEX(KD:KD,_xlfn.SEQUENCE(100,1,11,3)),INDEX(KD:KD,_xlfn.SEQUENCE(100,1,11,3))&lt;&gt;""),"")&lt;&gt;"")*1)</f>
        <v>0</v>
      </c>
      <c r="KE1" s="47" cm="1">
        <f t="array" ref="KE1">SUMPRODUCT((IFERROR(_xlfn._xlws.FILTER(INDEX(KE:KE,_xlfn.SEQUENCE(100,1,11,3)),INDEX(KE:KE,_xlfn.SEQUENCE(100,1,11,3))&lt;&gt;""),"")&lt;&gt;"")*1)</f>
        <v>0</v>
      </c>
      <c r="KF1" s="47" cm="1">
        <f t="array" ref="KF1">SUMPRODUCT((IFERROR(_xlfn._xlws.FILTER(INDEX(KF:KF,_xlfn.SEQUENCE(100,1,11,3)),INDEX(KF:KF,_xlfn.SEQUENCE(100,1,11,3))&lt;&gt;""),"")&lt;&gt;"")*1)</f>
        <v>0</v>
      </c>
      <c r="KG1" s="47" cm="1">
        <f t="array" ref="KG1">SUMPRODUCT((IFERROR(_xlfn._xlws.FILTER(INDEX(KG:KG,_xlfn.SEQUENCE(100,1,11,3)),INDEX(KG:KG,_xlfn.SEQUENCE(100,1,11,3))&lt;&gt;""),"")&lt;&gt;"")*1)</f>
        <v>0</v>
      </c>
      <c r="KH1" s="47" cm="1">
        <f t="array" ref="KH1">SUMPRODUCT((IFERROR(_xlfn._xlws.FILTER(INDEX(KH:KH,_xlfn.SEQUENCE(100,1,11,3)),INDEX(KH:KH,_xlfn.SEQUENCE(100,1,11,3))&lt;&gt;""),"")&lt;&gt;"")*1)</f>
        <v>0</v>
      </c>
      <c r="KI1" s="47" cm="1">
        <f t="array" ref="KI1">SUMPRODUCT((IFERROR(_xlfn._xlws.FILTER(INDEX(KI:KI,_xlfn.SEQUENCE(100,1,11,3)),INDEX(KI:KI,_xlfn.SEQUENCE(100,1,11,3))&lt;&gt;""),"")&lt;&gt;"")*1)</f>
        <v>0</v>
      </c>
      <c r="KJ1" s="47" cm="1">
        <f t="array" ref="KJ1">SUMPRODUCT((IFERROR(_xlfn._xlws.FILTER(INDEX(KJ:KJ,_xlfn.SEQUENCE(100,1,11,3)),INDEX(KJ:KJ,_xlfn.SEQUENCE(100,1,11,3))&lt;&gt;""),"")&lt;&gt;"")*1)</f>
        <v>0</v>
      </c>
      <c r="KK1" s="47" cm="1">
        <f t="array" ref="KK1">SUMPRODUCT((IFERROR(_xlfn._xlws.FILTER(INDEX(KK:KK,_xlfn.SEQUENCE(100,1,11,3)),INDEX(KK:KK,_xlfn.SEQUENCE(100,1,11,3))&lt;&gt;""),"")&lt;&gt;"")*1)</f>
        <v>0</v>
      </c>
      <c r="KL1" s="47" cm="1">
        <f t="array" ref="KL1">SUMPRODUCT((IFERROR(_xlfn._xlws.FILTER(INDEX(KL:KL,_xlfn.SEQUENCE(100,1,11,3)),INDEX(KL:KL,_xlfn.SEQUENCE(100,1,11,3))&lt;&gt;""),"")&lt;&gt;"")*1)</f>
        <v>0</v>
      </c>
      <c r="KM1" s="47" cm="1">
        <f t="array" ref="KM1">SUMPRODUCT((IFERROR(_xlfn._xlws.FILTER(INDEX(KM:KM,_xlfn.SEQUENCE(100,1,11,3)),INDEX(KM:KM,_xlfn.SEQUENCE(100,1,11,3))&lt;&gt;""),"")&lt;&gt;"")*1)</f>
        <v>0</v>
      </c>
      <c r="KN1" s="47" cm="1">
        <f t="array" ref="KN1">SUMPRODUCT((IFERROR(_xlfn._xlws.FILTER(INDEX(KN:KN,_xlfn.SEQUENCE(100,1,11,3)),INDEX(KN:KN,_xlfn.SEQUENCE(100,1,11,3))&lt;&gt;""),"")&lt;&gt;"")*1)</f>
        <v>0</v>
      </c>
      <c r="KO1" s="47" cm="1">
        <f t="array" ref="KO1">SUMPRODUCT((IFERROR(_xlfn._xlws.FILTER(INDEX(KO:KO,_xlfn.SEQUENCE(100,1,11,3)),INDEX(KO:KO,_xlfn.SEQUENCE(100,1,11,3))&lt;&gt;""),"")&lt;&gt;"")*1)</f>
        <v>0</v>
      </c>
      <c r="KP1" s="47" cm="1">
        <f t="array" ref="KP1">SUMPRODUCT((IFERROR(_xlfn._xlws.FILTER(INDEX(KP:KP,_xlfn.SEQUENCE(100,1,11,3)),INDEX(KP:KP,_xlfn.SEQUENCE(100,1,11,3))&lt;&gt;""),"")&lt;&gt;"")*1)</f>
        <v>0</v>
      </c>
      <c r="KQ1" s="47" cm="1">
        <f t="array" ref="KQ1">SUMPRODUCT((IFERROR(_xlfn._xlws.FILTER(INDEX(KQ:KQ,_xlfn.SEQUENCE(100,1,11,3)),INDEX(KQ:KQ,_xlfn.SEQUENCE(100,1,11,3))&lt;&gt;""),"")&lt;&gt;"")*1)</f>
        <v>0</v>
      </c>
      <c r="KR1" s="47" cm="1">
        <f t="array" ref="KR1">SUMPRODUCT((IFERROR(_xlfn._xlws.FILTER(INDEX(KR:KR,_xlfn.SEQUENCE(100,1,11,3)),INDEX(KR:KR,_xlfn.SEQUENCE(100,1,11,3))&lt;&gt;""),"")&lt;&gt;"")*1)</f>
        <v>0</v>
      </c>
      <c r="KS1" s="47" cm="1">
        <f t="array" ref="KS1">SUMPRODUCT((IFERROR(_xlfn._xlws.FILTER(INDEX(KS:KS,_xlfn.SEQUENCE(100,1,11,3)),INDEX(KS:KS,_xlfn.SEQUENCE(100,1,11,3))&lt;&gt;""),"")&lt;&gt;"")*1)</f>
        <v>0</v>
      </c>
      <c r="KT1" s="47" cm="1">
        <f t="array" ref="KT1">SUMPRODUCT((IFERROR(_xlfn._xlws.FILTER(INDEX(KT:KT,_xlfn.SEQUENCE(100,1,11,3)),INDEX(KT:KT,_xlfn.SEQUENCE(100,1,11,3))&lt;&gt;""),"")&lt;&gt;"")*1)</f>
        <v>0</v>
      </c>
      <c r="KU1" s="47" cm="1">
        <f t="array" ref="KU1">SUMPRODUCT((IFERROR(_xlfn._xlws.FILTER(INDEX(KU:KU,_xlfn.SEQUENCE(100,1,11,3)),INDEX(KU:KU,_xlfn.SEQUENCE(100,1,11,3))&lt;&gt;""),"")&lt;&gt;"")*1)</f>
        <v>0</v>
      </c>
      <c r="KV1" s="47" cm="1">
        <f t="array" ref="KV1">SUMPRODUCT((IFERROR(_xlfn._xlws.FILTER(INDEX(KV:KV,_xlfn.SEQUENCE(100,1,11,3)),INDEX(KV:KV,_xlfn.SEQUENCE(100,1,11,3))&lt;&gt;""),"")&lt;&gt;"")*1)</f>
        <v>0</v>
      </c>
      <c r="KW1" s="47" cm="1">
        <f t="array" ref="KW1">SUMPRODUCT((IFERROR(_xlfn._xlws.FILTER(INDEX(KW:KW,_xlfn.SEQUENCE(100,1,11,3)),INDEX(KW:KW,_xlfn.SEQUENCE(100,1,11,3))&lt;&gt;""),"")&lt;&gt;"")*1)</f>
        <v>0</v>
      </c>
      <c r="KX1" s="47" cm="1">
        <f t="array" ref="KX1">SUMPRODUCT((IFERROR(_xlfn._xlws.FILTER(INDEX(KX:KX,_xlfn.SEQUENCE(100,1,11,3)),INDEX(KX:KX,_xlfn.SEQUENCE(100,1,11,3))&lt;&gt;""),"")&lt;&gt;"")*1)</f>
        <v>0</v>
      </c>
      <c r="KY1" s="47" cm="1">
        <f t="array" ref="KY1">SUMPRODUCT((IFERROR(_xlfn._xlws.FILTER(INDEX(KY:KY,_xlfn.SEQUENCE(100,1,11,3)),INDEX(KY:KY,_xlfn.SEQUENCE(100,1,11,3))&lt;&gt;""),"")&lt;&gt;"")*1)</f>
        <v>0</v>
      </c>
      <c r="KZ1" s="47" cm="1">
        <f t="array" ref="KZ1">SUMPRODUCT((IFERROR(_xlfn._xlws.FILTER(INDEX(KZ:KZ,_xlfn.SEQUENCE(100,1,11,3)),INDEX(KZ:KZ,_xlfn.SEQUENCE(100,1,11,3))&lt;&gt;""),"")&lt;&gt;"")*1)</f>
        <v>0</v>
      </c>
      <c r="LA1" s="47" cm="1">
        <f t="array" ref="LA1">SUMPRODUCT((IFERROR(_xlfn._xlws.FILTER(INDEX(LA:LA,_xlfn.SEQUENCE(100,1,11,3)),INDEX(LA:LA,_xlfn.SEQUENCE(100,1,11,3))&lt;&gt;""),"")&lt;&gt;"")*1)</f>
        <v>0</v>
      </c>
      <c r="LB1" s="47" cm="1">
        <f t="array" ref="LB1">SUMPRODUCT((IFERROR(_xlfn._xlws.FILTER(INDEX(LB:LB,_xlfn.SEQUENCE(100,1,11,3)),INDEX(LB:LB,_xlfn.SEQUENCE(100,1,11,3))&lt;&gt;""),"")&lt;&gt;"")*1)</f>
        <v>0</v>
      </c>
      <c r="LC1" s="47" cm="1">
        <f t="array" ref="LC1">SUMPRODUCT((IFERROR(_xlfn._xlws.FILTER(INDEX(LC:LC,_xlfn.SEQUENCE(100,1,11,3)),INDEX(LC:LC,_xlfn.SEQUENCE(100,1,11,3))&lt;&gt;""),"")&lt;&gt;"")*1)</f>
        <v>0</v>
      </c>
      <c r="LD1" s="47" cm="1">
        <f t="array" ref="LD1">SUMPRODUCT((IFERROR(_xlfn._xlws.FILTER(INDEX(LD:LD,_xlfn.SEQUENCE(100,1,11,3)),INDEX(LD:LD,_xlfn.SEQUENCE(100,1,11,3))&lt;&gt;""),"")&lt;&gt;"")*1)</f>
        <v>0</v>
      </c>
      <c r="LE1" s="47" cm="1">
        <f t="array" ref="LE1">SUMPRODUCT((IFERROR(_xlfn._xlws.FILTER(INDEX(LE:LE,_xlfn.SEQUENCE(100,1,11,3)),INDEX(LE:LE,_xlfn.SEQUENCE(100,1,11,3))&lt;&gt;""),"")&lt;&gt;"")*1)</f>
        <v>0</v>
      </c>
      <c r="LF1" s="47" cm="1">
        <f t="array" ref="LF1">SUMPRODUCT((IFERROR(_xlfn._xlws.FILTER(INDEX(LF:LF,_xlfn.SEQUENCE(100,1,11,3)),INDEX(LF:LF,_xlfn.SEQUENCE(100,1,11,3))&lt;&gt;""),"")&lt;&gt;"")*1)</f>
        <v>0</v>
      </c>
      <c r="LG1" s="47" cm="1">
        <f t="array" ref="LG1">SUMPRODUCT((IFERROR(_xlfn._xlws.FILTER(INDEX(LG:LG,_xlfn.SEQUENCE(100,1,11,3)),INDEX(LG:LG,_xlfn.SEQUENCE(100,1,11,3))&lt;&gt;""),"")&lt;&gt;"")*1)</f>
        <v>0</v>
      </c>
      <c r="LH1" s="47" cm="1">
        <f t="array" ref="LH1">SUMPRODUCT((IFERROR(_xlfn._xlws.FILTER(INDEX(LH:LH,_xlfn.SEQUENCE(100,1,11,3)),INDEX(LH:LH,_xlfn.SEQUENCE(100,1,11,3))&lt;&gt;""),"")&lt;&gt;"")*1)</f>
        <v>0</v>
      </c>
      <c r="LI1" s="47" cm="1">
        <f t="array" ref="LI1">SUMPRODUCT((IFERROR(_xlfn._xlws.FILTER(INDEX(LI:LI,_xlfn.SEQUENCE(100,1,11,3)),INDEX(LI:LI,_xlfn.SEQUENCE(100,1,11,3))&lt;&gt;""),"")&lt;&gt;"")*1)</f>
        <v>0</v>
      </c>
      <c r="LJ1" s="47" cm="1">
        <f t="array" ref="LJ1">SUMPRODUCT((IFERROR(_xlfn._xlws.FILTER(INDEX(LJ:LJ,_xlfn.SEQUENCE(100,1,11,3)),INDEX(LJ:LJ,_xlfn.SEQUENCE(100,1,11,3))&lt;&gt;""),"")&lt;&gt;"")*1)</f>
        <v>0</v>
      </c>
      <c r="LK1" s="47" cm="1">
        <f t="array" ref="LK1">SUMPRODUCT((IFERROR(_xlfn._xlws.FILTER(INDEX(LK:LK,_xlfn.SEQUENCE(100,1,11,3)),INDEX(LK:LK,_xlfn.SEQUENCE(100,1,11,3))&lt;&gt;""),"")&lt;&gt;"")*1)</f>
        <v>0</v>
      </c>
      <c r="LL1" s="47" cm="1">
        <f t="array" ref="LL1">SUMPRODUCT((IFERROR(_xlfn._xlws.FILTER(INDEX(LL:LL,_xlfn.SEQUENCE(100,1,11,3)),INDEX(LL:LL,_xlfn.SEQUENCE(100,1,11,3))&lt;&gt;""),"")&lt;&gt;"")*1)</f>
        <v>0</v>
      </c>
      <c r="LM1" s="47" cm="1">
        <f t="array" ref="LM1">SUMPRODUCT((IFERROR(_xlfn._xlws.FILTER(INDEX(LM:LM,_xlfn.SEQUENCE(100,1,11,3)),INDEX(LM:LM,_xlfn.SEQUENCE(100,1,11,3))&lt;&gt;""),"")&lt;&gt;"")*1)</f>
        <v>0</v>
      </c>
      <c r="LN1" s="47" cm="1">
        <f t="array" ref="LN1">SUMPRODUCT((IFERROR(_xlfn._xlws.FILTER(INDEX(LN:LN,_xlfn.SEQUENCE(100,1,11,3)),INDEX(LN:LN,_xlfn.SEQUENCE(100,1,11,3))&lt;&gt;""),"")&lt;&gt;"")*1)</f>
        <v>0</v>
      </c>
      <c r="LO1" s="47" cm="1">
        <f t="array" ref="LO1">SUMPRODUCT((IFERROR(_xlfn._xlws.FILTER(INDEX(LO:LO,_xlfn.SEQUENCE(100,1,11,3)),INDEX(LO:LO,_xlfn.SEQUENCE(100,1,11,3))&lt;&gt;""),"")&lt;&gt;"")*1)</f>
        <v>0</v>
      </c>
      <c r="LP1" s="47" cm="1">
        <f t="array" ref="LP1">SUMPRODUCT((IFERROR(_xlfn._xlws.FILTER(INDEX(LP:LP,_xlfn.SEQUENCE(100,1,11,3)),INDEX(LP:LP,_xlfn.SEQUENCE(100,1,11,3))&lt;&gt;""),"")&lt;&gt;"")*1)</f>
        <v>0</v>
      </c>
      <c r="LQ1" s="47" cm="1">
        <f t="array" ref="LQ1">SUMPRODUCT((IFERROR(_xlfn._xlws.FILTER(INDEX(LQ:LQ,_xlfn.SEQUENCE(100,1,11,3)),INDEX(LQ:LQ,_xlfn.SEQUENCE(100,1,11,3))&lt;&gt;""),"")&lt;&gt;"")*1)</f>
        <v>0</v>
      </c>
      <c r="LR1" s="47" cm="1">
        <f t="array" ref="LR1">SUMPRODUCT((IFERROR(_xlfn._xlws.FILTER(INDEX(LR:LR,_xlfn.SEQUENCE(100,1,11,3)),INDEX(LR:LR,_xlfn.SEQUENCE(100,1,11,3))&lt;&gt;""),"")&lt;&gt;"")*1)</f>
        <v>0</v>
      </c>
      <c r="LS1" s="47" cm="1">
        <f t="array" ref="LS1">SUMPRODUCT((IFERROR(_xlfn._xlws.FILTER(INDEX(LS:LS,_xlfn.SEQUENCE(100,1,11,3)),INDEX(LS:LS,_xlfn.SEQUENCE(100,1,11,3))&lt;&gt;""),"")&lt;&gt;"")*1)</f>
        <v>0</v>
      </c>
      <c r="LT1" s="47" cm="1">
        <f t="array" ref="LT1">SUMPRODUCT((IFERROR(_xlfn._xlws.FILTER(INDEX(LT:LT,_xlfn.SEQUENCE(100,1,11,3)),INDEX(LT:LT,_xlfn.SEQUENCE(100,1,11,3))&lt;&gt;""),"")&lt;&gt;"")*1)</f>
        <v>0</v>
      </c>
      <c r="LU1" s="47" cm="1">
        <f t="array" ref="LU1">SUMPRODUCT((IFERROR(_xlfn._xlws.FILTER(INDEX(LU:LU,_xlfn.SEQUENCE(100,1,11,3)),INDEX(LU:LU,_xlfn.SEQUENCE(100,1,11,3))&lt;&gt;""),"")&lt;&gt;"")*1)</f>
        <v>0</v>
      </c>
      <c r="LV1" s="47" cm="1">
        <f t="array" ref="LV1">SUMPRODUCT((IFERROR(_xlfn._xlws.FILTER(INDEX(LV:LV,_xlfn.SEQUENCE(100,1,11,3)),INDEX(LV:LV,_xlfn.SEQUENCE(100,1,11,3))&lt;&gt;""),"")&lt;&gt;"")*1)</f>
        <v>0</v>
      </c>
      <c r="LW1" s="47" cm="1">
        <f t="array" ref="LW1">SUMPRODUCT((IFERROR(_xlfn._xlws.FILTER(INDEX(LW:LW,_xlfn.SEQUENCE(100,1,11,3)),INDEX(LW:LW,_xlfn.SEQUENCE(100,1,11,3))&lt;&gt;""),"")&lt;&gt;"")*1)</f>
        <v>0</v>
      </c>
      <c r="LX1" s="47" cm="1">
        <f t="array" ref="LX1">SUMPRODUCT((IFERROR(_xlfn._xlws.FILTER(INDEX(LX:LX,_xlfn.SEQUENCE(100,1,11,3)),INDEX(LX:LX,_xlfn.SEQUENCE(100,1,11,3))&lt;&gt;""),"")&lt;&gt;"")*1)</f>
        <v>0</v>
      </c>
      <c r="LY1" s="47" cm="1">
        <f t="array" ref="LY1">SUMPRODUCT((IFERROR(_xlfn._xlws.FILTER(INDEX(LY:LY,_xlfn.SEQUENCE(100,1,11,3)),INDEX(LY:LY,_xlfn.SEQUENCE(100,1,11,3))&lt;&gt;""),"")&lt;&gt;"")*1)</f>
        <v>0</v>
      </c>
      <c r="LZ1" s="47" cm="1">
        <f t="array" ref="LZ1">SUMPRODUCT((IFERROR(_xlfn._xlws.FILTER(INDEX(LZ:LZ,_xlfn.SEQUENCE(100,1,11,3)),INDEX(LZ:LZ,_xlfn.SEQUENCE(100,1,11,3))&lt;&gt;""),"")&lt;&gt;"")*1)</f>
        <v>0</v>
      </c>
      <c r="MA1" s="47" cm="1">
        <f t="array" ref="MA1">SUMPRODUCT((IFERROR(_xlfn._xlws.FILTER(INDEX(MA:MA,_xlfn.SEQUENCE(100,1,11,3)),INDEX(MA:MA,_xlfn.SEQUENCE(100,1,11,3))&lt;&gt;""),"")&lt;&gt;"")*1)</f>
        <v>0</v>
      </c>
      <c r="MB1" s="47" cm="1">
        <f t="array" ref="MB1">SUMPRODUCT((IFERROR(_xlfn._xlws.FILTER(INDEX(MB:MB,_xlfn.SEQUENCE(100,1,11,3)),INDEX(MB:MB,_xlfn.SEQUENCE(100,1,11,3))&lt;&gt;""),"")&lt;&gt;"")*1)</f>
        <v>0</v>
      </c>
      <c r="MC1" s="47" cm="1">
        <f t="array" ref="MC1">SUMPRODUCT((IFERROR(_xlfn._xlws.FILTER(INDEX(MC:MC,_xlfn.SEQUENCE(100,1,11,3)),INDEX(MC:MC,_xlfn.SEQUENCE(100,1,11,3))&lt;&gt;""),"")&lt;&gt;"")*1)</f>
        <v>0</v>
      </c>
      <c r="MD1" s="47" cm="1">
        <f t="array" ref="MD1">SUMPRODUCT((IFERROR(_xlfn._xlws.FILTER(INDEX(MD:MD,_xlfn.SEQUENCE(100,1,11,3)),INDEX(MD:MD,_xlfn.SEQUENCE(100,1,11,3))&lt;&gt;""),"")&lt;&gt;"")*1)</f>
        <v>0</v>
      </c>
      <c r="ME1" s="47" cm="1">
        <f t="array" ref="ME1">SUMPRODUCT((IFERROR(_xlfn._xlws.FILTER(INDEX(ME:ME,_xlfn.SEQUENCE(100,1,11,3)),INDEX(ME:ME,_xlfn.SEQUENCE(100,1,11,3))&lt;&gt;""),"")&lt;&gt;"")*1)</f>
        <v>0</v>
      </c>
      <c r="MF1" s="47" cm="1">
        <f t="array" ref="MF1">SUMPRODUCT((IFERROR(_xlfn._xlws.FILTER(INDEX(MF:MF,_xlfn.SEQUENCE(100,1,11,3)),INDEX(MF:MF,_xlfn.SEQUENCE(100,1,11,3))&lt;&gt;""),"")&lt;&gt;"")*1)</f>
        <v>0</v>
      </c>
      <c r="MG1" s="47" cm="1">
        <f t="array" ref="MG1">SUMPRODUCT((IFERROR(_xlfn._xlws.FILTER(INDEX(MG:MG,_xlfn.SEQUENCE(100,1,11,3)),INDEX(MG:MG,_xlfn.SEQUENCE(100,1,11,3))&lt;&gt;""),"")&lt;&gt;"")*1)</f>
        <v>0</v>
      </c>
      <c r="MH1" s="47" cm="1">
        <f t="array" ref="MH1">SUMPRODUCT((IFERROR(_xlfn._xlws.FILTER(INDEX(MH:MH,_xlfn.SEQUENCE(100,1,11,3)),INDEX(MH:MH,_xlfn.SEQUENCE(100,1,11,3))&lt;&gt;""),"")&lt;&gt;"")*1)</f>
        <v>0</v>
      </c>
      <c r="MI1" s="47" cm="1">
        <f t="array" ref="MI1">SUMPRODUCT((IFERROR(_xlfn._xlws.FILTER(INDEX(MI:MI,_xlfn.SEQUENCE(100,1,11,3)),INDEX(MI:MI,_xlfn.SEQUENCE(100,1,11,3))&lt;&gt;""),"")&lt;&gt;"")*1)</f>
        <v>0</v>
      </c>
      <c r="MJ1" s="47" cm="1">
        <f t="array" ref="MJ1">SUMPRODUCT((IFERROR(_xlfn._xlws.FILTER(INDEX(MJ:MJ,_xlfn.SEQUENCE(100,1,11,3)),INDEX(MJ:MJ,_xlfn.SEQUENCE(100,1,11,3))&lt;&gt;""),"")&lt;&gt;"")*1)</f>
        <v>0</v>
      </c>
      <c r="MK1" s="47" cm="1">
        <f t="array" ref="MK1">SUMPRODUCT((IFERROR(_xlfn._xlws.FILTER(INDEX(MK:MK,_xlfn.SEQUENCE(100,1,11,3)),INDEX(MK:MK,_xlfn.SEQUENCE(100,1,11,3))&lt;&gt;""),"")&lt;&gt;"")*1)</f>
        <v>0</v>
      </c>
      <c r="ML1" s="47" cm="1">
        <f t="array" ref="ML1">SUMPRODUCT((IFERROR(_xlfn._xlws.FILTER(INDEX(ML:ML,_xlfn.SEQUENCE(100,1,11,3)),INDEX(ML:ML,_xlfn.SEQUENCE(100,1,11,3))&lt;&gt;""),"")&lt;&gt;"")*1)</f>
        <v>0</v>
      </c>
      <c r="MM1" s="47" cm="1">
        <f t="array" ref="MM1">SUMPRODUCT((IFERROR(_xlfn._xlws.FILTER(INDEX(MM:MM,_xlfn.SEQUENCE(100,1,11,3)),INDEX(MM:MM,_xlfn.SEQUENCE(100,1,11,3))&lt;&gt;""),"")&lt;&gt;"")*1)</f>
        <v>0</v>
      </c>
      <c r="MN1" s="47" cm="1">
        <f t="array" ref="MN1">SUMPRODUCT((IFERROR(_xlfn._xlws.FILTER(INDEX(MN:MN,_xlfn.SEQUENCE(100,1,11,3)),INDEX(MN:MN,_xlfn.SEQUENCE(100,1,11,3))&lt;&gt;""),"")&lt;&gt;"")*1)</f>
        <v>0</v>
      </c>
      <c r="MO1" s="47" cm="1">
        <f t="array" ref="MO1">SUMPRODUCT((IFERROR(_xlfn._xlws.FILTER(INDEX(MO:MO,_xlfn.SEQUENCE(100,1,11,3)),INDEX(MO:MO,_xlfn.SEQUENCE(100,1,11,3))&lt;&gt;""),"")&lt;&gt;"")*1)</f>
        <v>0</v>
      </c>
      <c r="MP1" s="47" cm="1">
        <f t="array" ref="MP1">SUMPRODUCT((IFERROR(_xlfn._xlws.FILTER(INDEX(MP:MP,_xlfn.SEQUENCE(100,1,11,3)),INDEX(MP:MP,_xlfn.SEQUENCE(100,1,11,3))&lt;&gt;""),"")&lt;&gt;"")*1)</f>
        <v>0</v>
      </c>
      <c r="MQ1" s="47" cm="1">
        <f t="array" ref="MQ1">SUMPRODUCT((IFERROR(_xlfn._xlws.FILTER(INDEX(MQ:MQ,_xlfn.SEQUENCE(100,1,11,3)),INDEX(MQ:MQ,_xlfn.SEQUENCE(100,1,11,3))&lt;&gt;""),"")&lt;&gt;"")*1)</f>
        <v>0</v>
      </c>
      <c r="MR1" s="47" cm="1">
        <f t="array" ref="MR1">SUMPRODUCT((IFERROR(_xlfn._xlws.FILTER(INDEX(MR:MR,_xlfn.SEQUENCE(100,1,11,3)),INDEX(MR:MR,_xlfn.SEQUENCE(100,1,11,3))&lt;&gt;""),"")&lt;&gt;"")*1)</f>
        <v>0</v>
      </c>
      <c r="MS1" s="47" cm="1">
        <f t="array" ref="MS1">SUMPRODUCT((IFERROR(_xlfn._xlws.FILTER(INDEX(MS:MS,_xlfn.SEQUENCE(100,1,11,3)),INDEX(MS:MS,_xlfn.SEQUENCE(100,1,11,3))&lt;&gt;""),"")&lt;&gt;"")*1)</f>
        <v>0</v>
      </c>
      <c r="MT1" s="47" cm="1">
        <f t="array" ref="MT1">SUMPRODUCT((IFERROR(_xlfn._xlws.FILTER(INDEX(MT:MT,_xlfn.SEQUENCE(100,1,11,3)),INDEX(MT:MT,_xlfn.SEQUENCE(100,1,11,3))&lt;&gt;""),"")&lt;&gt;"")*1)</f>
        <v>0</v>
      </c>
      <c r="MU1" s="47" cm="1">
        <f t="array" ref="MU1">SUMPRODUCT((IFERROR(_xlfn._xlws.FILTER(INDEX(MU:MU,_xlfn.SEQUENCE(100,1,11,3)),INDEX(MU:MU,_xlfn.SEQUENCE(100,1,11,3))&lt;&gt;""),"")&lt;&gt;"")*1)</f>
        <v>0</v>
      </c>
      <c r="MV1" s="47" cm="1">
        <f t="array" ref="MV1">SUMPRODUCT((IFERROR(_xlfn._xlws.FILTER(INDEX(MV:MV,_xlfn.SEQUENCE(100,1,11,3)),INDEX(MV:MV,_xlfn.SEQUENCE(100,1,11,3))&lt;&gt;""),"")&lt;&gt;"")*1)</f>
        <v>0</v>
      </c>
      <c r="MW1" s="47" cm="1">
        <f t="array" ref="MW1">SUMPRODUCT((IFERROR(_xlfn._xlws.FILTER(INDEX(MW:MW,_xlfn.SEQUENCE(100,1,11,3)),INDEX(MW:MW,_xlfn.SEQUENCE(100,1,11,3))&lt;&gt;""),"")&lt;&gt;"")*1)</f>
        <v>0</v>
      </c>
      <c r="MX1" s="47" cm="1">
        <f t="array" ref="MX1">SUMPRODUCT((IFERROR(_xlfn._xlws.FILTER(INDEX(MX:MX,_xlfn.SEQUENCE(100,1,11,3)),INDEX(MX:MX,_xlfn.SEQUENCE(100,1,11,3))&lt;&gt;""),"")&lt;&gt;"")*1)</f>
        <v>0</v>
      </c>
      <c r="MY1" s="47" cm="1">
        <f t="array" ref="MY1">SUMPRODUCT((IFERROR(_xlfn._xlws.FILTER(INDEX(MY:MY,_xlfn.SEQUENCE(100,1,11,3)),INDEX(MY:MY,_xlfn.SEQUENCE(100,1,11,3))&lt;&gt;""),"")&lt;&gt;"")*1)</f>
        <v>0</v>
      </c>
      <c r="MZ1" s="47" cm="1">
        <f t="array" ref="MZ1">SUMPRODUCT((IFERROR(_xlfn._xlws.FILTER(INDEX(MZ:MZ,_xlfn.SEQUENCE(100,1,11,3)),INDEX(MZ:MZ,_xlfn.SEQUENCE(100,1,11,3))&lt;&gt;""),"")&lt;&gt;"")*1)</f>
        <v>0</v>
      </c>
      <c r="NA1" s="47" cm="1">
        <f t="array" ref="NA1">SUMPRODUCT((IFERROR(_xlfn._xlws.FILTER(INDEX(NA:NA,_xlfn.SEQUENCE(100,1,11,3)),INDEX(NA:NA,_xlfn.SEQUENCE(100,1,11,3))&lt;&gt;""),"")&lt;&gt;"")*1)</f>
        <v>0</v>
      </c>
      <c r="NB1" s="47" cm="1">
        <f t="array" ref="NB1">SUMPRODUCT((IFERROR(_xlfn._xlws.FILTER(INDEX(NB:NB,_xlfn.SEQUENCE(100,1,11,3)),INDEX(NB:NB,_xlfn.SEQUENCE(100,1,11,3))&lt;&gt;""),"")&lt;&gt;"")*1)</f>
        <v>0</v>
      </c>
      <c r="NC1" s="47" cm="1">
        <f t="array" ref="NC1">SUMPRODUCT((IFERROR(_xlfn._xlws.FILTER(INDEX(NC:NC,_xlfn.SEQUENCE(100,1,11,3)),INDEX(NC:NC,_xlfn.SEQUENCE(100,1,11,3))&lt;&gt;""),"")&lt;&gt;"")*1)</f>
        <v>0</v>
      </c>
      <c r="ND1" s="47" cm="1">
        <f t="array" ref="ND1">SUMPRODUCT((IFERROR(_xlfn._xlws.FILTER(INDEX(ND:ND,_xlfn.SEQUENCE(100,1,11,3)),INDEX(ND:ND,_xlfn.SEQUENCE(100,1,11,3))&lt;&gt;""),"")&lt;&gt;"")*1)</f>
        <v>0</v>
      </c>
      <c r="NE1" s="47" cm="1">
        <f t="array" ref="NE1">SUMPRODUCT((IFERROR(_xlfn._xlws.FILTER(INDEX(NE:NE,_xlfn.SEQUENCE(100,1,11,3)),INDEX(NE:NE,_xlfn.SEQUENCE(100,1,11,3))&lt;&gt;""),"")&lt;&gt;"")*1)</f>
        <v>0</v>
      </c>
      <c r="NF1" s="47" cm="1">
        <f t="array" ref="NF1">SUMPRODUCT((IFERROR(_xlfn._xlws.FILTER(INDEX(NF:NF,_xlfn.SEQUENCE(100,1,11,3)),INDEX(NF:NF,_xlfn.SEQUENCE(100,1,11,3))&lt;&gt;""),"")&lt;&gt;"")*1)</f>
        <v>0</v>
      </c>
      <c r="NG1" s="47" cm="1">
        <f t="array" ref="NG1">SUMPRODUCT((IFERROR(_xlfn._xlws.FILTER(INDEX(NG:NG,_xlfn.SEQUENCE(100,1,11,3)),INDEX(NG:NG,_xlfn.SEQUENCE(100,1,11,3))&lt;&gt;""),"")&lt;&gt;"")*1)</f>
        <v>0</v>
      </c>
      <c r="NH1" s="47" cm="1">
        <f t="array" ref="NH1">SUMPRODUCT((IFERROR(_xlfn._xlws.FILTER(INDEX(NH:NH,_xlfn.SEQUENCE(100,1,11,3)),INDEX(NH:NH,_xlfn.SEQUENCE(100,1,11,3))&lt;&gt;""),"")&lt;&gt;"")*1)</f>
        <v>0</v>
      </c>
      <c r="NI1" s="47" cm="1">
        <f t="array" ref="NI1">SUMPRODUCT((IFERROR(_xlfn._xlws.FILTER(INDEX(NI:NI,_xlfn.SEQUENCE(100,1,11,3)),INDEX(NI:NI,_xlfn.SEQUENCE(100,1,11,3))&lt;&gt;""),"")&lt;&gt;"")*1)</f>
        <v>0</v>
      </c>
      <c r="NJ1" s="47" cm="1">
        <f t="array" ref="NJ1">SUMPRODUCT((IFERROR(_xlfn._xlws.FILTER(INDEX(NJ:NJ,_xlfn.SEQUENCE(100,1,11,3)),INDEX(NJ:NJ,_xlfn.SEQUENCE(100,1,11,3))&lt;&gt;""),"")&lt;&gt;"")*1)</f>
        <v>0</v>
      </c>
      <c r="NK1" s="47" cm="1">
        <f t="array" ref="NK1">SUMPRODUCT((IFERROR(_xlfn._xlws.FILTER(INDEX(NK:NK,_xlfn.SEQUENCE(100,1,11,3)),INDEX(NK:NK,_xlfn.SEQUENCE(100,1,11,3))&lt;&gt;""),"")&lt;&gt;"")*1)</f>
        <v>0</v>
      </c>
      <c r="NL1" s="47" cm="1">
        <f t="array" ref="NL1">SUMPRODUCT((IFERROR(_xlfn._xlws.FILTER(INDEX(NL:NL,_xlfn.SEQUENCE(100,1,11,3)),INDEX(NL:NL,_xlfn.SEQUENCE(100,1,11,3))&lt;&gt;""),"")&lt;&gt;"")*1)</f>
        <v>0</v>
      </c>
      <c r="NM1" s="47" cm="1">
        <f t="array" ref="NM1">SUMPRODUCT((IFERROR(_xlfn._xlws.FILTER(INDEX(NM:NM,_xlfn.SEQUENCE(100,1,11,3)),INDEX(NM:NM,_xlfn.SEQUENCE(100,1,11,3))&lt;&gt;""),"")&lt;&gt;"")*1)</f>
        <v>0</v>
      </c>
      <c r="NN1" s="47" cm="1">
        <f t="array" ref="NN1">SUMPRODUCT((IFERROR(_xlfn._xlws.FILTER(INDEX(NN:NN,_xlfn.SEQUENCE(100,1,11,3)),INDEX(NN:NN,_xlfn.SEQUENCE(100,1,11,3))&lt;&gt;""),"")&lt;&gt;"")*1)</f>
        <v>0</v>
      </c>
      <c r="NO1" s="47" cm="1">
        <f t="array" ref="NO1">SUMPRODUCT((IFERROR(_xlfn._xlws.FILTER(INDEX(NO:NO,_xlfn.SEQUENCE(100,1,11,3)),INDEX(NO:NO,_xlfn.SEQUENCE(100,1,11,3))&lt;&gt;""),"")&lt;&gt;"")*1)</f>
        <v>0</v>
      </c>
      <c r="NP1" s="47" cm="1">
        <f t="array" ref="NP1">SUMPRODUCT((IFERROR(_xlfn._xlws.FILTER(INDEX(NP:NP,_xlfn.SEQUENCE(100,1,11,3)),INDEX(NP:NP,_xlfn.SEQUENCE(100,1,11,3))&lt;&gt;""),"")&lt;&gt;"")*1)</f>
        <v>0</v>
      </c>
      <c r="NQ1" s="47" cm="1">
        <f t="array" ref="NQ1">SUMPRODUCT((IFERROR(_xlfn._xlws.FILTER(INDEX(NQ:NQ,_xlfn.SEQUENCE(100,1,11,3)),INDEX(NQ:NQ,_xlfn.SEQUENCE(100,1,11,3))&lt;&gt;""),"")&lt;&gt;"")*1)</f>
        <v>0</v>
      </c>
      <c r="NR1" s="47" cm="1">
        <f t="array" ref="NR1">SUMPRODUCT((IFERROR(_xlfn._xlws.FILTER(INDEX(NR:NR,_xlfn.SEQUENCE(100,1,11,3)),INDEX(NR:NR,_xlfn.SEQUENCE(100,1,11,3))&lt;&gt;""),"")&lt;&gt;"")*1)</f>
        <v>0</v>
      </c>
      <c r="NS1" s="47" cm="1">
        <f t="array" ref="NS1">SUMPRODUCT((IFERROR(_xlfn._xlws.FILTER(INDEX(NS:NS,_xlfn.SEQUENCE(100,1,11,3)),INDEX(NS:NS,_xlfn.SEQUENCE(100,1,11,3))&lt;&gt;""),"")&lt;&gt;"")*1)</f>
        <v>0</v>
      </c>
      <c r="NT1" s="47" cm="1">
        <f t="array" ref="NT1">SUMPRODUCT((IFERROR(_xlfn._xlws.FILTER(INDEX(NT:NT,_xlfn.SEQUENCE(100,1,11,3)),INDEX(NT:NT,_xlfn.SEQUENCE(100,1,11,3))&lt;&gt;""),"")&lt;&gt;"")*1)</f>
        <v>0</v>
      </c>
      <c r="NU1" s="47" cm="1">
        <f t="array" ref="NU1">SUMPRODUCT((IFERROR(_xlfn._xlws.FILTER(INDEX(NU:NU,_xlfn.SEQUENCE(100,1,11,3)),INDEX(NU:NU,_xlfn.SEQUENCE(100,1,11,3))&lt;&gt;""),"")&lt;&gt;"")*1)</f>
        <v>0</v>
      </c>
      <c r="NV1" s="47" cm="1">
        <f t="array" ref="NV1">SUMPRODUCT((IFERROR(_xlfn._xlws.FILTER(INDEX(NV:NV,_xlfn.SEQUENCE(100,1,11,3)),INDEX(NV:NV,_xlfn.SEQUENCE(100,1,11,3))&lt;&gt;""),"")&lt;&gt;"")*1)</f>
        <v>0</v>
      </c>
      <c r="NW1" s="47" cm="1">
        <f t="array" ref="NW1">SUMPRODUCT((IFERROR(_xlfn._xlws.FILTER(INDEX(NW:NW,_xlfn.SEQUENCE(100,1,11,3)),INDEX(NW:NW,_xlfn.SEQUENCE(100,1,11,3))&lt;&gt;""),"")&lt;&gt;"")*1)</f>
        <v>0</v>
      </c>
      <c r="NX1" s="47" cm="1">
        <f t="array" ref="NX1">SUMPRODUCT((IFERROR(_xlfn._xlws.FILTER(INDEX(NX:NX,_xlfn.SEQUENCE(100,1,11,3)),INDEX(NX:NX,_xlfn.SEQUENCE(100,1,11,3))&lt;&gt;""),"")&lt;&gt;"")*1)</f>
        <v>0</v>
      </c>
      <c r="NY1" s="47" cm="1">
        <f t="array" ref="NY1">SUMPRODUCT((IFERROR(_xlfn._xlws.FILTER(INDEX(NY:NY,_xlfn.SEQUENCE(100,1,11,3)),INDEX(NY:NY,_xlfn.SEQUENCE(100,1,11,3))&lt;&gt;""),"")&lt;&gt;"")*1)</f>
        <v>0</v>
      </c>
      <c r="NZ1" s="47" cm="1">
        <f t="array" ref="NZ1">SUMPRODUCT((IFERROR(_xlfn._xlws.FILTER(INDEX(NZ:NZ,_xlfn.SEQUENCE(100,1,11,3)),INDEX(NZ:NZ,_xlfn.SEQUENCE(100,1,11,3))&lt;&gt;""),"")&lt;&gt;"")*1)</f>
        <v>0</v>
      </c>
      <c r="OA1" s="47" cm="1">
        <f t="array" ref="OA1">SUMPRODUCT((IFERROR(_xlfn._xlws.FILTER(INDEX(OA:OA,_xlfn.SEQUENCE(100,1,11,3)),INDEX(OA:OA,_xlfn.SEQUENCE(100,1,11,3))&lt;&gt;""),"")&lt;&gt;"")*1)</f>
        <v>0</v>
      </c>
      <c r="OB1" s="47" cm="1">
        <f t="array" ref="OB1">SUMPRODUCT((IFERROR(_xlfn._xlws.FILTER(INDEX(OB:OB,_xlfn.SEQUENCE(100,1,11,3)),INDEX(OB:OB,_xlfn.SEQUENCE(100,1,11,3))&lt;&gt;""),"")&lt;&gt;"")*1)</f>
        <v>0</v>
      </c>
      <c r="OC1" s="47" cm="1">
        <f t="array" ref="OC1">SUMPRODUCT((IFERROR(_xlfn._xlws.FILTER(INDEX(OC:OC,_xlfn.SEQUENCE(100,1,11,3)),INDEX(OC:OC,_xlfn.SEQUENCE(100,1,11,3))&lt;&gt;""),"")&lt;&gt;"")*1)</f>
        <v>0</v>
      </c>
      <c r="OD1" s="47" cm="1">
        <f t="array" ref="OD1">SUMPRODUCT((IFERROR(_xlfn._xlws.FILTER(INDEX(OD:OD,_xlfn.SEQUENCE(100,1,11,3)),INDEX(OD:OD,_xlfn.SEQUENCE(100,1,11,3))&lt;&gt;""),"")&lt;&gt;"")*1)</f>
        <v>0</v>
      </c>
      <c r="OE1" s="47" cm="1">
        <f t="array" ref="OE1">SUMPRODUCT((IFERROR(_xlfn._xlws.FILTER(INDEX(OE:OE,_xlfn.SEQUENCE(100,1,11,3)),INDEX(OE:OE,_xlfn.SEQUENCE(100,1,11,3))&lt;&gt;""),"")&lt;&gt;"")*1)</f>
        <v>0</v>
      </c>
      <c r="OF1" s="47" cm="1">
        <f t="array" ref="OF1">SUMPRODUCT((IFERROR(_xlfn._xlws.FILTER(INDEX(OF:OF,_xlfn.SEQUENCE(100,1,11,3)),INDEX(OF:OF,_xlfn.SEQUENCE(100,1,11,3))&lt;&gt;""),"")&lt;&gt;"")*1)</f>
        <v>0</v>
      </c>
      <c r="OG1" s="47" cm="1">
        <f t="array" ref="OG1">SUMPRODUCT((IFERROR(_xlfn._xlws.FILTER(INDEX(OG:OG,_xlfn.SEQUENCE(100,1,11,3)),INDEX(OG:OG,_xlfn.SEQUENCE(100,1,11,3))&lt;&gt;""),"")&lt;&gt;"")*1)</f>
        <v>0</v>
      </c>
      <c r="OH1" s="47" cm="1">
        <f t="array" ref="OH1">SUMPRODUCT((IFERROR(_xlfn._xlws.FILTER(INDEX(OH:OH,_xlfn.SEQUENCE(100,1,11,3)),INDEX(OH:OH,_xlfn.SEQUENCE(100,1,11,3))&lt;&gt;""),"")&lt;&gt;"")*1)</f>
        <v>0</v>
      </c>
      <c r="OI1" s="47" cm="1">
        <f t="array" ref="OI1">SUMPRODUCT((IFERROR(_xlfn._xlws.FILTER(INDEX(OI:OI,_xlfn.SEQUENCE(100,1,11,3)),INDEX(OI:OI,_xlfn.SEQUENCE(100,1,11,3))&lt;&gt;""),"")&lt;&gt;"")*1)</f>
        <v>0</v>
      </c>
      <c r="OJ1" s="47" cm="1">
        <f t="array" ref="OJ1">SUMPRODUCT((IFERROR(_xlfn._xlws.FILTER(INDEX(OJ:OJ,_xlfn.SEQUENCE(100,1,11,3)),INDEX(OJ:OJ,_xlfn.SEQUENCE(100,1,11,3))&lt;&gt;""),"")&lt;&gt;"")*1)</f>
        <v>0</v>
      </c>
      <c r="OK1" s="47" cm="1">
        <f t="array" ref="OK1">SUMPRODUCT((IFERROR(_xlfn._xlws.FILTER(INDEX(OK:OK,_xlfn.SEQUENCE(100,1,11,3)),INDEX(OK:OK,_xlfn.SEQUENCE(100,1,11,3))&lt;&gt;""),"")&lt;&gt;"")*1)</f>
        <v>0</v>
      </c>
      <c r="OL1" s="47" cm="1">
        <f t="array" ref="OL1">SUMPRODUCT((IFERROR(_xlfn._xlws.FILTER(INDEX(OL:OL,_xlfn.SEQUENCE(100,1,11,3)),INDEX(OL:OL,_xlfn.SEQUENCE(100,1,11,3))&lt;&gt;""),"")&lt;&gt;"")*1)</f>
        <v>0</v>
      </c>
      <c r="OM1" s="47" cm="1">
        <f t="array" ref="OM1">SUMPRODUCT((IFERROR(_xlfn._xlws.FILTER(INDEX(OM:OM,_xlfn.SEQUENCE(100,1,11,3)),INDEX(OM:OM,_xlfn.SEQUENCE(100,1,11,3))&lt;&gt;""),"")&lt;&gt;"")*1)</f>
        <v>0</v>
      </c>
      <c r="ON1" s="47" cm="1">
        <f t="array" ref="ON1">SUMPRODUCT((IFERROR(_xlfn._xlws.FILTER(INDEX(ON:ON,_xlfn.SEQUENCE(100,1,11,3)),INDEX(ON:ON,_xlfn.SEQUENCE(100,1,11,3))&lt;&gt;""),"")&lt;&gt;"")*1)</f>
        <v>0</v>
      </c>
      <c r="OO1" s="47" cm="1">
        <f t="array" ref="OO1">SUMPRODUCT((IFERROR(_xlfn._xlws.FILTER(INDEX(OO:OO,_xlfn.SEQUENCE(100,1,11,3)),INDEX(OO:OO,_xlfn.SEQUENCE(100,1,11,3))&lt;&gt;""),"")&lt;&gt;"")*1)</f>
        <v>0</v>
      </c>
      <c r="OP1" s="47" cm="1">
        <f t="array" ref="OP1">SUMPRODUCT((IFERROR(_xlfn._xlws.FILTER(INDEX(OP:OP,_xlfn.SEQUENCE(100,1,11,3)),INDEX(OP:OP,_xlfn.SEQUENCE(100,1,11,3))&lt;&gt;""),"")&lt;&gt;"")*1)</f>
        <v>0</v>
      </c>
      <c r="OQ1" s="47" cm="1">
        <f t="array" ref="OQ1">SUMPRODUCT((IFERROR(_xlfn._xlws.FILTER(INDEX(OQ:OQ,_xlfn.SEQUENCE(100,1,11,3)),INDEX(OQ:OQ,_xlfn.SEQUENCE(100,1,11,3))&lt;&gt;""),"")&lt;&gt;"")*1)</f>
        <v>0</v>
      </c>
      <c r="OR1" s="47" cm="1">
        <f t="array" ref="OR1">SUMPRODUCT((IFERROR(_xlfn._xlws.FILTER(INDEX(OR:OR,_xlfn.SEQUENCE(100,1,11,3)),INDEX(OR:OR,_xlfn.SEQUENCE(100,1,11,3))&lt;&gt;""),"")&lt;&gt;"")*1)</f>
        <v>0</v>
      </c>
      <c r="OS1" s="47" cm="1">
        <f t="array" ref="OS1">SUMPRODUCT((IFERROR(_xlfn._xlws.FILTER(INDEX(OS:OS,_xlfn.SEQUENCE(100,1,11,3)),INDEX(OS:OS,_xlfn.SEQUENCE(100,1,11,3))&lt;&gt;""),"")&lt;&gt;"")*1)</f>
        <v>0</v>
      </c>
      <c r="OT1" s="47" cm="1">
        <f t="array" ref="OT1">SUMPRODUCT((IFERROR(_xlfn._xlws.FILTER(INDEX(OT:OT,_xlfn.SEQUENCE(100,1,11,3)),INDEX(OT:OT,_xlfn.SEQUENCE(100,1,11,3))&lt;&gt;""),"")&lt;&gt;"")*1)</f>
        <v>0</v>
      </c>
      <c r="OU1" s="47" cm="1">
        <f t="array" ref="OU1">SUMPRODUCT((IFERROR(_xlfn._xlws.FILTER(INDEX(OU:OU,_xlfn.SEQUENCE(100,1,11,3)),INDEX(OU:OU,_xlfn.SEQUENCE(100,1,11,3))&lt;&gt;""),"")&lt;&gt;"")*1)</f>
        <v>0</v>
      </c>
      <c r="OV1" s="47" cm="1">
        <f t="array" ref="OV1">SUMPRODUCT((IFERROR(_xlfn._xlws.FILTER(INDEX(OV:OV,_xlfn.SEQUENCE(100,1,11,3)),INDEX(OV:OV,_xlfn.SEQUENCE(100,1,11,3))&lt;&gt;""),"")&lt;&gt;"")*1)</f>
        <v>0</v>
      </c>
      <c r="OW1" s="47" cm="1">
        <f t="array" ref="OW1">SUMPRODUCT((IFERROR(_xlfn._xlws.FILTER(INDEX(OW:OW,_xlfn.SEQUENCE(100,1,11,3)),INDEX(OW:OW,_xlfn.SEQUENCE(100,1,11,3))&lt;&gt;""),"")&lt;&gt;"")*1)</f>
        <v>0</v>
      </c>
      <c r="OX1" s="47" cm="1">
        <f t="array" ref="OX1">SUMPRODUCT((IFERROR(_xlfn._xlws.FILTER(INDEX(OX:OX,_xlfn.SEQUENCE(100,1,11,3)),INDEX(OX:OX,_xlfn.SEQUENCE(100,1,11,3))&lt;&gt;""),"")&lt;&gt;"")*1)</f>
        <v>0</v>
      </c>
      <c r="OY1" s="47" cm="1">
        <f t="array" ref="OY1">SUMPRODUCT((IFERROR(_xlfn._xlws.FILTER(INDEX(OY:OY,_xlfn.SEQUENCE(100,1,11,3)),INDEX(OY:OY,_xlfn.SEQUENCE(100,1,11,3))&lt;&gt;""),"")&lt;&gt;"")*1)</f>
        <v>0</v>
      </c>
      <c r="OZ1" s="47" cm="1">
        <f t="array" ref="OZ1">SUMPRODUCT((IFERROR(_xlfn._xlws.FILTER(INDEX(OZ:OZ,_xlfn.SEQUENCE(100,1,11,3)),INDEX(OZ:OZ,_xlfn.SEQUENCE(100,1,11,3))&lt;&gt;""),"")&lt;&gt;"")*1)</f>
        <v>0</v>
      </c>
      <c r="PA1" s="47" cm="1">
        <f t="array" ref="PA1">SUMPRODUCT((IFERROR(_xlfn._xlws.FILTER(INDEX(PA:PA,_xlfn.SEQUENCE(100,1,11,3)),INDEX(PA:PA,_xlfn.SEQUENCE(100,1,11,3))&lt;&gt;""),"")&lt;&gt;"")*1)</f>
        <v>0</v>
      </c>
      <c r="PB1" s="47" cm="1">
        <f t="array" ref="PB1">SUMPRODUCT((IFERROR(_xlfn._xlws.FILTER(INDEX(PB:PB,_xlfn.SEQUENCE(100,1,11,3)),INDEX(PB:PB,_xlfn.SEQUENCE(100,1,11,3))&lt;&gt;""),"")&lt;&gt;"")*1)</f>
        <v>0</v>
      </c>
      <c r="PC1" s="47" cm="1">
        <f t="array" ref="PC1">SUMPRODUCT((IFERROR(_xlfn._xlws.FILTER(INDEX(PC:PC,_xlfn.SEQUENCE(100,1,11,3)),INDEX(PC:PC,_xlfn.SEQUENCE(100,1,11,3))&lt;&gt;""),"")&lt;&gt;"")*1)</f>
        <v>0</v>
      </c>
      <c r="PD1" s="47" cm="1">
        <f t="array" ref="PD1">SUMPRODUCT((IFERROR(_xlfn._xlws.FILTER(INDEX(PD:PD,_xlfn.SEQUENCE(100,1,11,3)),INDEX(PD:PD,_xlfn.SEQUENCE(100,1,11,3))&lt;&gt;""),"")&lt;&gt;"")*1)</f>
        <v>0</v>
      </c>
      <c r="PE1" s="47" cm="1">
        <f t="array" ref="PE1">SUMPRODUCT((IFERROR(_xlfn._xlws.FILTER(INDEX(PE:PE,_xlfn.SEQUENCE(100,1,11,3)),INDEX(PE:PE,_xlfn.SEQUENCE(100,1,11,3))&lt;&gt;""),"")&lt;&gt;"")*1)</f>
        <v>0</v>
      </c>
      <c r="PF1" s="47" cm="1">
        <f t="array" ref="PF1">SUMPRODUCT((IFERROR(_xlfn._xlws.FILTER(INDEX(PF:PF,_xlfn.SEQUENCE(100,1,11,3)),INDEX(PF:PF,_xlfn.SEQUENCE(100,1,11,3))&lt;&gt;""),"")&lt;&gt;"")*1)</f>
        <v>0</v>
      </c>
      <c r="PG1" s="47" cm="1">
        <f t="array" ref="PG1">SUMPRODUCT((IFERROR(_xlfn._xlws.FILTER(INDEX(PG:PG,_xlfn.SEQUENCE(100,1,11,3)),INDEX(PG:PG,_xlfn.SEQUENCE(100,1,11,3))&lt;&gt;""),"")&lt;&gt;"")*1)</f>
        <v>0</v>
      </c>
      <c r="PH1" s="47" cm="1">
        <f t="array" ref="PH1">SUMPRODUCT((IFERROR(_xlfn._xlws.FILTER(INDEX(PH:PH,_xlfn.SEQUENCE(100,1,11,3)),INDEX(PH:PH,_xlfn.SEQUENCE(100,1,11,3))&lt;&gt;""),"")&lt;&gt;"")*1)</f>
        <v>0</v>
      </c>
      <c r="PI1" s="47" cm="1">
        <f t="array" ref="PI1">SUMPRODUCT((IFERROR(_xlfn._xlws.FILTER(INDEX(PI:PI,_xlfn.SEQUENCE(100,1,11,3)),INDEX(PI:PI,_xlfn.SEQUENCE(100,1,11,3))&lt;&gt;""),"")&lt;&gt;"")*1)</f>
        <v>0</v>
      </c>
      <c r="PJ1" s="47" cm="1">
        <f t="array" ref="PJ1">SUMPRODUCT((IFERROR(_xlfn._xlws.FILTER(INDEX(PJ:PJ,_xlfn.SEQUENCE(100,1,11,3)),INDEX(PJ:PJ,_xlfn.SEQUENCE(100,1,11,3))&lt;&gt;""),"")&lt;&gt;"")*1)</f>
        <v>0</v>
      </c>
      <c r="PK1" s="47" cm="1">
        <f t="array" ref="PK1">SUMPRODUCT((IFERROR(_xlfn._xlws.FILTER(INDEX(PK:PK,_xlfn.SEQUENCE(100,1,11,3)),INDEX(PK:PK,_xlfn.SEQUENCE(100,1,11,3))&lt;&gt;""),"")&lt;&gt;"")*1)</f>
        <v>0</v>
      </c>
      <c r="PL1" s="47" cm="1">
        <f t="array" ref="PL1">SUMPRODUCT((IFERROR(_xlfn._xlws.FILTER(INDEX(PL:PL,_xlfn.SEQUENCE(100,1,11,3)),INDEX(PL:PL,_xlfn.SEQUENCE(100,1,11,3))&lt;&gt;""),"")&lt;&gt;"")*1)</f>
        <v>0</v>
      </c>
      <c r="PM1" s="47" cm="1">
        <f t="array" ref="PM1">SUMPRODUCT((IFERROR(_xlfn._xlws.FILTER(INDEX(PM:PM,_xlfn.SEQUENCE(100,1,11,3)),INDEX(PM:PM,_xlfn.SEQUENCE(100,1,11,3))&lt;&gt;""),"")&lt;&gt;"")*1)</f>
        <v>0</v>
      </c>
      <c r="PN1" s="47" cm="1">
        <f t="array" ref="PN1">SUMPRODUCT((IFERROR(_xlfn._xlws.FILTER(INDEX(PN:PN,_xlfn.SEQUENCE(100,1,11,3)),INDEX(PN:PN,_xlfn.SEQUENCE(100,1,11,3))&lt;&gt;""),"")&lt;&gt;"")*1)</f>
        <v>0</v>
      </c>
      <c r="PO1" s="47" cm="1">
        <f t="array" ref="PO1">SUMPRODUCT((IFERROR(_xlfn._xlws.FILTER(INDEX(PO:PO,_xlfn.SEQUENCE(100,1,11,3)),INDEX(PO:PO,_xlfn.SEQUENCE(100,1,11,3))&lt;&gt;""),"")&lt;&gt;"")*1)</f>
        <v>0</v>
      </c>
      <c r="PP1" s="47" cm="1">
        <f t="array" ref="PP1">SUMPRODUCT((IFERROR(_xlfn._xlws.FILTER(INDEX(PP:PP,_xlfn.SEQUENCE(100,1,11,3)),INDEX(PP:PP,_xlfn.SEQUENCE(100,1,11,3))&lt;&gt;""),"")&lt;&gt;"")*1)</f>
        <v>0</v>
      </c>
      <c r="PQ1" s="47" cm="1">
        <f t="array" ref="PQ1">SUMPRODUCT((IFERROR(_xlfn._xlws.FILTER(INDEX(PQ:PQ,_xlfn.SEQUENCE(100,1,11,3)),INDEX(PQ:PQ,_xlfn.SEQUENCE(100,1,11,3))&lt;&gt;""),"")&lt;&gt;"")*1)</f>
        <v>0</v>
      </c>
      <c r="PR1" s="47" cm="1">
        <f t="array" ref="PR1">SUMPRODUCT((IFERROR(_xlfn._xlws.FILTER(INDEX(PR:PR,_xlfn.SEQUENCE(100,1,11,3)),INDEX(PR:PR,_xlfn.SEQUENCE(100,1,11,3))&lt;&gt;""),"")&lt;&gt;"")*1)</f>
        <v>0</v>
      </c>
      <c r="PS1" s="47" cm="1">
        <f t="array" ref="PS1">SUMPRODUCT((IFERROR(_xlfn._xlws.FILTER(INDEX(PS:PS,_xlfn.SEQUENCE(100,1,11,3)),INDEX(PS:PS,_xlfn.SEQUENCE(100,1,11,3))&lt;&gt;""),"")&lt;&gt;"")*1)</f>
        <v>0</v>
      </c>
      <c r="PT1" s="47" cm="1">
        <f t="array" ref="PT1">SUMPRODUCT((IFERROR(_xlfn._xlws.FILTER(INDEX(PT:PT,_xlfn.SEQUENCE(100,1,11,3)),INDEX(PT:PT,_xlfn.SEQUENCE(100,1,11,3))&lt;&gt;""),"")&lt;&gt;"")*1)</f>
        <v>0</v>
      </c>
      <c r="PU1" s="47" cm="1">
        <f t="array" ref="PU1">SUMPRODUCT((IFERROR(_xlfn._xlws.FILTER(INDEX(PU:PU,_xlfn.SEQUENCE(100,1,11,3)),INDEX(PU:PU,_xlfn.SEQUENCE(100,1,11,3))&lt;&gt;""),"")&lt;&gt;"")*1)</f>
        <v>0</v>
      </c>
      <c r="PV1" s="47" cm="1">
        <f t="array" ref="PV1">SUMPRODUCT((IFERROR(_xlfn._xlws.FILTER(INDEX(PV:PV,_xlfn.SEQUENCE(100,1,11,3)),INDEX(PV:PV,_xlfn.SEQUENCE(100,1,11,3))&lt;&gt;""),"")&lt;&gt;"")*1)</f>
        <v>0</v>
      </c>
      <c r="PW1" s="47" cm="1">
        <f t="array" ref="PW1">SUMPRODUCT((IFERROR(_xlfn._xlws.FILTER(INDEX(PW:PW,_xlfn.SEQUENCE(100,1,11,3)),INDEX(PW:PW,_xlfn.SEQUENCE(100,1,11,3))&lt;&gt;""),"")&lt;&gt;"")*1)</f>
        <v>0</v>
      </c>
      <c r="PX1" s="47" cm="1">
        <f t="array" ref="PX1">SUMPRODUCT((IFERROR(_xlfn._xlws.FILTER(INDEX(PX:PX,_xlfn.SEQUENCE(100,1,11,3)),INDEX(PX:PX,_xlfn.SEQUENCE(100,1,11,3))&lt;&gt;""),"")&lt;&gt;"")*1)</f>
        <v>0</v>
      </c>
      <c r="PY1" s="47" cm="1">
        <f t="array" ref="PY1">SUMPRODUCT((IFERROR(_xlfn._xlws.FILTER(INDEX(PY:PY,_xlfn.SEQUENCE(100,1,11,3)),INDEX(PY:PY,_xlfn.SEQUENCE(100,1,11,3))&lt;&gt;""),"")&lt;&gt;"")*1)</f>
        <v>0</v>
      </c>
      <c r="PZ1" s="47" cm="1">
        <f t="array" ref="PZ1">SUMPRODUCT((IFERROR(_xlfn._xlws.FILTER(INDEX(PZ:PZ,_xlfn.SEQUENCE(100,1,11,3)),INDEX(PZ:PZ,_xlfn.SEQUENCE(100,1,11,3))&lt;&gt;""),"")&lt;&gt;"")*1)</f>
        <v>0</v>
      </c>
      <c r="QA1" s="47" cm="1">
        <f t="array" ref="QA1">SUMPRODUCT((IFERROR(_xlfn._xlws.FILTER(INDEX(QA:QA,_xlfn.SEQUENCE(100,1,11,3)),INDEX(QA:QA,_xlfn.SEQUENCE(100,1,11,3))&lt;&gt;""),"")&lt;&gt;"")*1)</f>
        <v>0</v>
      </c>
      <c r="QB1" s="47" cm="1">
        <f t="array" ref="QB1">SUMPRODUCT((IFERROR(_xlfn._xlws.FILTER(INDEX(QB:QB,_xlfn.SEQUENCE(100,1,11,3)),INDEX(QB:QB,_xlfn.SEQUENCE(100,1,11,3))&lt;&gt;""),"")&lt;&gt;"")*1)</f>
        <v>0</v>
      </c>
      <c r="QC1" s="47" cm="1">
        <f t="array" ref="QC1">SUMPRODUCT((IFERROR(_xlfn._xlws.FILTER(INDEX(QC:QC,_xlfn.SEQUENCE(100,1,11,3)),INDEX(QC:QC,_xlfn.SEQUENCE(100,1,11,3))&lt;&gt;""),"")&lt;&gt;"")*1)</f>
        <v>0</v>
      </c>
      <c r="QD1" s="47" cm="1">
        <f t="array" ref="QD1">SUMPRODUCT((IFERROR(_xlfn._xlws.FILTER(INDEX(QD:QD,_xlfn.SEQUENCE(100,1,11,3)),INDEX(QD:QD,_xlfn.SEQUENCE(100,1,11,3))&lt;&gt;""),"")&lt;&gt;"")*1)</f>
        <v>0</v>
      </c>
      <c r="QE1" s="47" cm="1">
        <f t="array" ref="QE1">SUMPRODUCT((IFERROR(_xlfn._xlws.FILTER(INDEX(QE:QE,_xlfn.SEQUENCE(100,1,11,3)),INDEX(QE:QE,_xlfn.SEQUENCE(100,1,11,3))&lt;&gt;""),"")&lt;&gt;"")*1)</f>
        <v>0</v>
      </c>
      <c r="QF1" s="47" cm="1">
        <f t="array" ref="QF1">SUMPRODUCT((IFERROR(_xlfn._xlws.FILTER(INDEX(QF:QF,_xlfn.SEQUENCE(100,1,11,3)),INDEX(QF:QF,_xlfn.SEQUENCE(100,1,11,3))&lt;&gt;""),"")&lt;&gt;"")*1)</f>
        <v>0</v>
      </c>
      <c r="QG1" s="47" cm="1">
        <f t="array" ref="QG1">SUMPRODUCT((IFERROR(_xlfn._xlws.FILTER(INDEX(QG:QG,_xlfn.SEQUENCE(100,1,11,3)),INDEX(QG:QG,_xlfn.SEQUENCE(100,1,11,3))&lt;&gt;""),"")&lt;&gt;"")*1)</f>
        <v>0</v>
      </c>
      <c r="QH1" s="47" cm="1">
        <f t="array" ref="QH1">SUMPRODUCT((IFERROR(_xlfn._xlws.FILTER(INDEX(QH:QH,_xlfn.SEQUENCE(100,1,11,3)),INDEX(QH:QH,_xlfn.SEQUENCE(100,1,11,3))&lt;&gt;""),"")&lt;&gt;"")*1)</f>
        <v>0</v>
      </c>
      <c r="QI1" s="47" cm="1">
        <f t="array" ref="QI1">SUMPRODUCT((IFERROR(_xlfn._xlws.FILTER(INDEX(QI:QI,_xlfn.SEQUENCE(100,1,11,3)),INDEX(QI:QI,_xlfn.SEQUENCE(100,1,11,3))&lt;&gt;""),"")&lt;&gt;"")*1)</f>
        <v>0</v>
      </c>
      <c r="QJ1" s="47" cm="1">
        <f t="array" ref="QJ1">SUMPRODUCT((IFERROR(_xlfn._xlws.FILTER(INDEX(QJ:QJ,_xlfn.SEQUENCE(100,1,11,3)),INDEX(QJ:QJ,_xlfn.SEQUENCE(100,1,11,3))&lt;&gt;""),"")&lt;&gt;"")*1)</f>
        <v>0</v>
      </c>
      <c r="QK1" s="47" cm="1">
        <f t="array" ref="QK1">SUMPRODUCT((IFERROR(_xlfn._xlws.FILTER(INDEX(QK:QK,_xlfn.SEQUENCE(100,1,11,3)),INDEX(QK:QK,_xlfn.SEQUENCE(100,1,11,3))&lt;&gt;""),"")&lt;&gt;"")*1)</f>
        <v>0</v>
      </c>
      <c r="QL1" s="47" cm="1">
        <f t="array" ref="QL1">SUMPRODUCT((IFERROR(_xlfn._xlws.FILTER(INDEX(QL:QL,_xlfn.SEQUENCE(100,1,11,3)),INDEX(QL:QL,_xlfn.SEQUENCE(100,1,11,3))&lt;&gt;""),"")&lt;&gt;"")*1)</f>
        <v>0</v>
      </c>
      <c r="QM1" s="47" cm="1">
        <f t="array" ref="QM1">SUMPRODUCT((IFERROR(_xlfn._xlws.FILTER(INDEX(QM:QM,_xlfn.SEQUENCE(100,1,11,3)),INDEX(QM:QM,_xlfn.SEQUENCE(100,1,11,3))&lt;&gt;""),"")&lt;&gt;"")*1)</f>
        <v>0</v>
      </c>
      <c r="QN1" s="47" cm="1">
        <f t="array" ref="QN1">SUMPRODUCT((IFERROR(_xlfn._xlws.FILTER(INDEX(QN:QN,_xlfn.SEQUENCE(100,1,11,3)),INDEX(QN:QN,_xlfn.SEQUENCE(100,1,11,3))&lt;&gt;""),"")&lt;&gt;"")*1)</f>
        <v>0</v>
      </c>
      <c r="QO1" s="47" cm="1">
        <f t="array" ref="QO1">SUMPRODUCT((IFERROR(_xlfn._xlws.FILTER(INDEX(QO:QO,_xlfn.SEQUENCE(100,1,11,3)),INDEX(QO:QO,_xlfn.SEQUENCE(100,1,11,3))&lt;&gt;""),"")&lt;&gt;"")*1)</f>
        <v>0</v>
      </c>
      <c r="QP1" s="47" cm="1">
        <f t="array" ref="QP1">SUMPRODUCT((IFERROR(_xlfn._xlws.FILTER(INDEX(QP:QP,_xlfn.SEQUENCE(100,1,11,3)),INDEX(QP:QP,_xlfn.SEQUENCE(100,1,11,3))&lt;&gt;""),"")&lt;&gt;"")*1)</f>
        <v>0</v>
      </c>
      <c r="QQ1" s="47" cm="1">
        <f t="array" ref="QQ1">SUMPRODUCT((IFERROR(_xlfn._xlws.FILTER(INDEX(QQ:QQ,_xlfn.SEQUENCE(100,1,11,3)),INDEX(QQ:QQ,_xlfn.SEQUENCE(100,1,11,3))&lt;&gt;""),"")&lt;&gt;"")*1)</f>
        <v>0</v>
      </c>
      <c r="QR1" s="47" cm="1">
        <f t="array" ref="QR1">SUMPRODUCT((IFERROR(_xlfn._xlws.FILTER(INDEX(QR:QR,_xlfn.SEQUENCE(100,1,11,3)),INDEX(QR:QR,_xlfn.SEQUENCE(100,1,11,3))&lt;&gt;""),"")&lt;&gt;"")*1)</f>
        <v>0</v>
      </c>
      <c r="QS1" s="47" cm="1">
        <f t="array" ref="QS1">SUMPRODUCT((IFERROR(_xlfn._xlws.FILTER(INDEX(QS:QS,_xlfn.SEQUENCE(100,1,11,3)),INDEX(QS:QS,_xlfn.SEQUENCE(100,1,11,3))&lt;&gt;""),"")&lt;&gt;"")*1)</f>
        <v>0</v>
      </c>
      <c r="QT1" s="47" cm="1">
        <f t="array" ref="QT1">SUMPRODUCT((IFERROR(_xlfn._xlws.FILTER(INDEX(QT:QT,_xlfn.SEQUENCE(100,1,11,3)),INDEX(QT:QT,_xlfn.SEQUENCE(100,1,11,3))&lt;&gt;""),"")&lt;&gt;"")*1)</f>
        <v>0</v>
      </c>
      <c r="QU1" s="47" cm="1">
        <f t="array" ref="QU1">SUMPRODUCT((IFERROR(_xlfn._xlws.FILTER(INDEX(QU:QU,_xlfn.SEQUENCE(100,1,11,3)),INDEX(QU:QU,_xlfn.SEQUENCE(100,1,11,3))&lt;&gt;""),"")&lt;&gt;"")*1)</f>
        <v>0</v>
      </c>
      <c r="QV1" s="47" cm="1">
        <f t="array" ref="QV1">SUMPRODUCT((IFERROR(_xlfn._xlws.FILTER(INDEX(QV:QV,_xlfn.SEQUENCE(100,1,11,3)),INDEX(QV:QV,_xlfn.SEQUENCE(100,1,11,3))&lt;&gt;""),"")&lt;&gt;"")*1)</f>
        <v>0</v>
      </c>
      <c r="QW1" s="47" cm="1">
        <f t="array" ref="QW1">SUMPRODUCT((IFERROR(_xlfn._xlws.FILTER(INDEX(QW:QW,_xlfn.SEQUENCE(100,1,11,3)),INDEX(QW:QW,_xlfn.SEQUENCE(100,1,11,3))&lt;&gt;""),"")&lt;&gt;"")*1)</f>
        <v>0</v>
      </c>
      <c r="QX1" s="47" cm="1">
        <f t="array" ref="QX1">SUMPRODUCT((IFERROR(_xlfn._xlws.FILTER(INDEX(QX:QX,_xlfn.SEQUENCE(100,1,11,3)),INDEX(QX:QX,_xlfn.SEQUENCE(100,1,11,3))&lt;&gt;""),"")&lt;&gt;"")*1)</f>
        <v>0</v>
      </c>
      <c r="QY1" s="47" cm="1">
        <f t="array" ref="QY1">SUMPRODUCT((IFERROR(_xlfn._xlws.FILTER(INDEX(QY:QY,_xlfn.SEQUENCE(100,1,11,3)),INDEX(QY:QY,_xlfn.SEQUENCE(100,1,11,3))&lt;&gt;""),"")&lt;&gt;"")*1)</f>
        <v>0</v>
      </c>
      <c r="QZ1" s="47" cm="1">
        <f t="array" ref="QZ1">SUMPRODUCT((IFERROR(_xlfn._xlws.FILTER(INDEX(QZ:QZ,_xlfn.SEQUENCE(100,1,11,3)),INDEX(QZ:QZ,_xlfn.SEQUENCE(100,1,11,3))&lt;&gt;""),"")&lt;&gt;"")*1)</f>
        <v>0</v>
      </c>
      <c r="RA1" s="47" cm="1">
        <f t="array" ref="RA1">SUMPRODUCT((IFERROR(_xlfn._xlws.FILTER(INDEX(RA:RA,_xlfn.SEQUENCE(100,1,11,3)),INDEX(RA:RA,_xlfn.SEQUENCE(100,1,11,3))&lt;&gt;""),"")&lt;&gt;"")*1)</f>
        <v>0</v>
      </c>
      <c r="RB1" s="47" cm="1">
        <f t="array" ref="RB1">SUMPRODUCT((IFERROR(_xlfn._xlws.FILTER(INDEX(RB:RB,_xlfn.SEQUENCE(100,1,11,3)),INDEX(RB:RB,_xlfn.SEQUENCE(100,1,11,3))&lt;&gt;""),"")&lt;&gt;"")*1)</f>
        <v>0</v>
      </c>
      <c r="RC1" s="47" cm="1">
        <f t="array" ref="RC1">SUMPRODUCT((IFERROR(_xlfn._xlws.FILTER(INDEX(RC:RC,_xlfn.SEQUENCE(100,1,11,3)),INDEX(RC:RC,_xlfn.SEQUENCE(100,1,11,3))&lt;&gt;""),"")&lt;&gt;"")*1)</f>
        <v>0</v>
      </c>
      <c r="RD1" s="47" cm="1">
        <f t="array" ref="RD1">SUMPRODUCT((IFERROR(_xlfn._xlws.FILTER(INDEX(RD:RD,_xlfn.SEQUENCE(100,1,11,3)),INDEX(RD:RD,_xlfn.SEQUENCE(100,1,11,3))&lt;&gt;""),"")&lt;&gt;"")*1)</f>
        <v>0</v>
      </c>
      <c r="RE1" s="47" cm="1">
        <f t="array" ref="RE1">SUMPRODUCT((IFERROR(_xlfn._xlws.FILTER(INDEX(RE:RE,_xlfn.SEQUENCE(100,1,11,3)),INDEX(RE:RE,_xlfn.SEQUENCE(100,1,11,3))&lt;&gt;""),"")&lt;&gt;"")*1)</f>
        <v>0</v>
      </c>
      <c r="RF1" s="47" cm="1">
        <f t="array" ref="RF1">SUMPRODUCT((IFERROR(_xlfn._xlws.FILTER(INDEX(RF:RF,_xlfn.SEQUENCE(100,1,11,3)),INDEX(RF:RF,_xlfn.SEQUENCE(100,1,11,3))&lt;&gt;""),"")&lt;&gt;"")*1)</f>
        <v>0</v>
      </c>
      <c r="RG1" s="47" cm="1">
        <f t="array" ref="RG1">SUMPRODUCT((IFERROR(_xlfn._xlws.FILTER(INDEX(RG:RG,_xlfn.SEQUENCE(100,1,11,3)),INDEX(RG:RG,_xlfn.SEQUENCE(100,1,11,3))&lt;&gt;""),"")&lt;&gt;"")*1)</f>
        <v>0</v>
      </c>
      <c r="RH1" s="47" cm="1">
        <f t="array" ref="RH1">SUMPRODUCT((IFERROR(_xlfn._xlws.FILTER(INDEX(RH:RH,_xlfn.SEQUENCE(100,1,11,3)),INDEX(RH:RH,_xlfn.SEQUENCE(100,1,11,3))&lt;&gt;""),"")&lt;&gt;"")*1)</f>
        <v>0</v>
      </c>
      <c r="RI1" s="47" cm="1">
        <f t="array" ref="RI1">SUMPRODUCT((IFERROR(_xlfn._xlws.FILTER(INDEX(RI:RI,_xlfn.SEQUENCE(100,1,11,3)),INDEX(RI:RI,_xlfn.SEQUENCE(100,1,11,3))&lt;&gt;""),"")&lt;&gt;"")*1)</f>
        <v>0</v>
      </c>
      <c r="RJ1" s="47" cm="1">
        <f t="array" ref="RJ1">SUMPRODUCT((IFERROR(_xlfn._xlws.FILTER(INDEX(RJ:RJ,_xlfn.SEQUENCE(100,1,11,3)),INDEX(RJ:RJ,_xlfn.SEQUENCE(100,1,11,3))&lt;&gt;""),"")&lt;&gt;"")*1)</f>
        <v>0</v>
      </c>
      <c r="RK1" s="47" cm="1">
        <f t="array" ref="RK1">SUMPRODUCT((IFERROR(_xlfn._xlws.FILTER(INDEX(RK:RK,_xlfn.SEQUENCE(100,1,11,3)),INDEX(RK:RK,_xlfn.SEQUENCE(100,1,11,3))&lt;&gt;""),"")&lt;&gt;"")*1)</f>
        <v>0</v>
      </c>
      <c r="RL1" s="47" cm="1">
        <f t="array" ref="RL1">SUMPRODUCT((IFERROR(_xlfn._xlws.FILTER(INDEX(RL:RL,_xlfn.SEQUENCE(100,1,11,3)),INDEX(RL:RL,_xlfn.SEQUENCE(100,1,11,3))&lt;&gt;""),"")&lt;&gt;"")*1)</f>
        <v>0</v>
      </c>
      <c r="RM1" s="47" cm="1">
        <f t="array" ref="RM1">SUMPRODUCT((IFERROR(_xlfn._xlws.FILTER(INDEX(RM:RM,_xlfn.SEQUENCE(100,1,11,3)),INDEX(RM:RM,_xlfn.SEQUENCE(100,1,11,3))&lt;&gt;""),"")&lt;&gt;"")*1)</f>
        <v>0</v>
      </c>
      <c r="RN1" s="47" cm="1">
        <f t="array" ref="RN1">SUMPRODUCT((IFERROR(_xlfn._xlws.FILTER(INDEX(RN:RN,_xlfn.SEQUENCE(100,1,11,3)),INDEX(RN:RN,_xlfn.SEQUENCE(100,1,11,3))&lt;&gt;""),"")&lt;&gt;"")*1)</f>
        <v>0</v>
      </c>
      <c r="RO1" s="47" cm="1">
        <f t="array" ref="RO1">SUMPRODUCT((IFERROR(_xlfn._xlws.FILTER(INDEX(RO:RO,_xlfn.SEQUENCE(100,1,11,3)),INDEX(RO:RO,_xlfn.SEQUENCE(100,1,11,3))&lt;&gt;""),"")&lt;&gt;"")*1)</f>
        <v>0</v>
      </c>
      <c r="RP1" s="47" cm="1">
        <f t="array" ref="RP1">SUMPRODUCT((IFERROR(_xlfn._xlws.FILTER(INDEX(RP:RP,_xlfn.SEQUENCE(100,1,11,3)),INDEX(RP:RP,_xlfn.SEQUENCE(100,1,11,3))&lt;&gt;""),"")&lt;&gt;"")*1)</f>
        <v>0</v>
      </c>
      <c r="RQ1" s="47" cm="1">
        <f t="array" ref="RQ1">SUMPRODUCT((IFERROR(_xlfn._xlws.FILTER(INDEX(RQ:RQ,_xlfn.SEQUENCE(100,1,11,3)),INDEX(RQ:RQ,_xlfn.SEQUENCE(100,1,11,3))&lt;&gt;""),"")&lt;&gt;"")*1)</f>
        <v>0</v>
      </c>
      <c r="RR1" s="47" cm="1">
        <f t="array" ref="RR1">SUMPRODUCT((IFERROR(_xlfn._xlws.FILTER(INDEX(RR:RR,_xlfn.SEQUENCE(100,1,11,3)),INDEX(RR:RR,_xlfn.SEQUENCE(100,1,11,3))&lt;&gt;""),"")&lt;&gt;"")*1)</f>
        <v>0</v>
      </c>
      <c r="RS1" s="47" cm="1">
        <f t="array" ref="RS1">SUMPRODUCT((IFERROR(_xlfn._xlws.FILTER(INDEX(RS:RS,_xlfn.SEQUENCE(100,1,11,3)),INDEX(RS:RS,_xlfn.SEQUENCE(100,1,11,3))&lt;&gt;""),"")&lt;&gt;"")*1)</f>
        <v>0</v>
      </c>
      <c r="RT1" s="47" cm="1">
        <f t="array" ref="RT1">SUMPRODUCT((IFERROR(_xlfn._xlws.FILTER(INDEX(RT:RT,_xlfn.SEQUENCE(100,1,11,3)),INDEX(RT:RT,_xlfn.SEQUENCE(100,1,11,3))&lt;&gt;""),"")&lt;&gt;"")*1)</f>
        <v>0</v>
      </c>
      <c r="RU1" s="47" cm="1">
        <f t="array" ref="RU1">SUMPRODUCT((IFERROR(_xlfn._xlws.FILTER(INDEX(RU:RU,_xlfn.SEQUENCE(100,1,11,3)),INDEX(RU:RU,_xlfn.SEQUENCE(100,1,11,3))&lt;&gt;""),"")&lt;&gt;"")*1)</f>
        <v>0</v>
      </c>
      <c r="RV1" s="47" cm="1">
        <f t="array" ref="RV1">SUMPRODUCT((IFERROR(_xlfn._xlws.FILTER(INDEX(RV:RV,_xlfn.SEQUENCE(100,1,11,3)),INDEX(RV:RV,_xlfn.SEQUENCE(100,1,11,3))&lt;&gt;""),"")&lt;&gt;"")*1)</f>
        <v>0</v>
      </c>
      <c r="RW1" s="47" cm="1">
        <f t="array" ref="RW1">SUMPRODUCT((IFERROR(_xlfn._xlws.FILTER(INDEX(RW:RW,_xlfn.SEQUENCE(100,1,11,3)),INDEX(RW:RW,_xlfn.SEQUENCE(100,1,11,3))&lt;&gt;""),"")&lt;&gt;"")*1)</f>
        <v>0</v>
      </c>
      <c r="RX1" s="47" cm="1">
        <f t="array" ref="RX1">SUMPRODUCT((IFERROR(_xlfn._xlws.FILTER(INDEX(RX:RX,_xlfn.SEQUENCE(100,1,11,3)),INDEX(RX:RX,_xlfn.SEQUENCE(100,1,11,3))&lt;&gt;""),"")&lt;&gt;"")*1)</f>
        <v>0</v>
      </c>
      <c r="RY1" s="47" cm="1">
        <f t="array" ref="RY1">SUMPRODUCT((IFERROR(_xlfn._xlws.FILTER(INDEX(RY:RY,_xlfn.SEQUENCE(100,1,11,3)),INDEX(RY:RY,_xlfn.SEQUENCE(100,1,11,3))&lt;&gt;""),"")&lt;&gt;"")*1)</f>
        <v>0</v>
      </c>
      <c r="RZ1" s="47" cm="1">
        <f t="array" ref="RZ1">SUMPRODUCT((IFERROR(_xlfn._xlws.FILTER(INDEX(RZ:RZ,_xlfn.SEQUENCE(100,1,11,3)),INDEX(RZ:RZ,_xlfn.SEQUENCE(100,1,11,3))&lt;&gt;""),"")&lt;&gt;"")*1)</f>
        <v>0</v>
      </c>
      <c r="SA1" s="47" cm="1">
        <f t="array" ref="SA1">SUMPRODUCT((IFERROR(_xlfn._xlws.FILTER(INDEX(SA:SA,_xlfn.SEQUENCE(100,1,11,3)),INDEX(SA:SA,_xlfn.SEQUENCE(100,1,11,3))&lt;&gt;""),"")&lt;&gt;"")*1)</f>
        <v>0</v>
      </c>
      <c r="SB1" s="47" cm="1">
        <f t="array" ref="SB1">SUMPRODUCT((IFERROR(_xlfn._xlws.FILTER(INDEX(SB:SB,_xlfn.SEQUENCE(100,1,11,3)),INDEX(SB:SB,_xlfn.SEQUENCE(100,1,11,3))&lt;&gt;""),"")&lt;&gt;"")*1)</f>
        <v>0</v>
      </c>
      <c r="SC1" s="47" cm="1">
        <f t="array" ref="SC1">SUMPRODUCT((IFERROR(_xlfn._xlws.FILTER(INDEX(SC:SC,_xlfn.SEQUENCE(100,1,11,3)),INDEX(SC:SC,_xlfn.SEQUENCE(100,1,11,3))&lt;&gt;""),"")&lt;&gt;"")*1)</f>
        <v>0</v>
      </c>
      <c r="SD1" s="47" cm="1">
        <f t="array" ref="SD1">SUMPRODUCT((IFERROR(_xlfn._xlws.FILTER(INDEX(SD:SD,_xlfn.SEQUENCE(100,1,11,3)),INDEX(SD:SD,_xlfn.SEQUENCE(100,1,11,3))&lt;&gt;""),"")&lt;&gt;"")*1)</f>
        <v>0</v>
      </c>
      <c r="SE1" s="47" cm="1">
        <f t="array" ref="SE1">SUMPRODUCT((IFERROR(_xlfn._xlws.FILTER(INDEX(SE:SE,_xlfn.SEQUENCE(100,1,11,3)),INDEX(SE:SE,_xlfn.SEQUENCE(100,1,11,3))&lt;&gt;""),"")&lt;&gt;"")*1)</f>
        <v>0</v>
      </c>
      <c r="SF1" s="47" cm="1">
        <f t="array" ref="SF1">SUMPRODUCT((IFERROR(_xlfn._xlws.FILTER(INDEX(SF:SF,_xlfn.SEQUENCE(100,1,11,3)),INDEX(SF:SF,_xlfn.SEQUENCE(100,1,11,3))&lt;&gt;""),"")&lt;&gt;"")*1)</f>
        <v>0</v>
      </c>
      <c r="SG1" s="47" cm="1">
        <f t="array" ref="SG1">SUMPRODUCT((IFERROR(_xlfn._xlws.FILTER(INDEX(SG:SG,_xlfn.SEQUENCE(100,1,11,3)),INDEX(SG:SG,_xlfn.SEQUENCE(100,1,11,3))&lt;&gt;""),"")&lt;&gt;"")*1)</f>
        <v>0</v>
      </c>
      <c r="SH1" s="47" cm="1">
        <f t="array" ref="SH1">SUMPRODUCT((IFERROR(_xlfn._xlws.FILTER(INDEX(SH:SH,_xlfn.SEQUENCE(100,1,11,3)),INDEX(SH:SH,_xlfn.SEQUENCE(100,1,11,3))&lt;&gt;""),"")&lt;&gt;"")*1)</f>
        <v>0</v>
      </c>
      <c r="SI1" s="47" cm="1">
        <f t="array" ref="SI1">SUMPRODUCT((IFERROR(_xlfn._xlws.FILTER(INDEX(SI:SI,_xlfn.SEQUENCE(100,1,11,3)),INDEX(SI:SI,_xlfn.SEQUENCE(100,1,11,3))&lt;&gt;""),"")&lt;&gt;"")*1)</f>
        <v>0</v>
      </c>
      <c r="SJ1" s="47" cm="1">
        <f t="array" ref="SJ1">SUMPRODUCT((IFERROR(_xlfn._xlws.FILTER(INDEX(SJ:SJ,_xlfn.SEQUENCE(100,1,11,3)),INDEX(SJ:SJ,_xlfn.SEQUENCE(100,1,11,3))&lt;&gt;""),"")&lt;&gt;"")*1)</f>
        <v>0</v>
      </c>
      <c r="SK1" s="47" cm="1">
        <f t="array" ref="SK1">SUMPRODUCT((IFERROR(_xlfn._xlws.FILTER(INDEX(SK:SK,_xlfn.SEQUENCE(100,1,11,3)),INDEX(SK:SK,_xlfn.SEQUENCE(100,1,11,3))&lt;&gt;""),"")&lt;&gt;"")*1)</f>
        <v>0</v>
      </c>
      <c r="SL1" s="47" cm="1">
        <f t="array" ref="SL1">SUMPRODUCT((IFERROR(_xlfn._xlws.FILTER(INDEX(SL:SL,_xlfn.SEQUENCE(100,1,11,3)),INDEX(SL:SL,_xlfn.SEQUENCE(100,1,11,3))&lt;&gt;""),"")&lt;&gt;"")*1)</f>
        <v>0</v>
      </c>
      <c r="SM1" s="47" cm="1">
        <f t="array" ref="SM1">SUMPRODUCT((IFERROR(_xlfn._xlws.FILTER(INDEX(SM:SM,_xlfn.SEQUENCE(100,1,11,3)),INDEX(SM:SM,_xlfn.SEQUENCE(100,1,11,3))&lt;&gt;""),"")&lt;&gt;"")*1)</f>
        <v>0</v>
      </c>
      <c r="SN1" s="47" cm="1">
        <f t="array" ref="SN1">SUMPRODUCT((IFERROR(_xlfn._xlws.FILTER(INDEX(SN:SN,_xlfn.SEQUENCE(100,1,11,3)),INDEX(SN:SN,_xlfn.SEQUENCE(100,1,11,3))&lt;&gt;""),"")&lt;&gt;"")*1)</f>
        <v>0</v>
      </c>
      <c r="SO1" s="47" cm="1">
        <f t="array" ref="SO1">SUMPRODUCT((IFERROR(_xlfn._xlws.FILTER(INDEX(SO:SO,_xlfn.SEQUENCE(100,1,11,3)),INDEX(SO:SO,_xlfn.SEQUENCE(100,1,11,3))&lt;&gt;""),"")&lt;&gt;"")*1)</f>
        <v>0</v>
      </c>
      <c r="SP1" s="47" cm="1">
        <f t="array" ref="SP1">SUMPRODUCT((IFERROR(_xlfn._xlws.FILTER(INDEX(SP:SP,_xlfn.SEQUENCE(100,1,11,3)),INDEX(SP:SP,_xlfn.SEQUENCE(100,1,11,3))&lt;&gt;""),"")&lt;&gt;"")*1)</f>
        <v>0</v>
      </c>
      <c r="SQ1" s="47" cm="1">
        <f t="array" ref="SQ1">SUMPRODUCT((IFERROR(_xlfn._xlws.FILTER(INDEX(SQ:SQ,_xlfn.SEQUENCE(100,1,11,3)),INDEX(SQ:SQ,_xlfn.SEQUENCE(100,1,11,3))&lt;&gt;""),"")&lt;&gt;"")*1)</f>
        <v>0</v>
      </c>
      <c r="SR1" s="47" cm="1">
        <f t="array" ref="SR1">SUMPRODUCT((IFERROR(_xlfn._xlws.FILTER(INDEX(SR:SR,_xlfn.SEQUENCE(100,1,11,3)),INDEX(SR:SR,_xlfn.SEQUENCE(100,1,11,3))&lt;&gt;""),"")&lt;&gt;"")*1)</f>
        <v>0</v>
      </c>
    </row>
    <row r="2" spans="1:512" s="47" customFormat="1" ht="16.25" customHeight="1" x14ac:dyDescent="0.65">
      <c r="A2" s="178" t="s">
        <v>112</v>
      </c>
      <c r="B2" s="179"/>
      <c r="C2" s="180" t="s">
        <v>263</v>
      </c>
      <c r="D2" s="180"/>
      <c r="E2" s="180"/>
      <c r="F2" s="180"/>
      <c r="G2" s="78"/>
      <c r="H2" s="78"/>
      <c r="I2" s="79"/>
      <c r="J2" s="79"/>
      <c r="K2" s="80" t="s">
        <v>113</v>
      </c>
      <c r="L2" s="47" cm="1">
        <f t="array" ref="L2">SUMPRODUCT((IFERROR(_xlfn._xlws.FILTER(INDEX(L:L,_xlfn.SEQUENCE(100,1,12,3)),INDEX(L:L,_xlfn.SEQUENCE(100,1,12,3))&lt;&gt;""),"")&lt;&gt;"")*1)</f>
        <v>0</v>
      </c>
      <c r="M2" s="47" cm="1">
        <f t="array" ref="M2">SUMPRODUCT((IFERROR(_xlfn._xlws.FILTER(INDEX(M:M,_xlfn.SEQUENCE(100,1,12,3)),INDEX(M:M,_xlfn.SEQUENCE(100,1,12,3))&lt;&gt;""),"")&lt;&gt;"")*1)</f>
        <v>0</v>
      </c>
      <c r="N2" s="47" cm="1">
        <f t="array" ref="N2">SUMPRODUCT((IFERROR(_xlfn._xlws.FILTER(INDEX(N:N,_xlfn.SEQUENCE(100,1,12,3)),INDEX(N:N,_xlfn.SEQUENCE(100,1,12,3))&lt;&gt;""),"")&lt;&gt;"")*1)</f>
        <v>0</v>
      </c>
      <c r="O2" s="47" cm="1">
        <f t="array" ref="O2">SUMPRODUCT((IFERROR(_xlfn._xlws.FILTER(INDEX(O:O,_xlfn.SEQUENCE(100,1,12,3)),INDEX(O:O,_xlfn.SEQUENCE(100,1,12,3))&lt;&gt;""),"")&lt;&gt;"")*1)</f>
        <v>0</v>
      </c>
      <c r="P2" s="47" cm="1">
        <f t="array" ref="P2">SUMPRODUCT((IFERROR(_xlfn._xlws.FILTER(INDEX(P:P,_xlfn.SEQUENCE(100,1,12,3)),INDEX(P:P,_xlfn.SEQUENCE(100,1,12,3))&lt;&gt;""),"")&lt;&gt;"")*1)</f>
        <v>0</v>
      </c>
      <c r="Q2" s="47" cm="1">
        <f t="array" ref="Q2">SUMPRODUCT((IFERROR(_xlfn._xlws.FILTER(INDEX(Q:Q,_xlfn.SEQUENCE(100,1,12,3)),INDEX(Q:Q,_xlfn.SEQUENCE(100,1,12,3))&lt;&gt;""),"")&lt;&gt;"")*1)</f>
        <v>0</v>
      </c>
      <c r="R2" s="47" cm="1">
        <f t="array" ref="R2">SUMPRODUCT((IFERROR(_xlfn._xlws.FILTER(INDEX(R:R,_xlfn.SEQUENCE(100,1,12,3)),INDEX(R:R,_xlfn.SEQUENCE(100,1,12,3))&lt;&gt;""),"")&lt;&gt;"")*1)</f>
        <v>0</v>
      </c>
      <c r="S2" s="47" cm="1">
        <f t="array" ref="S2">SUMPRODUCT((IFERROR(_xlfn._xlws.FILTER(INDEX(S:S,_xlfn.SEQUENCE(100,1,12,3)),INDEX(S:S,_xlfn.SEQUENCE(100,1,12,3))&lt;&gt;""),"")&lt;&gt;"")*1)</f>
        <v>0</v>
      </c>
      <c r="T2" s="47" cm="1">
        <f t="array" ref="T2">SUMPRODUCT((IFERROR(_xlfn._xlws.FILTER(INDEX(T:T,_xlfn.SEQUENCE(100,1,12,3)),INDEX(T:T,_xlfn.SEQUENCE(100,1,12,3))&lt;&gt;""),"")&lt;&gt;"")*1)</f>
        <v>0</v>
      </c>
      <c r="U2" s="47" cm="1">
        <f t="array" ref="U2">SUMPRODUCT((IFERROR(_xlfn._xlws.FILTER(INDEX(U:U,_xlfn.SEQUENCE(100,1,12,3)),INDEX(U:U,_xlfn.SEQUENCE(100,1,12,3))&lt;&gt;""),"")&lt;&gt;"")*1)</f>
        <v>0</v>
      </c>
      <c r="V2" s="47" cm="1">
        <f t="array" ref="V2">SUMPRODUCT((IFERROR(_xlfn._xlws.FILTER(INDEX(V:V,_xlfn.SEQUENCE(100,1,12,3)),INDEX(V:V,_xlfn.SEQUENCE(100,1,12,3))&lt;&gt;""),"")&lt;&gt;"")*1)</f>
        <v>0</v>
      </c>
      <c r="W2" s="47" cm="1">
        <f t="array" ref="W2">SUMPRODUCT((IFERROR(_xlfn._xlws.FILTER(INDEX(W:W,_xlfn.SEQUENCE(100,1,12,3)),INDEX(W:W,_xlfn.SEQUENCE(100,1,12,3))&lt;&gt;""),"")&lt;&gt;"")*1)</f>
        <v>0</v>
      </c>
      <c r="X2" s="47" cm="1">
        <f t="array" ref="X2">SUMPRODUCT((IFERROR(_xlfn._xlws.FILTER(INDEX(X:X,_xlfn.SEQUENCE(100,1,12,3)),INDEX(X:X,_xlfn.SEQUENCE(100,1,12,3))&lt;&gt;""),"")&lt;&gt;"")*1)</f>
        <v>0</v>
      </c>
      <c r="Y2" s="47" cm="1">
        <f t="array" ref="Y2">SUMPRODUCT((IFERROR(_xlfn._xlws.FILTER(INDEX(Y:Y,_xlfn.SEQUENCE(100,1,12,3)),INDEX(Y:Y,_xlfn.SEQUENCE(100,1,12,3))&lt;&gt;""),"")&lt;&gt;"")*1)</f>
        <v>0</v>
      </c>
      <c r="Z2" s="47" cm="1">
        <f t="array" ref="Z2">SUMPRODUCT((IFERROR(_xlfn._xlws.FILTER(INDEX(Z:Z,_xlfn.SEQUENCE(100,1,12,3)),INDEX(Z:Z,_xlfn.SEQUENCE(100,1,12,3))&lt;&gt;""),"")&lt;&gt;"")*1)</f>
        <v>0</v>
      </c>
      <c r="AA2" s="47" cm="1">
        <f t="array" ref="AA2">SUMPRODUCT((IFERROR(_xlfn._xlws.FILTER(INDEX(AA:AA,_xlfn.SEQUENCE(100,1,12,3)),INDEX(AA:AA,_xlfn.SEQUENCE(100,1,12,3))&lt;&gt;""),"")&lt;&gt;"")*1)</f>
        <v>0</v>
      </c>
      <c r="AB2" s="47" cm="1">
        <f t="array" ref="AB2">SUMPRODUCT((IFERROR(_xlfn._xlws.FILTER(INDEX(AB:AB,_xlfn.SEQUENCE(100,1,12,3)),INDEX(AB:AB,_xlfn.SEQUENCE(100,1,12,3))&lt;&gt;""),"")&lt;&gt;"")*1)</f>
        <v>0</v>
      </c>
      <c r="AC2" s="47" cm="1">
        <f t="array" ref="AC2">SUMPRODUCT((IFERROR(_xlfn._xlws.FILTER(INDEX(AC:AC,_xlfn.SEQUENCE(100,1,12,3)),INDEX(AC:AC,_xlfn.SEQUENCE(100,1,12,3))&lt;&gt;""),"")&lt;&gt;"")*1)</f>
        <v>0</v>
      </c>
      <c r="AD2" s="47" cm="1">
        <f t="array" ref="AD2">SUMPRODUCT((IFERROR(_xlfn._xlws.FILTER(INDEX(AD:AD,_xlfn.SEQUENCE(100,1,12,3)),INDEX(AD:AD,_xlfn.SEQUENCE(100,1,12,3))&lt;&gt;""),"")&lt;&gt;"")*1)</f>
        <v>0</v>
      </c>
      <c r="AE2" s="47" cm="1">
        <f t="array" ref="AE2">SUMPRODUCT((IFERROR(_xlfn._xlws.FILTER(INDEX(AE:AE,_xlfn.SEQUENCE(100,1,12,3)),INDEX(AE:AE,_xlfn.SEQUENCE(100,1,12,3))&lt;&gt;""),"")&lt;&gt;"")*1)</f>
        <v>0</v>
      </c>
      <c r="AF2" s="47" cm="1">
        <f t="array" ref="AF2">SUMPRODUCT((IFERROR(_xlfn._xlws.FILTER(INDEX(AF:AF,_xlfn.SEQUENCE(100,1,12,3)),INDEX(AF:AF,_xlfn.SEQUENCE(100,1,12,3))&lt;&gt;""),"")&lt;&gt;"")*1)</f>
        <v>0</v>
      </c>
      <c r="AG2" s="47" cm="1">
        <f t="array" ref="AG2">SUMPRODUCT((IFERROR(_xlfn._xlws.FILTER(INDEX(AG:AG,_xlfn.SEQUENCE(100,1,12,3)),INDEX(AG:AG,_xlfn.SEQUENCE(100,1,12,3))&lt;&gt;""),"")&lt;&gt;"")*1)</f>
        <v>0</v>
      </c>
      <c r="AH2" s="47" cm="1">
        <f t="array" ref="AH2">SUMPRODUCT((IFERROR(_xlfn._xlws.FILTER(INDEX(AH:AH,_xlfn.SEQUENCE(100,1,12,3)),INDEX(AH:AH,_xlfn.SEQUENCE(100,1,12,3))&lt;&gt;""),"")&lt;&gt;"")*1)</f>
        <v>0</v>
      </c>
      <c r="AI2" s="47" cm="1">
        <f t="array" ref="AI2">SUMPRODUCT((IFERROR(_xlfn._xlws.FILTER(INDEX(AI:AI,_xlfn.SEQUENCE(100,1,12,3)),INDEX(AI:AI,_xlfn.SEQUENCE(100,1,12,3))&lt;&gt;""),"")&lt;&gt;"")*1)</f>
        <v>0</v>
      </c>
      <c r="AJ2" s="47" cm="1">
        <f t="array" ref="AJ2">SUMPRODUCT((IFERROR(_xlfn._xlws.FILTER(INDEX(AJ:AJ,_xlfn.SEQUENCE(100,1,12,3)),INDEX(AJ:AJ,_xlfn.SEQUENCE(100,1,12,3))&lt;&gt;""),"")&lt;&gt;"")*1)</f>
        <v>0</v>
      </c>
      <c r="AK2" s="47" cm="1">
        <f t="array" ref="AK2">SUMPRODUCT((IFERROR(_xlfn._xlws.FILTER(INDEX(AK:AK,_xlfn.SEQUENCE(100,1,12,3)),INDEX(AK:AK,_xlfn.SEQUENCE(100,1,12,3))&lt;&gt;""),"")&lt;&gt;"")*1)</f>
        <v>0</v>
      </c>
      <c r="AL2" s="47" cm="1">
        <f t="array" ref="AL2">SUMPRODUCT((IFERROR(_xlfn._xlws.FILTER(INDEX(AL:AL,_xlfn.SEQUENCE(100,1,12,3)),INDEX(AL:AL,_xlfn.SEQUENCE(100,1,12,3))&lt;&gt;""),"")&lt;&gt;"")*1)</f>
        <v>0</v>
      </c>
      <c r="AM2" s="47" cm="1">
        <f t="array" ref="AM2">SUMPRODUCT((IFERROR(_xlfn._xlws.FILTER(INDEX(AM:AM,_xlfn.SEQUENCE(100,1,12,3)),INDEX(AM:AM,_xlfn.SEQUENCE(100,1,12,3))&lt;&gt;""),"")&lt;&gt;"")*1)</f>
        <v>0</v>
      </c>
      <c r="AN2" s="47" cm="1">
        <f t="array" ref="AN2">SUMPRODUCT((IFERROR(_xlfn._xlws.FILTER(INDEX(AN:AN,_xlfn.SEQUENCE(100,1,12,3)),INDEX(AN:AN,_xlfn.SEQUENCE(100,1,12,3))&lt;&gt;""),"")&lt;&gt;"")*1)</f>
        <v>0</v>
      </c>
      <c r="AO2" s="47" cm="1">
        <f t="array" ref="AO2">SUMPRODUCT((IFERROR(_xlfn._xlws.FILTER(INDEX(AO:AO,_xlfn.SEQUENCE(100,1,12,3)),INDEX(AO:AO,_xlfn.SEQUENCE(100,1,12,3))&lt;&gt;""),"")&lt;&gt;"")*1)</f>
        <v>0</v>
      </c>
      <c r="AP2" s="47" cm="1">
        <f t="array" ref="AP2">SUMPRODUCT((IFERROR(_xlfn._xlws.FILTER(INDEX(AP:AP,_xlfn.SEQUENCE(100,1,12,3)),INDEX(AP:AP,_xlfn.SEQUENCE(100,1,12,3))&lt;&gt;""),"")&lt;&gt;"")*1)</f>
        <v>0</v>
      </c>
      <c r="AQ2" s="47" cm="1">
        <f t="array" ref="AQ2">SUMPRODUCT((IFERROR(_xlfn._xlws.FILTER(INDEX(AQ:AQ,_xlfn.SEQUENCE(100,1,12,3)),INDEX(AQ:AQ,_xlfn.SEQUENCE(100,1,12,3))&lt;&gt;""),"")&lt;&gt;"")*1)</f>
        <v>0</v>
      </c>
      <c r="AR2" s="47" cm="1">
        <f t="array" ref="AR2">SUMPRODUCT((IFERROR(_xlfn._xlws.FILTER(INDEX(AR:AR,_xlfn.SEQUENCE(100,1,12,3)),INDEX(AR:AR,_xlfn.SEQUENCE(100,1,12,3))&lt;&gt;""),"")&lt;&gt;"")*1)</f>
        <v>0</v>
      </c>
      <c r="AS2" s="47" cm="1">
        <f t="array" ref="AS2">SUMPRODUCT((IFERROR(_xlfn._xlws.FILTER(INDEX(AS:AS,_xlfn.SEQUENCE(100,1,12,3)),INDEX(AS:AS,_xlfn.SEQUENCE(100,1,12,3))&lt;&gt;""),"")&lt;&gt;"")*1)</f>
        <v>0</v>
      </c>
      <c r="AT2" s="47" cm="1">
        <f t="array" ref="AT2">SUMPRODUCT((IFERROR(_xlfn._xlws.FILTER(INDEX(AT:AT,_xlfn.SEQUENCE(100,1,12,3)),INDEX(AT:AT,_xlfn.SEQUENCE(100,1,12,3))&lt;&gt;""),"")&lt;&gt;"")*1)</f>
        <v>0</v>
      </c>
      <c r="AU2" s="47" cm="1">
        <f t="array" ref="AU2">SUMPRODUCT((IFERROR(_xlfn._xlws.FILTER(INDEX(AU:AU,_xlfn.SEQUENCE(100,1,12,3)),INDEX(AU:AU,_xlfn.SEQUENCE(100,1,12,3))&lt;&gt;""),"")&lt;&gt;"")*1)</f>
        <v>0</v>
      </c>
      <c r="AV2" s="47" cm="1">
        <f t="array" ref="AV2">SUMPRODUCT((IFERROR(_xlfn._xlws.FILTER(INDEX(AV:AV,_xlfn.SEQUENCE(100,1,12,3)),INDEX(AV:AV,_xlfn.SEQUENCE(100,1,12,3))&lt;&gt;""),"")&lt;&gt;"")*1)</f>
        <v>0</v>
      </c>
      <c r="AW2" s="47" cm="1">
        <f t="array" ref="AW2">SUMPRODUCT((IFERROR(_xlfn._xlws.FILTER(INDEX(AW:AW,_xlfn.SEQUENCE(100,1,12,3)),INDEX(AW:AW,_xlfn.SEQUENCE(100,1,12,3))&lt;&gt;""),"")&lt;&gt;"")*1)</f>
        <v>0</v>
      </c>
      <c r="AX2" s="47" cm="1">
        <f t="array" ref="AX2">SUMPRODUCT((IFERROR(_xlfn._xlws.FILTER(INDEX(AX:AX,_xlfn.SEQUENCE(100,1,12,3)),INDEX(AX:AX,_xlfn.SEQUENCE(100,1,12,3))&lt;&gt;""),"")&lt;&gt;"")*1)</f>
        <v>0</v>
      </c>
      <c r="AY2" s="47" cm="1">
        <f t="array" ref="AY2">SUMPRODUCT((IFERROR(_xlfn._xlws.FILTER(INDEX(AY:AY,_xlfn.SEQUENCE(100,1,12,3)),INDEX(AY:AY,_xlfn.SEQUENCE(100,1,12,3))&lt;&gt;""),"")&lt;&gt;"")*1)</f>
        <v>0</v>
      </c>
      <c r="AZ2" s="47" cm="1">
        <f t="array" ref="AZ2">SUMPRODUCT((IFERROR(_xlfn._xlws.FILTER(INDEX(AZ:AZ,_xlfn.SEQUENCE(100,1,12,3)),INDEX(AZ:AZ,_xlfn.SEQUENCE(100,1,12,3))&lt;&gt;""),"")&lt;&gt;"")*1)</f>
        <v>0</v>
      </c>
      <c r="BA2" s="47" cm="1">
        <f t="array" ref="BA2">SUMPRODUCT((IFERROR(_xlfn._xlws.FILTER(INDEX(BA:BA,_xlfn.SEQUENCE(100,1,12,3)),INDEX(BA:BA,_xlfn.SEQUENCE(100,1,12,3))&lt;&gt;""),"")&lt;&gt;"")*1)</f>
        <v>0</v>
      </c>
      <c r="BB2" s="47" cm="1">
        <f t="array" ref="BB2">SUMPRODUCT((IFERROR(_xlfn._xlws.FILTER(INDEX(BB:BB,_xlfn.SEQUENCE(100,1,12,3)),INDEX(BB:BB,_xlfn.SEQUENCE(100,1,12,3))&lt;&gt;""),"")&lt;&gt;"")*1)</f>
        <v>0</v>
      </c>
      <c r="BC2" s="47" cm="1">
        <f t="array" ref="BC2">SUMPRODUCT((IFERROR(_xlfn._xlws.FILTER(INDEX(BC:BC,_xlfn.SEQUENCE(100,1,12,3)),INDEX(BC:BC,_xlfn.SEQUENCE(100,1,12,3))&lt;&gt;""),"")&lt;&gt;"")*1)</f>
        <v>0</v>
      </c>
      <c r="BD2" s="47" cm="1">
        <f t="array" ref="BD2">SUMPRODUCT((IFERROR(_xlfn._xlws.FILTER(INDEX(BD:BD,_xlfn.SEQUENCE(100,1,12,3)),INDEX(BD:BD,_xlfn.SEQUENCE(100,1,12,3))&lt;&gt;""),"")&lt;&gt;"")*1)</f>
        <v>0</v>
      </c>
      <c r="BE2" s="47" cm="1">
        <f t="array" ref="BE2">SUMPRODUCT((IFERROR(_xlfn._xlws.FILTER(INDEX(BE:BE,_xlfn.SEQUENCE(100,1,12,3)),INDEX(BE:BE,_xlfn.SEQUENCE(100,1,12,3))&lt;&gt;""),"")&lt;&gt;"")*1)</f>
        <v>0</v>
      </c>
      <c r="BF2" s="47" cm="1">
        <f t="array" ref="BF2">SUMPRODUCT((IFERROR(_xlfn._xlws.FILTER(INDEX(BF:BF,_xlfn.SEQUENCE(100,1,12,3)),INDEX(BF:BF,_xlfn.SEQUENCE(100,1,12,3))&lt;&gt;""),"")&lt;&gt;"")*1)</f>
        <v>0</v>
      </c>
      <c r="BG2" s="47" cm="1">
        <f t="array" ref="BG2">SUMPRODUCT((IFERROR(_xlfn._xlws.FILTER(INDEX(BG:BG,_xlfn.SEQUENCE(100,1,12,3)),INDEX(BG:BG,_xlfn.SEQUENCE(100,1,12,3))&lt;&gt;""),"")&lt;&gt;"")*1)</f>
        <v>0</v>
      </c>
      <c r="BH2" s="47" cm="1">
        <f t="array" ref="BH2">SUMPRODUCT((IFERROR(_xlfn._xlws.FILTER(INDEX(BH:BH,_xlfn.SEQUENCE(100,1,12,3)),INDEX(BH:BH,_xlfn.SEQUENCE(100,1,12,3))&lt;&gt;""),"")&lt;&gt;"")*1)</f>
        <v>0</v>
      </c>
      <c r="BI2" s="47" cm="1">
        <f t="array" ref="BI2">SUMPRODUCT((IFERROR(_xlfn._xlws.FILTER(INDEX(BI:BI,_xlfn.SEQUENCE(100,1,12,3)),INDEX(BI:BI,_xlfn.SEQUENCE(100,1,12,3))&lt;&gt;""),"")&lt;&gt;"")*1)</f>
        <v>0</v>
      </c>
      <c r="BJ2" s="47" cm="1">
        <f t="array" ref="BJ2">SUMPRODUCT((IFERROR(_xlfn._xlws.FILTER(INDEX(BJ:BJ,_xlfn.SEQUENCE(100,1,12,3)),INDEX(BJ:BJ,_xlfn.SEQUENCE(100,1,12,3))&lt;&gt;""),"")&lt;&gt;"")*1)</f>
        <v>0</v>
      </c>
      <c r="BK2" s="47" cm="1">
        <f t="array" ref="BK2">SUMPRODUCT((IFERROR(_xlfn._xlws.FILTER(INDEX(BK:BK,_xlfn.SEQUENCE(100,1,12,3)),INDEX(BK:BK,_xlfn.SEQUENCE(100,1,12,3))&lt;&gt;""),"")&lt;&gt;"")*1)</f>
        <v>0</v>
      </c>
      <c r="BL2" s="47" cm="1">
        <f t="array" ref="BL2">SUMPRODUCT((IFERROR(_xlfn._xlws.FILTER(INDEX(BL:BL,_xlfn.SEQUENCE(100,1,12,3)),INDEX(BL:BL,_xlfn.SEQUENCE(100,1,12,3))&lt;&gt;""),"")&lt;&gt;"")*1)</f>
        <v>0</v>
      </c>
      <c r="BM2" s="47" cm="1">
        <f t="array" ref="BM2">SUMPRODUCT((IFERROR(_xlfn._xlws.FILTER(INDEX(BM:BM,_xlfn.SEQUENCE(100,1,12,3)),INDEX(BM:BM,_xlfn.SEQUENCE(100,1,12,3))&lt;&gt;""),"")&lt;&gt;"")*1)</f>
        <v>0</v>
      </c>
      <c r="BN2" s="47" cm="1">
        <f t="array" ref="BN2">SUMPRODUCT((IFERROR(_xlfn._xlws.FILTER(INDEX(BN:BN,_xlfn.SEQUENCE(100,1,12,3)),INDEX(BN:BN,_xlfn.SEQUENCE(100,1,12,3))&lt;&gt;""),"")&lt;&gt;"")*1)</f>
        <v>0</v>
      </c>
      <c r="BO2" s="47" cm="1">
        <f t="array" ref="BO2">SUMPRODUCT((IFERROR(_xlfn._xlws.FILTER(INDEX(BO:BO,_xlfn.SEQUENCE(100,1,12,3)),INDEX(BO:BO,_xlfn.SEQUENCE(100,1,12,3))&lt;&gt;""),"")&lt;&gt;"")*1)</f>
        <v>0</v>
      </c>
      <c r="BP2" s="47" cm="1">
        <f t="array" ref="BP2">SUMPRODUCT((IFERROR(_xlfn._xlws.FILTER(INDEX(BP:BP,_xlfn.SEQUENCE(100,1,12,3)),INDEX(BP:BP,_xlfn.SEQUENCE(100,1,12,3))&lt;&gt;""),"")&lt;&gt;"")*1)</f>
        <v>0</v>
      </c>
      <c r="BQ2" s="47" cm="1">
        <f t="array" ref="BQ2">SUMPRODUCT((IFERROR(_xlfn._xlws.FILTER(INDEX(BQ:BQ,_xlfn.SEQUENCE(100,1,12,3)),INDEX(BQ:BQ,_xlfn.SEQUENCE(100,1,12,3))&lt;&gt;""),"")&lt;&gt;"")*1)</f>
        <v>0</v>
      </c>
      <c r="BR2" s="47" cm="1">
        <f t="array" ref="BR2">SUMPRODUCT((IFERROR(_xlfn._xlws.FILTER(INDEX(BR:BR,_xlfn.SEQUENCE(100,1,12,3)),INDEX(BR:BR,_xlfn.SEQUENCE(100,1,12,3))&lt;&gt;""),"")&lt;&gt;"")*1)</f>
        <v>0</v>
      </c>
      <c r="BS2" s="47" cm="1">
        <f t="array" ref="BS2">SUMPRODUCT((IFERROR(_xlfn._xlws.FILTER(INDEX(BS:BS,_xlfn.SEQUENCE(100,1,12,3)),INDEX(BS:BS,_xlfn.SEQUENCE(100,1,12,3))&lt;&gt;""),"")&lt;&gt;"")*1)</f>
        <v>0</v>
      </c>
      <c r="BT2" s="47" cm="1">
        <f t="array" ref="BT2">SUMPRODUCT((IFERROR(_xlfn._xlws.FILTER(INDEX(BT:BT,_xlfn.SEQUENCE(100,1,12,3)),INDEX(BT:BT,_xlfn.SEQUENCE(100,1,12,3))&lt;&gt;""),"")&lt;&gt;"")*1)</f>
        <v>0</v>
      </c>
      <c r="BU2" s="47" cm="1">
        <f t="array" ref="BU2">SUMPRODUCT((IFERROR(_xlfn._xlws.FILTER(INDEX(BU:BU,_xlfn.SEQUENCE(100,1,12,3)),INDEX(BU:BU,_xlfn.SEQUENCE(100,1,12,3))&lt;&gt;""),"")&lt;&gt;"")*1)</f>
        <v>0</v>
      </c>
      <c r="BV2" s="47" cm="1">
        <f t="array" ref="BV2">SUMPRODUCT((IFERROR(_xlfn._xlws.FILTER(INDEX(BV:BV,_xlfn.SEQUENCE(100,1,12,3)),INDEX(BV:BV,_xlfn.SEQUENCE(100,1,12,3))&lt;&gt;""),"")&lt;&gt;"")*1)</f>
        <v>0</v>
      </c>
      <c r="BW2" s="47" cm="1">
        <f t="array" ref="BW2">SUMPRODUCT((IFERROR(_xlfn._xlws.FILTER(INDEX(BW:BW,_xlfn.SEQUENCE(100,1,12,3)),INDEX(BW:BW,_xlfn.SEQUENCE(100,1,12,3))&lt;&gt;""),"")&lt;&gt;"")*1)</f>
        <v>0</v>
      </c>
      <c r="BX2" s="47" cm="1">
        <f t="array" ref="BX2">SUMPRODUCT((IFERROR(_xlfn._xlws.FILTER(INDEX(BX:BX,_xlfn.SEQUENCE(100,1,12,3)),INDEX(BX:BX,_xlfn.SEQUENCE(100,1,12,3))&lt;&gt;""),"")&lt;&gt;"")*1)</f>
        <v>0</v>
      </c>
      <c r="BY2" s="47" cm="1">
        <f t="array" ref="BY2">SUMPRODUCT((IFERROR(_xlfn._xlws.FILTER(INDEX(BY:BY,_xlfn.SEQUENCE(100,1,12,3)),INDEX(BY:BY,_xlfn.SEQUENCE(100,1,12,3))&lt;&gt;""),"")&lt;&gt;"")*1)</f>
        <v>0</v>
      </c>
      <c r="BZ2" s="47" cm="1">
        <f t="array" ref="BZ2">SUMPRODUCT((IFERROR(_xlfn._xlws.FILTER(INDEX(BZ:BZ,_xlfn.SEQUENCE(100,1,12,3)),INDEX(BZ:BZ,_xlfn.SEQUENCE(100,1,12,3))&lt;&gt;""),"")&lt;&gt;"")*1)</f>
        <v>0</v>
      </c>
      <c r="CA2" s="47" cm="1">
        <f t="array" ref="CA2">SUMPRODUCT((IFERROR(_xlfn._xlws.FILTER(INDEX(CA:CA,_xlfn.SEQUENCE(100,1,12,3)),INDEX(CA:CA,_xlfn.SEQUENCE(100,1,12,3))&lt;&gt;""),"")&lt;&gt;"")*1)</f>
        <v>0</v>
      </c>
      <c r="CB2" s="47" cm="1">
        <f t="array" ref="CB2">SUMPRODUCT((IFERROR(_xlfn._xlws.FILTER(INDEX(CB:CB,_xlfn.SEQUENCE(100,1,12,3)),INDEX(CB:CB,_xlfn.SEQUENCE(100,1,12,3))&lt;&gt;""),"")&lt;&gt;"")*1)</f>
        <v>0</v>
      </c>
      <c r="CC2" s="47" cm="1">
        <f t="array" ref="CC2">SUMPRODUCT((IFERROR(_xlfn._xlws.FILTER(INDEX(CC:CC,_xlfn.SEQUENCE(100,1,12,3)),INDEX(CC:CC,_xlfn.SEQUENCE(100,1,12,3))&lt;&gt;""),"")&lt;&gt;"")*1)</f>
        <v>0</v>
      </c>
      <c r="CD2" s="47" cm="1">
        <f t="array" ref="CD2">SUMPRODUCT((IFERROR(_xlfn._xlws.FILTER(INDEX(CD:CD,_xlfn.SEQUENCE(100,1,12,3)),INDEX(CD:CD,_xlfn.SEQUENCE(100,1,12,3))&lt;&gt;""),"")&lt;&gt;"")*1)</f>
        <v>0</v>
      </c>
      <c r="CE2" s="47" cm="1">
        <f t="array" ref="CE2">SUMPRODUCT((IFERROR(_xlfn._xlws.FILTER(INDEX(CE:CE,_xlfn.SEQUENCE(100,1,12,3)),INDEX(CE:CE,_xlfn.SEQUENCE(100,1,12,3))&lt;&gt;""),"")&lt;&gt;"")*1)</f>
        <v>0</v>
      </c>
      <c r="CF2" s="47" cm="1">
        <f t="array" ref="CF2">SUMPRODUCT((IFERROR(_xlfn._xlws.FILTER(INDEX(CF:CF,_xlfn.SEQUENCE(100,1,12,3)),INDEX(CF:CF,_xlfn.SEQUENCE(100,1,12,3))&lt;&gt;""),"")&lt;&gt;"")*1)</f>
        <v>0</v>
      </c>
      <c r="CG2" s="47" cm="1">
        <f t="array" ref="CG2">SUMPRODUCT((IFERROR(_xlfn._xlws.FILTER(INDEX(CG:CG,_xlfn.SEQUENCE(100,1,12,3)),INDEX(CG:CG,_xlfn.SEQUENCE(100,1,12,3))&lt;&gt;""),"")&lt;&gt;"")*1)</f>
        <v>0</v>
      </c>
      <c r="CH2" s="47" cm="1">
        <f t="array" ref="CH2">SUMPRODUCT((IFERROR(_xlfn._xlws.FILTER(INDEX(CH:CH,_xlfn.SEQUENCE(100,1,12,3)),INDEX(CH:CH,_xlfn.SEQUENCE(100,1,12,3))&lt;&gt;""),"")&lt;&gt;"")*1)</f>
        <v>0</v>
      </c>
      <c r="CI2" s="47" cm="1">
        <f t="array" ref="CI2">SUMPRODUCT((IFERROR(_xlfn._xlws.FILTER(INDEX(CI:CI,_xlfn.SEQUENCE(100,1,12,3)),INDEX(CI:CI,_xlfn.SEQUENCE(100,1,12,3))&lt;&gt;""),"")&lt;&gt;"")*1)</f>
        <v>0</v>
      </c>
      <c r="CJ2" s="47" cm="1">
        <f t="array" ref="CJ2">SUMPRODUCT((IFERROR(_xlfn._xlws.FILTER(INDEX(CJ:CJ,_xlfn.SEQUENCE(100,1,12,3)),INDEX(CJ:CJ,_xlfn.SEQUENCE(100,1,12,3))&lt;&gt;""),"")&lt;&gt;"")*1)</f>
        <v>0</v>
      </c>
      <c r="CK2" s="47" cm="1">
        <f t="array" ref="CK2">SUMPRODUCT((IFERROR(_xlfn._xlws.FILTER(INDEX(CK:CK,_xlfn.SEQUENCE(100,1,12,3)),INDEX(CK:CK,_xlfn.SEQUENCE(100,1,12,3))&lt;&gt;""),"")&lt;&gt;"")*1)</f>
        <v>0</v>
      </c>
      <c r="CL2" s="47" cm="1">
        <f t="array" ref="CL2">SUMPRODUCT((IFERROR(_xlfn._xlws.FILTER(INDEX(CL:CL,_xlfn.SEQUENCE(100,1,12,3)),INDEX(CL:CL,_xlfn.SEQUENCE(100,1,12,3))&lt;&gt;""),"")&lt;&gt;"")*1)</f>
        <v>0</v>
      </c>
      <c r="CM2" s="47" cm="1">
        <f t="array" ref="CM2">SUMPRODUCT((IFERROR(_xlfn._xlws.FILTER(INDEX(CM:CM,_xlfn.SEQUENCE(100,1,12,3)),INDEX(CM:CM,_xlfn.SEQUENCE(100,1,12,3))&lt;&gt;""),"")&lt;&gt;"")*1)</f>
        <v>0</v>
      </c>
      <c r="CN2" s="47" cm="1">
        <f t="array" ref="CN2">SUMPRODUCT((IFERROR(_xlfn._xlws.FILTER(INDEX(CN:CN,_xlfn.SEQUENCE(100,1,12,3)),INDEX(CN:CN,_xlfn.SEQUENCE(100,1,12,3))&lt;&gt;""),"")&lt;&gt;"")*1)</f>
        <v>0</v>
      </c>
      <c r="CO2" s="47" cm="1">
        <f t="array" ref="CO2">SUMPRODUCT((IFERROR(_xlfn._xlws.FILTER(INDEX(CO:CO,_xlfn.SEQUENCE(100,1,12,3)),INDEX(CO:CO,_xlfn.SEQUENCE(100,1,12,3))&lt;&gt;""),"")&lt;&gt;"")*1)</f>
        <v>0</v>
      </c>
      <c r="CP2" s="47" cm="1">
        <f t="array" ref="CP2">SUMPRODUCT((IFERROR(_xlfn._xlws.FILTER(INDEX(CP:CP,_xlfn.SEQUENCE(100,1,12,3)),INDEX(CP:CP,_xlfn.SEQUENCE(100,1,12,3))&lt;&gt;""),"")&lt;&gt;"")*1)</f>
        <v>0</v>
      </c>
      <c r="CQ2" s="47" cm="1">
        <f t="array" ref="CQ2">SUMPRODUCT((IFERROR(_xlfn._xlws.FILTER(INDEX(CQ:CQ,_xlfn.SEQUENCE(100,1,12,3)),INDEX(CQ:CQ,_xlfn.SEQUENCE(100,1,12,3))&lt;&gt;""),"")&lt;&gt;"")*1)</f>
        <v>0</v>
      </c>
      <c r="CR2" s="47" cm="1">
        <f t="array" ref="CR2">SUMPRODUCT((IFERROR(_xlfn._xlws.FILTER(INDEX(CR:CR,_xlfn.SEQUENCE(100,1,12,3)),INDEX(CR:CR,_xlfn.SEQUENCE(100,1,12,3))&lt;&gt;""),"")&lt;&gt;"")*1)</f>
        <v>0</v>
      </c>
      <c r="CS2" s="47" cm="1">
        <f t="array" ref="CS2">SUMPRODUCT((IFERROR(_xlfn._xlws.FILTER(INDEX(CS:CS,_xlfn.SEQUENCE(100,1,12,3)),INDEX(CS:CS,_xlfn.SEQUENCE(100,1,12,3))&lt;&gt;""),"")&lt;&gt;"")*1)</f>
        <v>0</v>
      </c>
      <c r="CT2" s="47" cm="1">
        <f t="array" ref="CT2">SUMPRODUCT((IFERROR(_xlfn._xlws.FILTER(INDEX(CT:CT,_xlfn.SEQUENCE(100,1,12,3)),INDEX(CT:CT,_xlfn.SEQUENCE(100,1,12,3))&lt;&gt;""),"")&lt;&gt;"")*1)</f>
        <v>0</v>
      </c>
      <c r="CU2" s="47" cm="1">
        <f t="array" ref="CU2">SUMPRODUCT((IFERROR(_xlfn._xlws.FILTER(INDEX(CU:CU,_xlfn.SEQUENCE(100,1,12,3)),INDEX(CU:CU,_xlfn.SEQUENCE(100,1,12,3))&lt;&gt;""),"")&lt;&gt;"")*1)</f>
        <v>0</v>
      </c>
      <c r="CV2" s="47" cm="1">
        <f t="array" ref="CV2">SUMPRODUCT((IFERROR(_xlfn._xlws.FILTER(INDEX(CV:CV,_xlfn.SEQUENCE(100,1,12,3)),INDEX(CV:CV,_xlfn.SEQUENCE(100,1,12,3))&lt;&gt;""),"")&lt;&gt;"")*1)</f>
        <v>0</v>
      </c>
      <c r="CW2" s="47" cm="1">
        <f t="array" ref="CW2">SUMPRODUCT((IFERROR(_xlfn._xlws.FILTER(INDEX(CW:CW,_xlfn.SEQUENCE(100,1,12,3)),INDEX(CW:CW,_xlfn.SEQUENCE(100,1,12,3))&lt;&gt;""),"")&lt;&gt;"")*1)</f>
        <v>0</v>
      </c>
      <c r="CX2" s="47" cm="1">
        <f t="array" ref="CX2">SUMPRODUCT((IFERROR(_xlfn._xlws.FILTER(INDEX(CX:CX,_xlfn.SEQUENCE(100,1,12,3)),INDEX(CX:CX,_xlfn.SEQUENCE(100,1,12,3))&lt;&gt;""),"")&lt;&gt;"")*1)</f>
        <v>0</v>
      </c>
      <c r="CY2" s="47" cm="1">
        <f t="array" ref="CY2">SUMPRODUCT((IFERROR(_xlfn._xlws.FILTER(INDEX(CY:CY,_xlfn.SEQUENCE(100,1,12,3)),INDEX(CY:CY,_xlfn.SEQUENCE(100,1,12,3))&lt;&gt;""),"")&lt;&gt;"")*1)</f>
        <v>0</v>
      </c>
      <c r="CZ2" s="47" cm="1">
        <f t="array" ref="CZ2">SUMPRODUCT((IFERROR(_xlfn._xlws.FILTER(INDEX(CZ:CZ,_xlfn.SEQUENCE(100,1,12,3)),INDEX(CZ:CZ,_xlfn.SEQUENCE(100,1,12,3))&lt;&gt;""),"")&lt;&gt;"")*1)</f>
        <v>0</v>
      </c>
      <c r="DA2" s="47" cm="1">
        <f t="array" ref="DA2">SUMPRODUCT((IFERROR(_xlfn._xlws.FILTER(INDEX(DA:DA,_xlfn.SEQUENCE(100,1,12,3)),INDEX(DA:DA,_xlfn.SEQUENCE(100,1,12,3))&lt;&gt;""),"")&lt;&gt;"")*1)</f>
        <v>0</v>
      </c>
      <c r="DB2" s="47" cm="1">
        <f t="array" ref="DB2">SUMPRODUCT((IFERROR(_xlfn._xlws.FILTER(INDEX(DB:DB,_xlfn.SEQUENCE(100,1,12,3)),INDEX(DB:DB,_xlfn.SEQUENCE(100,1,12,3))&lt;&gt;""),"")&lt;&gt;"")*1)</f>
        <v>0</v>
      </c>
      <c r="DC2" s="47" cm="1">
        <f t="array" ref="DC2">SUMPRODUCT((IFERROR(_xlfn._xlws.FILTER(INDEX(DC:DC,_xlfn.SEQUENCE(100,1,12,3)),INDEX(DC:DC,_xlfn.SEQUENCE(100,1,12,3))&lt;&gt;""),"")&lt;&gt;"")*1)</f>
        <v>0</v>
      </c>
      <c r="DD2" s="47" cm="1">
        <f t="array" ref="DD2">SUMPRODUCT((IFERROR(_xlfn._xlws.FILTER(INDEX(DD:DD,_xlfn.SEQUENCE(100,1,12,3)),INDEX(DD:DD,_xlfn.SEQUENCE(100,1,12,3))&lt;&gt;""),"")&lt;&gt;"")*1)</f>
        <v>0</v>
      </c>
      <c r="DE2" s="47" cm="1">
        <f t="array" ref="DE2">SUMPRODUCT((IFERROR(_xlfn._xlws.FILTER(INDEX(DE:DE,_xlfn.SEQUENCE(100,1,12,3)),INDEX(DE:DE,_xlfn.SEQUENCE(100,1,12,3))&lt;&gt;""),"")&lt;&gt;"")*1)</f>
        <v>0</v>
      </c>
      <c r="DF2" s="47" cm="1">
        <f t="array" ref="DF2">SUMPRODUCT((IFERROR(_xlfn._xlws.FILTER(INDEX(DF:DF,_xlfn.SEQUENCE(100,1,12,3)),INDEX(DF:DF,_xlfn.SEQUENCE(100,1,12,3))&lt;&gt;""),"")&lt;&gt;"")*1)</f>
        <v>0</v>
      </c>
      <c r="DG2" s="47" cm="1">
        <f t="array" ref="DG2">SUMPRODUCT((IFERROR(_xlfn._xlws.FILTER(INDEX(DG:DG,_xlfn.SEQUENCE(100,1,12,3)),INDEX(DG:DG,_xlfn.SEQUENCE(100,1,12,3))&lt;&gt;""),"")&lt;&gt;"")*1)</f>
        <v>0</v>
      </c>
      <c r="DH2" s="47" cm="1">
        <f t="array" ref="DH2">SUMPRODUCT((IFERROR(_xlfn._xlws.FILTER(INDEX(DH:DH,_xlfn.SEQUENCE(100,1,12,3)),INDEX(DH:DH,_xlfn.SEQUENCE(100,1,12,3))&lt;&gt;""),"")&lt;&gt;"")*1)</f>
        <v>0</v>
      </c>
      <c r="DI2" s="47" cm="1">
        <f t="array" ref="DI2">SUMPRODUCT((IFERROR(_xlfn._xlws.FILTER(INDEX(DI:DI,_xlfn.SEQUENCE(100,1,12,3)),INDEX(DI:DI,_xlfn.SEQUENCE(100,1,12,3))&lt;&gt;""),"")&lt;&gt;"")*1)</f>
        <v>0</v>
      </c>
      <c r="DJ2" s="47" cm="1">
        <f t="array" ref="DJ2">SUMPRODUCT((IFERROR(_xlfn._xlws.FILTER(INDEX(DJ:DJ,_xlfn.SEQUENCE(100,1,12,3)),INDEX(DJ:DJ,_xlfn.SEQUENCE(100,1,12,3))&lt;&gt;""),"")&lt;&gt;"")*1)</f>
        <v>0</v>
      </c>
      <c r="DK2" s="47" cm="1">
        <f t="array" ref="DK2">SUMPRODUCT((IFERROR(_xlfn._xlws.FILTER(INDEX(DK:DK,_xlfn.SEQUENCE(100,1,12,3)),INDEX(DK:DK,_xlfn.SEQUENCE(100,1,12,3))&lt;&gt;""),"")&lt;&gt;"")*1)</f>
        <v>0</v>
      </c>
      <c r="DL2" s="47" cm="1">
        <f t="array" ref="DL2">SUMPRODUCT((IFERROR(_xlfn._xlws.FILTER(INDEX(DL:DL,_xlfn.SEQUENCE(100,1,12,3)),INDEX(DL:DL,_xlfn.SEQUENCE(100,1,12,3))&lt;&gt;""),"")&lt;&gt;"")*1)</f>
        <v>0</v>
      </c>
      <c r="DM2" s="47" cm="1">
        <f t="array" ref="DM2">SUMPRODUCT((IFERROR(_xlfn._xlws.FILTER(INDEX(DM:DM,_xlfn.SEQUENCE(100,1,12,3)),INDEX(DM:DM,_xlfn.SEQUENCE(100,1,12,3))&lt;&gt;""),"")&lt;&gt;"")*1)</f>
        <v>0</v>
      </c>
      <c r="DN2" s="47" cm="1">
        <f t="array" ref="DN2">SUMPRODUCT((IFERROR(_xlfn._xlws.FILTER(INDEX(DN:DN,_xlfn.SEQUENCE(100,1,12,3)),INDEX(DN:DN,_xlfn.SEQUENCE(100,1,12,3))&lt;&gt;""),"")&lt;&gt;"")*1)</f>
        <v>0</v>
      </c>
      <c r="DO2" s="47" cm="1">
        <f t="array" ref="DO2">SUMPRODUCT((IFERROR(_xlfn._xlws.FILTER(INDEX(DO:DO,_xlfn.SEQUENCE(100,1,12,3)),INDEX(DO:DO,_xlfn.SEQUENCE(100,1,12,3))&lt;&gt;""),"")&lt;&gt;"")*1)</f>
        <v>0</v>
      </c>
      <c r="DP2" s="47" cm="1">
        <f t="array" ref="DP2">SUMPRODUCT((IFERROR(_xlfn._xlws.FILTER(INDEX(DP:DP,_xlfn.SEQUENCE(100,1,12,3)),INDEX(DP:DP,_xlfn.SEQUENCE(100,1,12,3))&lt;&gt;""),"")&lt;&gt;"")*1)</f>
        <v>0</v>
      </c>
      <c r="DQ2" s="47" cm="1">
        <f t="array" ref="DQ2">SUMPRODUCT((IFERROR(_xlfn._xlws.FILTER(INDEX(DQ:DQ,_xlfn.SEQUENCE(100,1,12,3)),INDEX(DQ:DQ,_xlfn.SEQUENCE(100,1,12,3))&lt;&gt;""),"")&lt;&gt;"")*1)</f>
        <v>0</v>
      </c>
      <c r="DR2" s="47" cm="1">
        <f t="array" ref="DR2">SUMPRODUCT((IFERROR(_xlfn._xlws.FILTER(INDEX(DR:DR,_xlfn.SEQUENCE(100,1,12,3)),INDEX(DR:DR,_xlfn.SEQUENCE(100,1,12,3))&lt;&gt;""),"")&lt;&gt;"")*1)</f>
        <v>0</v>
      </c>
      <c r="DS2" s="47" cm="1">
        <f t="array" ref="DS2">SUMPRODUCT((IFERROR(_xlfn._xlws.FILTER(INDEX(DS:DS,_xlfn.SEQUENCE(100,1,12,3)),INDEX(DS:DS,_xlfn.SEQUENCE(100,1,12,3))&lt;&gt;""),"")&lt;&gt;"")*1)</f>
        <v>0</v>
      </c>
      <c r="DT2" s="47" cm="1">
        <f t="array" ref="DT2">SUMPRODUCT((IFERROR(_xlfn._xlws.FILTER(INDEX(DT:DT,_xlfn.SEQUENCE(100,1,12,3)),INDEX(DT:DT,_xlfn.SEQUENCE(100,1,12,3))&lt;&gt;""),"")&lt;&gt;"")*1)</f>
        <v>0</v>
      </c>
      <c r="DU2" s="47" cm="1">
        <f t="array" ref="DU2">SUMPRODUCT((IFERROR(_xlfn._xlws.FILTER(INDEX(DU:DU,_xlfn.SEQUENCE(100,1,12,3)),INDEX(DU:DU,_xlfn.SEQUENCE(100,1,12,3))&lt;&gt;""),"")&lt;&gt;"")*1)</f>
        <v>0</v>
      </c>
      <c r="DV2" s="47" cm="1">
        <f t="array" ref="DV2">SUMPRODUCT((IFERROR(_xlfn._xlws.FILTER(INDEX(DV:DV,_xlfn.SEQUENCE(100,1,12,3)),INDEX(DV:DV,_xlfn.SEQUENCE(100,1,12,3))&lt;&gt;""),"")&lt;&gt;"")*1)</f>
        <v>0</v>
      </c>
      <c r="DW2" s="47" cm="1">
        <f t="array" ref="DW2">SUMPRODUCT((IFERROR(_xlfn._xlws.FILTER(INDEX(DW:DW,_xlfn.SEQUENCE(100,1,12,3)),INDEX(DW:DW,_xlfn.SEQUENCE(100,1,12,3))&lt;&gt;""),"")&lt;&gt;"")*1)</f>
        <v>0</v>
      </c>
      <c r="DX2" s="47" cm="1">
        <f t="array" ref="DX2">SUMPRODUCT((IFERROR(_xlfn._xlws.FILTER(INDEX(DX:DX,_xlfn.SEQUENCE(100,1,12,3)),INDEX(DX:DX,_xlfn.SEQUENCE(100,1,12,3))&lt;&gt;""),"")&lt;&gt;"")*1)</f>
        <v>0</v>
      </c>
      <c r="DY2" s="47" cm="1">
        <f t="array" ref="DY2">SUMPRODUCT((IFERROR(_xlfn._xlws.FILTER(INDEX(DY:DY,_xlfn.SEQUENCE(100,1,12,3)),INDEX(DY:DY,_xlfn.SEQUENCE(100,1,12,3))&lt;&gt;""),"")&lt;&gt;"")*1)</f>
        <v>0</v>
      </c>
      <c r="DZ2" s="47" cm="1">
        <f t="array" ref="DZ2">SUMPRODUCT((IFERROR(_xlfn._xlws.FILTER(INDEX(DZ:DZ,_xlfn.SEQUENCE(100,1,12,3)),INDEX(DZ:DZ,_xlfn.SEQUENCE(100,1,12,3))&lt;&gt;""),"")&lt;&gt;"")*1)</f>
        <v>0</v>
      </c>
      <c r="EA2" s="47" cm="1">
        <f t="array" ref="EA2">SUMPRODUCT((IFERROR(_xlfn._xlws.FILTER(INDEX(EA:EA,_xlfn.SEQUENCE(100,1,12,3)),INDEX(EA:EA,_xlfn.SEQUENCE(100,1,12,3))&lt;&gt;""),"")&lt;&gt;"")*1)</f>
        <v>0</v>
      </c>
      <c r="EB2" s="47" cm="1">
        <f t="array" ref="EB2">SUMPRODUCT((IFERROR(_xlfn._xlws.FILTER(INDEX(EB:EB,_xlfn.SEQUENCE(100,1,12,3)),INDEX(EB:EB,_xlfn.SEQUENCE(100,1,12,3))&lt;&gt;""),"")&lt;&gt;"")*1)</f>
        <v>0</v>
      </c>
      <c r="EC2" s="47" cm="1">
        <f t="array" ref="EC2">SUMPRODUCT((IFERROR(_xlfn._xlws.FILTER(INDEX(EC:EC,_xlfn.SEQUENCE(100,1,12,3)),INDEX(EC:EC,_xlfn.SEQUENCE(100,1,12,3))&lt;&gt;""),"")&lt;&gt;"")*1)</f>
        <v>0</v>
      </c>
      <c r="ED2" s="47" cm="1">
        <f t="array" ref="ED2">SUMPRODUCT((IFERROR(_xlfn._xlws.FILTER(INDEX(ED:ED,_xlfn.SEQUENCE(100,1,12,3)),INDEX(ED:ED,_xlfn.SEQUENCE(100,1,12,3))&lt;&gt;""),"")&lt;&gt;"")*1)</f>
        <v>0</v>
      </c>
      <c r="EE2" s="47" cm="1">
        <f t="array" ref="EE2">SUMPRODUCT((IFERROR(_xlfn._xlws.FILTER(INDEX(EE:EE,_xlfn.SEQUENCE(100,1,12,3)),INDEX(EE:EE,_xlfn.SEQUENCE(100,1,12,3))&lt;&gt;""),"")&lt;&gt;"")*1)</f>
        <v>0</v>
      </c>
      <c r="EF2" s="47" cm="1">
        <f t="array" ref="EF2">SUMPRODUCT((IFERROR(_xlfn._xlws.FILTER(INDEX(EF:EF,_xlfn.SEQUENCE(100,1,12,3)),INDEX(EF:EF,_xlfn.SEQUENCE(100,1,12,3))&lt;&gt;""),"")&lt;&gt;"")*1)</f>
        <v>0</v>
      </c>
      <c r="EG2" s="47" cm="1">
        <f t="array" ref="EG2">SUMPRODUCT((IFERROR(_xlfn._xlws.FILTER(INDEX(EG:EG,_xlfn.SEQUENCE(100,1,12,3)),INDEX(EG:EG,_xlfn.SEQUENCE(100,1,12,3))&lt;&gt;""),"")&lt;&gt;"")*1)</f>
        <v>0</v>
      </c>
      <c r="EH2" s="47" cm="1">
        <f t="array" ref="EH2">SUMPRODUCT((IFERROR(_xlfn._xlws.FILTER(INDEX(EH:EH,_xlfn.SEQUENCE(100,1,12,3)),INDEX(EH:EH,_xlfn.SEQUENCE(100,1,12,3))&lt;&gt;""),"")&lt;&gt;"")*1)</f>
        <v>0</v>
      </c>
      <c r="EI2" s="47" cm="1">
        <f t="array" ref="EI2">SUMPRODUCT((IFERROR(_xlfn._xlws.FILTER(INDEX(EI:EI,_xlfn.SEQUENCE(100,1,12,3)),INDEX(EI:EI,_xlfn.SEQUENCE(100,1,12,3))&lt;&gt;""),"")&lt;&gt;"")*1)</f>
        <v>0</v>
      </c>
      <c r="EJ2" s="47" cm="1">
        <f t="array" ref="EJ2">SUMPRODUCT((IFERROR(_xlfn._xlws.FILTER(INDEX(EJ:EJ,_xlfn.SEQUENCE(100,1,12,3)),INDEX(EJ:EJ,_xlfn.SEQUENCE(100,1,12,3))&lt;&gt;""),"")&lt;&gt;"")*1)</f>
        <v>0</v>
      </c>
      <c r="EK2" s="47" cm="1">
        <f t="array" ref="EK2">SUMPRODUCT((IFERROR(_xlfn._xlws.FILTER(INDEX(EK:EK,_xlfn.SEQUENCE(100,1,12,3)),INDEX(EK:EK,_xlfn.SEQUENCE(100,1,12,3))&lt;&gt;""),"")&lt;&gt;"")*1)</f>
        <v>0</v>
      </c>
      <c r="EL2" s="47" cm="1">
        <f t="array" ref="EL2">SUMPRODUCT((IFERROR(_xlfn._xlws.FILTER(INDEX(EL:EL,_xlfn.SEQUENCE(100,1,12,3)),INDEX(EL:EL,_xlfn.SEQUENCE(100,1,12,3))&lt;&gt;""),"")&lt;&gt;"")*1)</f>
        <v>0</v>
      </c>
      <c r="EM2" s="47" cm="1">
        <f t="array" ref="EM2">SUMPRODUCT((IFERROR(_xlfn._xlws.FILTER(INDEX(EM:EM,_xlfn.SEQUENCE(100,1,12,3)),INDEX(EM:EM,_xlfn.SEQUENCE(100,1,12,3))&lt;&gt;""),"")&lt;&gt;"")*1)</f>
        <v>0</v>
      </c>
      <c r="EN2" s="47" cm="1">
        <f t="array" ref="EN2">SUMPRODUCT((IFERROR(_xlfn._xlws.FILTER(INDEX(EN:EN,_xlfn.SEQUENCE(100,1,12,3)),INDEX(EN:EN,_xlfn.SEQUENCE(100,1,12,3))&lt;&gt;""),"")&lt;&gt;"")*1)</f>
        <v>0</v>
      </c>
      <c r="EO2" s="47" cm="1">
        <f t="array" ref="EO2">SUMPRODUCT((IFERROR(_xlfn._xlws.FILTER(INDEX(EO:EO,_xlfn.SEQUENCE(100,1,12,3)),INDEX(EO:EO,_xlfn.SEQUENCE(100,1,12,3))&lt;&gt;""),"")&lt;&gt;"")*1)</f>
        <v>0</v>
      </c>
      <c r="EP2" s="47" cm="1">
        <f t="array" ref="EP2">SUMPRODUCT((IFERROR(_xlfn._xlws.FILTER(INDEX(EP:EP,_xlfn.SEQUENCE(100,1,12,3)),INDEX(EP:EP,_xlfn.SEQUENCE(100,1,12,3))&lt;&gt;""),"")&lt;&gt;"")*1)</f>
        <v>0</v>
      </c>
      <c r="EQ2" s="47" cm="1">
        <f t="array" ref="EQ2">SUMPRODUCT((IFERROR(_xlfn._xlws.FILTER(INDEX(EQ:EQ,_xlfn.SEQUENCE(100,1,12,3)),INDEX(EQ:EQ,_xlfn.SEQUENCE(100,1,12,3))&lt;&gt;""),"")&lt;&gt;"")*1)</f>
        <v>0</v>
      </c>
      <c r="ER2" s="47" cm="1">
        <f t="array" ref="ER2">SUMPRODUCT((IFERROR(_xlfn._xlws.FILTER(INDEX(ER:ER,_xlfn.SEQUENCE(100,1,12,3)),INDEX(ER:ER,_xlfn.SEQUENCE(100,1,12,3))&lt;&gt;""),"")&lt;&gt;"")*1)</f>
        <v>0</v>
      </c>
      <c r="ES2" s="47" cm="1">
        <f t="array" ref="ES2">SUMPRODUCT((IFERROR(_xlfn._xlws.FILTER(INDEX(ES:ES,_xlfn.SEQUENCE(100,1,12,3)),INDEX(ES:ES,_xlfn.SEQUENCE(100,1,12,3))&lt;&gt;""),"")&lt;&gt;"")*1)</f>
        <v>0</v>
      </c>
      <c r="ET2" s="47" cm="1">
        <f t="array" ref="ET2">SUMPRODUCT((IFERROR(_xlfn._xlws.FILTER(INDEX(ET:ET,_xlfn.SEQUENCE(100,1,12,3)),INDEX(ET:ET,_xlfn.SEQUENCE(100,1,12,3))&lt;&gt;""),"")&lt;&gt;"")*1)</f>
        <v>0</v>
      </c>
      <c r="EU2" s="47" cm="1">
        <f t="array" ref="EU2">SUMPRODUCT((IFERROR(_xlfn._xlws.FILTER(INDEX(EU:EU,_xlfn.SEQUENCE(100,1,12,3)),INDEX(EU:EU,_xlfn.SEQUENCE(100,1,12,3))&lt;&gt;""),"")&lt;&gt;"")*1)</f>
        <v>0</v>
      </c>
      <c r="EV2" s="47" cm="1">
        <f t="array" ref="EV2">SUMPRODUCT((IFERROR(_xlfn._xlws.FILTER(INDEX(EV:EV,_xlfn.SEQUENCE(100,1,12,3)),INDEX(EV:EV,_xlfn.SEQUENCE(100,1,12,3))&lt;&gt;""),"")&lt;&gt;"")*1)</f>
        <v>0</v>
      </c>
      <c r="EW2" s="47" cm="1">
        <f t="array" ref="EW2">SUMPRODUCT((IFERROR(_xlfn._xlws.FILTER(INDEX(EW:EW,_xlfn.SEQUENCE(100,1,12,3)),INDEX(EW:EW,_xlfn.SEQUENCE(100,1,12,3))&lt;&gt;""),"")&lt;&gt;"")*1)</f>
        <v>0</v>
      </c>
      <c r="EX2" s="47" cm="1">
        <f t="array" ref="EX2">SUMPRODUCT((IFERROR(_xlfn._xlws.FILTER(INDEX(EX:EX,_xlfn.SEQUENCE(100,1,12,3)),INDEX(EX:EX,_xlfn.SEQUENCE(100,1,12,3))&lt;&gt;""),"")&lt;&gt;"")*1)</f>
        <v>0</v>
      </c>
      <c r="EY2" s="47" cm="1">
        <f t="array" ref="EY2">SUMPRODUCT((IFERROR(_xlfn._xlws.FILTER(INDEX(EY:EY,_xlfn.SEQUENCE(100,1,12,3)),INDEX(EY:EY,_xlfn.SEQUENCE(100,1,12,3))&lt;&gt;""),"")&lt;&gt;"")*1)</f>
        <v>0</v>
      </c>
      <c r="EZ2" s="47" cm="1">
        <f t="array" ref="EZ2">SUMPRODUCT((IFERROR(_xlfn._xlws.FILTER(INDEX(EZ:EZ,_xlfn.SEQUENCE(100,1,12,3)),INDEX(EZ:EZ,_xlfn.SEQUENCE(100,1,12,3))&lt;&gt;""),"")&lt;&gt;"")*1)</f>
        <v>0</v>
      </c>
      <c r="FA2" s="47" cm="1">
        <f t="array" ref="FA2">SUMPRODUCT((IFERROR(_xlfn._xlws.FILTER(INDEX(FA:FA,_xlfn.SEQUENCE(100,1,12,3)),INDEX(FA:FA,_xlfn.SEQUENCE(100,1,12,3))&lt;&gt;""),"")&lt;&gt;"")*1)</f>
        <v>0</v>
      </c>
      <c r="FB2" s="47" cm="1">
        <f t="array" ref="FB2">SUMPRODUCT((IFERROR(_xlfn._xlws.FILTER(INDEX(FB:FB,_xlfn.SEQUENCE(100,1,12,3)),INDEX(FB:FB,_xlfn.SEQUENCE(100,1,12,3))&lt;&gt;""),"")&lt;&gt;"")*1)</f>
        <v>0</v>
      </c>
      <c r="FC2" s="47" cm="1">
        <f t="array" ref="FC2">SUMPRODUCT((IFERROR(_xlfn._xlws.FILTER(INDEX(FC:FC,_xlfn.SEQUENCE(100,1,12,3)),INDEX(FC:FC,_xlfn.SEQUENCE(100,1,12,3))&lt;&gt;""),"")&lt;&gt;"")*1)</f>
        <v>0</v>
      </c>
      <c r="FD2" s="47" cm="1">
        <f t="array" ref="FD2">SUMPRODUCT((IFERROR(_xlfn._xlws.FILTER(INDEX(FD:FD,_xlfn.SEQUENCE(100,1,12,3)),INDEX(FD:FD,_xlfn.SEQUENCE(100,1,12,3))&lt;&gt;""),"")&lt;&gt;"")*1)</f>
        <v>0</v>
      </c>
      <c r="FE2" s="47" cm="1">
        <f t="array" ref="FE2">SUMPRODUCT((IFERROR(_xlfn._xlws.FILTER(INDEX(FE:FE,_xlfn.SEQUENCE(100,1,12,3)),INDEX(FE:FE,_xlfn.SEQUENCE(100,1,12,3))&lt;&gt;""),"")&lt;&gt;"")*1)</f>
        <v>0</v>
      </c>
      <c r="FF2" s="47" cm="1">
        <f t="array" ref="FF2">SUMPRODUCT((IFERROR(_xlfn._xlws.FILTER(INDEX(FF:FF,_xlfn.SEQUENCE(100,1,12,3)),INDEX(FF:FF,_xlfn.SEQUENCE(100,1,12,3))&lt;&gt;""),"")&lt;&gt;"")*1)</f>
        <v>0</v>
      </c>
      <c r="FG2" s="47" cm="1">
        <f t="array" ref="FG2">SUMPRODUCT((IFERROR(_xlfn._xlws.FILTER(INDEX(FG:FG,_xlfn.SEQUENCE(100,1,12,3)),INDEX(FG:FG,_xlfn.SEQUENCE(100,1,12,3))&lt;&gt;""),"")&lt;&gt;"")*1)</f>
        <v>0</v>
      </c>
      <c r="FH2" s="47" cm="1">
        <f t="array" ref="FH2">SUMPRODUCT((IFERROR(_xlfn._xlws.FILTER(INDEX(FH:FH,_xlfn.SEQUENCE(100,1,12,3)),INDEX(FH:FH,_xlfn.SEQUENCE(100,1,12,3))&lt;&gt;""),"")&lt;&gt;"")*1)</f>
        <v>0</v>
      </c>
      <c r="FI2" s="47" cm="1">
        <f t="array" ref="FI2">SUMPRODUCT((IFERROR(_xlfn._xlws.FILTER(INDEX(FI:FI,_xlfn.SEQUENCE(100,1,12,3)),INDEX(FI:FI,_xlfn.SEQUENCE(100,1,12,3))&lt;&gt;""),"")&lt;&gt;"")*1)</f>
        <v>0</v>
      </c>
      <c r="FJ2" s="47" cm="1">
        <f t="array" ref="FJ2">SUMPRODUCT((IFERROR(_xlfn._xlws.FILTER(INDEX(FJ:FJ,_xlfn.SEQUENCE(100,1,12,3)),INDEX(FJ:FJ,_xlfn.SEQUENCE(100,1,12,3))&lt;&gt;""),"")&lt;&gt;"")*1)</f>
        <v>0</v>
      </c>
      <c r="FK2" s="47" cm="1">
        <f t="array" ref="FK2">SUMPRODUCT((IFERROR(_xlfn._xlws.FILTER(INDEX(FK:FK,_xlfn.SEQUENCE(100,1,12,3)),INDEX(FK:FK,_xlfn.SEQUENCE(100,1,12,3))&lt;&gt;""),"")&lt;&gt;"")*1)</f>
        <v>0</v>
      </c>
      <c r="FL2" s="47" cm="1">
        <f t="array" ref="FL2">SUMPRODUCT((IFERROR(_xlfn._xlws.FILTER(INDEX(FL:FL,_xlfn.SEQUENCE(100,1,12,3)),INDEX(FL:FL,_xlfn.SEQUENCE(100,1,12,3))&lt;&gt;""),"")&lt;&gt;"")*1)</f>
        <v>0</v>
      </c>
      <c r="FM2" s="47" cm="1">
        <f t="array" ref="FM2">SUMPRODUCT((IFERROR(_xlfn._xlws.FILTER(INDEX(FM:FM,_xlfn.SEQUENCE(100,1,12,3)),INDEX(FM:FM,_xlfn.SEQUENCE(100,1,12,3))&lt;&gt;""),"")&lt;&gt;"")*1)</f>
        <v>0</v>
      </c>
      <c r="FN2" s="47" cm="1">
        <f t="array" ref="FN2">SUMPRODUCT((IFERROR(_xlfn._xlws.FILTER(INDEX(FN:FN,_xlfn.SEQUENCE(100,1,12,3)),INDEX(FN:FN,_xlfn.SEQUENCE(100,1,12,3))&lt;&gt;""),"")&lt;&gt;"")*1)</f>
        <v>0</v>
      </c>
      <c r="FO2" s="47" cm="1">
        <f t="array" ref="FO2">SUMPRODUCT((IFERROR(_xlfn._xlws.FILTER(INDEX(FO:FO,_xlfn.SEQUENCE(100,1,12,3)),INDEX(FO:FO,_xlfn.SEQUENCE(100,1,12,3))&lt;&gt;""),"")&lt;&gt;"")*1)</f>
        <v>0</v>
      </c>
      <c r="FP2" s="47" cm="1">
        <f t="array" ref="FP2">SUMPRODUCT((IFERROR(_xlfn._xlws.FILTER(INDEX(FP:FP,_xlfn.SEQUENCE(100,1,12,3)),INDEX(FP:FP,_xlfn.SEQUENCE(100,1,12,3))&lt;&gt;""),"")&lt;&gt;"")*1)</f>
        <v>0</v>
      </c>
      <c r="FQ2" s="47" cm="1">
        <f t="array" ref="FQ2">SUMPRODUCT((IFERROR(_xlfn._xlws.FILTER(INDEX(FQ:FQ,_xlfn.SEQUENCE(100,1,12,3)),INDEX(FQ:FQ,_xlfn.SEQUENCE(100,1,12,3))&lt;&gt;""),"")&lt;&gt;"")*1)</f>
        <v>0</v>
      </c>
      <c r="FR2" s="47" cm="1">
        <f t="array" ref="FR2">SUMPRODUCT((IFERROR(_xlfn._xlws.FILTER(INDEX(FR:FR,_xlfn.SEQUENCE(100,1,12,3)),INDEX(FR:FR,_xlfn.SEQUENCE(100,1,12,3))&lt;&gt;""),"")&lt;&gt;"")*1)</f>
        <v>0</v>
      </c>
      <c r="FS2" s="47" cm="1">
        <f t="array" ref="FS2">SUMPRODUCT((IFERROR(_xlfn._xlws.FILTER(INDEX(FS:FS,_xlfn.SEQUENCE(100,1,12,3)),INDEX(FS:FS,_xlfn.SEQUENCE(100,1,12,3))&lt;&gt;""),"")&lt;&gt;"")*1)</f>
        <v>0</v>
      </c>
      <c r="FT2" s="47" cm="1">
        <f t="array" ref="FT2">SUMPRODUCT((IFERROR(_xlfn._xlws.FILTER(INDEX(FT:FT,_xlfn.SEQUENCE(100,1,12,3)),INDEX(FT:FT,_xlfn.SEQUENCE(100,1,12,3))&lt;&gt;""),"")&lt;&gt;"")*1)</f>
        <v>0</v>
      </c>
      <c r="FU2" s="47" cm="1">
        <f t="array" ref="FU2">SUMPRODUCT((IFERROR(_xlfn._xlws.FILTER(INDEX(FU:FU,_xlfn.SEQUENCE(100,1,12,3)),INDEX(FU:FU,_xlfn.SEQUENCE(100,1,12,3))&lt;&gt;""),"")&lt;&gt;"")*1)</f>
        <v>0</v>
      </c>
      <c r="FV2" s="47" cm="1">
        <f t="array" ref="FV2">SUMPRODUCT((IFERROR(_xlfn._xlws.FILTER(INDEX(FV:FV,_xlfn.SEQUENCE(100,1,12,3)),INDEX(FV:FV,_xlfn.SEQUENCE(100,1,12,3))&lt;&gt;""),"")&lt;&gt;"")*1)</f>
        <v>0</v>
      </c>
      <c r="FW2" s="47" cm="1">
        <f t="array" ref="FW2">SUMPRODUCT((IFERROR(_xlfn._xlws.FILTER(INDEX(FW:FW,_xlfn.SEQUENCE(100,1,12,3)),INDEX(FW:FW,_xlfn.SEQUENCE(100,1,12,3))&lt;&gt;""),"")&lt;&gt;"")*1)</f>
        <v>0</v>
      </c>
      <c r="FX2" s="47" cm="1">
        <f t="array" ref="FX2">SUMPRODUCT((IFERROR(_xlfn._xlws.FILTER(INDEX(FX:FX,_xlfn.SEQUENCE(100,1,12,3)),INDEX(FX:FX,_xlfn.SEQUENCE(100,1,12,3))&lt;&gt;""),"")&lt;&gt;"")*1)</f>
        <v>0</v>
      </c>
      <c r="FY2" s="47" cm="1">
        <f t="array" ref="FY2">SUMPRODUCT((IFERROR(_xlfn._xlws.FILTER(INDEX(FY:FY,_xlfn.SEQUENCE(100,1,12,3)),INDEX(FY:FY,_xlfn.SEQUENCE(100,1,12,3))&lt;&gt;""),"")&lt;&gt;"")*1)</f>
        <v>0</v>
      </c>
      <c r="FZ2" s="47" cm="1">
        <f t="array" ref="FZ2">SUMPRODUCT((IFERROR(_xlfn._xlws.FILTER(INDEX(FZ:FZ,_xlfn.SEQUENCE(100,1,12,3)),INDEX(FZ:FZ,_xlfn.SEQUENCE(100,1,12,3))&lt;&gt;""),"")&lt;&gt;"")*1)</f>
        <v>0</v>
      </c>
      <c r="GA2" s="47" cm="1">
        <f t="array" ref="GA2">SUMPRODUCT((IFERROR(_xlfn._xlws.FILTER(INDEX(GA:GA,_xlfn.SEQUENCE(100,1,12,3)),INDEX(GA:GA,_xlfn.SEQUENCE(100,1,12,3))&lt;&gt;""),"")&lt;&gt;"")*1)</f>
        <v>0</v>
      </c>
      <c r="GB2" s="47" cm="1">
        <f t="array" ref="GB2">SUMPRODUCT((IFERROR(_xlfn._xlws.FILTER(INDEX(GB:GB,_xlfn.SEQUENCE(100,1,12,3)),INDEX(GB:GB,_xlfn.SEQUENCE(100,1,12,3))&lt;&gt;""),"")&lt;&gt;"")*1)</f>
        <v>0</v>
      </c>
      <c r="GC2" s="47" cm="1">
        <f t="array" ref="GC2">SUMPRODUCT((IFERROR(_xlfn._xlws.FILTER(INDEX(GC:GC,_xlfn.SEQUENCE(100,1,12,3)),INDEX(GC:GC,_xlfn.SEQUENCE(100,1,12,3))&lt;&gt;""),"")&lt;&gt;"")*1)</f>
        <v>0</v>
      </c>
      <c r="GD2" s="47" cm="1">
        <f t="array" ref="GD2">SUMPRODUCT((IFERROR(_xlfn._xlws.FILTER(INDEX(GD:GD,_xlfn.SEQUENCE(100,1,12,3)),INDEX(GD:GD,_xlfn.SEQUENCE(100,1,12,3))&lt;&gt;""),"")&lt;&gt;"")*1)</f>
        <v>0</v>
      </c>
      <c r="GE2" s="47" cm="1">
        <f t="array" ref="GE2">SUMPRODUCT((IFERROR(_xlfn._xlws.FILTER(INDEX(GE:GE,_xlfn.SEQUENCE(100,1,12,3)),INDEX(GE:GE,_xlfn.SEQUENCE(100,1,12,3))&lt;&gt;""),"")&lt;&gt;"")*1)</f>
        <v>0</v>
      </c>
      <c r="GF2" s="47" cm="1">
        <f t="array" ref="GF2">SUMPRODUCT((IFERROR(_xlfn._xlws.FILTER(INDEX(GF:GF,_xlfn.SEQUENCE(100,1,12,3)),INDEX(GF:GF,_xlfn.SEQUENCE(100,1,12,3))&lt;&gt;""),"")&lt;&gt;"")*1)</f>
        <v>0</v>
      </c>
      <c r="GG2" s="47" cm="1">
        <f t="array" ref="GG2">SUMPRODUCT((IFERROR(_xlfn._xlws.FILTER(INDEX(GG:GG,_xlfn.SEQUENCE(100,1,12,3)),INDEX(GG:GG,_xlfn.SEQUENCE(100,1,12,3))&lt;&gt;""),"")&lt;&gt;"")*1)</f>
        <v>0</v>
      </c>
      <c r="GH2" s="47" cm="1">
        <f t="array" ref="GH2">SUMPRODUCT((IFERROR(_xlfn._xlws.FILTER(INDEX(GH:GH,_xlfn.SEQUENCE(100,1,12,3)),INDEX(GH:GH,_xlfn.SEQUENCE(100,1,12,3))&lt;&gt;""),"")&lt;&gt;"")*1)</f>
        <v>0</v>
      </c>
      <c r="GI2" s="47" cm="1">
        <f t="array" ref="GI2">SUMPRODUCT((IFERROR(_xlfn._xlws.FILTER(INDEX(GI:GI,_xlfn.SEQUENCE(100,1,12,3)),INDEX(GI:GI,_xlfn.SEQUENCE(100,1,12,3))&lt;&gt;""),"")&lt;&gt;"")*1)</f>
        <v>0</v>
      </c>
      <c r="GJ2" s="47" cm="1">
        <f t="array" ref="GJ2">SUMPRODUCT((IFERROR(_xlfn._xlws.FILTER(INDEX(GJ:GJ,_xlfn.SEQUENCE(100,1,12,3)),INDEX(GJ:GJ,_xlfn.SEQUENCE(100,1,12,3))&lt;&gt;""),"")&lt;&gt;"")*1)</f>
        <v>0</v>
      </c>
      <c r="GK2" s="47" cm="1">
        <f t="array" ref="GK2">SUMPRODUCT((IFERROR(_xlfn._xlws.FILTER(INDEX(GK:GK,_xlfn.SEQUENCE(100,1,12,3)),INDEX(GK:GK,_xlfn.SEQUENCE(100,1,12,3))&lt;&gt;""),"")&lt;&gt;"")*1)</f>
        <v>0</v>
      </c>
      <c r="GL2" s="47" cm="1">
        <f t="array" ref="GL2">SUMPRODUCT((IFERROR(_xlfn._xlws.FILTER(INDEX(GL:GL,_xlfn.SEQUENCE(100,1,12,3)),INDEX(GL:GL,_xlfn.SEQUENCE(100,1,12,3))&lt;&gt;""),"")&lt;&gt;"")*1)</f>
        <v>0</v>
      </c>
      <c r="GM2" s="47" cm="1">
        <f t="array" ref="GM2">SUMPRODUCT((IFERROR(_xlfn._xlws.FILTER(INDEX(GM:GM,_xlfn.SEQUENCE(100,1,12,3)),INDEX(GM:GM,_xlfn.SEQUENCE(100,1,12,3))&lt;&gt;""),"")&lt;&gt;"")*1)</f>
        <v>0</v>
      </c>
      <c r="GN2" s="47" cm="1">
        <f t="array" ref="GN2">SUMPRODUCT((IFERROR(_xlfn._xlws.FILTER(INDEX(GN:GN,_xlfn.SEQUENCE(100,1,12,3)),INDEX(GN:GN,_xlfn.SEQUENCE(100,1,12,3))&lt;&gt;""),"")&lt;&gt;"")*1)</f>
        <v>0</v>
      </c>
      <c r="GO2" s="47" cm="1">
        <f t="array" ref="GO2">SUMPRODUCT((IFERROR(_xlfn._xlws.FILTER(INDEX(GO:GO,_xlfn.SEQUENCE(100,1,12,3)),INDEX(GO:GO,_xlfn.SEQUENCE(100,1,12,3))&lt;&gt;""),"")&lt;&gt;"")*1)</f>
        <v>0</v>
      </c>
      <c r="GP2" s="47" cm="1">
        <f t="array" ref="GP2">SUMPRODUCT((IFERROR(_xlfn._xlws.FILTER(INDEX(GP:GP,_xlfn.SEQUENCE(100,1,12,3)),INDEX(GP:GP,_xlfn.SEQUENCE(100,1,12,3))&lt;&gt;""),"")&lt;&gt;"")*1)</f>
        <v>0</v>
      </c>
      <c r="GQ2" s="47" cm="1">
        <f t="array" ref="GQ2">SUMPRODUCT((IFERROR(_xlfn._xlws.FILTER(INDEX(GQ:GQ,_xlfn.SEQUENCE(100,1,12,3)),INDEX(GQ:GQ,_xlfn.SEQUENCE(100,1,12,3))&lt;&gt;""),"")&lt;&gt;"")*1)</f>
        <v>0</v>
      </c>
      <c r="GR2" s="47" cm="1">
        <f t="array" ref="GR2">SUMPRODUCT((IFERROR(_xlfn._xlws.FILTER(INDEX(GR:GR,_xlfn.SEQUENCE(100,1,12,3)),INDEX(GR:GR,_xlfn.SEQUENCE(100,1,12,3))&lt;&gt;""),"")&lt;&gt;"")*1)</f>
        <v>0</v>
      </c>
      <c r="GS2" s="47" cm="1">
        <f t="array" ref="GS2">SUMPRODUCT((IFERROR(_xlfn._xlws.FILTER(INDEX(GS:GS,_xlfn.SEQUENCE(100,1,12,3)),INDEX(GS:GS,_xlfn.SEQUENCE(100,1,12,3))&lt;&gt;""),"")&lt;&gt;"")*1)</f>
        <v>0</v>
      </c>
      <c r="GT2" s="47" cm="1">
        <f t="array" ref="GT2">SUMPRODUCT((IFERROR(_xlfn._xlws.FILTER(INDEX(GT:GT,_xlfn.SEQUENCE(100,1,12,3)),INDEX(GT:GT,_xlfn.SEQUENCE(100,1,12,3))&lt;&gt;""),"")&lt;&gt;"")*1)</f>
        <v>0</v>
      </c>
      <c r="GU2" s="47" cm="1">
        <f t="array" ref="GU2">SUMPRODUCT((IFERROR(_xlfn._xlws.FILTER(INDEX(GU:GU,_xlfn.SEQUENCE(100,1,12,3)),INDEX(GU:GU,_xlfn.SEQUENCE(100,1,12,3))&lt;&gt;""),"")&lt;&gt;"")*1)</f>
        <v>0</v>
      </c>
      <c r="GV2" s="47" cm="1">
        <f t="array" ref="GV2">SUMPRODUCT((IFERROR(_xlfn._xlws.FILTER(INDEX(GV:GV,_xlfn.SEQUENCE(100,1,12,3)),INDEX(GV:GV,_xlfn.SEQUENCE(100,1,12,3))&lt;&gt;""),"")&lt;&gt;"")*1)</f>
        <v>0</v>
      </c>
      <c r="GW2" s="47" cm="1">
        <f t="array" ref="GW2">SUMPRODUCT((IFERROR(_xlfn._xlws.FILTER(INDEX(GW:GW,_xlfn.SEQUENCE(100,1,12,3)),INDEX(GW:GW,_xlfn.SEQUENCE(100,1,12,3))&lt;&gt;""),"")&lt;&gt;"")*1)</f>
        <v>0</v>
      </c>
      <c r="GX2" s="47" cm="1">
        <f t="array" ref="GX2">SUMPRODUCT((IFERROR(_xlfn._xlws.FILTER(INDEX(GX:GX,_xlfn.SEQUENCE(100,1,12,3)),INDEX(GX:GX,_xlfn.SEQUENCE(100,1,12,3))&lt;&gt;""),"")&lt;&gt;"")*1)</f>
        <v>0</v>
      </c>
      <c r="GY2" s="47" cm="1">
        <f t="array" ref="GY2">SUMPRODUCT((IFERROR(_xlfn._xlws.FILTER(INDEX(GY:GY,_xlfn.SEQUENCE(100,1,12,3)),INDEX(GY:GY,_xlfn.SEQUENCE(100,1,12,3))&lt;&gt;""),"")&lt;&gt;"")*1)</f>
        <v>0</v>
      </c>
      <c r="GZ2" s="47" cm="1">
        <f t="array" ref="GZ2">SUMPRODUCT((IFERROR(_xlfn._xlws.FILTER(INDEX(GZ:GZ,_xlfn.SEQUENCE(100,1,12,3)),INDEX(GZ:GZ,_xlfn.SEQUENCE(100,1,12,3))&lt;&gt;""),"")&lt;&gt;"")*1)</f>
        <v>0</v>
      </c>
      <c r="HA2" s="47" cm="1">
        <f t="array" ref="HA2">SUMPRODUCT((IFERROR(_xlfn._xlws.FILTER(INDEX(HA:HA,_xlfn.SEQUENCE(100,1,12,3)),INDEX(HA:HA,_xlfn.SEQUENCE(100,1,12,3))&lt;&gt;""),"")&lt;&gt;"")*1)</f>
        <v>0</v>
      </c>
      <c r="HB2" s="47" cm="1">
        <f t="array" ref="HB2">SUMPRODUCT((IFERROR(_xlfn._xlws.FILTER(INDEX(HB:HB,_xlfn.SEQUENCE(100,1,12,3)),INDEX(HB:HB,_xlfn.SEQUENCE(100,1,12,3))&lt;&gt;""),"")&lt;&gt;"")*1)</f>
        <v>0</v>
      </c>
      <c r="HC2" s="47" cm="1">
        <f t="array" ref="HC2">SUMPRODUCT((IFERROR(_xlfn._xlws.FILTER(INDEX(HC:HC,_xlfn.SEQUENCE(100,1,12,3)),INDEX(HC:HC,_xlfn.SEQUENCE(100,1,12,3))&lt;&gt;""),"")&lt;&gt;"")*1)</f>
        <v>0</v>
      </c>
      <c r="HD2" s="47" cm="1">
        <f t="array" ref="HD2">SUMPRODUCT((IFERROR(_xlfn._xlws.FILTER(INDEX(HD:HD,_xlfn.SEQUENCE(100,1,12,3)),INDEX(HD:HD,_xlfn.SEQUENCE(100,1,12,3))&lt;&gt;""),"")&lt;&gt;"")*1)</f>
        <v>0</v>
      </c>
      <c r="HE2" s="47" cm="1">
        <f t="array" ref="HE2">SUMPRODUCT((IFERROR(_xlfn._xlws.FILTER(INDEX(HE:HE,_xlfn.SEQUENCE(100,1,12,3)),INDEX(HE:HE,_xlfn.SEQUENCE(100,1,12,3))&lt;&gt;""),"")&lt;&gt;"")*1)</f>
        <v>0</v>
      </c>
      <c r="HF2" s="47" cm="1">
        <f t="array" ref="HF2">SUMPRODUCT((IFERROR(_xlfn._xlws.FILTER(INDEX(HF:HF,_xlfn.SEQUENCE(100,1,12,3)),INDEX(HF:HF,_xlfn.SEQUENCE(100,1,12,3))&lt;&gt;""),"")&lt;&gt;"")*1)</f>
        <v>0</v>
      </c>
      <c r="HG2" s="47" cm="1">
        <f t="array" ref="HG2">SUMPRODUCT((IFERROR(_xlfn._xlws.FILTER(INDEX(HG:HG,_xlfn.SEQUENCE(100,1,12,3)),INDEX(HG:HG,_xlfn.SEQUENCE(100,1,12,3))&lt;&gt;""),"")&lt;&gt;"")*1)</f>
        <v>0</v>
      </c>
      <c r="HH2" s="47" cm="1">
        <f t="array" ref="HH2">SUMPRODUCT((IFERROR(_xlfn._xlws.FILTER(INDEX(HH:HH,_xlfn.SEQUENCE(100,1,12,3)),INDEX(HH:HH,_xlfn.SEQUENCE(100,1,12,3))&lt;&gt;""),"")&lt;&gt;"")*1)</f>
        <v>0</v>
      </c>
      <c r="HI2" s="47" cm="1">
        <f t="array" ref="HI2">SUMPRODUCT((IFERROR(_xlfn._xlws.FILTER(INDEX(HI:HI,_xlfn.SEQUENCE(100,1,12,3)),INDEX(HI:HI,_xlfn.SEQUENCE(100,1,12,3))&lt;&gt;""),"")&lt;&gt;"")*1)</f>
        <v>0</v>
      </c>
      <c r="HJ2" s="47" cm="1">
        <f t="array" ref="HJ2">SUMPRODUCT((IFERROR(_xlfn._xlws.FILTER(INDEX(HJ:HJ,_xlfn.SEQUENCE(100,1,12,3)),INDEX(HJ:HJ,_xlfn.SEQUENCE(100,1,12,3))&lt;&gt;""),"")&lt;&gt;"")*1)</f>
        <v>0</v>
      </c>
      <c r="HK2" s="47" cm="1">
        <f t="array" ref="HK2">SUMPRODUCT((IFERROR(_xlfn._xlws.FILTER(INDEX(HK:HK,_xlfn.SEQUENCE(100,1,12,3)),INDEX(HK:HK,_xlfn.SEQUENCE(100,1,12,3))&lt;&gt;""),"")&lt;&gt;"")*1)</f>
        <v>0</v>
      </c>
      <c r="HL2" s="47" cm="1">
        <f t="array" ref="HL2">SUMPRODUCT((IFERROR(_xlfn._xlws.FILTER(INDEX(HL:HL,_xlfn.SEQUENCE(100,1,12,3)),INDEX(HL:HL,_xlfn.SEQUENCE(100,1,12,3))&lt;&gt;""),"")&lt;&gt;"")*1)</f>
        <v>0</v>
      </c>
      <c r="HM2" s="47" cm="1">
        <f t="array" ref="HM2">SUMPRODUCT((IFERROR(_xlfn._xlws.FILTER(INDEX(HM:HM,_xlfn.SEQUENCE(100,1,12,3)),INDEX(HM:HM,_xlfn.SEQUENCE(100,1,12,3))&lt;&gt;""),"")&lt;&gt;"")*1)</f>
        <v>0</v>
      </c>
      <c r="HN2" s="47" cm="1">
        <f t="array" ref="HN2">SUMPRODUCT((IFERROR(_xlfn._xlws.FILTER(INDEX(HN:HN,_xlfn.SEQUENCE(100,1,12,3)),INDEX(HN:HN,_xlfn.SEQUENCE(100,1,12,3))&lt;&gt;""),"")&lt;&gt;"")*1)</f>
        <v>0</v>
      </c>
      <c r="HO2" s="47" cm="1">
        <f t="array" ref="HO2">SUMPRODUCT((IFERROR(_xlfn._xlws.FILTER(INDEX(HO:HO,_xlfn.SEQUENCE(100,1,12,3)),INDEX(HO:HO,_xlfn.SEQUENCE(100,1,12,3))&lt;&gt;""),"")&lt;&gt;"")*1)</f>
        <v>0</v>
      </c>
      <c r="HP2" s="47" cm="1">
        <f t="array" ref="HP2">SUMPRODUCT((IFERROR(_xlfn._xlws.FILTER(INDEX(HP:HP,_xlfn.SEQUENCE(100,1,12,3)),INDEX(HP:HP,_xlfn.SEQUENCE(100,1,12,3))&lt;&gt;""),"")&lt;&gt;"")*1)</f>
        <v>0</v>
      </c>
      <c r="HQ2" s="47" cm="1">
        <f t="array" ref="HQ2">SUMPRODUCT((IFERROR(_xlfn._xlws.FILTER(INDEX(HQ:HQ,_xlfn.SEQUENCE(100,1,12,3)),INDEX(HQ:HQ,_xlfn.SEQUENCE(100,1,12,3))&lt;&gt;""),"")&lt;&gt;"")*1)</f>
        <v>0</v>
      </c>
      <c r="HR2" s="47" cm="1">
        <f t="array" ref="HR2">SUMPRODUCT((IFERROR(_xlfn._xlws.FILTER(INDEX(HR:HR,_xlfn.SEQUENCE(100,1,12,3)),INDEX(HR:HR,_xlfn.SEQUENCE(100,1,12,3))&lt;&gt;""),"")&lt;&gt;"")*1)</f>
        <v>0</v>
      </c>
      <c r="HS2" s="47" cm="1">
        <f t="array" ref="HS2">SUMPRODUCT((IFERROR(_xlfn._xlws.FILTER(INDEX(HS:HS,_xlfn.SEQUENCE(100,1,12,3)),INDEX(HS:HS,_xlfn.SEQUENCE(100,1,12,3))&lt;&gt;""),"")&lt;&gt;"")*1)</f>
        <v>0</v>
      </c>
      <c r="HT2" s="47" cm="1">
        <f t="array" ref="HT2">SUMPRODUCT((IFERROR(_xlfn._xlws.FILTER(INDEX(HT:HT,_xlfn.SEQUENCE(100,1,12,3)),INDEX(HT:HT,_xlfn.SEQUENCE(100,1,12,3))&lt;&gt;""),"")&lt;&gt;"")*1)</f>
        <v>0</v>
      </c>
      <c r="HU2" s="47" cm="1">
        <f t="array" ref="HU2">SUMPRODUCT((IFERROR(_xlfn._xlws.FILTER(INDEX(HU:HU,_xlfn.SEQUENCE(100,1,12,3)),INDEX(HU:HU,_xlfn.SEQUENCE(100,1,12,3))&lt;&gt;""),"")&lt;&gt;"")*1)</f>
        <v>0</v>
      </c>
      <c r="HV2" s="47" cm="1">
        <f t="array" ref="HV2">SUMPRODUCT((IFERROR(_xlfn._xlws.FILTER(INDEX(HV:HV,_xlfn.SEQUENCE(100,1,12,3)),INDEX(HV:HV,_xlfn.SEQUENCE(100,1,12,3))&lt;&gt;""),"")&lt;&gt;"")*1)</f>
        <v>0</v>
      </c>
      <c r="HW2" s="47" cm="1">
        <f t="array" ref="HW2">SUMPRODUCT((IFERROR(_xlfn._xlws.FILTER(INDEX(HW:HW,_xlfn.SEQUENCE(100,1,12,3)),INDEX(HW:HW,_xlfn.SEQUENCE(100,1,12,3))&lt;&gt;""),"")&lt;&gt;"")*1)</f>
        <v>0</v>
      </c>
      <c r="HX2" s="47" cm="1">
        <f t="array" ref="HX2">SUMPRODUCT((IFERROR(_xlfn._xlws.FILTER(INDEX(HX:HX,_xlfn.SEQUENCE(100,1,12,3)),INDEX(HX:HX,_xlfn.SEQUENCE(100,1,12,3))&lt;&gt;""),"")&lt;&gt;"")*1)</f>
        <v>0</v>
      </c>
      <c r="HY2" s="47" cm="1">
        <f t="array" ref="HY2">SUMPRODUCT((IFERROR(_xlfn._xlws.FILTER(INDEX(HY:HY,_xlfn.SEQUENCE(100,1,12,3)),INDEX(HY:HY,_xlfn.SEQUENCE(100,1,12,3))&lt;&gt;""),"")&lt;&gt;"")*1)</f>
        <v>0</v>
      </c>
      <c r="HZ2" s="47" cm="1">
        <f t="array" ref="HZ2">SUMPRODUCT((IFERROR(_xlfn._xlws.FILTER(INDEX(HZ:HZ,_xlfn.SEQUENCE(100,1,12,3)),INDEX(HZ:HZ,_xlfn.SEQUENCE(100,1,12,3))&lt;&gt;""),"")&lt;&gt;"")*1)</f>
        <v>0</v>
      </c>
      <c r="IA2" s="47" cm="1">
        <f t="array" ref="IA2">SUMPRODUCT((IFERROR(_xlfn._xlws.FILTER(INDEX(IA:IA,_xlfn.SEQUENCE(100,1,12,3)),INDEX(IA:IA,_xlfn.SEQUENCE(100,1,12,3))&lt;&gt;""),"")&lt;&gt;"")*1)</f>
        <v>0</v>
      </c>
      <c r="IB2" s="47" cm="1">
        <f t="array" ref="IB2">SUMPRODUCT((IFERROR(_xlfn._xlws.FILTER(INDEX(IB:IB,_xlfn.SEQUENCE(100,1,12,3)),INDEX(IB:IB,_xlfn.SEQUENCE(100,1,12,3))&lt;&gt;""),"")&lt;&gt;"")*1)</f>
        <v>0</v>
      </c>
      <c r="IC2" s="47" cm="1">
        <f t="array" ref="IC2">SUMPRODUCT((IFERROR(_xlfn._xlws.FILTER(INDEX(IC:IC,_xlfn.SEQUENCE(100,1,12,3)),INDEX(IC:IC,_xlfn.SEQUENCE(100,1,12,3))&lt;&gt;""),"")&lt;&gt;"")*1)</f>
        <v>0</v>
      </c>
      <c r="ID2" s="47" cm="1">
        <f t="array" ref="ID2">SUMPRODUCT((IFERROR(_xlfn._xlws.FILTER(INDEX(ID:ID,_xlfn.SEQUENCE(100,1,12,3)),INDEX(ID:ID,_xlfn.SEQUENCE(100,1,12,3))&lt;&gt;""),"")&lt;&gt;"")*1)</f>
        <v>0</v>
      </c>
      <c r="IE2" s="47" cm="1">
        <f t="array" ref="IE2">SUMPRODUCT((IFERROR(_xlfn._xlws.FILTER(INDEX(IE:IE,_xlfn.SEQUENCE(100,1,12,3)),INDEX(IE:IE,_xlfn.SEQUENCE(100,1,12,3))&lt;&gt;""),"")&lt;&gt;"")*1)</f>
        <v>0</v>
      </c>
      <c r="IF2" s="47" cm="1">
        <f t="array" ref="IF2">SUMPRODUCT((IFERROR(_xlfn._xlws.FILTER(INDEX(IF:IF,_xlfn.SEQUENCE(100,1,12,3)),INDEX(IF:IF,_xlfn.SEQUENCE(100,1,12,3))&lt;&gt;""),"")&lt;&gt;"")*1)</f>
        <v>0</v>
      </c>
      <c r="IG2" s="47" cm="1">
        <f t="array" ref="IG2">SUMPRODUCT((IFERROR(_xlfn._xlws.FILTER(INDEX(IG:IG,_xlfn.SEQUENCE(100,1,12,3)),INDEX(IG:IG,_xlfn.SEQUENCE(100,1,12,3))&lt;&gt;""),"")&lt;&gt;"")*1)</f>
        <v>0</v>
      </c>
      <c r="IH2" s="47" cm="1">
        <f t="array" ref="IH2">SUMPRODUCT((IFERROR(_xlfn._xlws.FILTER(INDEX(IH:IH,_xlfn.SEQUENCE(100,1,12,3)),INDEX(IH:IH,_xlfn.SEQUENCE(100,1,12,3))&lt;&gt;""),"")&lt;&gt;"")*1)</f>
        <v>0</v>
      </c>
      <c r="II2" s="47" cm="1">
        <f t="array" ref="II2">SUMPRODUCT((IFERROR(_xlfn._xlws.FILTER(INDEX(II:II,_xlfn.SEQUENCE(100,1,12,3)),INDEX(II:II,_xlfn.SEQUENCE(100,1,12,3))&lt;&gt;""),"")&lt;&gt;"")*1)</f>
        <v>0</v>
      </c>
      <c r="IJ2" s="47" cm="1">
        <f t="array" ref="IJ2">SUMPRODUCT((IFERROR(_xlfn._xlws.FILTER(INDEX(IJ:IJ,_xlfn.SEQUENCE(100,1,12,3)),INDEX(IJ:IJ,_xlfn.SEQUENCE(100,1,12,3))&lt;&gt;""),"")&lt;&gt;"")*1)</f>
        <v>0</v>
      </c>
      <c r="IK2" s="47" cm="1">
        <f t="array" ref="IK2">SUMPRODUCT((IFERROR(_xlfn._xlws.FILTER(INDEX(IK:IK,_xlfn.SEQUENCE(100,1,12,3)),INDEX(IK:IK,_xlfn.SEQUENCE(100,1,12,3))&lt;&gt;""),"")&lt;&gt;"")*1)</f>
        <v>0</v>
      </c>
      <c r="IL2" s="47" cm="1">
        <f t="array" ref="IL2">SUMPRODUCT((IFERROR(_xlfn._xlws.FILTER(INDEX(IL:IL,_xlfn.SEQUENCE(100,1,12,3)),INDEX(IL:IL,_xlfn.SEQUENCE(100,1,12,3))&lt;&gt;""),"")&lt;&gt;"")*1)</f>
        <v>0</v>
      </c>
      <c r="IM2" s="47" cm="1">
        <f t="array" ref="IM2">SUMPRODUCT((IFERROR(_xlfn._xlws.FILTER(INDEX(IM:IM,_xlfn.SEQUENCE(100,1,12,3)),INDEX(IM:IM,_xlfn.SEQUENCE(100,1,12,3))&lt;&gt;""),"")&lt;&gt;"")*1)</f>
        <v>0</v>
      </c>
      <c r="IN2" s="47" cm="1">
        <f t="array" ref="IN2">SUMPRODUCT((IFERROR(_xlfn._xlws.FILTER(INDEX(IN:IN,_xlfn.SEQUENCE(100,1,12,3)),INDEX(IN:IN,_xlfn.SEQUENCE(100,1,12,3))&lt;&gt;""),"")&lt;&gt;"")*1)</f>
        <v>0</v>
      </c>
      <c r="IO2" s="47" cm="1">
        <f t="array" ref="IO2">SUMPRODUCT((IFERROR(_xlfn._xlws.FILTER(INDEX(IO:IO,_xlfn.SEQUENCE(100,1,12,3)),INDEX(IO:IO,_xlfn.SEQUENCE(100,1,12,3))&lt;&gt;""),"")&lt;&gt;"")*1)</f>
        <v>0</v>
      </c>
      <c r="IP2" s="47" cm="1">
        <f t="array" ref="IP2">SUMPRODUCT((IFERROR(_xlfn._xlws.FILTER(INDEX(IP:IP,_xlfn.SEQUENCE(100,1,12,3)),INDEX(IP:IP,_xlfn.SEQUENCE(100,1,12,3))&lt;&gt;""),"")&lt;&gt;"")*1)</f>
        <v>0</v>
      </c>
      <c r="IQ2" s="47" cm="1">
        <f t="array" ref="IQ2">SUMPRODUCT((IFERROR(_xlfn._xlws.FILTER(INDEX(IQ:IQ,_xlfn.SEQUENCE(100,1,12,3)),INDEX(IQ:IQ,_xlfn.SEQUENCE(100,1,12,3))&lt;&gt;""),"")&lt;&gt;"")*1)</f>
        <v>0</v>
      </c>
      <c r="IR2" s="47" cm="1">
        <f t="array" ref="IR2">SUMPRODUCT((IFERROR(_xlfn._xlws.FILTER(INDEX(IR:IR,_xlfn.SEQUENCE(100,1,12,3)),INDEX(IR:IR,_xlfn.SEQUENCE(100,1,12,3))&lt;&gt;""),"")&lt;&gt;"")*1)</f>
        <v>0</v>
      </c>
      <c r="IS2" s="47" cm="1">
        <f t="array" ref="IS2">SUMPRODUCT((IFERROR(_xlfn._xlws.FILTER(INDEX(IS:IS,_xlfn.SEQUENCE(100,1,12,3)),INDEX(IS:IS,_xlfn.SEQUENCE(100,1,12,3))&lt;&gt;""),"")&lt;&gt;"")*1)</f>
        <v>0</v>
      </c>
      <c r="IT2" s="47" cm="1">
        <f t="array" ref="IT2">SUMPRODUCT((IFERROR(_xlfn._xlws.FILTER(INDEX(IT:IT,_xlfn.SEQUENCE(100,1,12,3)),INDEX(IT:IT,_xlfn.SEQUENCE(100,1,12,3))&lt;&gt;""),"")&lt;&gt;"")*1)</f>
        <v>0</v>
      </c>
      <c r="IU2" s="47" cm="1">
        <f t="array" ref="IU2">SUMPRODUCT((IFERROR(_xlfn._xlws.FILTER(INDEX(IU:IU,_xlfn.SEQUENCE(100,1,12,3)),INDEX(IU:IU,_xlfn.SEQUENCE(100,1,12,3))&lt;&gt;""),"")&lt;&gt;"")*1)</f>
        <v>0</v>
      </c>
      <c r="IV2" s="47" cm="1">
        <f t="array" ref="IV2">SUMPRODUCT((IFERROR(_xlfn._xlws.FILTER(INDEX(IV:IV,_xlfn.SEQUENCE(100,1,12,3)),INDEX(IV:IV,_xlfn.SEQUENCE(100,1,12,3))&lt;&gt;""),"")&lt;&gt;"")*1)</f>
        <v>0</v>
      </c>
      <c r="IW2" s="47" cm="1">
        <f t="array" ref="IW2">SUMPRODUCT((IFERROR(_xlfn._xlws.FILTER(INDEX(IW:IW,_xlfn.SEQUENCE(100,1,12,3)),INDEX(IW:IW,_xlfn.SEQUENCE(100,1,12,3))&lt;&gt;""),"")&lt;&gt;"")*1)</f>
        <v>0</v>
      </c>
      <c r="IX2" s="47" cm="1">
        <f t="array" ref="IX2">SUMPRODUCT((IFERROR(_xlfn._xlws.FILTER(INDEX(IX:IX,_xlfn.SEQUENCE(100,1,12,3)),INDEX(IX:IX,_xlfn.SEQUENCE(100,1,12,3))&lt;&gt;""),"")&lt;&gt;"")*1)</f>
        <v>0</v>
      </c>
      <c r="IY2" s="47" cm="1">
        <f t="array" ref="IY2">SUMPRODUCT((IFERROR(_xlfn._xlws.FILTER(INDEX(IY:IY,_xlfn.SEQUENCE(100,1,12,3)),INDEX(IY:IY,_xlfn.SEQUENCE(100,1,12,3))&lt;&gt;""),"")&lt;&gt;"")*1)</f>
        <v>0</v>
      </c>
      <c r="IZ2" s="47" cm="1">
        <f t="array" ref="IZ2">SUMPRODUCT((IFERROR(_xlfn._xlws.FILTER(INDEX(IZ:IZ,_xlfn.SEQUENCE(100,1,12,3)),INDEX(IZ:IZ,_xlfn.SEQUENCE(100,1,12,3))&lt;&gt;""),"")&lt;&gt;"")*1)</f>
        <v>0</v>
      </c>
      <c r="JA2" s="47" cm="1">
        <f t="array" ref="JA2">SUMPRODUCT((IFERROR(_xlfn._xlws.FILTER(INDEX(JA:JA,_xlfn.SEQUENCE(100,1,12,3)),INDEX(JA:JA,_xlfn.SEQUENCE(100,1,12,3))&lt;&gt;""),"")&lt;&gt;"")*1)</f>
        <v>0</v>
      </c>
      <c r="JB2" s="47" cm="1">
        <f t="array" ref="JB2">SUMPRODUCT((IFERROR(_xlfn._xlws.FILTER(INDEX(JB:JB,_xlfn.SEQUENCE(100,1,12,3)),INDEX(JB:JB,_xlfn.SEQUENCE(100,1,12,3))&lt;&gt;""),"")&lt;&gt;"")*1)</f>
        <v>0</v>
      </c>
      <c r="JC2" s="47" cm="1">
        <f t="array" ref="JC2">SUMPRODUCT((IFERROR(_xlfn._xlws.FILTER(INDEX(JC:JC,_xlfn.SEQUENCE(100,1,12,3)),INDEX(JC:JC,_xlfn.SEQUENCE(100,1,12,3))&lt;&gt;""),"")&lt;&gt;"")*1)</f>
        <v>0</v>
      </c>
      <c r="JD2" s="47" cm="1">
        <f t="array" ref="JD2">SUMPRODUCT((IFERROR(_xlfn._xlws.FILTER(INDEX(JD:JD,_xlfn.SEQUENCE(100,1,12,3)),INDEX(JD:JD,_xlfn.SEQUENCE(100,1,12,3))&lt;&gt;""),"")&lt;&gt;"")*1)</f>
        <v>0</v>
      </c>
      <c r="JE2" s="47" cm="1">
        <f t="array" ref="JE2">SUMPRODUCT((IFERROR(_xlfn._xlws.FILTER(INDEX(JE:JE,_xlfn.SEQUENCE(100,1,12,3)),INDEX(JE:JE,_xlfn.SEQUENCE(100,1,12,3))&lt;&gt;""),"")&lt;&gt;"")*1)</f>
        <v>0</v>
      </c>
      <c r="JF2" s="47" cm="1">
        <f t="array" ref="JF2">SUMPRODUCT((IFERROR(_xlfn._xlws.FILTER(INDEX(JF:JF,_xlfn.SEQUENCE(100,1,12,3)),INDEX(JF:JF,_xlfn.SEQUENCE(100,1,12,3))&lt;&gt;""),"")&lt;&gt;"")*1)</f>
        <v>0</v>
      </c>
      <c r="JG2" s="47" cm="1">
        <f t="array" ref="JG2">SUMPRODUCT((IFERROR(_xlfn._xlws.FILTER(INDEX(JG:JG,_xlfn.SEQUENCE(100,1,12,3)),INDEX(JG:JG,_xlfn.SEQUENCE(100,1,12,3))&lt;&gt;""),"")&lt;&gt;"")*1)</f>
        <v>0</v>
      </c>
      <c r="JH2" s="47" cm="1">
        <f t="array" ref="JH2">SUMPRODUCT((IFERROR(_xlfn._xlws.FILTER(INDEX(JH:JH,_xlfn.SEQUENCE(100,1,12,3)),INDEX(JH:JH,_xlfn.SEQUENCE(100,1,12,3))&lt;&gt;""),"")&lt;&gt;"")*1)</f>
        <v>0</v>
      </c>
      <c r="JI2" s="47" cm="1">
        <f t="array" ref="JI2">SUMPRODUCT((IFERROR(_xlfn._xlws.FILTER(INDEX(JI:JI,_xlfn.SEQUENCE(100,1,12,3)),INDEX(JI:JI,_xlfn.SEQUENCE(100,1,12,3))&lt;&gt;""),"")&lt;&gt;"")*1)</f>
        <v>0</v>
      </c>
      <c r="JJ2" s="47" cm="1">
        <f t="array" ref="JJ2">SUMPRODUCT((IFERROR(_xlfn._xlws.FILTER(INDEX(JJ:JJ,_xlfn.SEQUENCE(100,1,12,3)),INDEX(JJ:JJ,_xlfn.SEQUENCE(100,1,12,3))&lt;&gt;""),"")&lt;&gt;"")*1)</f>
        <v>0</v>
      </c>
      <c r="JK2" s="47" cm="1">
        <f t="array" ref="JK2">SUMPRODUCT((IFERROR(_xlfn._xlws.FILTER(INDEX(JK:JK,_xlfn.SEQUENCE(100,1,12,3)),INDEX(JK:JK,_xlfn.SEQUENCE(100,1,12,3))&lt;&gt;""),"")&lt;&gt;"")*1)</f>
        <v>0</v>
      </c>
      <c r="JL2" s="47" cm="1">
        <f t="array" ref="JL2">SUMPRODUCT((IFERROR(_xlfn._xlws.FILTER(INDEX(JL:JL,_xlfn.SEQUENCE(100,1,12,3)),INDEX(JL:JL,_xlfn.SEQUENCE(100,1,12,3))&lt;&gt;""),"")&lt;&gt;"")*1)</f>
        <v>0</v>
      </c>
      <c r="JM2" s="47" cm="1">
        <f t="array" ref="JM2">SUMPRODUCT((IFERROR(_xlfn._xlws.FILTER(INDEX(JM:JM,_xlfn.SEQUENCE(100,1,12,3)),INDEX(JM:JM,_xlfn.SEQUENCE(100,1,12,3))&lt;&gt;""),"")&lt;&gt;"")*1)</f>
        <v>0</v>
      </c>
      <c r="JN2" s="47" cm="1">
        <f t="array" ref="JN2">SUMPRODUCT((IFERROR(_xlfn._xlws.FILTER(INDEX(JN:JN,_xlfn.SEQUENCE(100,1,12,3)),INDEX(JN:JN,_xlfn.SEQUENCE(100,1,12,3))&lt;&gt;""),"")&lt;&gt;"")*1)</f>
        <v>0</v>
      </c>
      <c r="JO2" s="47" cm="1">
        <f t="array" ref="JO2">SUMPRODUCT((IFERROR(_xlfn._xlws.FILTER(INDEX(JO:JO,_xlfn.SEQUENCE(100,1,12,3)),INDEX(JO:JO,_xlfn.SEQUENCE(100,1,12,3))&lt;&gt;""),"")&lt;&gt;"")*1)</f>
        <v>0</v>
      </c>
      <c r="JP2" s="47" cm="1">
        <f t="array" ref="JP2">SUMPRODUCT((IFERROR(_xlfn._xlws.FILTER(INDEX(JP:JP,_xlfn.SEQUENCE(100,1,12,3)),INDEX(JP:JP,_xlfn.SEQUENCE(100,1,12,3))&lt;&gt;""),"")&lt;&gt;"")*1)</f>
        <v>0</v>
      </c>
      <c r="JQ2" s="47" cm="1">
        <f t="array" ref="JQ2">SUMPRODUCT((IFERROR(_xlfn._xlws.FILTER(INDEX(JQ:JQ,_xlfn.SEQUENCE(100,1,12,3)),INDEX(JQ:JQ,_xlfn.SEQUENCE(100,1,12,3))&lt;&gt;""),"")&lt;&gt;"")*1)</f>
        <v>0</v>
      </c>
      <c r="JR2" s="47" cm="1">
        <f t="array" ref="JR2">SUMPRODUCT((IFERROR(_xlfn._xlws.FILTER(INDEX(JR:JR,_xlfn.SEQUENCE(100,1,12,3)),INDEX(JR:JR,_xlfn.SEQUENCE(100,1,12,3))&lt;&gt;""),"")&lt;&gt;"")*1)</f>
        <v>0</v>
      </c>
      <c r="JS2" s="47" cm="1">
        <f t="array" ref="JS2">SUMPRODUCT((IFERROR(_xlfn._xlws.FILTER(INDEX(JS:JS,_xlfn.SEQUENCE(100,1,12,3)),INDEX(JS:JS,_xlfn.SEQUENCE(100,1,12,3))&lt;&gt;""),"")&lt;&gt;"")*1)</f>
        <v>0</v>
      </c>
      <c r="JT2" s="47" cm="1">
        <f t="array" ref="JT2">SUMPRODUCT((IFERROR(_xlfn._xlws.FILTER(INDEX(JT:JT,_xlfn.SEQUENCE(100,1,12,3)),INDEX(JT:JT,_xlfn.SEQUENCE(100,1,12,3))&lt;&gt;""),"")&lt;&gt;"")*1)</f>
        <v>0</v>
      </c>
      <c r="JU2" s="47" cm="1">
        <f t="array" ref="JU2">SUMPRODUCT((IFERROR(_xlfn._xlws.FILTER(INDEX(JU:JU,_xlfn.SEQUENCE(100,1,12,3)),INDEX(JU:JU,_xlfn.SEQUENCE(100,1,12,3))&lt;&gt;""),"")&lt;&gt;"")*1)</f>
        <v>0</v>
      </c>
      <c r="JV2" s="47" cm="1">
        <f t="array" ref="JV2">SUMPRODUCT((IFERROR(_xlfn._xlws.FILTER(INDEX(JV:JV,_xlfn.SEQUENCE(100,1,12,3)),INDEX(JV:JV,_xlfn.SEQUENCE(100,1,12,3))&lt;&gt;""),"")&lt;&gt;"")*1)</f>
        <v>0</v>
      </c>
      <c r="JW2" s="47" cm="1">
        <f t="array" ref="JW2">SUMPRODUCT((IFERROR(_xlfn._xlws.FILTER(INDEX(JW:JW,_xlfn.SEQUENCE(100,1,12,3)),INDEX(JW:JW,_xlfn.SEQUENCE(100,1,12,3))&lt;&gt;""),"")&lt;&gt;"")*1)</f>
        <v>0</v>
      </c>
      <c r="JX2" s="47" cm="1">
        <f t="array" ref="JX2">SUMPRODUCT((IFERROR(_xlfn._xlws.FILTER(INDEX(JX:JX,_xlfn.SEQUENCE(100,1,12,3)),INDEX(JX:JX,_xlfn.SEQUENCE(100,1,12,3))&lt;&gt;""),"")&lt;&gt;"")*1)</f>
        <v>0</v>
      </c>
      <c r="JY2" s="47" cm="1">
        <f t="array" ref="JY2">SUMPRODUCT((IFERROR(_xlfn._xlws.FILTER(INDEX(JY:JY,_xlfn.SEQUENCE(100,1,12,3)),INDEX(JY:JY,_xlfn.SEQUENCE(100,1,12,3))&lt;&gt;""),"")&lt;&gt;"")*1)</f>
        <v>0</v>
      </c>
      <c r="JZ2" s="47" cm="1">
        <f t="array" ref="JZ2">SUMPRODUCT((IFERROR(_xlfn._xlws.FILTER(INDEX(JZ:JZ,_xlfn.SEQUENCE(100,1,12,3)),INDEX(JZ:JZ,_xlfn.SEQUENCE(100,1,12,3))&lt;&gt;""),"")&lt;&gt;"")*1)</f>
        <v>0</v>
      </c>
      <c r="KA2" s="47" cm="1">
        <f t="array" ref="KA2">SUMPRODUCT((IFERROR(_xlfn._xlws.FILTER(INDEX(KA:KA,_xlfn.SEQUENCE(100,1,12,3)),INDEX(KA:KA,_xlfn.SEQUENCE(100,1,12,3))&lt;&gt;""),"")&lt;&gt;"")*1)</f>
        <v>0</v>
      </c>
      <c r="KB2" s="47" cm="1">
        <f t="array" ref="KB2">SUMPRODUCT((IFERROR(_xlfn._xlws.FILTER(INDEX(KB:KB,_xlfn.SEQUENCE(100,1,12,3)),INDEX(KB:KB,_xlfn.SEQUENCE(100,1,12,3))&lt;&gt;""),"")&lt;&gt;"")*1)</f>
        <v>0</v>
      </c>
      <c r="KC2" s="47" cm="1">
        <f t="array" ref="KC2">SUMPRODUCT((IFERROR(_xlfn._xlws.FILTER(INDEX(KC:KC,_xlfn.SEQUENCE(100,1,12,3)),INDEX(KC:KC,_xlfn.SEQUENCE(100,1,12,3))&lt;&gt;""),"")&lt;&gt;"")*1)</f>
        <v>0</v>
      </c>
      <c r="KD2" s="47" cm="1">
        <f t="array" ref="KD2">SUMPRODUCT((IFERROR(_xlfn._xlws.FILTER(INDEX(KD:KD,_xlfn.SEQUENCE(100,1,12,3)),INDEX(KD:KD,_xlfn.SEQUENCE(100,1,12,3))&lt;&gt;""),"")&lt;&gt;"")*1)</f>
        <v>0</v>
      </c>
      <c r="KE2" s="47" cm="1">
        <f t="array" ref="KE2">SUMPRODUCT((IFERROR(_xlfn._xlws.FILTER(INDEX(KE:KE,_xlfn.SEQUENCE(100,1,12,3)),INDEX(KE:KE,_xlfn.SEQUENCE(100,1,12,3))&lt;&gt;""),"")&lt;&gt;"")*1)</f>
        <v>0</v>
      </c>
      <c r="KF2" s="47" cm="1">
        <f t="array" ref="KF2">SUMPRODUCT((IFERROR(_xlfn._xlws.FILTER(INDEX(KF:KF,_xlfn.SEQUENCE(100,1,12,3)),INDEX(KF:KF,_xlfn.SEQUENCE(100,1,12,3))&lt;&gt;""),"")&lt;&gt;"")*1)</f>
        <v>0</v>
      </c>
      <c r="KG2" s="47" cm="1">
        <f t="array" ref="KG2">SUMPRODUCT((IFERROR(_xlfn._xlws.FILTER(INDEX(KG:KG,_xlfn.SEQUENCE(100,1,12,3)),INDEX(KG:KG,_xlfn.SEQUENCE(100,1,12,3))&lt;&gt;""),"")&lt;&gt;"")*1)</f>
        <v>0</v>
      </c>
      <c r="KH2" s="47" cm="1">
        <f t="array" ref="KH2">SUMPRODUCT((IFERROR(_xlfn._xlws.FILTER(INDEX(KH:KH,_xlfn.SEQUENCE(100,1,12,3)),INDEX(KH:KH,_xlfn.SEQUENCE(100,1,12,3))&lt;&gt;""),"")&lt;&gt;"")*1)</f>
        <v>0</v>
      </c>
      <c r="KI2" s="47" cm="1">
        <f t="array" ref="KI2">SUMPRODUCT((IFERROR(_xlfn._xlws.FILTER(INDEX(KI:KI,_xlfn.SEQUENCE(100,1,12,3)),INDEX(KI:KI,_xlfn.SEQUENCE(100,1,12,3))&lt;&gt;""),"")&lt;&gt;"")*1)</f>
        <v>0</v>
      </c>
      <c r="KJ2" s="47" cm="1">
        <f t="array" ref="KJ2">SUMPRODUCT((IFERROR(_xlfn._xlws.FILTER(INDEX(KJ:KJ,_xlfn.SEQUENCE(100,1,12,3)),INDEX(KJ:KJ,_xlfn.SEQUENCE(100,1,12,3))&lt;&gt;""),"")&lt;&gt;"")*1)</f>
        <v>0</v>
      </c>
      <c r="KK2" s="47" cm="1">
        <f t="array" ref="KK2">SUMPRODUCT((IFERROR(_xlfn._xlws.FILTER(INDEX(KK:KK,_xlfn.SEQUENCE(100,1,12,3)),INDEX(KK:KK,_xlfn.SEQUENCE(100,1,12,3))&lt;&gt;""),"")&lt;&gt;"")*1)</f>
        <v>0</v>
      </c>
      <c r="KL2" s="47" cm="1">
        <f t="array" ref="KL2">SUMPRODUCT((IFERROR(_xlfn._xlws.FILTER(INDEX(KL:KL,_xlfn.SEQUENCE(100,1,12,3)),INDEX(KL:KL,_xlfn.SEQUENCE(100,1,12,3))&lt;&gt;""),"")&lt;&gt;"")*1)</f>
        <v>0</v>
      </c>
      <c r="KM2" s="47" cm="1">
        <f t="array" ref="KM2">SUMPRODUCT((IFERROR(_xlfn._xlws.FILTER(INDEX(KM:KM,_xlfn.SEQUENCE(100,1,12,3)),INDEX(KM:KM,_xlfn.SEQUENCE(100,1,12,3))&lt;&gt;""),"")&lt;&gt;"")*1)</f>
        <v>0</v>
      </c>
      <c r="KN2" s="47" cm="1">
        <f t="array" ref="KN2">SUMPRODUCT((IFERROR(_xlfn._xlws.FILTER(INDEX(KN:KN,_xlfn.SEQUENCE(100,1,12,3)),INDEX(KN:KN,_xlfn.SEQUENCE(100,1,12,3))&lt;&gt;""),"")&lt;&gt;"")*1)</f>
        <v>0</v>
      </c>
      <c r="KO2" s="47" cm="1">
        <f t="array" ref="KO2">SUMPRODUCT((IFERROR(_xlfn._xlws.FILTER(INDEX(KO:KO,_xlfn.SEQUENCE(100,1,12,3)),INDEX(KO:KO,_xlfn.SEQUENCE(100,1,12,3))&lt;&gt;""),"")&lt;&gt;"")*1)</f>
        <v>0</v>
      </c>
      <c r="KP2" s="47" cm="1">
        <f t="array" ref="KP2">SUMPRODUCT((IFERROR(_xlfn._xlws.FILTER(INDEX(KP:KP,_xlfn.SEQUENCE(100,1,12,3)),INDEX(KP:KP,_xlfn.SEQUENCE(100,1,12,3))&lt;&gt;""),"")&lt;&gt;"")*1)</f>
        <v>0</v>
      </c>
      <c r="KQ2" s="47" cm="1">
        <f t="array" ref="KQ2">SUMPRODUCT((IFERROR(_xlfn._xlws.FILTER(INDEX(KQ:KQ,_xlfn.SEQUENCE(100,1,12,3)),INDEX(KQ:KQ,_xlfn.SEQUENCE(100,1,12,3))&lt;&gt;""),"")&lt;&gt;"")*1)</f>
        <v>0</v>
      </c>
      <c r="KR2" s="47" cm="1">
        <f t="array" ref="KR2">SUMPRODUCT((IFERROR(_xlfn._xlws.FILTER(INDEX(KR:KR,_xlfn.SEQUENCE(100,1,12,3)),INDEX(KR:KR,_xlfn.SEQUENCE(100,1,12,3))&lt;&gt;""),"")&lt;&gt;"")*1)</f>
        <v>0</v>
      </c>
      <c r="KS2" s="47" cm="1">
        <f t="array" ref="KS2">SUMPRODUCT((IFERROR(_xlfn._xlws.FILTER(INDEX(KS:KS,_xlfn.SEQUENCE(100,1,12,3)),INDEX(KS:KS,_xlfn.SEQUENCE(100,1,12,3))&lt;&gt;""),"")&lt;&gt;"")*1)</f>
        <v>0</v>
      </c>
      <c r="KT2" s="47" cm="1">
        <f t="array" ref="KT2">SUMPRODUCT((IFERROR(_xlfn._xlws.FILTER(INDEX(KT:KT,_xlfn.SEQUENCE(100,1,12,3)),INDEX(KT:KT,_xlfn.SEQUENCE(100,1,12,3))&lt;&gt;""),"")&lt;&gt;"")*1)</f>
        <v>0</v>
      </c>
      <c r="KU2" s="47" cm="1">
        <f t="array" ref="KU2">SUMPRODUCT((IFERROR(_xlfn._xlws.FILTER(INDEX(KU:KU,_xlfn.SEQUENCE(100,1,12,3)),INDEX(KU:KU,_xlfn.SEQUENCE(100,1,12,3))&lt;&gt;""),"")&lt;&gt;"")*1)</f>
        <v>0</v>
      </c>
      <c r="KV2" s="47" cm="1">
        <f t="array" ref="KV2">SUMPRODUCT((IFERROR(_xlfn._xlws.FILTER(INDEX(KV:KV,_xlfn.SEQUENCE(100,1,12,3)),INDEX(KV:KV,_xlfn.SEQUENCE(100,1,12,3))&lt;&gt;""),"")&lt;&gt;"")*1)</f>
        <v>0</v>
      </c>
      <c r="KW2" s="47" cm="1">
        <f t="array" ref="KW2">SUMPRODUCT((IFERROR(_xlfn._xlws.FILTER(INDEX(KW:KW,_xlfn.SEQUENCE(100,1,12,3)),INDEX(KW:KW,_xlfn.SEQUENCE(100,1,12,3))&lt;&gt;""),"")&lt;&gt;"")*1)</f>
        <v>0</v>
      </c>
      <c r="KX2" s="47" cm="1">
        <f t="array" ref="KX2">SUMPRODUCT((IFERROR(_xlfn._xlws.FILTER(INDEX(KX:KX,_xlfn.SEQUENCE(100,1,12,3)),INDEX(KX:KX,_xlfn.SEQUENCE(100,1,12,3))&lt;&gt;""),"")&lt;&gt;"")*1)</f>
        <v>0</v>
      </c>
      <c r="KY2" s="47" cm="1">
        <f t="array" ref="KY2">SUMPRODUCT((IFERROR(_xlfn._xlws.FILTER(INDEX(KY:KY,_xlfn.SEQUENCE(100,1,12,3)),INDEX(KY:KY,_xlfn.SEQUENCE(100,1,12,3))&lt;&gt;""),"")&lt;&gt;"")*1)</f>
        <v>0</v>
      </c>
      <c r="KZ2" s="47" cm="1">
        <f t="array" ref="KZ2">SUMPRODUCT((IFERROR(_xlfn._xlws.FILTER(INDEX(KZ:KZ,_xlfn.SEQUENCE(100,1,12,3)),INDEX(KZ:KZ,_xlfn.SEQUENCE(100,1,12,3))&lt;&gt;""),"")&lt;&gt;"")*1)</f>
        <v>0</v>
      </c>
      <c r="LA2" s="47" cm="1">
        <f t="array" ref="LA2">SUMPRODUCT((IFERROR(_xlfn._xlws.FILTER(INDEX(LA:LA,_xlfn.SEQUENCE(100,1,12,3)),INDEX(LA:LA,_xlfn.SEQUENCE(100,1,12,3))&lt;&gt;""),"")&lt;&gt;"")*1)</f>
        <v>0</v>
      </c>
      <c r="LB2" s="47" cm="1">
        <f t="array" ref="LB2">SUMPRODUCT((IFERROR(_xlfn._xlws.FILTER(INDEX(LB:LB,_xlfn.SEQUENCE(100,1,12,3)),INDEX(LB:LB,_xlfn.SEQUENCE(100,1,12,3))&lt;&gt;""),"")&lt;&gt;"")*1)</f>
        <v>0</v>
      </c>
      <c r="LC2" s="47" cm="1">
        <f t="array" ref="LC2">SUMPRODUCT((IFERROR(_xlfn._xlws.FILTER(INDEX(LC:LC,_xlfn.SEQUENCE(100,1,12,3)),INDEX(LC:LC,_xlfn.SEQUENCE(100,1,12,3))&lt;&gt;""),"")&lt;&gt;"")*1)</f>
        <v>0</v>
      </c>
      <c r="LD2" s="47" cm="1">
        <f t="array" ref="LD2">SUMPRODUCT((IFERROR(_xlfn._xlws.FILTER(INDEX(LD:LD,_xlfn.SEQUENCE(100,1,12,3)),INDEX(LD:LD,_xlfn.SEQUENCE(100,1,12,3))&lt;&gt;""),"")&lt;&gt;"")*1)</f>
        <v>0</v>
      </c>
      <c r="LE2" s="47" cm="1">
        <f t="array" ref="LE2">SUMPRODUCT((IFERROR(_xlfn._xlws.FILTER(INDEX(LE:LE,_xlfn.SEQUENCE(100,1,12,3)),INDEX(LE:LE,_xlfn.SEQUENCE(100,1,12,3))&lt;&gt;""),"")&lt;&gt;"")*1)</f>
        <v>0</v>
      </c>
      <c r="LF2" s="47" cm="1">
        <f t="array" ref="LF2">SUMPRODUCT((IFERROR(_xlfn._xlws.FILTER(INDEX(LF:LF,_xlfn.SEQUENCE(100,1,12,3)),INDEX(LF:LF,_xlfn.SEQUENCE(100,1,12,3))&lt;&gt;""),"")&lt;&gt;"")*1)</f>
        <v>0</v>
      </c>
      <c r="LG2" s="47" cm="1">
        <f t="array" ref="LG2">SUMPRODUCT((IFERROR(_xlfn._xlws.FILTER(INDEX(LG:LG,_xlfn.SEQUENCE(100,1,12,3)),INDEX(LG:LG,_xlfn.SEQUENCE(100,1,12,3))&lt;&gt;""),"")&lt;&gt;"")*1)</f>
        <v>0</v>
      </c>
      <c r="LH2" s="47" cm="1">
        <f t="array" ref="LH2">SUMPRODUCT((IFERROR(_xlfn._xlws.FILTER(INDEX(LH:LH,_xlfn.SEQUENCE(100,1,12,3)),INDEX(LH:LH,_xlfn.SEQUENCE(100,1,12,3))&lt;&gt;""),"")&lt;&gt;"")*1)</f>
        <v>0</v>
      </c>
      <c r="LI2" s="47" cm="1">
        <f t="array" ref="LI2">SUMPRODUCT((IFERROR(_xlfn._xlws.FILTER(INDEX(LI:LI,_xlfn.SEQUENCE(100,1,12,3)),INDEX(LI:LI,_xlfn.SEQUENCE(100,1,12,3))&lt;&gt;""),"")&lt;&gt;"")*1)</f>
        <v>0</v>
      </c>
      <c r="LJ2" s="47" cm="1">
        <f t="array" ref="LJ2">SUMPRODUCT((IFERROR(_xlfn._xlws.FILTER(INDEX(LJ:LJ,_xlfn.SEQUENCE(100,1,12,3)),INDEX(LJ:LJ,_xlfn.SEQUENCE(100,1,12,3))&lt;&gt;""),"")&lt;&gt;"")*1)</f>
        <v>0</v>
      </c>
      <c r="LK2" s="47" cm="1">
        <f t="array" ref="LK2">SUMPRODUCT((IFERROR(_xlfn._xlws.FILTER(INDEX(LK:LK,_xlfn.SEQUENCE(100,1,12,3)),INDEX(LK:LK,_xlfn.SEQUENCE(100,1,12,3))&lt;&gt;""),"")&lt;&gt;"")*1)</f>
        <v>0</v>
      </c>
      <c r="LL2" s="47" cm="1">
        <f t="array" ref="LL2">SUMPRODUCT((IFERROR(_xlfn._xlws.FILTER(INDEX(LL:LL,_xlfn.SEQUENCE(100,1,12,3)),INDEX(LL:LL,_xlfn.SEQUENCE(100,1,12,3))&lt;&gt;""),"")&lt;&gt;"")*1)</f>
        <v>0</v>
      </c>
      <c r="LM2" s="47" cm="1">
        <f t="array" ref="LM2">SUMPRODUCT((IFERROR(_xlfn._xlws.FILTER(INDEX(LM:LM,_xlfn.SEQUENCE(100,1,12,3)),INDEX(LM:LM,_xlfn.SEQUENCE(100,1,12,3))&lt;&gt;""),"")&lt;&gt;"")*1)</f>
        <v>0</v>
      </c>
      <c r="LN2" s="47" cm="1">
        <f t="array" ref="LN2">SUMPRODUCT((IFERROR(_xlfn._xlws.FILTER(INDEX(LN:LN,_xlfn.SEQUENCE(100,1,12,3)),INDEX(LN:LN,_xlfn.SEQUENCE(100,1,12,3))&lt;&gt;""),"")&lt;&gt;"")*1)</f>
        <v>0</v>
      </c>
      <c r="LO2" s="47" cm="1">
        <f t="array" ref="LO2">SUMPRODUCT((IFERROR(_xlfn._xlws.FILTER(INDEX(LO:LO,_xlfn.SEQUENCE(100,1,12,3)),INDEX(LO:LO,_xlfn.SEQUENCE(100,1,12,3))&lt;&gt;""),"")&lt;&gt;"")*1)</f>
        <v>0</v>
      </c>
      <c r="LP2" s="47" cm="1">
        <f t="array" ref="LP2">SUMPRODUCT((IFERROR(_xlfn._xlws.FILTER(INDEX(LP:LP,_xlfn.SEQUENCE(100,1,12,3)),INDEX(LP:LP,_xlfn.SEQUENCE(100,1,12,3))&lt;&gt;""),"")&lt;&gt;"")*1)</f>
        <v>0</v>
      </c>
      <c r="LQ2" s="47" cm="1">
        <f t="array" ref="LQ2">SUMPRODUCT((IFERROR(_xlfn._xlws.FILTER(INDEX(LQ:LQ,_xlfn.SEQUENCE(100,1,12,3)),INDEX(LQ:LQ,_xlfn.SEQUENCE(100,1,12,3))&lt;&gt;""),"")&lt;&gt;"")*1)</f>
        <v>0</v>
      </c>
      <c r="LR2" s="47" cm="1">
        <f t="array" ref="LR2">SUMPRODUCT((IFERROR(_xlfn._xlws.FILTER(INDEX(LR:LR,_xlfn.SEQUENCE(100,1,12,3)),INDEX(LR:LR,_xlfn.SEQUENCE(100,1,12,3))&lt;&gt;""),"")&lt;&gt;"")*1)</f>
        <v>0</v>
      </c>
      <c r="LS2" s="47" cm="1">
        <f t="array" ref="LS2">SUMPRODUCT((IFERROR(_xlfn._xlws.FILTER(INDEX(LS:LS,_xlfn.SEQUENCE(100,1,12,3)),INDEX(LS:LS,_xlfn.SEQUENCE(100,1,12,3))&lt;&gt;""),"")&lt;&gt;"")*1)</f>
        <v>0</v>
      </c>
      <c r="LT2" s="47" cm="1">
        <f t="array" ref="LT2">SUMPRODUCT((IFERROR(_xlfn._xlws.FILTER(INDEX(LT:LT,_xlfn.SEQUENCE(100,1,12,3)),INDEX(LT:LT,_xlfn.SEQUENCE(100,1,12,3))&lt;&gt;""),"")&lt;&gt;"")*1)</f>
        <v>0</v>
      </c>
      <c r="LU2" s="47" cm="1">
        <f t="array" ref="LU2">SUMPRODUCT((IFERROR(_xlfn._xlws.FILTER(INDEX(LU:LU,_xlfn.SEQUENCE(100,1,12,3)),INDEX(LU:LU,_xlfn.SEQUENCE(100,1,12,3))&lt;&gt;""),"")&lt;&gt;"")*1)</f>
        <v>0</v>
      </c>
      <c r="LV2" s="47" cm="1">
        <f t="array" ref="LV2">SUMPRODUCT((IFERROR(_xlfn._xlws.FILTER(INDEX(LV:LV,_xlfn.SEQUENCE(100,1,12,3)),INDEX(LV:LV,_xlfn.SEQUENCE(100,1,12,3))&lt;&gt;""),"")&lt;&gt;"")*1)</f>
        <v>0</v>
      </c>
      <c r="LW2" s="47" cm="1">
        <f t="array" ref="LW2">SUMPRODUCT((IFERROR(_xlfn._xlws.FILTER(INDEX(LW:LW,_xlfn.SEQUENCE(100,1,12,3)),INDEX(LW:LW,_xlfn.SEQUENCE(100,1,12,3))&lt;&gt;""),"")&lt;&gt;"")*1)</f>
        <v>0</v>
      </c>
      <c r="LX2" s="47" cm="1">
        <f t="array" ref="LX2">SUMPRODUCT((IFERROR(_xlfn._xlws.FILTER(INDEX(LX:LX,_xlfn.SEQUENCE(100,1,12,3)),INDEX(LX:LX,_xlfn.SEQUENCE(100,1,12,3))&lt;&gt;""),"")&lt;&gt;"")*1)</f>
        <v>0</v>
      </c>
      <c r="LY2" s="47" cm="1">
        <f t="array" ref="LY2">SUMPRODUCT((IFERROR(_xlfn._xlws.FILTER(INDEX(LY:LY,_xlfn.SEQUENCE(100,1,12,3)),INDEX(LY:LY,_xlfn.SEQUENCE(100,1,12,3))&lt;&gt;""),"")&lt;&gt;"")*1)</f>
        <v>0</v>
      </c>
      <c r="LZ2" s="47" cm="1">
        <f t="array" ref="LZ2">SUMPRODUCT((IFERROR(_xlfn._xlws.FILTER(INDEX(LZ:LZ,_xlfn.SEQUENCE(100,1,12,3)),INDEX(LZ:LZ,_xlfn.SEQUENCE(100,1,12,3))&lt;&gt;""),"")&lt;&gt;"")*1)</f>
        <v>0</v>
      </c>
      <c r="MA2" s="47" cm="1">
        <f t="array" ref="MA2">SUMPRODUCT((IFERROR(_xlfn._xlws.FILTER(INDEX(MA:MA,_xlfn.SEQUENCE(100,1,12,3)),INDEX(MA:MA,_xlfn.SEQUENCE(100,1,12,3))&lt;&gt;""),"")&lt;&gt;"")*1)</f>
        <v>0</v>
      </c>
      <c r="MB2" s="47" cm="1">
        <f t="array" ref="MB2">SUMPRODUCT((IFERROR(_xlfn._xlws.FILTER(INDEX(MB:MB,_xlfn.SEQUENCE(100,1,12,3)),INDEX(MB:MB,_xlfn.SEQUENCE(100,1,12,3))&lt;&gt;""),"")&lt;&gt;"")*1)</f>
        <v>0</v>
      </c>
      <c r="MC2" s="47" cm="1">
        <f t="array" ref="MC2">SUMPRODUCT((IFERROR(_xlfn._xlws.FILTER(INDEX(MC:MC,_xlfn.SEQUENCE(100,1,12,3)),INDEX(MC:MC,_xlfn.SEQUENCE(100,1,12,3))&lt;&gt;""),"")&lt;&gt;"")*1)</f>
        <v>0</v>
      </c>
      <c r="MD2" s="47" cm="1">
        <f t="array" ref="MD2">SUMPRODUCT((IFERROR(_xlfn._xlws.FILTER(INDEX(MD:MD,_xlfn.SEQUENCE(100,1,12,3)),INDEX(MD:MD,_xlfn.SEQUENCE(100,1,12,3))&lt;&gt;""),"")&lt;&gt;"")*1)</f>
        <v>0</v>
      </c>
      <c r="ME2" s="47" cm="1">
        <f t="array" ref="ME2">SUMPRODUCT((IFERROR(_xlfn._xlws.FILTER(INDEX(ME:ME,_xlfn.SEQUENCE(100,1,12,3)),INDEX(ME:ME,_xlfn.SEQUENCE(100,1,12,3))&lt;&gt;""),"")&lt;&gt;"")*1)</f>
        <v>0</v>
      </c>
      <c r="MF2" s="47" cm="1">
        <f t="array" ref="MF2">SUMPRODUCT((IFERROR(_xlfn._xlws.FILTER(INDEX(MF:MF,_xlfn.SEQUENCE(100,1,12,3)),INDEX(MF:MF,_xlfn.SEQUENCE(100,1,12,3))&lt;&gt;""),"")&lt;&gt;"")*1)</f>
        <v>0</v>
      </c>
      <c r="MG2" s="47" cm="1">
        <f t="array" ref="MG2">SUMPRODUCT((IFERROR(_xlfn._xlws.FILTER(INDEX(MG:MG,_xlfn.SEQUENCE(100,1,12,3)),INDEX(MG:MG,_xlfn.SEQUENCE(100,1,12,3))&lt;&gt;""),"")&lt;&gt;"")*1)</f>
        <v>0</v>
      </c>
      <c r="MH2" s="47" cm="1">
        <f t="array" ref="MH2">SUMPRODUCT((IFERROR(_xlfn._xlws.FILTER(INDEX(MH:MH,_xlfn.SEQUENCE(100,1,12,3)),INDEX(MH:MH,_xlfn.SEQUENCE(100,1,12,3))&lt;&gt;""),"")&lt;&gt;"")*1)</f>
        <v>0</v>
      </c>
      <c r="MI2" s="47" cm="1">
        <f t="array" ref="MI2">SUMPRODUCT((IFERROR(_xlfn._xlws.FILTER(INDEX(MI:MI,_xlfn.SEQUENCE(100,1,12,3)),INDEX(MI:MI,_xlfn.SEQUENCE(100,1,12,3))&lt;&gt;""),"")&lt;&gt;"")*1)</f>
        <v>0</v>
      </c>
      <c r="MJ2" s="47" cm="1">
        <f t="array" ref="MJ2">SUMPRODUCT((IFERROR(_xlfn._xlws.FILTER(INDEX(MJ:MJ,_xlfn.SEQUENCE(100,1,12,3)),INDEX(MJ:MJ,_xlfn.SEQUENCE(100,1,12,3))&lt;&gt;""),"")&lt;&gt;"")*1)</f>
        <v>0</v>
      </c>
      <c r="MK2" s="47" cm="1">
        <f t="array" ref="MK2">SUMPRODUCT((IFERROR(_xlfn._xlws.FILTER(INDEX(MK:MK,_xlfn.SEQUENCE(100,1,12,3)),INDEX(MK:MK,_xlfn.SEQUENCE(100,1,12,3))&lt;&gt;""),"")&lt;&gt;"")*1)</f>
        <v>0</v>
      </c>
      <c r="ML2" s="47" cm="1">
        <f t="array" ref="ML2">SUMPRODUCT((IFERROR(_xlfn._xlws.FILTER(INDEX(ML:ML,_xlfn.SEQUENCE(100,1,12,3)),INDEX(ML:ML,_xlfn.SEQUENCE(100,1,12,3))&lt;&gt;""),"")&lt;&gt;"")*1)</f>
        <v>0</v>
      </c>
      <c r="MM2" s="47" cm="1">
        <f t="array" ref="MM2">SUMPRODUCT((IFERROR(_xlfn._xlws.FILTER(INDEX(MM:MM,_xlfn.SEQUENCE(100,1,12,3)),INDEX(MM:MM,_xlfn.SEQUENCE(100,1,12,3))&lt;&gt;""),"")&lt;&gt;"")*1)</f>
        <v>0</v>
      </c>
      <c r="MN2" s="47" cm="1">
        <f t="array" ref="MN2">SUMPRODUCT((IFERROR(_xlfn._xlws.FILTER(INDEX(MN:MN,_xlfn.SEQUENCE(100,1,12,3)),INDEX(MN:MN,_xlfn.SEQUENCE(100,1,12,3))&lt;&gt;""),"")&lt;&gt;"")*1)</f>
        <v>0</v>
      </c>
      <c r="MO2" s="47" cm="1">
        <f t="array" ref="MO2">SUMPRODUCT((IFERROR(_xlfn._xlws.FILTER(INDEX(MO:MO,_xlfn.SEQUENCE(100,1,12,3)),INDEX(MO:MO,_xlfn.SEQUENCE(100,1,12,3))&lt;&gt;""),"")&lt;&gt;"")*1)</f>
        <v>0</v>
      </c>
      <c r="MP2" s="47" cm="1">
        <f t="array" ref="MP2">SUMPRODUCT((IFERROR(_xlfn._xlws.FILTER(INDEX(MP:MP,_xlfn.SEQUENCE(100,1,12,3)),INDEX(MP:MP,_xlfn.SEQUENCE(100,1,12,3))&lt;&gt;""),"")&lt;&gt;"")*1)</f>
        <v>0</v>
      </c>
      <c r="MQ2" s="47" cm="1">
        <f t="array" ref="MQ2">SUMPRODUCT((IFERROR(_xlfn._xlws.FILTER(INDEX(MQ:MQ,_xlfn.SEQUENCE(100,1,12,3)),INDEX(MQ:MQ,_xlfn.SEQUENCE(100,1,12,3))&lt;&gt;""),"")&lt;&gt;"")*1)</f>
        <v>0</v>
      </c>
      <c r="MR2" s="47" cm="1">
        <f t="array" ref="MR2">SUMPRODUCT((IFERROR(_xlfn._xlws.FILTER(INDEX(MR:MR,_xlfn.SEQUENCE(100,1,12,3)),INDEX(MR:MR,_xlfn.SEQUENCE(100,1,12,3))&lt;&gt;""),"")&lt;&gt;"")*1)</f>
        <v>0</v>
      </c>
      <c r="MS2" s="47" cm="1">
        <f t="array" ref="MS2">SUMPRODUCT((IFERROR(_xlfn._xlws.FILTER(INDEX(MS:MS,_xlfn.SEQUENCE(100,1,12,3)),INDEX(MS:MS,_xlfn.SEQUENCE(100,1,12,3))&lt;&gt;""),"")&lt;&gt;"")*1)</f>
        <v>0</v>
      </c>
      <c r="MT2" s="47" cm="1">
        <f t="array" ref="MT2">SUMPRODUCT((IFERROR(_xlfn._xlws.FILTER(INDEX(MT:MT,_xlfn.SEQUENCE(100,1,12,3)),INDEX(MT:MT,_xlfn.SEQUENCE(100,1,12,3))&lt;&gt;""),"")&lt;&gt;"")*1)</f>
        <v>0</v>
      </c>
      <c r="MU2" s="47" cm="1">
        <f t="array" ref="MU2">SUMPRODUCT((IFERROR(_xlfn._xlws.FILTER(INDEX(MU:MU,_xlfn.SEQUENCE(100,1,12,3)),INDEX(MU:MU,_xlfn.SEQUENCE(100,1,12,3))&lt;&gt;""),"")&lt;&gt;"")*1)</f>
        <v>0</v>
      </c>
      <c r="MV2" s="47" cm="1">
        <f t="array" ref="MV2">SUMPRODUCT((IFERROR(_xlfn._xlws.FILTER(INDEX(MV:MV,_xlfn.SEQUENCE(100,1,12,3)),INDEX(MV:MV,_xlfn.SEQUENCE(100,1,12,3))&lt;&gt;""),"")&lt;&gt;"")*1)</f>
        <v>0</v>
      </c>
      <c r="MW2" s="47" cm="1">
        <f t="array" ref="MW2">SUMPRODUCT((IFERROR(_xlfn._xlws.FILTER(INDEX(MW:MW,_xlfn.SEQUENCE(100,1,12,3)),INDEX(MW:MW,_xlfn.SEQUENCE(100,1,12,3))&lt;&gt;""),"")&lt;&gt;"")*1)</f>
        <v>0</v>
      </c>
      <c r="MX2" s="47" cm="1">
        <f t="array" ref="MX2">SUMPRODUCT((IFERROR(_xlfn._xlws.FILTER(INDEX(MX:MX,_xlfn.SEQUENCE(100,1,12,3)),INDEX(MX:MX,_xlfn.SEQUENCE(100,1,12,3))&lt;&gt;""),"")&lt;&gt;"")*1)</f>
        <v>0</v>
      </c>
      <c r="MY2" s="47" cm="1">
        <f t="array" ref="MY2">SUMPRODUCT((IFERROR(_xlfn._xlws.FILTER(INDEX(MY:MY,_xlfn.SEQUENCE(100,1,12,3)),INDEX(MY:MY,_xlfn.SEQUENCE(100,1,12,3))&lt;&gt;""),"")&lt;&gt;"")*1)</f>
        <v>0</v>
      </c>
      <c r="MZ2" s="47" cm="1">
        <f t="array" ref="MZ2">SUMPRODUCT((IFERROR(_xlfn._xlws.FILTER(INDEX(MZ:MZ,_xlfn.SEQUENCE(100,1,12,3)),INDEX(MZ:MZ,_xlfn.SEQUENCE(100,1,12,3))&lt;&gt;""),"")&lt;&gt;"")*1)</f>
        <v>0</v>
      </c>
      <c r="NA2" s="47" cm="1">
        <f t="array" ref="NA2">SUMPRODUCT((IFERROR(_xlfn._xlws.FILTER(INDEX(NA:NA,_xlfn.SEQUENCE(100,1,12,3)),INDEX(NA:NA,_xlfn.SEQUENCE(100,1,12,3))&lt;&gt;""),"")&lt;&gt;"")*1)</f>
        <v>0</v>
      </c>
      <c r="NB2" s="47" cm="1">
        <f t="array" ref="NB2">SUMPRODUCT((IFERROR(_xlfn._xlws.FILTER(INDEX(NB:NB,_xlfn.SEQUENCE(100,1,12,3)),INDEX(NB:NB,_xlfn.SEQUENCE(100,1,12,3))&lt;&gt;""),"")&lt;&gt;"")*1)</f>
        <v>0</v>
      </c>
      <c r="NC2" s="47" cm="1">
        <f t="array" ref="NC2">SUMPRODUCT((IFERROR(_xlfn._xlws.FILTER(INDEX(NC:NC,_xlfn.SEQUENCE(100,1,12,3)),INDEX(NC:NC,_xlfn.SEQUENCE(100,1,12,3))&lt;&gt;""),"")&lt;&gt;"")*1)</f>
        <v>0</v>
      </c>
      <c r="ND2" s="47" cm="1">
        <f t="array" ref="ND2">SUMPRODUCT((IFERROR(_xlfn._xlws.FILTER(INDEX(ND:ND,_xlfn.SEQUENCE(100,1,12,3)),INDEX(ND:ND,_xlfn.SEQUENCE(100,1,12,3))&lt;&gt;""),"")&lt;&gt;"")*1)</f>
        <v>0</v>
      </c>
      <c r="NE2" s="47" cm="1">
        <f t="array" ref="NE2">SUMPRODUCT((IFERROR(_xlfn._xlws.FILTER(INDEX(NE:NE,_xlfn.SEQUENCE(100,1,12,3)),INDEX(NE:NE,_xlfn.SEQUENCE(100,1,12,3))&lt;&gt;""),"")&lt;&gt;"")*1)</f>
        <v>0</v>
      </c>
      <c r="NF2" s="47" cm="1">
        <f t="array" ref="NF2">SUMPRODUCT((IFERROR(_xlfn._xlws.FILTER(INDEX(NF:NF,_xlfn.SEQUENCE(100,1,12,3)),INDEX(NF:NF,_xlfn.SEQUENCE(100,1,12,3))&lt;&gt;""),"")&lt;&gt;"")*1)</f>
        <v>0</v>
      </c>
      <c r="NG2" s="47" cm="1">
        <f t="array" ref="NG2">SUMPRODUCT((IFERROR(_xlfn._xlws.FILTER(INDEX(NG:NG,_xlfn.SEQUENCE(100,1,12,3)),INDEX(NG:NG,_xlfn.SEQUENCE(100,1,12,3))&lt;&gt;""),"")&lt;&gt;"")*1)</f>
        <v>0</v>
      </c>
      <c r="NH2" s="47" cm="1">
        <f t="array" ref="NH2">SUMPRODUCT((IFERROR(_xlfn._xlws.FILTER(INDEX(NH:NH,_xlfn.SEQUENCE(100,1,12,3)),INDEX(NH:NH,_xlfn.SEQUENCE(100,1,12,3))&lt;&gt;""),"")&lt;&gt;"")*1)</f>
        <v>0</v>
      </c>
      <c r="NI2" s="47" cm="1">
        <f t="array" ref="NI2">SUMPRODUCT((IFERROR(_xlfn._xlws.FILTER(INDEX(NI:NI,_xlfn.SEQUENCE(100,1,12,3)),INDEX(NI:NI,_xlfn.SEQUENCE(100,1,12,3))&lt;&gt;""),"")&lt;&gt;"")*1)</f>
        <v>0</v>
      </c>
      <c r="NJ2" s="47" cm="1">
        <f t="array" ref="NJ2">SUMPRODUCT((IFERROR(_xlfn._xlws.FILTER(INDEX(NJ:NJ,_xlfn.SEQUENCE(100,1,12,3)),INDEX(NJ:NJ,_xlfn.SEQUENCE(100,1,12,3))&lt;&gt;""),"")&lt;&gt;"")*1)</f>
        <v>0</v>
      </c>
      <c r="NK2" s="47" cm="1">
        <f t="array" ref="NK2">SUMPRODUCT((IFERROR(_xlfn._xlws.FILTER(INDEX(NK:NK,_xlfn.SEQUENCE(100,1,12,3)),INDEX(NK:NK,_xlfn.SEQUENCE(100,1,12,3))&lt;&gt;""),"")&lt;&gt;"")*1)</f>
        <v>0</v>
      </c>
      <c r="NL2" s="47" cm="1">
        <f t="array" ref="NL2">SUMPRODUCT((IFERROR(_xlfn._xlws.FILTER(INDEX(NL:NL,_xlfn.SEQUENCE(100,1,12,3)),INDEX(NL:NL,_xlfn.SEQUENCE(100,1,12,3))&lt;&gt;""),"")&lt;&gt;"")*1)</f>
        <v>0</v>
      </c>
      <c r="NM2" s="47" cm="1">
        <f t="array" ref="NM2">SUMPRODUCT((IFERROR(_xlfn._xlws.FILTER(INDEX(NM:NM,_xlfn.SEQUENCE(100,1,12,3)),INDEX(NM:NM,_xlfn.SEQUENCE(100,1,12,3))&lt;&gt;""),"")&lt;&gt;"")*1)</f>
        <v>0</v>
      </c>
      <c r="NN2" s="47" cm="1">
        <f t="array" ref="NN2">SUMPRODUCT((IFERROR(_xlfn._xlws.FILTER(INDEX(NN:NN,_xlfn.SEQUENCE(100,1,12,3)),INDEX(NN:NN,_xlfn.SEQUENCE(100,1,12,3))&lt;&gt;""),"")&lt;&gt;"")*1)</f>
        <v>0</v>
      </c>
      <c r="NO2" s="47" cm="1">
        <f t="array" ref="NO2">SUMPRODUCT((IFERROR(_xlfn._xlws.FILTER(INDEX(NO:NO,_xlfn.SEQUENCE(100,1,12,3)),INDEX(NO:NO,_xlfn.SEQUENCE(100,1,12,3))&lt;&gt;""),"")&lt;&gt;"")*1)</f>
        <v>0</v>
      </c>
      <c r="NP2" s="47" cm="1">
        <f t="array" ref="NP2">SUMPRODUCT((IFERROR(_xlfn._xlws.FILTER(INDEX(NP:NP,_xlfn.SEQUENCE(100,1,12,3)),INDEX(NP:NP,_xlfn.SEQUENCE(100,1,12,3))&lt;&gt;""),"")&lt;&gt;"")*1)</f>
        <v>0</v>
      </c>
      <c r="NQ2" s="47" cm="1">
        <f t="array" ref="NQ2">SUMPRODUCT((IFERROR(_xlfn._xlws.FILTER(INDEX(NQ:NQ,_xlfn.SEQUENCE(100,1,12,3)),INDEX(NQ:NQ,_xlfn.SEQUENCE(100,1,12,3))&lt;&gt;""),"")&lt;&gt;"")*1)</f>
        <v>0</v>
      </c>
      <c r="NR2" s="47" cm="1">
        <f t="array" ref="NR2">SUMPRODUCT((IFERROR(_xlfn._xlws.FILTER(INDEX(NR:NR,_xlfn.SEQUENCE(100,1,12,3)),INDEX(NR:NR,_xlfn.SEQUENCE(100,1,12,3))&lt;&gt;""),"")&lt;&gt;"")*1)</f>
        <v>0</v>
      </c>
      <c r="NS2" s="47" cm="1">
        <f t="array" ref="NS2">SUMPRODUCT((IFERROR(_xlfn._xlws.FILTER(INDEX(NS:NS,_xlfn.SEQUENCE(100,1,12,3)),INDEX(NS:NS,_xlfn.SEQUENCE(100,1,12,3))&lt;&gt;""),"")&lt;&gt;"")*1)</f>
        <v>0</v>
      </c>
      <c r="NT2" s="47" cm="1">
        <f t="array" ref="NT2">SUMPRODUCT((IFERROR(_xlfn._xlws.FILTER(INDEX(NT:NT,_xlfn.SEQUENCE(100,1,12,3)),INDEX(NT:NT,_xlfn.SEQUENCE(100,1,12,3))&lt;&gt;""),"")&lt;&gt;"")*1)</f>
        <v>0</v>
      </c>
      <c r="NU2" s="47" cm="1">
        <f t="array" ref="NU2">SUMPRODUCT((IFERROR(_xlfn._xlws.FILTER(INDEX(NU:NU,_xlfn.SEQUENCE(100,1,12,3)),INDEX(NU:NU,_xlfn.SEQUENCE(100,1,12,3))&lt;&gt;""),"")&lt;&gt;"")*1)</f>
        <v>0</v>
      </c>
      <c r="NV2" s="47" cm="1">
        <f t="array" ref="NV2">SUMPRODUCT((IFERROR(_xlfn._xlws.FILTER(INDEX(NV:NV,_xlfn.SEQUENCE(100,1,12,3)),INDEX(NV:NV,_xlfn.SEQUENCE(100,1,12,3))&lt;&gt;""),"")&lt;&gt;"")*1)</f>
        <v>0</v>
      </c>
      <c r="NW2" s="47" cm="1">
        <f t="array" ref="NW2">SUMPRODUCT((IFERROR(_xlfn._xlws.FILTER(INDEX(NW:NW,_xlfn.SEQUENCE(100,1,12,3)),INDEX(NW:NW,_xlfn.SEQUENCE(100,1,12,3))&lt;&gt;""),"")&lt;&gt;"")*1)</f>
        <v>0</v>
      </c>
      <c r="NX2" s="47" cm="1">
        <f t="array" ref="NX2">SUMPRODUCT((IFERROR(_xlfn._xlws.FILTER(INDEX(NX:NX,_xlfn.SEQUENCE(100,1,12,3)),INDEX(NX:NX,_xlfn.SEQUENCE(100,1,12,3))&lt;&gt;""),"")&lt;&gt;"")*1)</f>
        <v>0</v>
      </c>
      <c r="NY2" s="47" cm="1">
        <f t="array" ref="NY2">SUMPRODUCT((IFERROR(_xlfn._xlws.FILTER(INDEX(NY:NY,_xlfn.SEQUENCE(100,1,12,3)),INDEX(NY:NY,_xlfn.SEQUENCE(100,1,12,3))&lt;&gt;""),"")&lt;&gt;"")*1)</f>
        <v>0</v>
      </c>
      <c r="NZ2" s="47" cm="1">
        <f t="array" ref="NZ2">SUMPRODUCT((IFERROR(_xlfn._xlws.FILTER(INDEX(NZ:NZ,_xlfn.SEQUENCE(100,1,12,3)),INDEX(NZ:NZ,_xlfn.SEQUENCE(100,1,12,3))&lt;&gt;""),"")&lt;&gt;"")*1)</f>
        <v>0</v>
      </c>
      <c r="OA2" s="47" cm="1">
        <f t="array" ref="OA2">SUMPRODUCT((IFERROR(_xlfn._xlws.FILTER(INDEX(OA:OA,_xlfn.SEQUENCE(100,1,12,3)),INDEX(OA:OA,_xlfn.SEQUENCE(100,1,12,3))&lt;&gt;""),"")&lt;&gt;"")*1)</f>
        <v>0</v>
      </c>
      <c r="OB2" s="47" cm="1">
        <f t="array" ref="OB2">SUMPRODUCT((IFERROR(_xlfn._xlws.FILTER(INDEX(OB:OB,_xlfn.SEQUENCE(100,1,12,3)),INDEX(OB:OB,_xlfn.SEQUENCE(100,1,12,3))&lt;&gt;""),"")&lt;&gt;"")*1)</f>
        <v>0</v>
      </c>
      <c r="OC2" s="47" cm="1">
        <f t="array" ref="OC2">SUMPRODUCT((IFERROR(_xlfn._xlws.FILTER(INDEX(OC:OC,_xlfn.SEQUENCE(100,1,12,3)),INDEX(OC:OC,_xlfn.SEQUENCE(100,1,12,3))&lt;&gt;""),"")&lt;&gt;"")*1)</f>
        <v>0</v>
      </c>
      <c r="OD2" s="47" cm="1">
        <f t="array" ref="OD2">SUMPRODUCT((IFERROR(_xlfn._xlws.FILTER(INDEX(OD:OD,_xlfn.SEQUENCE(100,1,12,3)),INDEX(OD:OD,_xlfn.SEQUENCE(100,1,12,3))&lt;&gt;""),"")&lt;&gt;"")*1)</f>
        <v>0</v>
      </c>
      <c r="OE2" s="47" cm="1">
        <f t="array" ref="OE2">SUMPRODUCT((IFERROR(_xlfn._xlws.FILTER(INDEX(OE:OE,_xlfn.SEQUENCE(100,1,12,3)),INDEX(OE:OE,_xlfn.SEQUENCE(100,1,12,3))&lt;&gt;""),"")&lt;&gt;"")*1)</f>
        <v>0</v>
      </c>
      <c r="OF2" s="47" cm="1">
        <f t="array" ref="OF2">SUMPRODUCT((IFERROR(_xlfn._xlws.FILTER(INDEX(OF:OF,_xlfn.SEQUENCE(100,1,12,3)),INDEX(OF:OF,_xlfn.SEQUENCE(100,1,12,3))&lt;&gt;""),"")&lt;&gt;"")*1)</f>
        <v>0</v>
      </c>
      <c r="OG2" s="47" cm="1">
        <f t="array" ref="OG2">SUMPRODUCT((IFERROR(_xlfn._xlws.FILTER(INDEX(OG:OG,_xlfn.SEQUENCE(100,1,12,3)),INDEX(OG:OG,_xlfn.SEQUENCE(100,1,12,3))&lt;&gt;""),"")&lt;&gt;"")*1)</f>
        <v>0</v>
      </c>
      <c r="OH2" s="47" cm="1">
        <f t="array" ref="OH2">SUMPRODUCT((IFERROR(_xlfn._xlws.FILTER(INDEX(OH:OH,_xlfn.SEQUENCE(100,1,12,3)),INDEX(OH:OH,_xlfn.SEQUENCE(100,1,12,3))&lt;&gt;""),"")&lt;&gt;"")*1)</f>
        <v>0</v>
      </c>
      <c r="OI2" s="47" cm="1">
        <f t="array" ref="OI2">SUMPRODUCT((IFERROR(_xlfn._xlws.FILTER(INDEX(OI:OI,_xlfn.SEQUENCE(100,1,12,3)),INDEX(OI:OI,_xlfn.SEQUENCE(100,1,12,3))&lt;&gt;""),"")&lt;&gt;"")*1)</f>
        <v>0</v>
      </c>
      <c r="OJ2" s="47" cm="1">
        <f t="array" ref="OJ2">SUMPRODUCT((IFERROR(_xlfn._xlws.FILTER(INDEX(OJ:OJ,_xlfn.SEQUENCE(100,1,12,3)),INDEX(OJ:OJ,_xlfn.SEQUENCE(100,1,12,3))&lt;&gt;""),"")&lt;&gt;"")*1)</f>
        <v>0</v>
      </c>
      <c r="OK2" s="47" cm="1">
        <f t="array" ref="OK2">SUMPRODUCT((IFERROR(_xlfn._xlws.FILTER(INDEX(OK:OK,_xlfn.SEQUENCE(100,1,12,3)),INDEX(OK:OK,_xlfn.SEQUENCE(100,1,12,3))&lt;&gt;""),"")&lt;&gt;"")*1)</f>
        <v>0</v>
      </c>
      <c r="OL2" s="47" cm="1">
        <f t="array" ref="OL2">SUMPRODUCT((IFERROR(_xlfn._xlws.FILTER(INDEX(OL:OL,_xlfn.SEQUENCE(100,1,12,3)),INDEX(OL:OL,_xlfn.SEQUENCE(100,1,12,3))&lt;&gt;""),"")&lt;&gt;"")*1)</f>
        <v>0</v>
      </c>
      <c r="OM2" s="47" cm="1">
        <f t="array" ref="OM2">SUMPRODUCT((IFERROR(_xlfn._xlws.FILTER(INDEX(OM:OM,_xlfn.SEQUENCE(100,1,12,3)),INDEX(OM:OM,_xlfn.SEQUENCE(100,1,12,3))&lt;&gt;""),"")&lt;&gt;"")*1)</f>
        <v>0</v>
      </c>
      <c r="ON2" s="47" cm="1">
        <f t="array" ref="ON2">SUMPRODUCT((IFERROR(_xlfn._xlws.FILTER(INDEX(ON:ON,_xlfn.SEQUENCE(100,1,12,3)),INDEX(ON:ON,_xlfn.SEQUENCE(100,1,12,3))&lt;&gt;""),"")&lt;&gt;"")*1)</f>
        <v>0</v>
      </c>
      <c r="OO2" s="47" cm="1">
        <f t="array" ref="OO2">SUMPRODUCT((IFERROR(_xlfn._xlws.FILTER(INDEX(OO:OO,_xlfn.SEQUENCE(100,1,12,3)),INDEX(OO:OO,_xlfn.SEQUENCE(100,1,12,3))&lt;&gt;""),"")&lt;&gt;"")*1)</f>
        <v>0</v>
      </c>
      <c r="OP2" s="47" cm="1">
        <f t="array" ref="OP2">SUMPRODUCT((IFERROR(_xlfn._xlws.FILTER(INDEX(OP:OP,_xlfn.SEQUENCE(100,1,12,3)),INDEX(OP:OP,_xlfn.SEQUENCE(100,1,12,3))&lt;&gt;""),"")&lt;&gt;"")*1)</f>
        <v>0</v>
      </c>
      <c r="OQ2" s="47" cm="1">
        <f t="array" ref="OQ2">SUMPRODUCT((IFERROR(_xlfn._xlws.FILTER(INDEX(OQ:OQ,_xlfn.SEQUENCE(100,1,12,3)),INDEX(OQ:OQ,_xlfn.SEQUENCE(100,1,12,3))&lt;&gt;""),"")&lt;&gt;"")*1)</f>
        <v>0</v>
      </c>
      <c r="OR2" s="47" cm="1">
        <f t="array" ref="OR2">SUMPRODUCT((IFERROR(_xlfn._xlws.FILTER(INDEX(OR:OR,_xlfn.SEQUENCE(100,1,12,3)),INDEX(OR:OR,_xlfn.SEQUENCE(100,1,12,3))&lt;&gt;""),"")&lt;&gt;"")*1)</f>
        <v>0</v>
      </c>
      <c r="OS2" s="47" cm="1">
        <f t="array" ref="OS2">SUMPRODUCT((IFERROR(_xlfn._xlws.FILTER(INDEX(OS:OS,_xlfn.SEQUENCE(100,1,12,3)),INDEX(OS:OS,_xlfn.SEQUENCE(100,1,12,3))&lt;&gt;""),"")&lt;&gt;"")*1)</f>
        <v>0</v>
      </c>
      <c r="OT2" s="47" cm="1">
        <f t="array" ref="OT2">SUMPRODUCT((IFERROR(_xlfn._xlws.FILTER(INDEX(OT:OT,_xlfn.SEQUENCE(100,1,12,3)),INDEX(OT:OT,_xlfn.SEQUENCE(100,1,12,3))&lt;&gt;""),"")&lt;&gt;"")*1)</f>
        <v>0</v>
      </c>
      <c r="OU2" s="47" cm="1">
        <f t="array" ref="OU2">SUMPRODUCT((IFERROR(_xlfn._xlws.FILTER(INDEX(OU:OU,_xlfn.SEQUENCE(100,1,12,3)),INDEX(OU:OU,_xlfn.SEQUENCE(100,1,12,3))&lt;&gt;""),"")&lt;&gt;"")*1)</f>
        <v>0</v>
      </c>
      <c r="OV2" s="47" cm="1">
        <f t="array" ref="OV2">SUMPRODUCT((IFERROR(_xlfn._xlws.FILTER(INDEX(OV:OV,_xlfn.SEQUENCE(100,1,12,3)),INDEX(OV:OV,_xlfn.SEQUENCE(100,1,12,3))&lt;&gt;""),"")&lt;&gt;"")*1)</f>
        <v>0</v>
      </c>
      <c r="OW2" s="47" cm="1">
        <f t="array" ref="OW2">SUMPRODUCT((IFERROR(_xlfn._xlws.FILTER(INDEX(OW:OW,_xlfn.SEQUENCE(100,1,12,3)),INDEX(OW:OW,_xlfn.SEQUENCE(100,1,12,3))&lt;&gt;""),"")&lt;&gt;"")*1)</f>
        <v>0</v>
      </c>
      <c r="OX2" s="47" cm="1">
        <f t="array" ref="OX2">SUMPRODUCT((IFERROR(_xlfn._xlws.FILTER(INDEX(OX:OX,_xlfn.SEQUENCE(100,1,12,3)),INDEX(OX:OX,_xlfn.SEQUENCE(100,1,12,3))&lt;&gt;""),"")&lt;&gt;"")*1)</f>
        <v>0</v>
      </c>
      <c r="OY2" s="47" cm="1">
        <f t="array" ref="OY2">SUMPRODUCT((IFERROR(_xlfn._xlws.FILTER(INDEX(OY:OY,_xlfn.SEQUENCE(100,1,12,3)),INDEX(OY:OY,_xlfn.SEQUENCE(100,1,12,3))&lt;&gt;""),"")&lt;&gt;"")*1)</f>
        <v>0</v>
      </c>
      <c r="OZ2" s="47" cm="1">
        <f t="array" ref="OZ2">SUMPRODUCT((IFERROR(_xlfn._xlws.FILTER(INDEX(OZ:OZ,_xlfn.SEQUENCE(100,1,12,3)),INDEX(OZ:OZ,_xlfn.SEQUENCE(100,1,12,3))&lt;&gt;""),"")&lt;&gt;"")*1)</f>
        <v>0</v>
      </c>
      <c r="PA2" s="47" cm="1">
        <f t="array" ref="PA2">SUMPRODUCT((IFERROR(_xlfn._xlws.FILTER(INDEX(PA:PA,_xlfn.SEQUENCE(100,1,12,3)),INDEX(PA:PA,_xlfn.SEQUENCE(100,1,12,3))&lt;&gt;""),"")&lt;&gt;"")*1)</f>
        <v>0</v>
      </c>
      <c r="PB2" s="47" cm="1">
        <f t="array" ref="PB2">SUMPRODUCT((IFERROR(_xlfn._xlws.FILTER(INDEX(PB:PB,_xlfn.SEQUENCE(100,1,12,3)),INDEX(PB:PB,_xlfn.SEQUENCE(100,1,12,3))&lt;&gt;""),"")&lt;&gt;"")*1)</f>
        <v>0</v>
      </c>
      <c r="PC2" s="47" cm="1">
        <f t="array" ref="PC2">SUMPRODUCT((IFERROR(_xlfn._xlws.FILTER(INDEX(PC:PC,_xlfn.SEQUENCE(100,1,12,3)),INDEX(PC:PC,_xlfn.SEQUENCE(100,1,12,3))&lt;&gt;""),"")&lt;&gt;"")*1)</f>
        <v>0</v>
      </c>
      <c r="PD2" s="47" cm="1">
        <f t="array" ref="PD2">SUMPRODUCT((IFERROR(_xlfn._xlws.FILTER(INDEX(PD:PD,_xlfn.SEQUENCE(100,1,12,3)),INDEX(PD:PD,_xlfn.SEQUENCE(100,1,12,3))&lt;&gt;""),"")&lt;&gt;"")*1)</f>
        <v>0</v>
      </c>
      <c r="PE2" s="47" cm="1">
        <f t="array" ref="PE2">SUMPRODUCT((IFERROR(_xlfn._xlws.FILTER(INDEX(PE:PE,_xlfn.SEQUENCE(100,1,12,3)),INDEX(PE:PE,_xlfn.SEQUENCE(100,1,12,3))&lt;&gt;""),"")&lt;&gt;"")*1)</f>
        <v>0</v>
      </c>
      <c r="PF2" s="47" cm="1">
        <f t="array" ref="PF2">SUMPRODUCT((IFERROR(_xlfn._xlws.FILTER(INDEX(PF:PF,_xlfn.SEQUENCE(100,1,12,3)),INDEX(PF:PF,_xlfn.SEQUENCE(100,1,12,3))&lt;&gt;""),"")&lt;&gt;"")*1)</f>
        <v>0</v>
      </c>
      <c r="PG2" s="47" cm="1">
        <f t="array" ref="PG2">SUMPRODUCT((IFERROR(_xlfn._xlws.FILTER(INDEX(PG:PG,_xlfn.SEQUENCE(100,1,12,3)),INDEX(PG:PG,_xlfn.SEQUENCE(100,1,12,3))&lt;&gt;""),"")&lt;&gt;"")*1)</f>
        <v>0</v>
      </c>
      <c r="PH2" s="47" cm="1">
        <f t="array" ref="PH2">SUMPRODUCT((IFERROR(_xlfn._xlws.FILTER(INDEX(PH:PH,_xlfn.SEQUENCE(100,1,12,3)),INDEX(PH:PH,_xlfn.SEQUENCE(100,1,12,3))&lt;&gt;""),"")&lt;&gt;"")*1)</f>
        <v>0</v>
      </c>
      <c r="PI2" s="47" cm="1">
        <f t="array" ref="PI2">SUMPRODUCT((IFERROR(_xlfn._xlws.FILTER(INDEX(PI:PI,_xlfn.SEQUENCE(100,1,12,3)),INDEX(PI:PI,_xlfn.SEQUENCE(100,1,12,3))&lt;&gt;""),"")&lt;&gt;"")*1)</f>
        <v>0</v>
      </c>
      <c r="PJ2" s="47" cm="1">
        <f t="array" ref="PJ2">SUMPRODUCT((IFERROR(_xlfn._xlws.FILTER(INDEX(PJ:PJ,_xlfn.SEQUENCE(100,1,12,3)),INDEX(PJ:PJ,_xlfn.SEQUENCE(100,1,12,3))&lt;&gt;""),"")&lt;&gt;"")*1)</f>
        <v>0</v>
      </c>
      <c r="PK2" s="47" cm="1">
        <f t="array" ref="PK2">SUMPRODUCT((IFERROR(_xlfn._xlws.FILTER(INDEX(PK:PK,_xlfn.SEQUENCE(100,1,12,3)),INDEX(PK:PK,_xlfn.SEQUENCE(100,1,12,3))&lt;&gt;""),"")&lt;&gt;"")*1)</f>
        <v>0</v>
      </c>
      <c r="PL2" s="47" cm="1">
        <f t="array" ref="PL2">SUMPRODUCT((IFERROR(_xlfn._xlws.FILTER(INDEX(PL:PL,_xlfn.SEQUENCE(100,1,12,3)),INDEX(PL:PL,_xlfn.SEQUENCE(100,1,12,3))&lt;&gt;""),"")&lt;&gt;"")*1)</f>
        <v>0</v>
      </c>
      <c r="PM2" s="47" cm="1">
        <f t="array" ref="PM2">SUMPRODUCT((IFERROR(_xlfn._xlws.FILTER(INDEX(PM:PM,_xlfn.SEQUENCE(100,1,12,3)),INDEX(PM:PM,_xlfn.SEQUENCE(100,1,12,3))&lt;&gt;""),"")&lt;&gt;"")*1)</f>
        <v>0</v>
      </c>
      <c r="PN2" s="47" cm="1">
        <f t="array" ref="PN2">SUMPRODUCT((IFERROR(_xlfn._xlws.FILTER(INDEX(PN:PN,_xlfn.SEQUENCE(100,1,12,3)),INDEX(PN:PN,_xlfn.SEQUENCE(100,1,12,3))&lt;&gt;""),"")&lt;&gt;"")*1)</f>
        <v>0</v>
      </c>
      <c r="PO2" s="47" cm="1">
        <f t="array" ref="PO2">SUMPRODUCT((IFERROR(_xlfn._xlws.FILTER(INDEX(PO:PO,_xlfn.SEQUENCE(100,1,12,3)),INDEX(PO:PO,_xlfn.SEQUENCE(100,1,12,3))&lt;&gt;""),"")&lt;&gt;"")*1)</f>
        <v>0</v>
      </c>
      <c r="PP2" s="47" cm="1">
        <f t="array" ref="PP2">SUMPRODUCT((IFERROR(_xlfn._xlws.FILTER(INDEX(PP:PP,_xlfn.SEQUENCE(100,1,12,3)),INDEX(PP:PP,_xlfn.SEQUENCE(100,1,12,3))&lt;&gt;""),"")&lt;&gt;"")*1)</f>
        <v>0</v>
      </c>
      <c r="PQ2" s="47" cm="1">
        <f t="array" ref="PQ2">SUMPRODUCT((IFERROR(_xlfn._xlws.FILTER(INDEX(PQ:PQ,_xlfn.SEQUENCE(100,1,12,3)),INDEX(PQ:PQ,_xlfn.SEQUENCE(100,1,12,3))&lt;&gt;""),"")&lt;&gt;"")*1)</f>
        <v>0</v>
      </c>
      <c r="PR2" s="47" cm="1">
        <f t="array" ref="PR2">SUMPRODUCT((IFERROR(_xlfn._xlws.FILTER(INDEX(PR:PR,_xlfn.SEQUENCE(100,1,12,3)),INDEX(PR:PR,_xlfn.SEQUENCE(100,1,12,3))&lt;&gt;""),"")&lt;&gt;"")*1)</f>
        <v>0</v>
      </c>
      <c r="PS2" s="47" cm="1">
        <f t="array" ref="PS2">SUMPRODUCT((IFERROR(_xlfn._xlws.FILTER(INDEX(PS:PS,_xlfn.SEQUENCE(100,1,12,3)),INDEX(PS:PS,_xlfn.SEQUENCE(100,1,12,3))&lt;&gt;""),"")&lt;&gt;"")*1)</f>
        <v>0</v>
      </c>
      <c r="PT2" s="47" cm="1">
        <f t="array" ref="PT2">SUMPRODUCT((IFERROR(_xlfn._xlws.FILTER(INDEX(PT:PT,_xlfn.SEQUENCE(100,1,12,3)),INDEX(PT:PT,_xlfn.SEQUENCE(100,1,12,3))&lt;&gt;""),"")&lt;&gt;"")*1)</f>
        <v>0</v>
      </c>
      <c r="PU2" s="47" cm="1">
        <f t="array" ref="PU2">SUMPRODUCT((IFERROR(_xlfn._xlws.FILTER(INDEX(PU:PU,_xlfn.SEQUENCE(100,1,12,3)),INDEX(PU:PU,_xlfn.SEQUENCE(100,1,12,3))&lt;&gt;""),"")&lt;&gt;"")*1)</f>
        <v>0</v>
      </c>
      <c r="PV2" s="47" cm="1">
        <f t="array" ref="PV2">SUMPRODUCT((IFERROR(_xlfn._xlws.FILTER(INDEX(PV:PV,_xlfn.SEQUENCE(100,1,12,3)),INDEX(PV:PV,_xlfn.SEQUENCE(100,1,12,3))&lt;&gt;""),"")&lt;&gt;"")*1)</f>
        <v>0</v>
      </c>
      <c r="PW2" s="47" cm="1">
        <f t="array" ref="PW2">SUMPRODUCT((IFERROR(_xlfn._xlws.FILTER(INDEX(PW:PW,_xlfn.SEQUENCE(100,1,12,3)),INDEX(PW:PW,_xlfn.SEQUENCE(100,1,12,3))&lt;&gt;""),"")&lt;&gt;"")*1)</f>
        <v>0</v>
      </c>
      <c r="PX2" s="47" cm="1">
        <f t="array" ref="PX2">SUMPRODUCT((IFERROR(_xlfn._xlws.FILTER(INDEX(PX:PX,_xlfn.SEQUENCE(100,1,12,3)),INDEX(PX:PX,_xlfn.SEQUENCE(100,1,12,3))&lt;&gt;""),"")&lt;&gt;"")*1)</f>
        <v>0</v>
      </c>
      <c r="PY2" s="47" cm="1">
        <f t="array" ref="PY2">SUMPRODUCT((IFERROR(_xlfn._xlws.FILTER(INDEX(PY:PY,_xlfn.SEQUENCE(100,1,12,3)),INDEX(PY:PY,_xlfn.SEQUENCE(100,1,12,3))&lt;&gt;""),"")&lt;&gt;"")*1)</f>
        <v>0</v>
      </c>
      <c r="PZ2" s="47" cm="1">
        <f t="array" ref="PZ2">SUMPRODUCT((IFERROR(_xlfn._xlws.FILTER(INDEX(PZ:PZ,_xlfn.SEQUENCE(100,1,12,3)),INDEX(PZ:PZ,_xlfn.SEQUENCE(100,1,12,3))&lt;&gt;""),"")&lt;&gt;"")*1)</f>
        <v>0</v>
      </c>
      <c r="QA2" s="47" cm="1">
        <f t="array" ref="QA2">SUMPRODUCT((IFERROR(_xlfn._xlws.FILTER(INDEX(QA:QA,_xlfn.SEQUENCE(100,1,12,3)),INDEX(QA:QA,_xlfn.SEQUENCE(100,1,12,3))&lt;&gt;""),"")&lt;&gt;"")*1)</f>
        <v>0</v>
      </c>
      <c r="QB2" s="47" cm="1">
        <f t="array" ref="QB2">SUMPRODUCT((IFERROR(_xlfn._xlws.FILTER(INDEX(QB:QB,_xlfn.SEQUENCE(100,1,12,3)),INDEX(QB:QB,_xlfn.SEQUENCE(100,1,12,3))&lt;&gt;""),"")&lt;&gt;"")*1)</f>
        <v>0</v>
      </c>
      <c r="QC2" s="47" cm="1">
        <f t="array" ref="QC2">SUMPRODUCT((IFERROR(_xlfn._xlws.FILTER(INDEX(QC:QC,_xlfn.SEQUENCE(100,1,12,3)),INDEX(QC:QC,_xlfn.SEQUENCE(100,1,12,3))&lt;&gt;""),"")&lt;&gt;"")*1)</f>
        <v>0</v>
      </c>
      <c r="QD2" s="47" cm="1">
        <f t="array" ref="QD2">SUMPRODUCT((IFERROR(_xlfn._xlws.FILTER(INDEX(QD:QD,_xlfn.SEQUENCE(100,1,12,3)),INDEX(QD:QD,_xlfn.SEQUENCE(100,1,12,3))&lt;&gt;""),"")&lt;&gt;"")*1)</f>
        <v>0</v>
      </c>
      <c r="QE2" s="47" cm="1">
        <f t="array" ref="QE2">SUMPRODUCT((IFERROR(_xlfn._xlws.FILTER(INDEX(QE:QE,_xlfn.SEQUENCE(100,1,12,3)),INDEX(QE:QE,_xlfn.SEQUENCE(100,1,12,3))&lt;&gt;""),"")&lt;&gt;"")*1)</f>
        <v>0</v>
      </c>
      <c r="QF2" s="47" cm="1">
        <f t="array" ref="QF2">SUMPRODUCT((IFERROR(_xlfn._xlws.FILTER(INDEX(QF:QF,_xlfn.SEQUENCE(100,1,12,3)),INDEX(QF:QF,_xlfn.SEQUENCE(100,1,12,3))&lt;&gt;""),"")&lt;&gt;"")*1)</f>
        <v>0</v>
      </c>
      <c r="QG2" s="47" cm="1">
        <f t="array" ref="QG2">SUMPRODUCT((IFERROR(_xlfn._xlws.FILTER(INDEX(QG:QG,_xlfn.SEQUENCE(100,1,12,3)),INDEX(QG:QG,_xlfn.SEQUENCE(100,1,12,3))&lt;&gt;""),"")&lt;&gt;"")*1)</f>
        <v>0</v>
      </c>
      <c r="QH2" s="47" cm="1">
        <f t="array" ref="QH2">SUMPRODUCT((IFERROR(_xlfn._xlws.FILTER(INDEX(QH:QH,_xlfn.SEQUENCE(100,1,12,3)),INDEX(QH:QH,_xlfn.SEQUENCE(100,1,12,3))&lt;&gt;""),"")&lt;&gt;"")*1)</f>
        <v>0</v>
      </c>
      <c r="QI2" s="47" cm="1">
        <f t="array" ref="QI2">SUMPRODUCT((IFERROR(_xlfn._xlws.FILTER(INDEX(QI:QI,_xlfn.SEQUENCE(100,1,12,3)),INDEX(QI:QI,_xlfn.SEQUENCE(100,1,12,3))&lt;&gt;""),"")&lt;&gt;"")*1)</f>
        <v>0</v>
      </c>
      <c r="QJ2" s="47" cm="1">
        <f t="array" ref="QJ2">SUMPRODUCT((IFERROR(_xlfn._xlws.FILTER(INDEX(QJ:QJ,_xlfn.SEQUENCE(100,1,12,3)),INDEX(QJ:QJ,_xlfn.SEQUENCE(100,1,12,3))&lt;&gt;""),"")&lt;&gt;"")*1)</f>
        <v>0</v>
      </c>
      <c r="QK2" s="47" cm="1">
        <f t="array" ref="QK2">SUMPRODUCT((IFERROR(_xlfn._xlws.FILTER(INDEX(QK:QK,_xlfn.SEQUENCE(100,1,12,3)),INDEX(QK:QK,_xlfn.SEQUENCE(100,1,12,3))&lt;&gt;""),"")&lt;&gt;"")*1)</f>
        <v>0</v>
      </c>
      <c r="QL2" s="47" cm="1">
        <f t="array" ref="QL2">SUMPRODUCT((IFERROR(_xlfn._xlws.FILTER(INDEX(QL:QL,_xlfn.SEQUENCE(100,1,12,3)),INDEX(QL:QL,_xlfn.SEQUENCE(100,1,12,3))&lt;&gt;""),"")&lt;&gt;"")*1)</f>
        <v>0</v>
      </c>
      <c r="QM2" s="47" cm="1">
        <f t="array" ref="QM2">SUMPRODUCT((IFERROR(_xlfn._xlws.FILTER(INDEX(QM:QM,_xlfn.SEQUENCE(100,1,12,3)),INDEX(QM:QM,_xlfn.SEQUENCE(100,1,12,3))&lt;&gt;""),"")&lt;&gt;"")*1)</f>
        <v>0</v>
      </c>
      <c r="QN2" s="47" cm="1">
        <f t="array" ref="QN2">SUMPRODUCT((IFERROR(_xlfn._xlws.FILTER(INDEX(QN:QN,_xlfn.SEQUENCE(100,1,12,3)),INDEX(QN:QN,_xlfn.SEQUENCE(100,1,12,3))&lt;&gt;""),"")&lt;&gt;"")*1)</f>
        <v>0</v>
      </c>
      <c r="QO2" s="47" cm="1">
        <f t="array" ref="QO2">SUMPRODUCT((IFERROR(_xlfn._xlws.FILTER(INDEX(QO:QO,_xlfn.SEQUENCE(100,1,12,3)),INDEX(QO:QO,_xlfn.SEQUENCE(100,1,12,3))&lt;&gt;""),"")&lt;&gt;"")*1)</f>
        <v>0</v>
      </c>
      <c r="QP2" s="47" cm="1">
        <f t="array" ref="QP2">SUMPRODUCT((IFERROR(_xlfn._xlws.FILTER(INDEX(QP:QP,_xlfn.SEQUENCE(100,1,12,3)),INDEX(QP:QP,_xlfn.SEQUENCE(100,1,12,3))&lt;&gt;""),"")&lt;&gt;"")*1)</f>
        <v>0</v>
      </c>
      <c r="QQ2" s="47" cm="1">
        <f t="array" ref="QQ2">SUMPRODUCT((IFERROR(_xlfn._xlws.FILTER(INDEX(QQ:QQ,_xlfn.SEQUENCE(100,1,12,3)),INDEX(QQ:QQ,_xlfn.SEQUENCE(100,1,12,3))&lt;&gt;""),"")&lt;&gt;"")*1)</f>
        <v>0</v>
      </c>
      <c r="QR2" s="47" cm="1">
        <f t="array" ref="QR2">SUMPRODUCT((IFERROR(_xlfn._xlws.FILTER(INDEX(QR:QR,_xlfn.SEQUENCE(100,1,12,3)),INDEX(QR:QR,_xlfn.SEQUENCE(100,1,12,3))&lt;&gt;""),"")&lt;&gt;"")*1)</f>
        <v>0</v>
      </c>
      <c r="QS2" s="47" cm="1">
        <f t="array" ref="QS2">SUMPRODUCT((IFERROR(_xlfn._xlws.FILTER(INDEX(QS:QS,_xlfn.SEQUENCE(100,1,12,3)),INDEX(QS:QS,_xlfn.SEQUENCE(100,1,12,3))&lt;&gt;""),"")&lt;&gt;"")*1)</f>
        <v>0</v>
      </c>
      <c r="QT2" s="47" cm="1">
        <f t="array" ref="QT2">SUMPRODUCT((IFERROR(_xlfn._xlws.FILTER(INDEX(QT:QT,_xlfn.SEQUENCE(100,1,12,3)),INDEX(QT:QT,_xlfn.SEQUENCE(100,1,12,3))&lt;&gt;""),"")&lt;&gt;"")*1)</f>
        <v>0</v>
      </c>
      <c r="QU2" s="47" cm="1">
        <f t="array" ref="QU2">SUMPRODUCT((IFERROR(_xlfn._xlws.FILTER(INDEX(QU:QU,_xlfn.SEQUENCE(100,1,12,3)),INDEX(QU:QU,_xlfn.SEQUENCE(100,1,12,3))&lt;&gt;""),"")&lt;&gt;"")*1)</f>
        <v>0</v>
      </c>
      <c r="QV2" s="47" cm="1">
        <f t="array" ref="QV2">SUMPRODUCT((IFERROR(_xlfn._xlws.FILTER(INDEX(QV:QV,_xlfn.SEQUENCE(100,1,12,3)),INDEX(QV:QV,_xlfn.SEQUENCE(100,1,12,3))&lt;&gt;""),"")&lt;&gt;"")*1)</f>
        <v>0</v>
      </c>
      <c r="QW2" s="47" cm="1">
        <f t="array" ref="QW2">SUMPRODUCT((IFERROR(_xlfn._xlws.FILTER(INDEX(QW:QW,_xlfn.SEQUENCE(100,1,12,3)),INDEX(QW:QW,_xlfn.SEQUENCE(100,1,12,3))&lt;&gt;""),"")&lt;&gt;"")*1)</f>
        <v>0</v>
      </c>
      <c r="QX2" s="47" cm="1">
        <f t="array" ref="QX2">SUMPRODUCT((IFERROR(_xlfn._xlws.FILTER(INDEX(QX:QX,_xlfn.SEQUENCE(100,1,12,3)),INDEX(QX:QX,_xlfn.SEQUENCE(100,1,12,3))&lt;&gt;""),"")&lt;&gt;"")*1)</f>
        <v>0</v>
      </c>
      <c r="QY2" s="47" cm="1">
        <f t="array" ref="QY2">SUMPRODUCT((IFERROR(_xlfn._xlws.FILTER(INDEX(QY:QY,_xlfn.SEQUENCE(100,1,12,3)),INDEX(QY:QY,_xlfn.SEQUENCE(100,1,12,3))&lt;&gt;""),"")&lt;&gt;"")*1)</f>
        <v>0</v>
      </c>
      <c r="QZ2" s="47" cm="1">
        <f t="array" ref="QZ2">SUMPRODUCT((IFERROR(_xlfn._xlws.FILTER(INDEX(QZ:QZ,_xlfn.SEQUENCE(100,1,12,3)),INDEX(QZ:QZ,_xlfn.SEQUENCE(100,1,12,3))&lt;&gt;""),"")&lt;&gt;"")*1)</f>
        <v>0</v>
      </c>
      <c r="RA2" s="47" cm="1">
        <f t="array" ref="RA2">SUMPRODUCT((IFERROR(_xlfn._xlws.FILTER(INDEX(RA:RA,_xlfn.SEQUENCE(100,1,12,3)),INDEX(RA:RA,_xlfn.SEQUENCE(100,1,12,3))&lt;&gt;""),"")&lt;&gt;"")*1)</f>
        <v>0</v>
      </c>
      <c r="RB2" s="47" cm="1">
        <f t="array" ref="RB2">SUMPRODUCT((IFERROR(_xlfn._xlws.FILTER(INDEX(RB:RB,_xlfn.SEQUENCE(100,1,12,3)),INDEX(RB:RB,_xlfn.SEQUENCE(100,1,12,3))&lt;&gt;""),"")&lt;&gt;"")*1)</f>
        <v>0</v>
      </c>
      <c r="RC2" s="47" cm="1">
        <f t="array" ref="RC2">SUMPRODUCT((IFERROR(_xlfn._xlws.FILTER(INDEX(RC:RC,_xlfn.SEQUENCE(100,1,12,3)),INDEX(RC:RC,_xlfn.SEQUENCE(100,1,12,3))&lt;&gt;""),"")&lt;&gt;"")*1)</f>
        <v>0</v>
      </c>
      <c r="RD2" s="47" cm="1">
        <f t="array" ref="RD2">SUMPRODUCT((IFERROR(_xlfn._xlws.FILTER(INDEX(RD:RD,_xlfn.SEQUENCE(100,1,12,3)),INDEX(RD:RD,_xlfn.SEQUENCE(100,1,12,3))&lt;&gt;""),"")&lt;&gt;"")*1)</f>
        <v>0</v>
      </c>
      <c r="RE2" s="47" cm="1">
        <f t="array" ref="RE2">SUMPRODUCT((IFERROR(_xlfn._xlws.FILTER(INDEX(RE:RE,_xlfn.SEQUENCE(100,1,12,3)),INDEX(RE:RE,_xlfn.SEQUENCE(100,1,12,3))&lt;&gt;""),"")&lt;&gt;"")*1)</f>
        <v>0</v>
      </c>
      <c r="RF2" s="47" cm="1">
        <f t="array" ref="RF2">SUMPRODUCT((IFERROR(_xlfn._xlws.FILTER(INDEX(RF:RF,_xlfn.SEQUENCE(100,1,12,3)),INDEX(RF:RF,_xlfn.SEQUENCE(100,1,12,3))&lt;&gt;""),"")&lt;&gt;"")*1)</f>
        <v>0</v>
      </c>
      <c r="RG2" s="47" cm="1">
        <f t="array" ref="RG2">SUMPRODUCT((IFERROR(_xlfn._xlws.FILTER(INDEX(RG:RG,_xlfn.SEQUENCE(100,1,12,3)),INDEX(RG:RG,_xlfn.SEQUENCE(100,1,12,3))&lt;&gt;""),"")&lt;&gt;"")*1)</f>
        <v>0</v>
      </c>
      <c r="RH2" s="47" cm="1">
        <f t="array" ref="RH2">SUMPRODUCT((IFERROR(_xlfn._xlws.FILTER(INDEX(RH:RH,_xlfn.SEQUENCE(100,1,12,3)),INDEX(RH:RH,_xlfn.SEQUENCE(100,1,12,3))&lt;&gt;""),"")&lt;&gt;"")*1)</f>
        <v>0</v>
      </c>
      <c r="RI2" s="47" cm="1">
        <f t="array" ref="RI2">SUMPRODUCT((IFERROR(_xlfn._xlws.FILTER(INDEX(RI:RI,_xlfn.SEQUENCE(100,1,12,3)),INDEX(RI:RI,_xlfn.SEQUENCE(100,1,12,3))&lt;&gt;""),"")&lt;&gt;"")*1)</f>
        <v>0</v>
      </c>
      <c r="RJ2" s="47" cm="1">
        <f t="array" ref="RJ2">SUMPRODUCT((IFERROR(_xlfn._xlws.FILTER(INDEX(RJ:RJ,_xlfn.SEQUENCE(100,1,12,3)),INDEX(RJ:RJ,_xlfn.SEQUENCE(100,1,12,3))&lt;&gt;""),"")&lt;&gt;"")*1)</f>
        <v>0</v>
      </c>
      <c r="RK2" s="47" cm="1">
        <f t="array" ref="RK2">SUMPRODUCT((IFERROR(_xlfn._xlws.FILTER(INDEX(RK:RK,_xlfn.SEQUENCE(100,1,12,3)),INDEX(RK:RK,_xlfn.SEQUENCE(100,1,12,3))&lt;&gt;""),"")&lt;&gt;"")*1)</f>
        <v>0</v>
      </c>
      <c r="RL2" s="47" cm="1">
        <f t="array" ref="RL2">SUMPRODUCT((IFERROR(_xlfn._xlws.FILTER(INDEX(RL:RL,_xlfn.SEQUENCE(100,1,12,3)),INDEX(RL:RL,_xlfn.SEQUENCE(100,1,12,3))&lt;&gt;""),"")&lt;&gt;"")*1)</f>
        <v>0</v>
      </c>
      <c r="RM2" s="47" cm="1">
        <f t="array" ref="RM2">SUMPRODUCT((IFERROR(_xlfn._xlws.FILTER(INDEX(RM:RM,_xlfn.SEQUENCE(100,1,12,3)),INDEX(RM:RM,_xlfn.SEQUENCE(100,1,12,3))&lt;&gt;""),"")&lt;&gt;"")*1)</f>
        <v>0</v>
      </c>
      <c r="RN2" s="47" cm="1">
        <f t="array" ref="RN2">SUMPRODUCT((IFERROR(_xlfn._xlws.FILTER(INDEX(RN:RN,_xlfn.SEQUENCE(100,1,12,3)),INDEX(RN:RN,_xlfn.SEQUENCE(100,1,12,3))&lt;&gt;""),"")&lt;&gt;"")*1)</f>
        <v>0</v>
      </c>
      <c r="RO2" s="47" cm="1">
        <f t="array" ref="RO2">SUMPRODUCT((IFERROR(_xlfn._xlws.FILTER(INDEX(RO:RO,_xlfn.SEQUENCE(100,1,12,3)),INDEX(RO:RO,_xlfn.SEQUENCE(100,1,12,3))&lt;&gt;""),"")&lt;&gt;"")*1)</f>
        <v>0</v>
      </c>
      <c r="RP2" s="47" cm="1">
        <f t="array" ref="RP2">SUMPRODUCT((IFERROR(_xlfn._xlws.FILTER(INDEX(RP:RP,_xlfn.SEQUENCE(100,1,12,3)),INDEX(RP:RP,_xlfn.SEQUENCE(100,1,12,3))&lt;&gt;""),"")&lt;&gt;"")*1)</f>
        <v>0</v>
      </c>
      <c r="RQ2" s="47" cm="1">
        <f t="array" ref="RQ2">SUMPRODUCT((IFERROR(_xlfn._xlws.FILTER(INDEX(RQ:RQ,_xlfn.SEQUENCE(100,1,12,3)),INDEX(RQ:RQ,_xlfn.SEQUENCE(100,1,12,3))&lt;&gt;""),"")&lt;&gt;"")*1)</f>
        <v>0</v>
      </c>
      <c r="RR2" s="47" cm="1">
        <f t="array" ref="RR2">SUMPRODUCT((IFERROR(_xlfn._xlws.FILTER(INDEX(RR:RR,_xlfn.SEQUENCE(100,1,12,3)),INDEX(RR:RR,_xlfn.SEQUENCE(100,1,12,3))&lt;&gt;""),"")&lt;&gt;"")*1)</f>
        <v>0</v>
      </c>
      <c r="RS2" s="47" cm="1">
        <f t="array" ref="RS2">SUMPRODUCT((IFERROR(_xlfn._xlws.FILTER(INDEX(RS:RS,_xlfn.SEQUENCE(100,1,12,3)),INDEX(RS:RS,_xlfn.SEQUENCE(100,1,12,3))&lt;&gt;""),"")&lt;&gt;"")*1)</f>
        <v>0</v>
      </c>
      <c r="RT2" s="47" cm="1">
        <f t="array" ref="RT2">SUMPRODUCT((IFERROR(_xlfn._xlws.FILTER(INDEX(RT:RT,_xlfn.SEQUENCE(100,1,12,3)),INDEX(RT:RT,_xlfn.SEQUENCE(100,1,12,3))&lt;&gt;""),"")&lt;&gt;"")*1)</f>
        <v>0</v>
      </c>
      <c r="RU2" s="47" cm="1">
        <f t="array" ref="RU2">SUMPRODUCT((IFERROR(_xlfn._xlws.FILTER(INDEX(RU:RU,_xlfn.SEQUENCE(100,1,12,3)),INDEX(RU:RU,_xlfn.SEQUENCE(100,1,12,3))&lt;&gt;""),"")&lt;&gt;"")*1)</f>
        <v>0</v>
      </c>
      <c r="RV2" s="47" cm="1">
        <f t="array" ref="RV2">SUMPRODUCT((IFERROR(_xlfn._xlws.FILTER(INDEX(RV:RV,_xlfn.SEQUENCE(100,1,12,3)),INDEX(RV:RV,_xlfn.SEQUENCE(100,1,12,3))&lt;&gt;""),"")&lt;&gt;"")*1)</f>
        <v>0</v>
      </c>
      <c r="RW2" s="47" cm="1">
        <f t="array" ref="RW2">SUMPRODUCT((IFERROR(_xlfn._xlws.FILTER(INDEX(RW:RW,_xlfn.SEQUENCE(100,1,12,3)),INDEX(RW:RW,_xlfn.SEQUENCE(100,1,12,3))&lt;&gt;""),"")&lt;&gt;"")*1)</f>
        <v>0</v>
      </c>
      <c r="RX2" s="47" cm="1">
        <f t="array" ref="RX2">SUMPRODUCT((IFERROR(_xlfn._xlws.FILTER(INDEX(RX:RX,_xlfn.SEQUENCE(100,1,12,3)),INDEX(RX:RX,_xlfn.SEQUENCE(100,1,12,3))&lt;&gt;""),"")&lt;&gt;"")*1)</f>
        <v>0</v>
      </c>
      <c r="RY2" s="47" cm="1">
        <f t="array" ref="RY2">SUMPRODUCT((IFERROR(_xlfn._xlws.FILTER(INDEX(RY:RY,_xlfn.SEQUENCE(100,1,12,3)),INDEX(RY:RY,_xlfn.SEQUENCE(100,1,12,3))&lt;&gt;""),"")&lt;&gt;"")*1)</f>
        <v>0</v>
      </c>
      <c r="RZ2" s="47" cm="1">
        <f t="array" ref="RZ2">SUMPRODUCT((IFERROR(_xlfn._xlws.FILTER(INDEX(RZ:RZ,_xlfn.SEQUENCE(100,1,12,3)),INDEX(RZ:RZ,_xlfn.SEQUENCE(100,1,12,3))&lt;&gt;""),"")&lt;&gt;"")*1)</f>
        <v>0</v>
      </c>
      <c r="SA2" s="47" cm="1">
        <f t="array" ref="SA2">SUMPRODUCT((IFERROR(_xlfn._xlws.FILTER(INDEX(SA:SA,_xlfn.SEQUENCE(100,1,12,3)),INDEX(SA:SA,_xlfn.SEQUENCE(100,1,12,3))&lt;&gt;""),"")&lt;&gt;"")*1)</f>
        <v>0</v>
      </c>
      <c r="SB2" s="47" cm="1">
        <f t="array" ref="SB2">SUMPRODUCT((IFERROR(_xlfn._xlws.FILTER(INDEX(SB:SB,_xlfn.SEQUENCE(100,1,12,3)),INDEX(SB:SB,_xlfn.SEQUENCE(100,1,12,3))&lt;&gt;""),"")&lt;&gt;"")*1)</f>
        <v>0</v>
      </c>
      <c r="SC2" s="47" cm="1">
        <f t="array" ref="SC2">SUMPRODUCT((IFERROR(_xlfn._xlws.FILTER(INDEX(SC:SC,_xlfn.SEQUENCE(100,1,12,3)),INDEX(SC:SC,_xlfn.SEQUENCE(100,1,12,3))&lt;&gt;""),"")&lt;&gt;"")*1)</f>
        <v>0</v>
      </c>
      <c r="SD2" s="47" cm="1">
        <f t="array" ref="SD2">SUMPRODUCT((IFERROR(_xlfn._xlws.FILTER(INDEX(SD:SD,_xlfn.SEQUENCE(100,1,12,3)),INDEX(SD:SD,_xlfn.SEQUENCE(100,1,12,3))&lt;&gt;""),"")&lt;&gt;"")*1)</f>
        <v>0</v>
      </c>
      <c r="SE2" s="47" cm="1">
        <f t="array" ref="SE2">SUMPRODUCT((IFERROR(_xlfn._xlws.FILTER(INDEX(SE:SE,_xlfn.SEQUENCE(100,1,12,3)),INDEX(SE:SE,_xlfn.SEQUENCE(100,1,12,3))&lt;&gt;""),"")&lt;&gt;"")*1)</f>
        <v>0</v>
      </c>
      <c r="SF2" s="47" cm="1">
        <f t="array" ref="SF2">SUMPRODUCT((IFERROR(_xlfn._xlws.FILTER(INDEX(SF:SF,_xlfn.SEQUENCE(100,1,12,3)),INDEX(SF:SF,_xlfn.SEQUENCE(100,1,12,3))&lt;&gt;""),"")&lt;&gt;"")*1)</f>
        <v>0</v>
      </c>
      <c r="SG2" s="47" cm="1">
        <f t="array" ref="SG2">SUMPRODUCT((IFERROR(_xlfn._xlws.FILTER(INDEX(SG:SG,_xlfn.SEQUENCE(100,1,12,3)),INDEX(SG:SG,_xlfn.SEQUENCE(100,1,12,3))&lt;&gt;""),"")&lt;&gt;"")*1)</f>
        <v>0</v>
      </c>
      <c r="SH2" s="47" cm="1">
        <f t="array" ref="SH2">SUMPRODUCT((IFERROR(_xlfn._xlws.FILTER(INDEX(SH:SH,_xlfn.SEQUENCE(100,1,12,3)),INDEX(SH:SH,_xlfn.SEQUENCE(100,1,12,3))&lt;&gt;""),"")&lt;&gt;"")*1)</f>
        <v>0</v>
      </c>
      <c r="SI2" s="47" cm="1">
        <f t="array" ref="SI2">SUMPRODUCT((IFERROR(_xlfn._xlws.FILTER(INDEX(SI:SI,_xlfn.SEQUENCE(100,1,12,3)),INDEX(SI:SI,_xlfn.SEQUENCE(100,1,12,3))&lt;&gt;""),"")&lt;&gt;"")*1)</f>
        <v>0</v>
      </c>
      <c r="SJ2" s="47" cm="1">
        <f t="array" ref="SJ2">SUMPRODUCT((IFERROR(_xlfn._xlws.FILTER(INDEX(SJ:SJ,_xlfn.SEQUENCE(100,1,12,3)),INDEX(SJ:SJ,_xlfn.SEQUENCE(100,1,12,3))&lt;&gt;""),"")&lt;&gt;"")*1)</f>
        <v>0</v>
      </c>
      <c r="SK2" s="47" cm="1">
        <f t="array" ref="SK2">SUMPRODUCT((IFERROR(_xlfn._xlws.FILTER(INDEX(SK:SK,_xlfn.SEQUENCE(100,1,12,3)),INDEX(SK:SK,_xlfn.SEQUENCE(100,1,12,3))&lt;&gt;""),"")&lt;&gt;"")*1)</f>
        <v>0</v>
      </c>
      <c r="SL2" s="47" cm="1">
        <f t="array" ref="SL2">SUMPRODUCT((IFERROR(_xlfn._xlws.FILTER(INDEX(SL:SL,_xlfn.SEQUENCE(100,1,12,3)),INDEX(SL:SL,_xlfn.SEQUENCE(100,1,12,3))&lt;&gt;""),"")&lt;&gt;"")*1)</f>
        <v>0</v>
      </c>
      <c r="SM2" s="47" cm="1">
        <f t="array" ref="SM2">SUMPRODUCT((IFERROR(_xlfn._xlws.FILTER(INDEX(SM:SM,_xlfn.SEQUENCE(100,1,12,3)),INDEX(SM:SM,_xlfn.SEQUENCE(100,1,12,3))&lt;&gt;""),"")&lt;&gt;"")*1)</f>
        <v>0</v>
      </c>
      <c r="SN2" s="47" cm="1">
        <f t="array" ref="SN2">SUMPRODUCT((IFERROR(_xlfn._xlws.FILTER(INDEX(SN:SN,_xlfn.SEQUENCE(100,1,12,3)),INDEX(SN:SN,_xlfn.SEQUENCE(100,1,12,3))&lt;&gt;""),"")&lt;&gt;"")*1)</f>
        <v>0</v>
      </c>
      <c r="SO2" s="47" cm="1">
        <f t="array" ref="SO2">SUMPRODUCT((IFERROR(_xlfn._xlws.FILTER(INDEX(SO:SO,_xlfn.SEQUENCE(100,1,12,3)),INDEX(SO:SO,_xlfn.SEQUENCE(100,1,12,3))&lt;&gt;""),"")&lt;&gt;"")*1)</f>
        <v>0</v>
      </c>
      <c r="SP2" s="47" cm="1">
        <f t="array" ref="SP2">SUMPRODUCT((IFERROR(_xlfn._xlws.FILTER(INDEX(SP:SP,_xlfn.SEQUENCE(100,1,12,3)),INDEX(SP:SP,_xlfn.SEQUENCE(100,1,12,3))&lt;&gt;""),"")&lt;&gt;"")*1)</f>
        <v>0</v>
      </c>
      <c r="SQ2" s="47" cm="1">
        <f t="array" ref="SQ2">SUMPRODUCT((IFERROR(_xlfn._xlws.FILTER(INDEX(SQ:SQ,_xlfn.SEQUENCE(100,1,12,3)),INDEX(SQ:SQ,_xlfn.SEQUENCE(100,1,12,3))&lt;&gt;""),"")&lt;&gt;"")*1)</f>
        <v>0</v>
      </c>
      <c r="SR2" s="47" cm="1">
        <f t="array" ref="SR2">SUMPRODUCT((IFERROR(_xlfn._xlws.FILTER(INDEX(SR:SR,_xlfn.SEQUENCE(100,1,12,3)),INDEX(SR:SR,_xlfn.SEQUENCE(100,1,12,3))&lt;&gt;""),"")&lt;&gt;"")*1)</f>
        <v>0</v>
      </c>
    </row>
    <row r="3" spans="1:512" s="47" customFormat="1" ht="16.25" customHeight="1" x14ac:dyDescent="0.65">
      <c r="A3" s="178" t="s">
        <v>114</v>
      </c>
      <c r="B3" s="179"/>
      <c r="C3" s="180" t="s">
        <v>266</v>
      </c>
      <c r="D3" s="180"/>
      <c r="E3" s="180"/>
      <c r="F3" s="180"/>
      <c r="G3" s="78"/>
      <c r="H3" s="78"/>
      <c r="I3" s="79"/>
      <c r="J3" s="79"/>
      <c r="K3" s="80" t="s">
        <v>115</v>
      </c>
      <c r="L3" s="47" cm="1">
        <f t="array" ref="L3">SUMPRODUCT((IFERROR(_xlfn._xlws.FILTER(INDEX(L:L,_xlfn.SEQUENCE(100,1,13,3)),INDEX(L:L,_xlfn.SEQUENCE(100,1,13,3))&lt;&gt;""),"")&lt;&gt;"")*1)</f>
        <v>0</v>
      </c>
      <c r="M3" s="47" cm="1">
        <f t="array" ref="M3">SUMPRODUCT((IFERROR(_xlfn._xlws.FILTER(INDEX(M:M,_xlfn.SEQUENCE(100,1,13,3)),INDEX(M:M,_xlfn.SEQUENCE(100,1,13,3))&lt;&gt;""),"")&lt;&gt;"")*1)</f>
        <v>0</v>
      </c>
      <c r="N3" s="47" cm="1">
        <f t="array" ref="N3">SUMPRODUCT((IFERROR(_xlfn._xlws.FILTER(INDEX(N:N,_xlfn.SEQUENCE(100,1,13,3)),INDEX(N:N,_xlfn.SEQUENCE(100,1,13,3))&lt;&gt;""),"")&lt;&gt;"")*1)</f>
        <v>0</v>
      </c>
      <c r="O3" s="47" cm="1">
        <f t="array" ref="O3">SUMPRODUCT((IFERROR(_xlfn._xlws.FILTER(INDEX(O:O,_xlfn.SEQUENCE(100,1,13,3)),INDEX(O:O,_xlfn.SEQUENCE(100,1,13,3))&lt;&gt;""),"")&lt;&gt;"")*1)</f>
        <v>0</v>
      </c>
      <c r="P3" s="47" cm="1">
        <f t="array" ref="P3">SUMPRODUCT((IFERROR(_xlfn._xlws.FILTER(INDEX(P:P,_xlfn.SEQUENCE(100,1,13,3)),INDEX(P:P,_xlfn.SEQUENCE(100,1,13,3))&lt;&gt;""),"")&lt;&gt;"")*1)</f>
        <v>0</v>
      </c>
      <c r="Q3" s="47" cm="1">
        <f t="array" ref="Q3">SUMPRODUCT((IFERROR(_xlfn._xlws.FILTER(INDEX(Q:Q,_xlfn.SEQUENCE(100,1,13,3)),INDEX(Q:Q,_xlfn.SEQUENCE(100,1,13,3))&lt;&gt;""),"")&lt;&gt;"")*1)</f>
        <v>0</v>
      </c>
      <c r="R3" s="47" cm="1">
        <f t="array" ref="R3">SUMPRODUCT((IFERROR(_xlfn._xlws.FILTER(INDEX(R:R,_xlfn.SEQUENCE(100,1,13,3)),INDEX(R:R,_xlfn.SEQUENCE(100,1,13,3))&lt;&gt;""),"")&lt;&gt;"")*1)</f>
        <v>0</v>
      </c>
      <c r="S3" s="47" cm="1">
        <f t="array" ref="S3">SUMPRODUCT((IFERROR(_xlfn._xlws.FILTER(INDEX(S:S,_xlfn.SEQUENCE(100,1,13,3)),INDEX(S:S,_xlfn.SEQUENCE(100,1,13,3))&lt;&gt;""),"")&lt;&gt;"")*1)</f>
        <v>0</v>
      </c>
      <c r="T3" s="47" cm="1">
        <f t="array" ref="T3">SUMPRODUCT((IFERROR(_xlfn._xlws.FILTER(INDEX(T:T,_xlfn.SEQUENCE(100,1,13,3)),INDEX(T:T,_xlfn.SEQUENCE(100,1,13,3))&lt;&gt;""),"")&lt;&gt;"")*1)</f>
        <v>0</v>
      </c>
      <c r="U3" s="47" cm="1">
        <f t="array" ref="U3">SUMPRODUCT((IFERROR(_xlfn._xlws.FILTER(INDEX(U:U,_xlfn.SEQUENCE(100,1,13,3)),INDEX(U:U,_xlfn.SEQUENCE(100,1,13,3))&lt;&gt;""),"")&lt;&gt;"")*1)</f>
        <v>0</v>
      </c>
      <c r="V3" s="47" cm="1">
        <f t="array" ref="V3">SUMPRODUCT((IFERROR(_xlfn._xlws.FILTER(INDEX(V:V,_xlfn.SEQUENCE(100,1,13,3)),INDEX(V:V,_xlfn.SEQUENCE(100,1,13,3))&lt;&gt;""),"")&lt;&gt;"")*1)</f>
        <v>0</v>
      </c>
      <c r="W3" s="47" cm="1">
        <f t="array" ref="W3">SUMPRODUCT((IFERROR(_xlfn._xlws.FILTER(INDEX(W:W,_xlfn.SEQUENCE(100,1,13,3)),INDEX(W:W,_xlfn.SEQUENCE(100,1,13,3))&lt;&gt;""),"")&lt;&gt;"")*1)</f>
        <v>0</v>
      </c>
      <c r="X3" s="47" cm="1">
        <f t="array" ref="X3">SUMPRODUCT((IFERROR(_xlfn._xlws.FILTER(INDEX(X:X,_xlfn.SEQUENCE(100,1,13,3)),INDEX(X:X,_xlfn.SEQUENCE(100,1,13,3))&lt;&gt;""),"")&lt;&gt;"")*1)</f>
        <v>0</v>
      </c>
      <c r="Y3" s="47" cm="1">
        <f t="array" ref="Y3">SUMPRODUCT((IFERROR(_xlfn._xlws.FILTER(INDEX(Y:Y,_xlfn.SEQUENCE(100,1,13,3)),INDEX(Y:Y,_xlfn.SEQUENCE(100,1,13,3))&lt;&gt;""),"")&lt;&gt;"")*1)</f>
        <v>0</v>
      </c>
      <c r="Z3" s="47" cm="1">
        <f t="array" ref="Z3">SUMPRODUCT((IFERROR(_xlfn._xlws.FILTER(INDEX(Z:Z,_xlfn.SEQUENCE(100,1,13,3)),INDEX(Z:Z,_xlfn.SEQUENCE(100,1,13,3))&lt;&gt;""),"")&lt;&gt;"")*1)</f>
        <v>0</v>
      </c>
      <c r="AA3" s="47" cm="1">
        <f t="array" ref="AA3">SUMPRODUCT((IFERROR(_xlfn._xlws.FILTER(INDEX(AA:AA,_xlfn.SEQUENCE(100,1,13,3)),INDEX(AA:AA,_xlfn.SEQUENCE(100,1,13,3))&lt;&gt;""),"")&lt;&gt;"")*1)</f>
        <v>0</v>
      </c>
      <c r="AB3" s="47" cm="1">
        <f t="array" ref="AB3">SUMPRODUCT((IFERROR(_xlfn._xlws.FILTER(INDEX(AB:AB,_xlfn.SEQUENCE(100,1,13,3)),INDEX(AB:AB,_xlfn.SEQUENCE(100,1,13,3))&lt;&gt;""),"")&lt;&gt;"")*1)</f>
        <v>0</v>
      </c>
      <c r="AC3" s="47" cm="1">
        <f t="array" ref="AC3">SUMPRODUCT((IFERROR(_xlfn._xlws.FILTER(INDEX(AC:AC,_xlfn.SEQUENCE(100,1,13,3)),INDEX(AC:AC,_xlfn.SEQUENCE(100,1,13,3))&lt;&gt;""),"")&lt;&gt;"")*1)</f>
        <v>0</v>
      </c>
      <c r="AD3" s="47" cm="1">
        <f t="array" ref="AD3">SUMPRODUCT((IFERROR(_xlfn._xlws.FILTER(INDEX(AD:AD,_xlfn.SEQUENCE(100,1,13,3)),INDEX(AD:AD,_xlfn.SEQUENCE(100,1,13,3))&lt;&gt;""),"")&lt;&gt;"")*1)</f>
        <v>0</v>
      </c>
      <c r="AE3" s="47" cm="1">
        <f t="array" ref="AE3">SUMPRODUCT((IFERROR(_xlfn._xlws.FILTER(INDEX(AE:AE,_xlfn.SEQUENCE(100,1,13,3)),INDEX(AE:AE,_xlfn.SEQUENCE(100,1,13,3))&lt;&gt;""),"")&lt;&gt;"")*1)</f>
        <v>0</v>
      </c>
      <c r="AF3" s="47" cm="1">
        <f t="array" ref="AF3">SUMPRODUCT((IFERROR(_xlfn._xlws.FILTER(INDEX(AF:AF,_xlfn.SEQUENCE(100,1,13,3)),INDEX(AF:AF,_xlfn.SEQUENCE(100,1,13,3))&lt;&gt;""),"")&lt;&gt;"")*1)</f>
        <v>0</v>
      </c>
      <c r="AG3" s="47" cm="1">
        <f t="array" ref="AG3">SUMPRODUCT((IFERROR(_xlfn._xlws.FILTER(INDEX(AG:AG,_xlfn.SEQUENCE(100,1,13,3)),INDEX(AG:AG,_xlfn.SEQUENCE(100,1,13,3))&lt;&gt;""),"")&lt;&gt;"")*1)</f>
        <v>0</v>
      </c>
      <c r="AH3" s="47" cm="1">
        <f t="array" ref="AH3">SUMPRODUCT((IFERROR(_xlfn._xlws.FILTER(INDEX(AH:AH,_xlfn.SEQUENCE(100,1,13,3)),INDEX(AH:AH,_xlfn.SEQUENCE(100,1,13,3))&lt;&gt;""),"")&lt;&gt;"")*1)</f>
        <v>0</v>
      </c>
      <c r="AI3" s="47" cm="1">
        <f t="array" ref="AI3">SUMPRODUCT((IFERROR(_xlfn._xlws.FILTER(INDEX(AI:AI,_xlfn.SEQUENCE(100,1,13,3)),INDEX(AI:AI,_xlfn.SEQUENCE(100,1,13,3))&lt;&gt;""),"")&lt;&gt;"")*1)</f>
        <v>0</v>
      </c>
      <c r="AJ3" s="47" cm="1">
        <f t="array" ref="AJ3">SUMPRODUCT((IFERROR(_xlfn._xlws.FILTER(INDEX(AJ:AJ,_xlfn.SEQUENCE(100,1,13,3)),INDEX(AJ:AJ,_xlfn.SEQUENCE(100,1,13,3))&lt;&gt;""),"")&lt;&gt;"")*1)</f>
        <v>0</v>
      </c>
      <c r="AK3" s="47" cm="1">
        <f t="array" ref="AK3">SUMPRODUCT((IFERROR(_xlfn._xlws.FILTER(INDEX(AK:AK,_xlfn.SEQUENCE(100,1,13,3)),INDEX(AK:AK,_xlfn.SEQUENCE(100,1,13,3))&lt;&gt;""),"")&lt;&gt;"")*1)</f>
        <v>0</v>
      </c>
      <c r="AL3" s="47" cm="1">
        <f t="array" ref="AL3">SUMPRODUCT((IFERROR(_xlfn._xlws.FILTER(INDEX(AL:AL,_xlfn.SEQUENCE(100,1,13,3)),INDEX(AL:AL,_xlfn.SEQUENCE(100,1,13,3))&lt;&gt;""),"")&lt;&gt;"")*1)</f>
        <v>0</v>
      </c>
      <c r="AM3" s="47" cm="1">
        <f t="array" ref="AM3">SUMPRODUCT((IFERROR(_xlfn._xlws.FILTER(INDEX(AM:AM,_xlfn.SEQUENCE(100,1,13,3)),INDEX(AM:AM,_xlfn.SEQUENCE(100,1,13,3))&lt;&gt;""),"")&lt;&gt;"")*1)</f>
        <v>0</v>
      </c>
      <c r="AN3" s="47" cm="1">
        <f t="array" ref="AN3">SUMPRODUCT((IFERROR(_xlfn._xlws.FILTER(INDEX(AN:AN,_xlfn.SEQUENCE(100,1,13,3)),INDEX(AN:AN,_xlfn.SEQUENCE(100,1,13,3))&lt;&gt;""),"")&lt;&gt;"")*1)</f>
        <v>0</v>
      </c>
      <c r="AO3" s="47" cm="1">
        <f t="array" ref="AO3">SUMPRODUCT((IFERROR(_xlfn._xlws.FILTER(INDEX(AO:AO,_xlfn.SEQUENCE(100,1,13,3)),INDEX(AO:AO,_xlfn.SEQUENCE(100,1,13,3))&lt;&gt;""),"")&lt;&gt;"")*1)</f>
        <v>0</v>
      </c>
      <c r="AP3" s="47" cm="1">
        <f t="array" ref="AP3">SUMPRODUCT((IFERROR(_xlfn._xlws.FILTER(INDEX(AP:AP,_xlfn.SEQUENCE(100,1,13,3)),INDEX(AP:AP,_xlfn.SEQUENCE(100,1,13,3))&lt;&gt;""),"")&lt;&gt;"")*1)</f>
        <v>0</v>
      </c>
      <c r="AQ3" s="47" cm="1">
        <f t="array" ref="AQ3">SUMPRODUCT((IFERROR(_xlfn._xlws.FILTER(INDEX(AQ:AQ,_xlfn.SEQUENCE(100,1,13,3)),INDEX(AQ:AQ,_xlfn.SEQUENCE(100,1,13,3))&lt;&gt;""),"")&lt;&gt;"")*1)</f>
        <v>0</v>
      </c>
      <c r="AR3" s="47" cm="1">
        <f t="array" ref="AR3">SUMPRODUCT((IFERROR(_xlfn._xlws.FILTER(INDEX(AR:AR,_xlfn.SEQUENCE(100,1,13,3)),INDEX(AR:AR,_xlfn.SEQUENCE(100,1,13,3))&lt;&gt;""),"")&lt;&gt;"")*1)</f>
        <v>0</v>
      </c>
      <c r="AS3" s="47" cm="1">
        <f t="array" ref="AS3">SUMPRODUCT((IFERROR(_xlfn._xlws.FILTER(INDEX(AS:AS,_xlfn.SEQUENCE(100,1,13,3)),INDEX(AS:AS,_xlfn.SEQUENCE(100,1,13,3))&lt;&gt;""),"")&lt;&gt;"")*1)</f>
        <v>0</v>
      </c>
      <c r="AT3" s="47" cm="1">
        <f t="array" ref="AT3">SUMPRODUCT((IFERROR(_xlfn._xlws.FILTER(INDEX(AT:AT,_xlfn.SEQUENCE(100,1,13,3)),INDEX(AT:AT,_xlfn.SEQUENCE(100,1,13,3))&lt;&gt;""),"")&lt;&gt;"")*1)</f>
        <v>0</v>
      </c>
      <c r="AU3" s="47" cm="1">
        <f t="array" ref="AU3">SUMPRODUCT((IFERROR(_xlfn._xlws.FILTER(INDEX(AU:AU,_xlfn.SEQUENCE(100,1,13,3)),INDEX(AU:AU,_xlfn.SEQUENCE(100,1,13,3))&lt;&gt;""),"")&lt;&gt;"")*1)</f>
        <v>0</v>
      </c>
      <c r="AV3" s="47" cm="1">
        <f t="array" ref="AV3">SUMPRODUCT((IFERROR(_xlfn._xlws.FILTER(INDEX(AV:AV,_xlfn.SEQUENCE(100,1,13,3)),INDEX(AV:AV,_xlfn.SEQUENCE(100,1,13,3))&lt;&gt;""),"")&lt;&gt;"")*1)</f>
        <v>0</v>
      </c>
      <c r="AW3" s="47" cm="1">
        <f t="array" ref="AW3">SUMPRODUCT((IFERROR(_xlfn._xlws.FILTER(INDEX(AW:AW,_xlfn.SEQUENCE(100,1,13,3)),INDEX(AW:AW,_xlfn.SEQUENCE(100,1,13,3))&lt;&gt;""),"")&lt;&gt;"")*1)</f>
        <v>0</v>
      </c>
      <c r="AX3" s="47" cm="1">
        <f t="array" ref="AX3">SUMPRODUCT((IFERROR(_xlfn._xlws.FILTER(INDEX(AX:AX,_xlfn.SEQUENCE(100,1,13,3)),INDEX(AX:AX,_xlfn.SEQUENCE(100,1,13,3))&lt;&gt;""),"")&lt;&gt;"")*1)</f>
        <v>0</v>
      </c>
      <c r="AY3" s="47" cm="1">
        <f t="array" ref="AY3">SUMPRODUCT((IFERROR(_xlfn._xlws.FILTER(INDEX(AY:AY,_xlfn.SEQUENCE(100,1,13,3)),INDEX(AY:AY,_xlfn.SEQUENCE(100,1,13,3))&lt;&gt;""),"")&lt;&gt;"")*1)</f>
        <v>0</v>
      </c>
      <c r="AZ3" s="47" cm="1">
        <f t="array" ref="AZ3">SUMPRODUCT((IFERROR(_xlfn._xlws.FILTER(INDEX(AZ:AZ,_xlfn.SEQUENCE(100,1,13,3)),INDEX(AZ:AZ,_xlfn.SEQUENCE(100,1,13,3))&lt;&gt;""),"")&lt;&gt;"")*1)</f>
        <v>0</v>
      </c>
      <c r="BA3" s="47" cm="1">
        <f t="array" ref="BA3">SUMPRODUCT((IFERROR(_xlfn._xlws.FILTER(INDEX(BA:BA,_xlfn.SEQUENCE(100,1,13,3)),INDEX(BA:BA,_xlfn.SEQUENCE(100,1,13,3))&lt;&gt;""),"")&lt;&gt;"")*1)</f>
        <v>0</v>
      </c>
      <c r="BB3" s="47" cm="1">
        <f t="array" ref="BB3">SUMPRODUCT((IFERROR(_xlfn._xlws.FILTER(INDEX(BB:BB,_xlfn.SEQUENCE(100,1,13,3)),INDEX(BB:BB,_xlfn.SEQUENCE(100,1,13,3))&lt;&gt;""),"")&lt;&gt;"")*1)</f>
        <v>0</v>
      </c>
      <c r="BC3" s="47" cm="1">
        <f t="array" ref="BC3">SUMPRODUCT((IFERROR(_xlfn._xlws.FILTER(INDEX(BC:BC,_xlfn.SEQUENCE(100,1,13,3)),INDEX(BC:BC,_xlfn.SEQUENCE(100,1,13,3))&lt;&gt;""),"")&lt;&gt;"")*1)</f>
        <v>0</v>
      </c>
      <c r="BD3" s="47" cm="1">
        <f t="array" ref="BD3">SUMPRODUCT((IFERROR(_xlfn._xlws.FILTER(INDEX(BD:BD,_xlfn.SEQUENCE(100,1,13,3)),INDEX(BD:BD,_xlfn.SEQUENCE(100,1,13,3))&lt;&gt;""),"")&lt;&gt;"")*1)</f>
        <v>0</v>
      </c>
      <c r="BE3" s="47" cm="1">
        <f t="array" ref="BE3">SUMPRODUCT((IFERROR(_xlfn._xlws.FILTER(INDEX(BE:BE,_xlfn.SEQUENCE(100,1,13,3)),INDEX(BE:BE,_xlfn.SEQUENCE(100,1,13,3))&lt;&gt;""),"")&lt;&gt;"")*1)</f>
        <v>0</v>
      </c>
      <c r="BF3" s="47" cm="1">
        <f t="array" ref="BF3">SUMPRODUCT((IFERROR(_xlfn._xlws.FILTER(INDEX(BF:BF,_xlfn.SEQUENCE(100,1,13,3)),INDEX(BF:BF,_xlfn.SEQUENCE(100,1,13,3))&lt;&gt;""),"")&lt;&gt;"")*1)</f>
        <v>0</v>
      </c>
      <c r="BG3" s="47" cm="1">
        <f t="array" ref="BG3">SUMPRODUCT((IFERROR(_xlfn._xlws.FILTER(INDEX(BG:BG,_xlfn.SEQUENCE(100,1,13,3)),INDEX(BG:BG,_xlfn.SEQUENCE(100,1,13,3))&lt;&gt;""),"")&lt;&gt;"")*1)</f>
        <v>0</v>
      </c>
      <c r="BH3" s="47" cm="1">
        <f t="array" ref="BH3">SUMPRODUCT((IFERROR(_xlfn._xlws.FILTER(INDEX(BH:BH,_xlfn.SEQUENCE(100,1,13,3)),INDEX(BH:BH,_xlfn.SEQUENCE(100,1,13,3))&lt;&gt;""),"")&lt;&gt;"")*1)</f>
        <v>0</v>
      </c>
      <c r="BI3" s="47" cm="1">
        <f t="array" ref="BI3">SUMPRODUCT((IFERROR(_xlfn._xlws.FILTER(INDEX(BI:BI,_xlfn.SEQUENCE(100,1,13,3)),INDEX(BI:BI,_xlfn.SEQUENCE(100,1,13,3))&lt;&gt;""),"")&lt;&gt;"")*1)</f>
        <v>0</v>
      </c>
      <c r="BJ3" s="47" cm="1">
        <f t="array" ref="BJ3">SUMPRODUCT((IFERROR(_xlfn._xlws.FILTER(INDEX(BJ:BJ,_xlfn.SEQUENCE(100,1,13,3)),INDEX(BJ:BJ,_xlfn.SEQUENCE(100,1,13,3))&lt;&gt;""),"")&lt;&gt;"")*1)</f>
        <v>0</v>
      </c>
      <c r="BK3" s="47" cm="1">
        <f t="array" ref="BK3">SUMPRODUCT((IFERROR(_xlfn._xlws.FILTER(INDEX(BK:BK,_xlfn.SEQUENCE(100,1,13,3)),INDEX(BK:BK,_xlfn.SEQUENCE(100,1,13,3))&lt;&gt;""),"")&lt;&gt;"")*1)</f>
        <v>0</v>
      </c>
      <c r="BL3" s="47" cm="1">
        <f t="array" ref="BL3">SUMPRODUCT((IFERROR(_xlfn._xlws.FILTER(INDEX(BL:BL,_xlfn.SEQUENCE(100,1,13,3)),INDEX(BL:BL,_xlfn.SEQUENCE(100,1,13,3))&lt;&gt;""),"")&lt;&gt;"")*1)</f>
        <v>0</v>
      </c>
      <c r="BM3" s="47" cm="1">
        <f t="array" ref="BM3">SUMPRODUCT((IFERROR(_xlfn._xlws.FILTER(INDEX(BM:BM,_xlfn.SEQUENCE(100,1,13,3)),INDEX(BM:BM,_xlfn.SEQUENCE(100,1,13,3))&lt;&gt;""),"")&lt;&gt;"")*1)</f>
        <v>0</v>
      </c>
      <c r="BN3" s="47" cm="1">
        <f t="array" ref="BN3">SUMPRODUCT((IFERROR(_xlfn._xlws.FILTER(INDEX(BN:BN,_xlfn.SEQUENCE(100,1,13,3)),INDEX(BN:BN,_xlfn.SEQUENCE(100,1,13,3))&lt;&gt;""),"")&lt;&gt;"")*1)</f>
        <v>0</v>
      </c>
      <c r="BO3" s="47" cm="1">
        <f t="array" ref="BO3">SUMPRODUCT((IFERROR(_xlfn._xlws.FILTER(INDEX(BO:BO,_xlfn.SEQUENCE(100,1,13,3)),INDEX(BO:BO,_xlfn.SEQUENCE(100,1,13,3))&lt;&gt;""),"")&lt;&gt;"")*1)</f>
        <v>0</v>
      </c>
      <c r="BP3" s="47" cm="1">
        <f t="array" ref="BP3">SUMPRODUCT((IFERROR(_xlfn._xlws.FILTER(INDEX(BP:BP,_xlfn.SEQUENCE(100,1,13,3)),INDEX(BP:BP,_xlfn.SEQUENCE(100,1,13,3))&lt;&gt;""),"")&lt;&gt;"")*1)</f>
        <v>0</v>
      </c>
      <c r="BQ3" s="47" cm="1">
        <f t="array" ref="BQ3">SUMPRODUCT((IFERROR(_xlfn._xlws.FILTER(INDEX(BQ:BQ,_xlfn.SEQUENCE(100,1,13,3)),INDEX(BQ:BQ,_xlfn.SEQUENCE(100,1,13,3))&lt;&gt;""),"")&lt;&gt;"")*1)</f>
        <v>0</v>
      </c>
      <c r="BR3" s="47" cm="1">
        <f t="array" ref="BR3">SUMPRODUCT((IFERROR(_xlfn._xlws.FILTER(INDEX(BR:BR,_xlfn.SEQUENCE(100,1,13,3)),INDEX(BR:BR,_xlfn.SEQUENCE(100,1,13,3))&lt;&gt;""),"")&lt;&gt;"")*1)</f>
        <v>0</v>
      </c>
      <c r="BS3" s="47" cm="1">
        <f t="array" ref="BS3">SUMPRODUCT((IFERROR(_xlfn._xlws.FILTER(INDEX(BS:BS,_xlfn.SEQUENCE(100,1,13,3)),INDEX(BS:BS,_xlfn.SEQUENCE(100,1,13,3))&lt;&gt;""),"")&lt;&gt;"")*1)</f>
        <v>0</v>
      </c>
      <c r="BT3" s="47" cm="1">
        <f t="array" ref="BT3">SUMPRODUCT((IFERROR(_xlfn._xlws.FILTER(INDEX(BT:BT,_xlfn.SEQUENCE(100,1,13,3)),INDEX(BT:BT,_xlfn.SEQUENCE(100,1,13,3))&lt;&gt;""),"")&lt;&gt;"")*1)</f>
        <v>0</v>
      </c>
      <c r="BU3" s="47" cm="1">
        <f t="array" ref="BU3">SUMPRODUCT((IFERROR(_xlfn._xlws.FILTER(INDEX(BU:BU,_xlfn.SEQUENCE(100,1,13,3)),INDEX(BU:BU,_xlfn.SEQUENCE(100,1,13,3))&lt;&gt;""),"")&lt;&gt;"")*1)</f>
        <v>0</v>
      </c>
      <c r="BV3" s="47" cm="1">
        <f t="array" ref="BV3">SUMPRODUCT((IFERROR(_xlfn._xlws.FILTER(INDEX(BV:BV,_xlfn.SEQUENCE(100,1,13,3)),INDEX(BV:BV,_xlfn.SEQUENCE(100,1,13,3))&lt;&gt;""),"")&lt;&gt;"")*1)</f>
        <v>0</v>
      </c>
      <c r="BW3" s="47" cm="1">
        <f t="array" ref="BW3">SUMPRODUCT((IFERROR(_xlfn._xlws.FILTER(INDEX(BW:BW,_xlfn.SEQUENCE(100,1,13,3)),INDEX(BW:BW,_xlfn.SEQUENCE(100,1,13,3))&lt;&gt;""),"")&lt;&gt;"")*1)</f>
        <v>0</v>
      </c>
      <c r="BX3" s="47" cm="1">
        <f t="array" ref="BX3">SUMPRODUCT((IFERROR(_xlfn._xlws.FILTER(INDEX(BX:BX,_xlfn.SEQUENCE(100,1,13,3)),INDEX(BX:BX,_xlfn.SEQUENCE(100,1,13,3))&lt;&gt;""),"")&lt;&gt;"")*1)</f>
        <v>0</v>
      </c>
      <c r="BY3" s="47" cm="1">
        <f t="array" ref="BY3">SUMPRODUCT((IFERROR(_xlfn._xlws.FILTER(INDEX(BY:BY,_xlfn.SEQUENCE(100,1,13,3)),INDEX(BY:BY,_xlfn.SEQUENCE(100,1,13,3))&lt;&gt;""),"")&lt;&gt;"")*1)</f>
        <v>0</v>
      </c>
      <c r="BZ3" s="47" cm="1">
        <f t="array" ref="BZ3">SUMPRODUCT((IFERROR(_xlfn._xlws.FILTER(INDEX(BZ:BZ,_xlfn.SEQUENCE(100,1,13,3)),INDEX(BZ:BZ,_xlfn.SEQUENCE(100,1,13,3))&lt;&gt;""),"")&lt;&gt;"")*1)</f>
        <v>0</v>
      </c>
      <c r="CA3" s="47" cm="1">
        <f t="array" ref="CA3">SUMPRODUCT((IFERROR(_xlfn._xlws.FILTER(INDEX(CA:CA,_xlfn.SEQUENCE(100,1,13,3)),INDEX(CA:CA,_xlfn.SEQUENCE(100,1,13,3))&lt;&gt;""),"")&lt;&gt;"")*1)</f>
        <v>0</v>
      </c>
      <c r="CB3" s="47" cm="1">
        <f t="array" ref="CB3">SUMPRODUCT((IFERROR(_xlfn._xlws.FILTER(INDEX(CB:CB,_xlfn.SEQUENCE(100,1,13,3)),INDEX(CB:CB,_xlfn.SEQUENCE(100,1,13,3))&lt;&gt;""),"")&lt;&gt;"")*1)</f>
        <v>0</v>
      </c>
      <c r="CC3" s="47" cm="1">
        <f t="array" ref="CC3">SUMPRODUCT((IFERROR(_xlfn._xlws.FILTER(INDEX(CC:CC,_xlfn.SEQUENCE(100,1,13,3)),INDEX(CC:CC,_xlfn.SEQUENCE(100,1,13,3))&lt;&gt;""),"")&lt;&gt;"")*1)</f>
        <v>0</v>
      </c>
      <c r="CD3" s="47" cm="1">
        <f t="array" ref="CD3">SUMPRODUCT((IFERROR(_xlfn._xlws.FILTER(INDEX(CD:CD,_xlfn.SEQUENCE(100,1,13,3)),INDEX(CD:CD,_xlfn.SEQUENCE(100,1,13,3))&lt;&gt;""),"")&lt;&gt;"")*1)</f>
        <v>0</v>
      </c>
      <c r="CE3" s="47" cm="1">
        <f t="array" ref="CE3">SUMPRODUCT((IFERROR(_xlfn._xlws.FILTER(INDEX(CE:CE,_xlfn.SEQUENCE(100,1,13,3)),INDEX(CE:CE,_xlfn.SEQUENCE(100,1,13,3))&lt;&gt;""),"")&lt;&gt;"")*1)</f>
        <v>0</v>
      </c>
      <c r="CF3" s="47" cm="1">
        <f t="array" ref="CF3">SUMPRODUCT((IFERROR(_xlfn._xlws.FILTER(INDEX(CF:CF,_xlfn.SEQUENCE(100,1,13,3)),INDEX(CF:CF,_xlfn.SEQUENCE(100,1,13,3))&lt;&gt;""),"")&lt;&gt;"")*1)</f>
        <v>0</v>
      </c>
      <c r="CG3" s="47" cm="1">
        <f t="array" ref="CG3">SUMPRODUCT((IFERROR(_xlfn._xlws.FILTER(INDEX(CG:CG,_xlfn.SEQUENCE(100,1,13,3)),INDEX(CG:CG,_xlfn.SEQUENCE(100,1,13,3))&lt;&gt;""),"")&lt;&gt;"")*1)</f>
        <v>0</v>
      </c>
      <c r="CH3" s="47" cm="1">
        <f t="array" ref="CH3">SUMPRODUCT((IFERROR(_xlfn._xlws.FILTER(INDEX(CH:CH,_xlfn.SEQUENCE(100,1,13,3)),INDEX(CH:CH,_xlfn.SEQUENCE(100,1,13,3))&lt;&gt;""),"")&lt;&gt;"")*1)</f>
        <v>0</v>
      </c>
      <c r="CI3" s="47" cm="1">
        <f t="array" ref="CI3">SUMPRODUCT((IFERROR(_xlfn._xlws.FILTER(INDEX(CI:CI,_xlfn.SEQUENCE(100,1,13,3)),INDEX(CI:CI,_xlfn.SEQUENCE(100,1,13,3))&lt;&gt;""),"")&lt;&gt;"")*1)</f>
        <v>0</v>
      </c>
      <c r="CJ3" s="47" cm="1">
        <f t="array" ref="CJ3">SUMPRODUCT((IFERROR(_xlfn._xlws.FILTER(INDEX(CJ:CJ,_xlfn.SEQUENCE(100,1,13,3)),INDEX(CJ:CJ,_xlfn.SEQUENCE(100,1,13,3))&lt;&gt;""),"")&lt;&gt;"")*1)</f>
        <v>0</v>
      </c>
      <c r="CK3" s="47" cm="1">
        <f t="array" ref="CK3">SUMPRODUCT((IFERROR(_xlfn._xlws.FILTER(INDEX(CK:CK,_xlfn.SEQUENCE(100,1,13,3)),INDEX(CK:CK,_xlfn.SEQUENCE(100,1,13,3))&lt;&gt;""),"")&lt;&gt;"")*1)</f>
        <v>0</v>
      </c>
      <c r="CL3" s="47" cm="1">
        <f t="array" ref="CL3">SUMPRODUCT((IFERROR(_xlfn._xlws.FILTER(INDEX(CL:CL,_xlfn.SEQUENCE(100,1,13,3)),INDEX(CL:CL,_xlfn.SEQUENCE(100,1,13,3))&lt;&gt;""),"")&lt;&gt;"")*1)</f>
        <v>0</v>
      </c>
      <c r="CM3" s="47" cm="1">
        <f t="array" ref="CM3">SUMPRODUCT((IFERROR(_xlfn._xlws.FILTER(INDEX(CM:CM,_xlfn.SEQUENCE(100,1,13,3)),INDEX(CM:CM,_xlfn.SEQUENCE(100,1,13,3))&lt;&gt;""),"")&lt;&gt;"")*1)</f>
        <v>0</v>
      </c>
      <c r="CN3" s="47" cm="1">
        <f t="array" ref="CN3">SUMPRODUCT((IFERROR(_xlfn._xlws.FILTER(INDEX(CN:CN,_xlfn.SEQUENCE(100,1,13,3)),INDEX(CN:CN,_xlfn.SEQUENCE(100,1,13,3))&lt;&gt;""),"")&lt;&gt;"")*1)</f>
        <v>0</v>
      </c>
      <c r="CO3" s="47" cm="1">
        <f t="array" ref="CO3">SUMPRODUCT((IFERROR(_xlfn._xlws.FILTER(INDEX(CO:CO,_xlfn.SEQUENCE(100,1,13,3)),INDEX(CO:CO,_xlfn.SEQUENCE(100,1,13,3))&lt;&gt;""),"")&lt;&gt;"")*1)</f>
        <v>0</v>
      </c>
      <c r="CP3" s="47" cm="1">
        <f t="array" ref="CP3">SUMPRODUCT((IFERROR(_xlfn._xlws.FILTER(INDEX(CP:CP,_xlfn.SEQUENCE(100,1,13,3)),INDEX(CP:CP,_xlfn.SEQUENCE(100,1,13,3))&lt;&gt;""),"")&lt;&gt;"")*1)</f>
        <v>0</v>
      </c>
      <c r="CQ3" s="47" cm="1">
        <f t="array" ref="CQ3">SUMPRODUCT((IFERROR(_xlfn._xlws.FILTER(INDEX(CQ:CQ,_xlfn.SEQUENCE(100,1,13,3)),INDEX(CQ:CQ,_xlfn.SEQUENCE(100,1,13,3))&lt;&gt;""),"")&lt;&gt;"")*1)</f>
        <v>0</v>
      </c>
      <c r="CR3" s="47" cm="1">
        <f t="array" ref="CR3">SUMPRODUCT((IFERROR(_xlfn._xlws.FILTER(INDEX(CR:CR,_xlfn.SEQUENCE(100,1,13,3)),INDEX(CR:CR,_xlfn.SEQUENCE(100,1,13,3))&lt;&gt;""),"")&lt;&gt;"")*1)</f>
        <v>0</v>
      </c>
      <c r="CS3" s="47" cm="1">
        <f t="array" ref="CS3">SUMPRODUCT((IFERROR(_xlfn._xlws.FILTER(INDEX(CS:CS,_xlfn.SEQUENCE(100,1,13,3)),INDEX(CS:CS,_xlfn.SEQUENCE(100,1,13,3))&lt;&gt;""),"")&lt;&gt;"")*1)</f>
        <v>0</v>
      </c>
      <c r="CT3" s="47" cm="1">
        <f t="array" ref="CT3">SUMPRODUCT((IFERROR(_xlfn._xlws.FILTER(INDEX(CT:CT,_xlfn.SEQUENCE(100,1,13,3)),INDEX(CT:CT,_xlfn.SEQUENCE(100,1,13,3))&lt;&gt;""),"")&lt;&gt;"")*1)</f>
        <v>0</v>
      </c>
      <c r="CU3" s="47" cm="1">
        <f t="array" ref="CU3">SUMPRODUCT((IFERROR(_xlfn._xlws.FILTER(INDEX(CU:CU,_xlfn.SEQUENCE(100,1,13,3)),INDEX(CU:CU,_xlfn.SEQUENCE(100,1,13,3))&lt;&gt;""),"")&lt;&gt;"")*1)</f>
        <v>0</v>
      </c>
      <c r="CV3" s="47" cm="1">
        <f t="array" ref="CV3">SUMPRODUCT((IFERROR(_xlfn._xlws.FILTER(INDEX(CV:CV,_xlfn.SEQUENCE(100,1,13,3)),INDEX(CV:CV,_xlfn.SEQUENCE(100,1,13,3))&lt;&gt;""),"")&lt;&gt;"")*1)</f>
        <v>0</v>
      </c>
      <c r="CW3" s="47" cm="1">
        <f t="array" ref="CW3">SUMPRODUCT((IFERROR(_xlfn._xlws.FILTER(INDEX(CW:CW,_xlfn.SEQUENCE(100,1,13,3)),INDEX(CW:CW,_xlfn.SEQUENCE(100,1,13,3))&lt;&gt;""),"")&lt;&gt;"")*1)</f>
        <v>0</v>
      </c>
      <c r="CX3" s="47" cm="1">
        <f t="array" ref="CX3">SUMPRODUCT((IFERROR(_xlfn._xlws.FILTER(INDEX(CX:CX,_xlfn.SEQUENCE(100,1,13,3)),INDEX(CX:CX,_xlfn.SEQUENCE(100,1,13,3))&lt;&gt;""),"")&lt;&gt;"")*1)</f>
        <v>0</v>
      </c>
      <c r="CY3" s="47" cm="1">
        <f t="array" ref="CY3">SUMPRODUCT((IFERROR(_xlfn._xlws.FILTER(INDEX(CY:CY,_xlfn.SEQUENCE(100,1,13,3)),INDEX(CY:CY,_xlfn.SEQUENCE(100,1,13,3))&lt;&gt;""),"")&lt;&gt;"")*1)</f>
        <v>0</v>
      </c>
      <c r="CZ3" s="47" cm="1">
        <f t="array" ref="CZ3">SUMPRODUCT((IFERROR(_xlfn._xlws.FILTER(INDEX(CZ:CZ,_xlfn.SEQUENCE(100,1,13,3)),INDEX(CZ:CZ,_xlfn.SEQUENCE(100,1,13,3))&lt;&gt;""),"")&lt;&gt;"")*1)</f>
        <v>0</v>
      </c>
      <c r="DA3" s="47" cm="1">
        <f t="array" ref="DA3">SUMPRODUCT((IFERROR(_xlfn._xlws.FILTER(INDEX(DA:DA,_xlfn.SEQUENCE(100,1,13,3)),INDEX(DA:DA,_xlfn.SEQUENCE(100,1,13,3))&lt;&gt;""),"")&lt;&gt;"")*1)</f>
        <v>0</v>
      </c>
      <c r="DB3" s="47" cm="1">
        <f t="array" ref="DB3">SUMPRODUCT((IFERROR(_xlfn._xlws.FILTER(INDEX(DB:DB,_xlfn.SEQUENCE(100,1,13,3)),INDEX(DB:DB,_xlfn.SEQUENCE(100,1,13,3))&lt;&gt;""),"")&lt;&gt;"")*1)</f>
        <v>0</v>
      </c>
      <c r="DC3" s="47" cm="1">
        <f t="array" ref="DC3">SUMPRODUCT((IFERROR(_xlfn._xlws.FILTER(INDEX(DC:DC,_xlfn.SEQUENCE(100,1,13,3)),INDEX(DC:DC,_xlfn.SEQUENCE(100,1,13,3))&lt;&gt;""),"")&lt;&gt;"")*1)</f>
        <v>0</v>
      </c>
      <c r="DD3" s="47" cm="1">
        <f t="array" ref="DD3">SUMPRODUCT((IFERROR(_xlfn._xlws.FILTER(INDEX(DD:DD,_xlfn.SEQUENCE(100,1,13,3)),INDEX(DD:DD,_xlfn.SEQUENCE(100,1,13,3))&lt;&gt;""),"")&lt;&gt;"")*1)</f>
        <v>0</v>
      </c>
      <c r="DE3" s="47" cm="1">
        <f t="array" ref="DE3">SUMPRODUCT((IFERROR(_xlfn._xlws.FILTER(INDEX(DE:DE,_xlfn.SEQUENCE(100,1,13,3)),INDEX(DE:DE,_xlfn.SEQUENCE(100,1,13,3))&lt;&gt;""),"")&lt;&gt;"")*1)</f>
        <v>0</v>
      </c>
      <c r="DF3" s="47" cm="1">
        <f t="array" ref="DF3">SUMPRODUCT((IFERROR(_xlfn._xlws.FILTER(INDEX(DF:DF,_xlfn.SEQUENCE(100,1,13,3)),INDEX(DF:DF,_xlfn.SEQUENCE(100,1,13,3))&lt;&gt;""),"")&lt;&gt;"")*1)</f>
        <v>0</v>
      </c>
      <c r="DG3" s="47" cm="1">
        <f t="array" ref="DG3">SUMPRODUCT((IFERROR(_xlfn._xlws.FILTER(INDEX(DG:DG,_xlfn.SEQUENCE(100,1,13,3)),INDEX(DG:DG,_xlfn.SEQUENCE(100,1,13,3))&lt;&gt;""),"")&lt;&gt;"")*1)</f>
        <v>0</v>
      </c>
      <c r="DH3" s="47" cm="1">
        <f t="array" ref="DH3">SUMPRODUCT((IFERROR(_xlfn._xlws.FILTER(INDEX(DH:DH,_xlfn.SEQUENCE(100,1,13,3)),INDEX(DH:DH,_xlfn.SEQUENCE(100,1,13,3))&lt;&gt;""),"")&lt;&gt;"")*1)</f>
        <v>0</v>
      </c>
      <c r="DI3" s="47" cm="1">
        <f t="array" ref="DI3">SUMPRODUCT((IFERROR(_xlfn._xlws.FILTER(INDEX(DI:DI,_xlfn.SEQUENCE(100,1,13,3)),INDEX(DI:DI,_xlfn.SEQUENCE(100,1,13,3))&lt;&gt;""),"")&lt;&gt;"")*1)</f>
        <v>0</v>
      </c>
      <c r="DJ3" s="47" cm="1">
        <f t="array" ref="DJ3">SUMPRODUCT((IFERROR(_xlfn._xlws.FILTER(INDEX(DJ:DJ,_xlfn.SEQUENCE(100,1,13,3)),INDEX(DJ:DJ,_xlfn.SEQUENCE(100,1,13,3))&lt;&gt;""),"")&lt;&gt;"")*1)</f>
        <v>0</v>
      </c>
      <c r="DK3" s="47" cm="1">
        <f t="array" ref="DK3">SUMPRODUCT((IFERROR(_xlfn._xlws.FILTER(INDEX(DK:DK,_xlfn.SEQUENCE(100,1,13,3)),INDEX(DK:DK,_xlfn.SEQUENCE(100,1,13,3))&lt;&gt;""),"")&lt;&gt;"")*1)</f>
        <v>0</v>
      </c>
      <c r="DL3" s="47" cm="1">
        <f t="array" ref="DL3">SUMPRODUCT((IFERROR(_xlfn._xlws.FILTER(INDEX(DL:DL,_xlfn.SEQUENCE(100,1,13,3)),INDEX(DL:DL,_xlfn.SEQUENCE(100,1,13,3))&lt;&gt;""),"")&lt;&gt;"")*1)</f>
        <v>0</v>
      </c>
      <c r="DM3" s="47" cm="1">
        <f t="array" ref="DM3">SUMPRODUCT((IFERROR(_xlfn._xlws.FILTER(INDEX(DM:DM,_xlfn.SEQUENCE(100,1,13,3)),INDEX(DM:DM,_xlfn.SEQUENCE(100,1,13,3))&lt;&gt;""),"")&lt;&gt;"")*1)</f>
        <v>0</v>
      </c>
      <c r="DN3" s="47" cm="1">
        <f t="array" ref="DN3">SUMPRODUCT((IFERROR(_xlfn._xlws.FILTER(INDEX(DN:DN,_xlfn.SEQUENCE(100,1,13,3)),INDEX(DN:DN,_xlfn.SEQUENCE(100,1,13,3))&lt;&gt;""),"")&lt;&gt;"")*1)</f>
        <v>0</v>
      </c>
      <c r="DO3" s="47" cm="1">
        <f t="array" ref="DO3">SUMPRODUCT((IFERROR(_xlfn._xlws.FILTER(INDEX(DO:DO,_xlfn.SEQUENCE(100,1,13,3)),INDEX(DO:DO,_xlfn.SEQUENCE(100,1,13,3))&lt;&gt;""),"")&lt;&gt;"")*1)</f>
        <v>0</v>
      </c>
      <c r="DP3" s="47" cm="1">
        <f t="array" ref="DP3">SUMPRODUCT((IFERROR(_xlfn._xlws.FILTER(INDEX(DP:DP,_xlfn.SEQUENCE(100,1,13,3)),INDEX(DP:DP,_xlfn.SEQUENCE(100,1,13,3))&lt;&gt;""),"")&lt;&gt;"")*1)</f>
        <v>0</v>
      </c>
      <c r="DQ3" s="47" cm="1">
        <f t="array" ref="DQ3">SUMPRODUCT((IFERROR(_xlfn._xlws.FILTER(INDEX(DQ:DQ,_xlfn.SEQUENCE(100,1,13,3)),INDEX(DQ:DQ,_xlfn.SEQUENCE(100,1,13,3))&lt;&gt;""),"")&lt;&gt;"")*1)</f>
        <v>0</v>
      </c>
      <c r="DR3" s="47" cm="1">
        <f t="array" ref="DR3">SUMPRODUCT((IFERROR(_xlfn._xlws.FILTER(INDEX(DR:DR,_xlfn.SEQUENCE(100,1,13,3)),INDEX(DR:DR,_xlfn.SEQUENCE(100,1,13,3))&lt;&gt;""),"")&lt;&gt;"")*1)</f>
        <v>0</v>
      </c>
      <c r="DS3" s="47" cm="1">
        <f t="array" ref="DS3">SUMPRODUCT((IFERROR(_xlfn._xlws.FILTER(INDEX(DS:DS,_xlfn.SEQUENCE(100,1,13,3)),INDEX(DS:DS,_xlfn.SEQUENCE(100,1,13,3))&lt;&gt;""),"")&lt;&gt;"")*1)</f>
        <v>0</v>
      </c>
      <c r="DT3" s="47" cm="1">
        <f t="array" ref="DT3">SUMPRODUCT((IFERROR(_xlfn._xlws.FILTER(INDEX(DT:DT,_xlfn.SEQUENCE(100,1,13,3)),INDEX(DT:DT,_xlfn.SEQUENCE(100,1,13,3))&lt;&gt;""),"")&lt;&gt;"")*1)</f>
        <v>0</v>
      </c>
      <c r="DU3" s="47" cm="1">
        <f t="array" ref="DU3">SUMPRODUCT((IFERROR(_xlfn._xlws.FILTER(INDEX(DU:DU,_xlfn.SEQUENCE(100,1,13,3)),INDEX(DU:DU,_xlfn.SEQUENCE(100,1,13,3))&lt;&gt;""),"")&lt;&gt;"")*1)</f>
        <v>0</v>
      </c>
      <c r="DV3" s="47" cm="1">
        <f t="array" ref="DV3">SUMPRODUCT((IFERROR(_xlfn._xlws.FILTER(INDEX(DV:DV,_xlfn.SEQUENCE(100,1,13,3)),INDEX(DV:DV,_xlfn.SEQUENCE(100,1,13,3))&lt;&gt;""),"")&lt;&gt;"")*1)</f>
        <v>0</v>
      </c>
      <c r="DW3" s="47" cm="1">
        <f t="array" ref="DW3">SUMPRODUCT((IFERROR(_xlfn._xlws.FILTER(INDEX(DW:DW,_xlfn.SEQUENCE(100,1,13,3)),INDEX(DW:DW,_xlfn.SEQUENCE(100,1,13,3))&lt;&gt;""),"")&lt;&gt;"")*1)</f>
        <v>0</v>
      </c>
      <c r="DX3" s="47" cm="1">
        <f t="array" ref="DX3">SUMPRODUCT((IFERROR(_xlfn._xlws.FILTER(INDEX(DX:DX,_xlfn.SEQUENCE(100,1,13,3)),INDEX(DX:DX,_xlfn.SEQUENCE(100,1,13,3))&lt;&gt;""),"")&lt;&gt;"")*1)</f>
        <v>0</v>
      </c>
      <c r="DY3" s="47" cm="1">
        <f t="array" ref="DY3">SUMPRODUCT((IFERROR(_xlfn._xlws.FILTER(INDEX(DY:DY,_xlfn.SEQUENCE(100,1,13,3)),INDEX(DY:DY,_xlfn.SEQUENCE(100,1,13,3))&lt;&gt;""),"")&lt;&gt;"")*1)</f>
        <v>0</v>
      </c>
      <c r="DZ3" s="47" cm="1">
        <f t="array" ref="DZ3">SUMPRODUCT((IFERROR(_xlfn._xlws.FILTER(INDEX(DZ:DZ,_xlfn.SEQUENCE(100,1,13,3)),INDEX(DZ:DZ,_xlfn.SEQUENCE(100,1,13,3))&lt;&gt;""),"")&lt;&gt;"")*1)</f>
        <v>0</v>
      </c>
      <c r="EA3" s="47" cm="1">
        <f t="array" ref="EA3">SUMPRODUCT((IFERROR(_xlfn._xlws.FILTER(INDEX(EA:EA,_xlfn.SEQUENCE(100,1,13,3)),INDEX(EA:EA,_xlfn.SEQUENCE(100,1,13,3))&lt;&gt;""),"")&lt;&gt;"")*1)</f>
        <v>0</v>
      </c>
      <c r="EB3" s="47" cm="1">
        <f t="array" ref="EB3">SUMPRODUCT((IFERROR(_xlfn._xlws.FILTER(INDEX(EB:EB,_xlfn.SEQUENCE(100,1,13,3)),INDEX(EB:EB,_xlfn.SEQUENCE(100,1,13,3))&lt;&gt;""),"")&lt;&gt;"")*1)</f>
        <v>0</v>
      </c>
      <c r="EC3" s="47" cm="1">
        <f t="array" ref="EC3">SUMPRODUCT((IFERROR(_xlfn._xlws.FILTER(INDEX(EC:EC,_xlfn.SEQUENCE(100,1,13,3)),INDEX(EC:EC,_xlfn.SEQUENCE(100,1,13,3))&lt;&gt;""),"")&lt;&gt;"")*1)</f>
        <v>0</v>
      </c>
      <c r="ED3" s="47" cm="1">
        <f t="array" ref="ED3">SUMPRODUCT((IFERROR(_xlfn._xlws.FILTER(INDEX(ED:ED,_xlfn.SEQUENCE(100,1,13,3)),INDEX(ED:ED,_xlfn.SEQUENCE(100,1,13,3))&lt;&gt;""),"")&lt;&gt;"")*1)</f>
        <v>0</v>
      </c>
      <c r="EE3" s="47" cm="1">
        <f t="array" ref="EE3">SUMPRODUCT((IFERROR(_xlfn._xlws.FILTER(INDEX(EE:EE,_xlfn.SEQUENCE(100,1,13,3)),INDEX(EE:EE,_xlfn.SEQUENCE(100,1,13,3))&lt;&gt;""),"")&lt;&gt;"")*1)</f>
        <v>0</v>
      </c>
      <c r="EF3" s="47" cm="1">
        <f t="array" ref="EF3">SUMPRODUCT((IFERROR(_xlfn._xlws.FILTER(INDEX(EF:EF,_xlfn.SEQUENCE(100,1,13,3)),INDEX(EF:EF,_xlfn.SEQUENCE(100,1,13,3))&lt;&gt;""),"")&lt;&gt;"")*1)</f>
        <v>0</v>
      </c>
      <c r="EG3" s="47" cm="1">
        <f t="array" ref="EG3">SUMPRODUCT((IFERROR(_xlfn._xlws.FILTER(INDEX(EG:EG,_xlfn.SEQUENCE(100,1,13,3)),INDEX(EG:EG,_xlfn.SEQUENCE(100,1,13,3))&lt;&gt;""),"")&lt;&gt;"")*1)</f>
        <v>0</v>
      </c>
      <c r="EH3" s="47" cm="1">
        <f t="array" ref="EH3">SUMPRODUCT((IFERROR(_xlfn._xlws.FILTER(INDEX(EH:EH,_xlfn.SEQUENCE(100,1,13,3)),INDEX(EH:EH,_xlfn.SEQUENCE(100,1,13,3))&lt;&gt;""),"")&lt;&gt;"")*1)</f>
        <v>0</v>
      </c>
      <c r="EI3" s="47" cm="1">
        <f t="array" ref="EI3">SUMPRODUCT((IFERROR(_xlfn._xlws.FILTER(INDEX(EI:EI,_xlfn.SEQUENCE(100,1,13,3)),INDEX(EI:EI,_xlfn.SEQUENCE(100,1,13,3))&lt;&gt;""),"")&lt;&gt;"")*1)</f>
        <v>0</v>
      </c>
      <c r="EJ3" s="47" cm="1">
        <f t="array" ref="EJ3">SUMPRODUCT((IFERROR(_xlfn._xlws.FILTER(INDEX(EJ:EJ,_xlfn.SEQUENCE(100,1,13,3)),INDEX(EJ:EJ,_xlfn.SEQUENCE(100,1,13,3))&lt;&gt;""),"")&lt;&gt;"")*1)</f>
        <v>0</v>
      </c>
      <c r="EK3" s="47" cm="1">
        <f t="array" ref="EK3">SUMPRODUCT((IFERROR(_xlfn._xlws.FILTER(INDEX(EK:EK,_xlfn.SEQUENCE(100,1,13,3)),INDEX(EK:EK,_xlfn.SEQUENCE(100,1,13,3))&lt;&gt;""),"")&lt;&gt;"")*1)</f>
        <v>0</v>
      </c>
      <c r="EL3" s="47" cm="1">
        <f t="array" ref="EL3">SUMPRODUCT((IFERROR(_xlfn._xlws.FILTER(INDEX(EL:EL,_xlfn.SEQUENCE(100,1,13,3)),INDEX(EL:EL,_xlfn.SEQUENCE(100,1,13,3))&lt;&gt;""),"")&lt;&gt;"")*1)</f>
        <v>0</v>
      </c>
      <c r="EM3" s="47" cm="1">
        <f t="array" ref="EM3">SUMPRODUCT((IFERROR(_xlfn._xlws.FILTER(INDEX(EM:EM,_xlfn.SEQUENCE(100,1,13,3)),INDEX(EM:EM,_xlfn.SEQUENCE(100,1,13,3))&lt;&gt;""),"")&lt;&gt;"")*1)</f>
        <v>0</v>
      </c>
      <c r="EN3" s="47" cm="1">
        <f t="array" ref="EN3">SUMPRODUCT((IFERROR(_xlfn._xlws.FILTER(INDEX(EN:EN,_xlfn.SEQUENCE(100,1,13,3)),INDEX(EN:EN,_xlfn.SEQUENCE(100,1,13,3))&lt;&gt;""),"")&lt;&gt;"")*1)</f>
        <v>0</v>
      </c>
      <c r="EO3" s="47" cm="1">
        <f t="array" ref="EO3">SUMPRODUCT((IFERROR(_xlfn._xlws.FILTER(INDEX(EO:EO,_xlfn.SEQUENCE(100,1,13,3)),INDEX(EO:EO,_xlfn.SEQUENCE(100,1,13,3))&lt;&gt;""),"")&lt;&gt;"")*1)</f>
        <v>0</v>
      </c>
      <c r="EP3" s="47" cm="1">
        <f t="array" ref="EP3">SUMPRODUCT((IFERROR(_xlfn._xlws.FILTER(INDEX(EP:EP,_xlfn.SEQUENCE(100,1,13,3)),INDEX(EP:EP,_xlfn.SEQUENCE(100,1,13,3))&lt;&gt;""),"")&lt;&gt;"")*1)</f>
        <v>0</v>
      </c>
      <c r="EQ3" s="47" cm="1">
        <f t="array" ref="EQ3">SUMPRODUCT((IFERROR(_xlfn._xlws.FILTER(INDEX(EQ:EQ,_xlfn.SEQUENCE(100,1,13,3)),INDEX(EQ:EQ,_xlfn.SEQUENCE(100,1,13,3))&lt;&gt;""),"")&lt;&gt;"")*1)</f>
        <v>0</v>
      </c>
      <c r="ER3" s="47" cm="1">
        <f t="array" ref="ER3">SUMPRODUCT((IFERROR(_xlfn._xlws.FILTER(INDEX(ER:ER,_xlfn.SEQUENCE(100,1,13,3)),INDEX(ER:ER,_xlfn.SEQUENCE(100,1,13,3))&lt;&gt;""),"")&lt;&gt;"")*1)</f>
        <v>0</v>
      </c>
      <c r="ES3" s="47" cm="1">
        <f t="array" ref="ES3">SUMPRODUCT((IFERROR(_xlfn._xlws.FILTER(INDEX(ES:ES,_xlfn.SEQUENCE(100,1,13,3)),INDEX(ES:ES,_xlfn.SEQUENCE(100,1,13,3))&lt;&gt;""),"")&lt;&gt;"")*1)</f>
        <v>0</v>
      </c>
      <c r="ET3" s="47" cm="1">
        <f t="array" ref="ET3">SUMPRODUCT((IFERROR(_xlfn._xlws.FILTER(INDEX(ET:ET,_xlfn.SEQUENCE(100,1,13,3)),INDEX(ET:ET,_xlfn.SEQUENCE(100,1,13,3))&lt;&gt;""),"")&lt;&gt;"")*1)</f>
        <v>0</v>
      </c>
      <c r="EU3" s="47" cm="1">
        <f t="array" ref="EU3">SUMPRODUCT((IFERROR(_xlfn._xlws.FILTER(INDEX(EU:EU,_xlfn.SEQUENCE(100,1,13,3)),INDEX(EU:EU,_xlfn.SEQUENCE(100,1,13,3))&lt;&gt;""),"")&lt;&gt;"")*1)</f>
        <v>0</v>
      </c>
      <c r="EV3" s="47" cm="1">
        <f t="array" ref="EV3">SUMPRODUCT((IFERROR(_xlfn._xlws.FILTER(INDEX(EV:EV,_xlfn.SEQUENCE(100,1,13,3)),INDEX(EV:EV,_xlfn.SEQUENCE(100,1,13,3))&lt;&gt;""),"")&lt;&gt;"")*1)</f>
        <v>0</v>
      </c>
      <c r="EW3" s="47" cm="1">
        <f t="array" ref="EW3">SUMPRODUCT((IFERROR(_xlfn._xlws.FILTER(INDEX(EW:EW,_xlfn.SEQUENCE(100,1,13,3)),INDEX(EW:EW,_xlfn.SEQUENCE(100,1,13,3))&lt;&gt;""),"")&lt;&gt;"")*1)</f>
        <v>0</v>
      </c>
      <c r="EX3" s="47" cm="1">
        <f t="array" ref="EX3">SUMPRODUCT((IFERROR(_xlfn._xlws.FILTER(INDEX(EX:EX,_xlfn.SEQUENCE(100,1,13,3)),INDEX(EX:EX,_xlfn.SEQUENCE(100,1,13,3))&lt;&gt;""),"")&lt;&gt;"")*1)</f>
        <v>0</v>
      </c>
      <c r="EY3" s="47" cm="1">
        <f t="array" ref="EY3">SUMPRODUCT((IFERROR(_xlfn._xlws.FILTER(INDEX(EY:EY,_xlfn.SEQUENCE(100,1,13,3)),INDEX(EY:EY,_xlfn.SEQUENCE(100,1,13,3))&lt;&gt;""),"")&lt;&gt;"")*1)</f>
        <v>0</v>
      </c>
      <c r="EZ3" s="47" cm="1">
        <f t="array" ref="EZ3">SUMPRODUCT((IFERROR(_xlfn._xlws.FILTER(INDEX(EZ:EZ,_xlfn.SEQUENCE(100,1,13,3)),INDEX(EZ:EZ,_xlfn.SEQUENCE(100,1,13,3))&lt;&gt;""),"")&lt;&gt;"")*1)</f>
        <v>0</v>
      </c>
      <c r="FA3" s="47" cm="1">
        <f t="array" ref="FA3">SUMPRODUCT((IFERROR(_xlfn._xlws.FILTER(INDEX(FA:FA,_xlfn.SEQUENCE(100,1,13,3)),INDEX(FA:FA,_xlfn.SEQUENCE(100,1,13,3))&lt;&gt;""),"")&lt;&gt;"")*1)</f>
        <v>0</v>
      </c>
      <c r="FB3" s="47" cm="1">
        <f t="array" ref="FB3">SUMPRODUCT((IFERROR(_xlfn._xlws.FILTER(INDEX(FB:FB,_xlfn.SEQUENCE(100,1,13,3)),INDEX(FB:FB,_xlfn.SEQUENCE(100,1,13,3))&lt;&gt;""),"")&lt;&gt;"")*1)</f>
        <v>0</v>
      </c>
      <c r="FC3" s="47" cm="1">
        <f t="array" ref="FC3">SUMPRODUCT((IFERROR(_xlfn._xlws.FILTER(INDEX(FC:FC,_xlfn.SEQUENCE(100,1,13,3)),INDEX(FC:FC,_xlfn.SEQUENCE(100,1,13,3))&lt;&gt;""),"")&lt;&gt;"")*1)</f>
        <v>0</v>
      </c>
      <c r="FD3" s="47" cm="1">
        <f t="array" ref="FD3">SUMPRODUCT((IFERROR(_xlfn._xlws.FILTER(INDEX(FD:FD,_xlfn.SEQUENCE(100,1,13,3)),INDEX(FD:FD,_xlfn.SEQUENCE(100,1,13,3))&lt;&gt;""),"")&lt;&gt;"")*1)</f>
        <v>0</v>
      </c>
      <c r="FE3" s="47" cm="1">
        <f t="array" ref="FE3">SUMPRODUCT((IFERROR(_xlfn._xlws.FILTER(INDEX(FE:FE,_xlfn.SEQUENCE(100,1,13,3)),INDEX(FE:FE,_xlfn.SEQUENCE(100,1,13,3))&lt;&gt;""),"")&lt;&gt;"")*1)</f>
        <v>0</v>
      </c>
      <c r="FF3" s="47" cm="1">
        <f t="array" ref="FF3">SUMPRODUCT((IFERROR(_xlfn._xlws.FILTER(INDEX(FF:FF,_xlfn.SEQUENCE(100,1,13,3)),INDEX(FF:FF,_xlfn.SEQUENCE(100,1,13,3))&lt;&gt;""),"")&lt;&gt;"")*1)</f>
        <v>0</v>
      </c>
      <c r="FG3" s="47" cm="1">
        <f t="array" ref="FG3">SUMPRODUCT((IFERROR(_xlfn._xlws.FILTER(INDEX(FG:FG,_xlfn.SEQUENCE(100,1,13,3)),INDEX(FG:FG,_xlfn.SEQUENCE(100,1,13,3))&lt;&gt;""),"")&lt;&gt;"")*1)</f>
        <v>0</v>
      </c>
      <c r="FH3" s="47" cm="1">
        <f t="array" ref="FH3">SUMPRODUCT((IFERROR(_xlfn._xlws.FILTER(INDEX(FH:FH,_xlfn.SEQUENCE(100,1,13,3)),INDEX(FH:FH,_xlfn.SEQUENCE(100,1,13,3))&lt;&gt;""),"")&lt;&gt;"")*1)</f>
        <v>0</v>
      </c>
      <c r="FI3" s="47" cm="1">
        <f t="array" ref="FI3">SUMPRODUCT((IFERROR(_xlfn._xlws.FILTER(INDEX(FI:FI,_xlfn.SEQUENCE(100,1,13,3)),INDEX(FI:FI,_xlfn.SEQUENCE(100,1,13,3))&lt;&gt;""),"")&lt;&gt;"")*1)</f>
        <v>0</v>
      </c>
      <c r="FJ3" s="47" cm="1">
        <f t="array" ref="FJ3">SUMPRODUCT((IFERROR(_xlfn._xlws.FILTER(INDEX(FJ:FJ,_xlfn.SEQUENCE(100,1,13,3)),INDEX(FJ:FJ,_xlfn.SEQUENCE(100,1,13,3))&lt;&gt;""),"")&lt;&gt;"")*1)</f>
        <v>0</v>
      </c>
      <c r="FK3" s="47" cm="1">
        <f t="array" ref="FK3">SUMPRODUCT((IFERROR(_xlfn._xlws.FILTER(INDEX(FK:FK,_xlfn.SEQUENCE(100,1,13,3)),INDEX(FK:FK,_xlfn.SEQUENCE(100,1,13,3))&lt;&gt;""),"")&lt;&gt;"")*1)</f>
        <v>0</v>
      </c>
      <c r="FL3" s="47" cm="1">
        <f t="array" ref="FL3">SUMPRODUCT((IFERROR(_xlfn._xlws.FILTER(INDEX(FL:FL,_xlfn.SEQUENCE(100,1,13,3)),INDEX(FL:FL,_xlfn.SEQUENCE(100,1,13,3))&lt;&gt;""),"")&lt;&gt;"")*1)</f>
        <v>0</v>
      </c>
      <c r="FM3" s="47" cm="1">
        <f t="array" ref="FM3">SUMPRODUCT((IFERROR(_xlfn._xlws.FILTER(INDEX(FM:FM,_xlfn.SEQUENCE(100,1,13,3)),INDEX(FM:FM,_xlfn.SEQUENCE(100,1,13,3))&lt;&gt;""),"")&lt;&gt;"")*1)</f>
        <v>0</v>
      </c>
      <c r="FN3" s="47" cm="1">
        <f t="array" ref="FN3">SUMPRODUCT((IFERROR(_xlfn._xlws.FILTER(INDEX(FN:FN,_xlfn.SEQUENCE(100,1,13,3)),INDEX(FN:FN,_xlfn.SEQUENCE(100,1,13,3))&lt;&gt;""),"")&lt;&gt;"")*1)</f>
        <v>0</v>
      </c>
      <c r="FO3" s="47" cm="1">
        <f t="array" ref="FO3">SUMPRODUCT((IFERROR(_xlfn._xlws.FILTER(INDEX(FO:FO,_xlfn.SEQUENCE(100,1,13,3)),INDEX(FO:FO,_xlfn.SEQUENCE(100,1,13,3))&lt;&gt;""),"")&lt;&gt;"")*1)</f>
        <v>0</v>
      </c>
      <c r="FP3" s="47" cm="1">
        <f t="array" ref="FP3">SUMPRODUCT((IFERROR(_xlfn._xlws.FILTER(INDEX(FP:FP,_xlfn.SEQUENCE(100,1,13,3)),INDEX(FP:FP,_xlfn.SEQUENCE(100,1,13,3))&lt;&gt;""),"")&lt;&gt;"")*1)</f>
        <v>0</v>
      </c>
      <c r="FQ3" s="47" cm="1">
        <f t="array" ref="FQ3">SUMPRODUCT((IFERROR(_xlfn._xlws.FILTER(INDEX(FQ:FQ,_xlfn.SEQUENCE(100,1,13,3)),INDEX(FQ:FQ,_xlfn.SEQUENCE(100,1,13,3))&lt;&gt;""),"")&lt;&gt;"")*1)</f>
        <v>0</v>
      </c>
      <c r="FR3" s="47" cm="1">
        <f t="array" ref="FR3">SUMPRODUCT((IFERROR(_xlfn._xlws.FILTER(INDEX(FR:FR,_xlfn.SEQUENCE(100,1,13,3)),INDEX(FR:FR,_xlfn.SEQUENCE(100,1,13,3))&lt;&gt;""),"")&lt;&gt;"")*1)</f>
        <v>0</v>
      </c>
      <c r="FS3" s="47" cm="1">
        <f t="array" ref="FS3">SUMPRODUCT((IFERROR(_xlfn._xlws.FILTER(INDEX(FS:FS,_xlfn.SEQUENCE(100,1,13,3)),INDEX(FS:FS,_xlfn.SEQUENCE(100,1,13,3))&lt;&gt;""),"")&lt;&gt;"")*1)</f>
        <v>0</v>
      </c>
      <c r="FT3" s="47" cm="1">
        <f t="array" ref="FT3">SUMPRODUCT((IFERROR(_xlfn._xlws.FILTER(INDEX(FT:FT,_xlfn.SEQUENCE(100,1,13,3)),INDEX(FT:FT,_xlfn.SEQUENCE(100,1,13,3))&lt;&gt;""),"")&lt;&gt;"")*1)</f>
        <v>0</v>
      </c>
      <c r="FU3" s="47" cm="1">
        <f t="array" ref="FU3">SUMPRODUCT((IFERROR(_xlfn._xlws.FILTER(INDEX(FU:FU,_xlfn.SEQUENCE(100,1,13,3)),INDEX(FU:FU,_xlfn.SEQUENCE(100,1,13,3))&lt;&gt;""),"")&lt;&gt;"")*1)</f>
        <v>0</v>
      </c>
      <c r="FV3" s="47" cm="1">
        <f t="array" ref="FV3">SUMPRODUCT((IFERROR(_xlfn._xlws.FILTER(INDEX(FV:FV,_xlfn.SEQUENCE(100,1,13,3)),INDEX(FV:FV,_xlfn.SEQUENCE(100,1,13,3))&lt;&gt;""),"")&lt;&gt;"")*1)</f>
        <v>0</v>
      </c>
      <c r="FW3" s="47" cm="1">
        <f t="array" ref="FW3">SUMPRODUCT((IFERROR(_xlfn._xlws.FILTER(INDEX(FW:FW,_xlfn.SEQUENCE(100,1,13,3)),INDEX(FW:FW,_xlfn.SEQUENCE(100,1,13,3))&lt;&gt;""),"")&lt;&gt;"")*1)</f>
        <v>0</v>
      </c>
      <c r="FX3" s="47" cm="1">
        <f t="array" ref="FX3">SUMPRODUCT((IFERROR(_xlfn._xlws.FILTER(INDEX(FX:FX,_xlfn.SEQUENCE(100,1,13,3)),INDEX(FX:FX,_xlfn.SEQUENCE(100,1,13,3))&lt;&gt;""),"")&lt;&gt;"")*1)</f>
        <v>0</v>
      </c>
      <c r="FY3" s="47" cm="1">
        <f t="array" ref="FY3">SUMPRODUCT((IFERROR(_xlfn._xlws.FILTER(INDEX(FY:FY,_xlfn.SEQUENCE(100,1,13,3)),INDEX(FY:FY,_xlfn.SEQUENCE(100,1,13,3))&lt;&gt;""),"")&lt;&gt;"")*1)</f>
        <v>0</v>
      </c>
      <c r="FZ3" s="47" cm="1">
        <f t="array" ref="FZ3">SUMPRODUCT((IFERROR(_xlfn._xlws.FILTER(INDEX(FZ:FZ,_xlfn.SEQUENCE(100,1,13,3)),INDEX(FZ:FZ,_xlfn.SEQUENCE(100,1,13,3))&lt;&gt;""),"")&lt;&gt;"")*1)</f>
        <v>0</v>
      </c>
      <c r="GA3" s="47" cm="1">
        <f t="array" ref="GA3">SUMPRODUCT((IFERROR(_xlfn._xlws.FILTER(INDEX(GA:GA,_xlfn.SEQUENCE(100,1,13,3)),INDEX(GA:GA,_xlfn.SEQUENCE(100,1,13,3))&lt;&gt;""),"")&lt;&gt;"")*1)</f>
        <v>0</v>
      </c>
      <c r="GB3" s="47" cm="1">
        <f t="array" ref="GB3">SUMPRODUCT((IFERROR(_xlfn._xlws.FILTER(INDEX(GB:GB,_xlfn.SEQUENCE(100,1,13,3)),INDEX(GB:GB,_xlfn.SEQUENCE(100,1,13,3))&lt;&gt;""),"")&lt;&gt;"")*1)</f>
        <v>0</v>
      </c>
      <c r="GC3" s="47" cm="1">
        <f t="array" ref="GC3">SUMPRODUCT((IFERROR(_xlfn._xlws.FILTER(INDEX(GC:GC,_xlfn.SEQUENCE(100,1,13,3)),INDEX(GC:GC,_xlfn.SEQUENCE(100,1,13,3))&lt;&gt;""),"")&lt;&gt;"")*1)</f>
        <v>0</v>
      </c>
      <c r="GD3" s="47" cm="1">
        <f t="array" ref="GD3">SUMPRODUCT((IFERROR(_xlfn._xlws.FILTER(INDEX(GD:GD,_xlfn.SEQUENCE(100,1,13,3)),INDEX(GD:GD,_xlfn.SEQUENCE(100,1,13,3))&lt;&gt;""),"")&lt;&gt;"")*1)</f>
        <v>0</v>
      </c>
      <c r="GE3" s="47" cm="1">
        <f t="array" ref="GE3">SUMPRODUCT((IFERROR(_xlfn._xlws.FILTER(INDEX(GE:GE,_xlfn.SEQUENCE(100,1,13,3)),INDEX(GE:GE,_xlfn.SEQUENCE(100,1,13,3))&lt;&gt;""),"")&lt;&gt;"")*1)</f>
        <v>0</v>
      </c>
      <c r="GF3" s="47" cm="1">
        <f t="array" ref="GF3">SUMPRODUCT((IFERROR(_xlfn._xlws.FILTER(INDEX(GF:GF,_xlfn.SEQUENCE(100,1,13,3)),INDEX(GF:GF,_xlfn.SEQUENCE(100,1,13,3))&lt;&gt;""),"")&lt;&gt;"")*1)</f>
        <v>0</v>
      </c>
      <c r="GG3" s="47" cm="1">
        <f t="array" ref="GG3">SUMPRODUCT((IFERROR(_xlfn._xlws.FILTER(INDEX(GG:GG,_xlfn.SEQUENCE(100,1,13,3)),INDEX(GG:GG,_xlfn.SEQUENCE(100,1,13,3))&lt;&gt;""),"")&lt;&gt;"")*1)</f>
        <v>0</v>
      </c>
      <c r="GH3" s="47" cm="1">
        <f t="array" ref="GH3">SUMPRODUCT((IFERROR(_xlfn._xlws.FILTER(INDEX(GH:GH,_xlfn.SEQUENCE(100,1,13,3)),INDEX(GH:GH,_xlfn.SEQUENCE(100,1,13,3))&lt;&gt;""),"")&lt;&gt;"")*1)</f>
        <v>0</v>
      </c>
      <c r="GI3" s="47" cm="1">
        <f t="array" ref="GI3">SUMPRODUCT((IFERROR(_xlfn._xlws.FILTER(INDEX(GI:GI,_xlfn.SEQUENCE(100,1,13,3)),INDEX(GI:GI,_xlfn.SEQUENCE(100,1,13,3))&lt;&gt;""),"")&lt;&gt;"")*1)</f>
        <v>0</v>
      </c>
      <c r="GJ3" s="47" cm="1">
        <f t="array" ref="GJ3">SUMPRODUCT((IFERROR(_xlfn._xlws.FILTER(INDEX(GJ:GJ,_xlfn.SEQUENCE(100,1,13,3)),INDEX(GJ:GJ,_xlfn.SEQUENCE(100,1,13,3))&lt;&gt;""),"")&lt;&gt;"")*1)</f>
        <v>0</v>
      </c>
      <c r="GK3" s="47" cm="1">
        <f t="array" ref="GK3">SUMPRODUCT((IFERROR(_xlfn._xlws.FILTER(INDEX(GK:GK,_xlfn.SEQUENCE(100,1,13,3)),INDEX(GK:GK,_xlfn.SEQUENCE(100,1,13,3))&lt;&gt;""),"")&lt;&gt;"")*1)</f>
        <v>0</v>
      </c>
      <c r="GL3" s="47" cm="1">
        <f t="array" ref="GL3">SUMPRODUCT((IFERROR(_xlfn._xlws.FILTER(INDEX(GL:GL,_xlfn.SEQUENCE(100,1,13,3)),INDEX(GL:GL,_xlfn.SEQUENCE(100,1,13,3))&lt;&gt;""),"")&lt;&gt;"")*1)</f>
        <v>0</v>
      </c>
      <c r="GM3" s="47" cm="1">
        <f t="array" ref="GM3">SUMPRODUCT((IFERROR(_xlfn._xlws.FILTER(INDEX(GM:GM,_xlfn.SEQUENCE(100,1,13,3)),INDEX(GM:GM,_xlfn.SEQUENCE(100,1,13,3))&lt;&gt;""),"")&lt;&gt;"")*1)</f>
        <v>0</v>
      </c>
      <c r="GN3" s="47" cm="1">
        <f t="array" ref="GN3">SUMPRODUCT((IFERROR(_xlfn._xlws.FILTER(INDEX(GN:GN,_xlfn.SEQUENCE(100,1,13,3)),INDEX(GN:GN,_xlfn.SEQUENCE(100,1,13,3))&lt;&gt;""),"")&lt;&gt;"")*1)</f>
        <v>0</v>
      </c>
      <c r="GO3" s="47" cm="1">
        <f t="array" ref="GO3">SUMPRODUCT((IFERROR(_xlfn._xlws.FILTER(INDEX(GO:GO,_xlfn.SEQUENCE(100,1,13,3)),INDEX(GO:GO,_xlfn.SEQUENCE(100,1,13,3))&lt;&gt;""),"")&lt;&gt;"")*1)</f>
        <v>0</v>
      </c>
      <c r="GP3" s="47" cm="1">
        <f t="array" ref="GP3">SUMPRODUCT((IFERROR(_xlfn._xlws.FILTER(INDEX(GP:GP,_xlfn.SEQUENCE(100,1,13,3)),INDEX(GP:GP,_xlfn.SEQUENCE(100,1,13,3))&lt;&gt;""),"")&lt;&gt;"")*1)</f>
        <v>0</v>
      </c>
      <c r="GQ3" s="47" cm="1">
        <f t="array" ref="GQ3">SUMPRODUCT((IFERROR(_xlfn._xlws.FILTER(INDEX(GQ:GQ,_xlfn.SEQUENCE(100,1,13,3)),INDEX(GQ:GQ,_xlfn.SEQUENCE(100,1,13,3))&lt;&gt;""),"")&lt;&gt;"")*1)</f>
        <v>0</v>
      </c>
      <c r="GR3" s="47" cm="1">
        <f t="array" ref="GR3">SUMPRODUCT((IFERROR(_xlfn._xlws.FILTER(INDEX(GR:GR,_xlfn.SEQUENCE(100,1,13,3)),INDEX(GR:GR,_xlfn.SEQUENCE(100,1,13,3))&lt;&gt;""),"")&lt;&gt;"")*1)</f>
        <v>0</v>
      </c>
      <c r="GS3" s="47" cm="1">
        <f t="array" ref="GS3">SUMPRODUCT((IFERROR(_xlfn._xlws.FILTER(INDEX(GS:GS,_xlfn.SEQUENCE(100,1,13,3)),INDEX(GS:GS,_xlfn.SEQUENCE(100,1,13,3))&lt;&gt;""),"")&lt;&gt;"")*1)</f>
        <v>0</v>
      </c>
      <c r="GT3" s="47" cm="1">
        <f t="array" ref="GT3">SUMPRODUCT((IFERROR(_xlfn._xlws.FILTER(INDEX(GT:GT,_xlfn.SEQUENCE(100,1,13,3)),INDEX(GT:GT,_xlfn.SEQUENCE(100,1,13,3))&lt;&gt;""),"")&lt;&gt;"")*1)</f>
        <v>0</v>
      </c>
      <c r="GU3" s="47" cm="1">
        <f t="array" ref="GU3">SUMPRODUCT((IFERROR(_xlfn._xlws.FILTER(INDEX(GU:GU,_xlfn.SEQUENCE(100,1,13,3)),INDEX(GU:GU,_xlfn.SEQUENCE(100,1,13,3))&lt;&gt;""),"")&lt;&gt;"")*1)</f>
        <v>0</v>
      </c>
      <c r="GV3" s="47" cm="1">
        <f t="array" ref="GV3">SUMPRODUCT((IFERROR(_xlfn._xlws.FILTER(INDEX(GV:GV,_xlfn.SEQUENCE(100,1,13,3)),INDEX(GV:GV,_xlfn.SEQUENCE(100,1,13,3))&lt;&gt;""),"")&lt;&gt;"")*1)</f>
        <v>0</v>
      </c>
      <c r="GW3" s="47" cm="1">
        <f t="array" ref="GW3">SUMPRODUCT((IFERROR(_xlfn._xlws.FILTER(INDEX(GW:GW,_xlfn.SEQUENCE(100,1,13,3)),INDEX(GW:GW,_xlfn.SEQUENCE(100,1,13,3))&lt;&gt;""),"")&lt;&gt;"")*1)</f>
        <v>0</v>
      </c>
      <c r="GX3" s="47" cm="1">
        <f t="array" ref="GX3">SUMPRODUCT((IFERROR(_xlfn._xlws.FILTER(INDEX(GX:GX,_xlfn.SEQUENCE(100,1,13,3)),INDEX(GX:GX,_xlfn.SEQUENCE(100,1,13,3))&lt;&gt;""),"")&lt;&gt;"")*1)</f>
        <v>0</v>
      </c>
      <c r="GY3" s="47" cm="1">
        <f t="array" ref="GY3">SUMPRODUCT((IFERROR(_xlfn._xlws.FILTER(INDEX(GY:GY,_xlfn.SEQUENCE(100,1,13,3)),INDEX(GY:GY,_xlfn.SEQUENCE(100,1,13,3))&lt;&gt;""),"")&lt;&gt;"")*1)</f>
        <v>0</v>
      </c>
      <c r="GZ3" s="47" cm="1">
        <f t="array" ref="GZ3">SUMPRODUCT((IFERROR(_xlfn._xlws.FILTER(INDEX(GZ:GZ,_xlfn.SEQUENCE(100,1,13,3)),INDEX(GZ:GZ,_xlfn.SEQUENCE(100,1,13,3))&lt;&gt;""),"")&lt;&gt;"")*1)</f>
        <v>0</v>
      </c>
      <c r="HA3" s="47" cm="1">
        <f t="array" ref="HA3">SUMPRODUCT((IFERROR(_xlfn._xlws.FILTER(INDEX(HA:HA,_xlfn.SEQUENCE(100,1,13,3)),INDEX(HA:HA,_xlfn.SEQUENCE(100,1,13,3))&lt;&gt;""),"")&lt;&gt;"")*1)</f>
        <v>0</v>
      </c>
      <c r="HB3" s="47" cm="1">
        <f t="array" ref="HB3">SUMPRODUCT((IFERROR(_xlfn._xlws.FILTER(INDEX(HB:HB,_xlfn.SEQUENCE(100,1,13,3)),INDEX(HB:HB,_xlfn.SEQUENCE(100,1,13,3))&lt;&gt;""),"")&lt;&gt;"")*1)</f>
        <v>0</v>
      </c>
      <c r="HC3" s="47" cm="1">
        <f t="array" ref="HC3">SUMPRODUCT((IFERROR(_xlfn._xlws.FILTER(INDEX(HC:HC,_xlfn.SEQUENCE(100,1,13,3)),INDEX(HC:HC,_xlfn.SEQUENCE(100,1,13,3))&lt;&gt;""),"")&lt;&gt;"")*1)</f>
        <v>0</v>
      </c>
      <c r="HD3" s="47" cm="1">
        <f t="array" ref="HD3">SUMPRODUCT((IFERROR(_xlfn._xlws.FILTER(INDEX(HD:HD,_xlfn.SEQUENCE(100,1,13,3)),INDEX(HD:HD,_xlfn.SEQUENCE(100,1,13,3))&lt;&gt;""),"")&lt;&gt;"")*1)</f>
        <v>0</v>
      </c>
      <c r="HE3" s="47" cm="1">
        <f t="array" ref="HE3">SUMPRODUCT((IFERROR(_xlfn._xlws.FILTER(INDEX(HE:HE,_xlfn.SEQUENCE(100,1,13,3)),INDEX(HE:HE,_xlfn.SEQUENCE(100,1,13,3))&lt;&gt;""),"")&lt;&gt;"")*1)</f>
        <v>0</v>
      </c>
      <c r="HF3" s="47" cm="1">
        <f t="array" ref="HF3">SUMPRODUCT((IFERROR(_xlfn._xlws.FILTER(INDEX(HF:HF,_xlfn.SEQUENCE(100,1,13,3)),INDEX(HF:HF,_xlfn.SEQUENCE(100,1,13,3))&lt;&gt;""),"")&lt;&gt;"")*1)</f>
        <v>0</v>
      </c>
      <c r="HG3" s="47" cm="1">
        <f t="array" ref="HG3">SUMPRODUCT((IFERROR(_xlfn._xlws.FILTER(INDEX(HG:HG,_xlfn.SEQUENCE(100,1,13,3)),INDEX(HG:HG,_xlfn.SEQUENCE(100,1,13,3))&lt;&gt;""),"")&lt;&gt;"")*1)</f>
        <v>0</v>
      </c>
      <c r="HH3" s="47" cm="1">
        <f t="array" ref="HH3">SUMPRODUCT((IFERROR(_xlfn._xlws.FILTER(INDEX(HH:HH,_xlfn.SEQUENCE(100,1,13,3)),INDEX(HH:HH,_xlfn.SEQUENCE(100,1,13,3))&lt;&gt;""),"")&lt;&gt;"")*1)</f>
        <v>0</v>
      </c>
      <c r="HI3" s="47" cm="1">
        <f t="array" ref="HI3">SUMPRODUCT((IFERROR(_xlfn._xlws.FILTER(INDEX(HI:HI,_xlfn.SEQUENCE(100,1,13,3)),INDEX(HI:HI,_xlfn.SEQUENCE(100,1,13,3))&lt;&gt;""),"")&lt;&gt;"")*1)</f>
        <v>0</v>
      </c>
      <c r="HJ3" s="47" cm="1">
        <f t="array" ref="HJ3">SUMPRODUCT((IFERROR(_xlfn._xlws.FILTER(INDEX(HJ:HJ,_xlfn.SEQUENCE(100,1,13,3)),INDEX(HJ:HJ,_xlfn.SEQUENCE(100,1,13,3))&lt;&gt;""),"")&lt;&gt;"")*1)</f>
        <v>0</v>
      </c>
      <c r="HK3" s="47" cm="1">
        <f t="array" ref="HK3">SUMPRODUCT((IFERROR(_xlfn._xlws.FILTER(INDEX(HK:HK,_xlfn.SEQUENCE(100,1,13,3)),INDEX(HK:HK,_xlfn.SEQUENCE(100,1,13,3))&lt;&gt;""),"")&lt;&gt;"")*1)</f>
        <v>0</v>
      </c>
      <c r="HL3" s="47" cm="1">
        <f t="array" ref="HL3">SUMPRODUCT((IFERROR(_xlfn._xlws.FILTER(INDEX(HL:HL,_xlfn.SEQUENCE(100,1,13,3)),INDEX(HL:HL,_xlfn.SEQUENCE(100,1,13,3))&lt;&gt;""),"")&lt;&gt;"")*1)</f>
        <v>0</v>
      </c>
      <c r="HM3" s="47" cm="1">
        <f t="array" ref="HM3">SUMPRODUCT((IFERROR(_xlfn._xlws.FILTER(INDEX(HM:HM,_xlfn.SEQUENCE(100,1,13,3)),INDEX(HM:HM,_xlfn.SEQUENCE(100,1,13,3))&lt;&gt;""),"")&lt;&gt;"")*1)</f>
        <v>0</v>
      </c>
      <c r="HN3" s="47" cm="1">
        <f t="array" ref="HN3">SUMPRODUCT((IFERROR(_xlfn._xlws.FILTER(INDEX(HN:HN,_xlfn.SEQUENCE(100,1,13,3)),INDEX(HN:HN,_xlfn.SEQUENCE(100,1,13,3))&lt;&gt;""),"")&lt;&gt;"")*1)</f>
        <v>0</v>
      </c>
      <c r="HO3" s="47" cm="1">
        <f t="array" ref="HO3">SUMPRODUCT((IFERROR(_xlfn._xlws.FILTER(INDEX(HO:HO,_xlfn.SEQUENCE(100,1,13,3)),INDEX(HO:HO,_xlfn.SEQUENCE(100,1,13,3))&lt;&gt;""),"")&lt;&gt;"")*1)</f>
        <v>0</v>
      </c>
      <c r="HP3" s="47" cm="1">
        <f t="array" ref="HP3">SUMPRODUCT((IFERROR(_xlfn._xlws.FILTER(INDEX(HP:HP,_xlfn.SEQUENCE(100,1,13,3)),INDEX(HP:HP,_xlfn.SEQUENCE(100,1,13,3))&lt;&gt;""),"")&lt;&gt;"")*1)</f>
        <v>0</v>
      </c>
      <c r="HQ3" s="47" cm="1">
        <f t="array" ref="HQ3">SUMPRODUCT((IFERROR(_xlfn._xlws.FILTER(INDEX(HQ:HQ,_xlfn.SEQUENCE(100,1,13,3)),INDEX(HQ:HQ,_xlfn.SEQUENCE(100,1,13,3))&lt;&gt;""),"")&lt;&gt;"")*1)</f>
        <v>0</v>
      </c>
      <c r="HR3" s="47" cm="1">
        <f t="array" ref="HR3">SUMPRODUCT((IFERROR(_xlfn._xlws.FILTER(INDEX(HR:HR,_xlfn.SEQUENCE(100,1,13,3)),INDEX(HR:HR,_xlfn.SEQUENCE(100,1,13,3))&lt;&gt;""),"")&lt;&gt;"")*1)</f>
        <v>0</v>
      </c>
      <c r="HS3" s="47" cm="1">
        <f t="array" ref="HS3">SUMPRODUCT((IFERROR(_xlfn._xlws.FILTER(INDEX(HS:HS,_xlfn.SEQUENCE(100,1,13,3)),INDEX(HS:HS,_xlfn.SEQUENCE(100,1,13,3))&lt;&gt;""),"")&lt;&gt;"")*1)</f>
        <v>0</v>
      </c>
      <c r="HT3" s="47" cm="1">
        <f t="array" ref="HT3">SUMPRODUCT((IFERROR(_xlfn._xlws.FILTER(INDEX(HT:HT,_xlfn.SEQUENCE(100,1,13,3)),INDEX(HT:HT,_xlfn.SEQUENCE(100,1,13,3))&lt;&gt;""),"")&lt;&gt;"")*1)</f>
        <v>0</v>
      </c>
      <c r="HU3" s="47" cm="1">
        <f t="array" ref="HU3">SUMPRODUCT((IFERROR(_xlfn._xlws.FILTER(INDEX(HU:HU,_xlfn.SEQUENCE(100,1,13,3)),INDEX(HU:HU,_xlfn.SEQUENCE(100,1,13,3))&lt;&gt;""),"")&lt;&gt;"")*1)</f>
        <v>0</v>
      </c>
      <c r="HV3" s="47" cm="1">
        <f t="array" ref="HV3">SUMPRODUCT((IFERROR(_xlfn._xlws.FILTER(INDEX(HV:HV,_xlfn.SEQUENCE(100,1,13,3)),INDEX(HV:HV,_xlfn.SEQUENCE(100,1,13,3))&lt;&gt;""),"")&lt;&gt;"")*1)</f>
        <v>0</v>
      </c>
      <c r="HW3" s="47" cm="1">
        <f t="array" ref="HW3">SUMPRODUCT((IFERROR(_xlfn._xlws.FILTER(INDEX(HW:HW,_xlfn.SEQUENCE(100,1,13,3)),INDEX(HW:HW,_xlfn.SEQUENCE(100,1,13,3))&lt;&gt;""),"")&lt;&gt;"")*1)</f>
        <v>0</v>
      </c>
      <c r="HX3" s="47" cm="1">
        <f t="array" ref="HX3">SUMPRODUCT((IFERROR(_xlfn._xlws.FILTER(INDEX(HX:HX,_xlfn.SEQUENCE(100,1,13,3)),INDEX(HX:HX,_xlfn.SEQUENCE(100,1,13,3))&lt;&gt;""),"")&lt;&gt;"")*1)</f>
        <v>0</v>
      </c>
      <c r="HY3" s="47" cm="1">
        <f t="array" ref="HY3">SUMPRODUCT((IFERROR(_xlfn._xlws.FILTER(INDEX(HY:HY,_xlfn.SEQUENCE(100,1,13,3)),INDEX(HY:HY,_xlfn.SEQUENCE(100,1,13,3))&lt;&gt;""),"")&lt;&gt;"")*1)</f>
        <v>0</v>
      </c>
      <c r="HZ3" s="47" cm="1">
        <f t="array" ref="HZ3">SUMPRODUCT((IFERROR(_xlfn._xlws.FILTER(INDEX(HZ:HZ,_xlfn.SEQUENCE(100,1,13,3)),INDEX(HZ:HZ,_xlfn.SEQUENCE(100,1,13,3))&lt;&gt;""),"")&lt;&gt;"")*1)</f>
        <v>0</v>
      </c>
      <c r="IA3" s="47" cm="1">
        <f t="array" ref="IA3">SUMPRODUCT((IFERROR(_xlfn._xlws.FILTER(INDEX(IA:IA,_xlfn.SEQUENCE(100,1,13,3)),INDEX(IA:IA,_xlfn.SEQUENCE(100,1,13,3))&lt;&gt;""),"")&lt;&gt;"")*1)</f>
        <v>0</v>
      </c>
      <c r="IB3" s="47" cm="1">
        <f t="array" ref="IB3">SUMPRODUCT((IFERROR(_xlfn._xlws.FILTER(INDEX(IB:IB,_xlfn.SEQUENCE(100,1,13,3)),INDEX(IB:IB,_xlfn.SEQUENCE(100,1,13,3))&lt;&gt;""),"")&lt;&gt;"")*1)</f>
        <v>0</v>
      </c>
      <c r="IC3" s="47" cm="1">
        <f t="array" ref="IC3">SUMPRODUCT((IFERROR(_xlfn._xlws.FILTER(INDEX(IC:IC,_xlfn.SEQUENCE(100,1,13,3)),INDEX(IC:IC,_xlfn.SEQUENCE(100,1,13,3))&lt;&gt;""),"")&lt;&gt;"")*1)</f>
        <v>0</v>
      </c>
      <c r="ID3" s="47" cm="1">
        <f t="array" ref="ID3">SUMPRODUCT((IFERROR(_xlfn._xlws.FILTER(INDEX(ID:ID,_xlfn.SEQUENCE(100,1,13,3)),INDEX(ID:ID,_xlfn.SEQUENCE(100,1,13,3))&lt;&gt;""),"")&lt;&gt;"")*1)</f>
        <v>0</v>
      </c>
      <c r="IE3" s="47" cm="1">
        <f t="array" ref="IE3">SUMPRODUCT((IFERROR(_xlfn._xlws.FILTER(INDEX(IE:IE,_xlfn.SEQUENCE(100,1,13,3)),INDEX(IE:IE,_xlfn.SEQUENCE(100,1,13,3))&lt;&gt;""),"")&lt;&gt;"")*1)</f>
        <v>0</v>
      </c>
      <c r="IF3" s="47" cm="1">
        <f t="array" ref="IF3">SUMPRODUCT((IFERROR(_xlfn._xlws.FILTER(INDEX(IF:IF,_xlfn.SEQUENCE(100,1,13,3)),INDEX(IF:IF,_xlfn.SEQUENCE(100,1,13,3))&lt;&gt;""),"")&lt;&gt;"")*1)</f>
        <v>0</v>
      </c>
      <c r="IG3" s="47" cm="1">
        <f t="array" ref="IG3">SUMPRODUCT((IFERROR(_xlfn._xlws.FILTER(INDEX(IG:IG,_xlfn.SEQUENCE(100,1,13,3)),INDEX(IG:IG,_xlfn.SEQUENCE(100,1,13,3))&lt;&gt;""),"")&lt;&gt;"")*1)</f>
        <v>0</v>
      </c>
      <c r="IH3" s="47" cm="1">
        <f t="array" ref="IH3">SUMPRODUCT((IFERROR(_xlfn._xlws.FILTER(INDEX(IH:IH,_xlfn.SEQUENCE(100,1,13,3)),INDEX(IH:IH,_xlfn.SEQUENCE(100,1,13,3))&lt;&gt;""),"")&lt;&gt;"")*1)</f>
        <v>0</v>
      </c>
      <c r="II3" s="47" cm="1">
        <f t="array" ref="II3">SUMPRODUCT((IFERROR(_xlfn._xlws.FILTER(INDEX(II:II,_xlfn.SEQUENCE(100,1,13,3)),INDEX(II:II,_xlfn.SEQUENCE(100,1,13,3))&lt;&gt;""),"")&lt;&gt;"")*1)</f>
        <v>0</v>
      </c>
      <c r="IJ3" s="47" cm="1">
        <f t="array" ref="IJ3">SUMPRODUCT((IFERROR(_xlfn._xlws.FILTER(INDEX(IJ:IJ,_xlfn.SEQUENCE(100,1,13,3)),INDEX(IJ:IJ,_xlfn.SEQUENCE(100,1,13,3))&lt;&gt;""),"")&lt;&gt;"")*1)</f>
        <v>0</v>
      </c>
      <c r="IK3" s="47" cm="1">
        <f t="array" ref="IK3">SUMPRODUCT((IFERROR(_xlfn._xlws.FILTER(INDEX(IK:IK,_xlfn.SEQUENCE(100,1,13,3)),INDEX(IK:IK,_xlfn.SEQUENCE(100,1,13,3))&lt;&gt;""),"")&lt;&gt;"")*1)</f>
        <v>0</v>
      </c>
      <c r="IL3" s="47" cm="1">
        <f t="array" ref="IL3">SUMPRODUCT((IFERROR(_xlfn._xlws.FILTER(INDEX(IL:IL,_xlfn.SEQUENCE(100,1,13,3)),INDEX(IL:IL,_xlfn.SEQUENCE(100,1,13,3))&lt;&gt;""),"")&lt;&gt;"")*1)</f>
        <v>0</v>
      </c>
      <c r="IM3" s="47" cm="1">
        <f t="array" ref="IM3">SUMPRODUCT((IFERROR(_xlfn._xlws.FILTER(INDEX(IM:IM,_xlfn.SEQUENCE(100,1,13,3)),INDEX(IM:IM,_xlfn.SEQUENCE(100,1,13,3))&lt;&gt;""),"")&lt;&gt;"")*1)</f>
        <v>0</v>
      </c>
      <c r="IN3" s="47" cm="1">
        <f t="array" ref="IN3">SUMPRODUCT((IFERROR(_xlfn._xlws.FILTER(INDEX(IN:IN,_xlfn.SEQUENCE(100,1,13,3)),INDEX(IN:IN,_xlfn.SEQUENCE(100,1,13,3))&lt;&gt;""),"")&lt;&gt;"")*1)</f>
        <v>0</v>
      </c>
      <c r="IO3" s="47" cm="1">
        <f t="array" ref="IO3">SUMPRODUCT((IFERROR(_xlfn._xlws.FILTER(INDEX(IO:IO,_xlfn.SEQUENCE(100,1,13,3)),INDEX(IO:IO,_xlfn.SEQUENCE(100,1,13,3))&lt;&gt;""),"")&lt;&gt;"")*1)</f>
        <v>0</v>
      </c>
      <c r="IP3" s="47" cm="1">
        <f t="array" ref="IP3">SUMPRODUCT((IFERROR(_xlfn._xlws.FILTER(INDEX(IP:IP,_xlfn.SEQUENCE(100,1,13,3)),INDEX(IP:IP,_xlfn.SEQUENCE(100,1,13,3))&lt;&gt;""),"")&lt;&gt;"")*1)</f>
        <v>0</v>
      </c>
      <c r="IQ3" s="47" cm="1">
        <f t="array" ref="IQ3">SUMPRODUCT((IFERROR(_xlfn._xlws.FILTER(INDEX(IQ:IQ,_xlfn.SEQUENCE(100,1,13,3)),INDEX(IQ:IQ,_xlfn.SEQUENCE(100,1,13,3))&lt;&gt;""),"")&lt;&gt;"")*1)</f>
        <v>0</v>
      </c>
      <c r="IR3" s="47" cm="1">
        <f t="array" ref="IR3">SUMPRODUCT((IFERROR(_xlfn._xlws.FILTER(INDEX(IR:IR,_xlfn.SEQUENCE(100,1,13,3)),INDEX(IR:IR,_xlfn.SEQUENCE(100,1,13,3))&lt;&gt;""),"")&lt;&gt;"")*1)</f>
        <v>0</v>
      </c>
      <c r="IS3" s="47" cm="1">
        <f t="array" ref="IS3">SUMPRODUCT((IFERROR(_xlfn._xlws.FILTER(INDEX(IS:IS,_xlfn.SEQUENCE(100,1,13,3)),INDEX(IS:IS,_xlfn.SEQUENCE(100,1,13,3))&lt;&gt;""),"")&lt;&gt;"")*1)</f>
        <v>0</v>
      </c>
      <c r="IT3" s="47" cm="1">
        <f t="array" ref="IT3">SUMPRODUCT((IFERROR(_xlfn._xlws.FILTER(INDEX(IT:IT,_xlfn.SEQUENCE(100,1,13,3)),INDEX(IT:IT,_xlfn.SEQUENCE(100,1,13,3))&lt;&gt;""),"")&lt;&gt;"")*1)</f>
        <v>0</v>
      </c>
      <c r="IU3" s="47" cm="1">
        <f t="array" ref="IU3">SUMPRODUCT((IFERROR(_xlfn._xlws.FILTER(INDEX(IU:IU,_xlfn.SEQUENCE(100,1,13,3)),INDEX(IU:IU,_xlfn.SEQUENCE(100,1,13,3))&lt;&gt;""),"")&lt;&gt;"")*1)</f>
        <v>0</v>
      </c>
      <c r="IV3" s="47" cm="1">
        <f t="array" ref="IV3">SUMPRODUCT((IFERROR(_xlfn._xlws.FILTER(INDEX(IV:IV,_xlfn.SEQUENCE(100,1,13,3)),INDEX(IV:IV,_xlfn.SEQUENCE(100,1,13,3))&lt;&gt;""),"")&lt;&gt;"")*1)</f>
        <v>0</v>
      </c>
      <c r="IW3" s="47" cm="1">
        <f t="array" ref="IW3">SUMPRODUCT((IFERROR(_xlfn._xlws.FILTER(INDEX(IW:IW,_xlfn.SEQUENCE(100,1,13,3)),INDEX(IW:IW,_xlfn.SEQUENCE(100,1,13,3))&lt;&gt;""),"")&lt;&gt;"")*1)</f>
        <v>0</v>
      </c>
      <c r="IX3" s="47" cm="1">
        <f t="array" ref="IX3">SUMPRODUCT((IFERROR(_xlfn._xlws.FILTER(INDEX(IX:IX,_xlfn.SEQUENCE(100,1,13,3)),INDEX(IX:IX,_xlfn.SEQUENCE(100,1,13,3))&lt;&gt;""),"")&lt;&gt;"")*1)</f>
        <v>0</v>
      </c>
      <c r="IY3" s="47" cm="1">
        <f t="array" ref="IY3">SUMPRODUCT((IFERROR(_xlfn._xlws.FILTER(INDEX(IY:IY,_xlfn.SEQUENCE(100,1,13,3)),INDEX(IY:IY,_xlfn.SEQUENCE(100,1,13,3))&lt;&gt;""),"")&lt;&gt;"")*1)</f>
        <v>0</v>
      </c>
      <c r="IZ3" s="47" cm="1">
        <f t="array" ref="IZ3">SUMPRODUCT((IFERROR(_xlfn._xlws.FILTER(INDEX(IZ:IZ,_xlfn.SEQUENCE(100,1,13,3)),INDEX(IZ:IZ,_xlfn.SEQUENCE(100,1,13,3))&lt;&gt;""),"")&lt;&gt;"")*1)</f>
        <v>0</v>
      </c>
      <c r="JA3" s="47" cm="1">
        <f t="array" ref="JA3">SUMPRODUCT((IFERROR(_xlfn._xlws.FILTER(INDEX(JA:JA,_xlfn.SEQUENCE(100,1,13,3)),INDEX(JA:JA,_xlfn.SEQUENCE(100,1,13,3))&lt;&gt;""),"")&lt;&gt;"")*1)</f>
        <v>0</v>
      </c>
      <c r="JB3" s="47" cm="1">
        <f t="array" ref="JB3">SUMPRODUCT((IFERROR(_xlfn._xlws.FILTER(INDEX(JB:JB,_xlfn.SEQUENCE(100,1,13,3)),INDEX(JB:JB,_xlfn.SEQUENCE(100,1,13,3))&lt;&gt;""),"")&lt;&gt;"")*1)</f>
        <v>0</v>
      </c>
      <c r="JC3" s="47" cm="1">
        <f t="array" ref="JC3">SUMPRODUCT((IFERROR(_xlfn._xlws.FILTER(INDEX(JC:JC,_xlfn.SEQUENCE(100,1,13,3)),INDEX(JC:JC,_xlfn.SEQUENCE(100,1,13,3))&lt;&gt;""),"")&lt;&gt;"")*1)</f>
        <v>0</v>
      </c>
      <c r="JD3" s="47" cm="1">
        <f t="array" ref="JD3">SUMPRODUCT((IFERROR(_xlfn._xlws.FILTER(INDEX(JD:JD,_xlfn.SEQUENCE(100,1,13,3)),INDEX(JD:JD,_xlfn.SEQUENCE(100,1,13,3))&lt;&gt;""),"")&lt;&gt;"")*1)</f>
        <v>0</v>
      </c>
      <c r="JE3" s="47" cm="1">
        <f t="array" ref="JE3">SUMPRODUCT((IFERROR(_xlfn._xlws.FILTER(INDEX(JE:JE,_xlfn.SEQUENCE(100,1,13,3)),INDEX(JE:JE,_xlfn.SEQUENCE(100,1,13,3))&lt;&gt;""),"")&lt;&gt;"")*1)</f>
        <v>0</v>
      </c>
      <c r="JF3" s="47" cm="1">
        <f t="array" ref="JF3">SUMPRODUCT((IFERROR(_xlfn._xlws.FILTER(INDEX(JF:JF,_xlfn.SEQUENCE(100,1,13,3)),INDEX(JF:JF,_xlfn.SEQUENCE(100,1,13,3))&lt;&gt;""),"")&lt;&gt;"")*1)</f>
        <v>0</v>
      </c>
      <c r="JG3" s="47" cm="1">
        <f t="array" ref="JG3">SUMPRODUCT((IFERROR(_xlfn._xlws.FILTER(INDEX(JG:JG,_xlfn.SEQUENCE(100,1,13,3)),INDEX(JG:JG,_xlfn.SEQUENCE(100,1,13,3))&lt;&gt;""),"")&lt;&gt;"")*1)</f>
        <v>0</v>
      </c>
      <c r="JH3" s="47" cm="1">
        <f t="array" ref="JH3">SUMPRODUCT((IFERROR(_xlfn._xlws.FILTER(INDEX(JH:JH,_xlfn.SEQUENCE(100,1,13,3)),INDEX(JH:JH,_xlfn.SEQUENCE(100,1,13,3))&lt;&gt;""),"")&lt;&gt;"")*1)</f>
        <v>0</v>
      </c>
      <c r="JI3" s="47" cm="1">
        <f t="array" ref="JI3">SUMPRODUCT((IFERROR(_xlfn._xlws.FILTER(INDEX(JI:JI,_xlfn.SEQUENCE(100,1,13,3)),INDEX(JI:JI,_xlfn.SEQUENCE(100,1,13,3))&lt;&gt;""),"")&lt;&gt;"")*1)</f>
        <v>0</v>
      </c>
      <c r="JJ3" s="47" cm="1">
        <f t="array" ref="JJ3">SUMPRODUCT((IFERROR(_xlfn._xlws.FILTER(INDEX(JJ:JJ,_xlfn.SEQUENCE(100,1,13,3)),INDEX(JJ:JJ,_xlfn.SEQUENCE(100,1,13,3))&lt;&gt;""),"")&lt;&gt;"")*1)</f>
        <v>0</v>
      </c>
      <c r="JK3" s="47" cm="1">
        <f t="array" ref="JK3">SUMPRODUCT((IFERROR(_xlfn._xlws.FILTER(INDEX(JK:JK,_xlfn.SEQUENCE(100,1,13,3)),INDEX(JK:JK,_xlfn.SEQUENCE(100,1,13,3))&lt;&gt;""),"")&lt;&gt;"")*1)</f>
        <v>0</v>
      </c>
      <c r="JL3" s="47" cm="1">
        <f t="array" ref="JL3">SUMPRODUCT((IFERROR(_xlfn._xlws.FILTER(INDEX(JL:JL,_xlfn.SEQUENCE(100,1,13,3)),INDEX(JL:JL,_xlfn.SEQUENCE(100,1,13,3))&lt;&gt;""),"")&lt;&gt;"")*1)</f>
        <v>0</v>
      </c>
      <c r="JM3" s="47" cm="1">
        <f t="array" ref="JM3">SUMPRODUCT((IFERROR(_xlfn._xlws.FILTER(INDEX(JM:JM,_xlfn.SEQUENCE(100,1,13,3)),INDEX(JM:JM,_xlfn.SEQUENCE(100,1,13,3))&lt;&gt;""),"")&lt;&gt;"")*1)</f>
        <v>0</v>
      </c>
      <c r="JN3" s="47" cm="1">
        <f t="array" ref="JN3">SUMPRODUCT((IFERROR(_xlfn._xlws.FILTER(INDEX(JN:JN,_xlfn.SEQUENCE(100,1,13,3)),INDEX(JN:JN,_xlfn.SEQUENCE(100,1,13,3))&lt;&gt;""),"")&lt;&gt;"")*1)</f>
        <v>0</v>
      </c>
      <c r="JO3" s="47" cm="1">
        <f t="array" ref="JO3">SUMPRODUCT((IFERROR(_xlfn._xlws.FILTER(INDEX(JO:JO,_xlfn.SEQUENCE(100,1,13,3)),INDEX(JO:JO,_xlfn.SEQUENCE(100,1,13,3))&lt;&gt;""),"")&lt;&gt;"")*1)</f>
        <v>0</v>
      </c>
      <c r="JP3" s="47" cm="1">
        <f t="array" ref="JP3">SUMPRODUCT((IFERROR(_xlfn._xlws.FILTER(INDEX(JP:JP,_xlfn.SEQUENCE(100,1,13,3)),INDEX(JP:JP,_xlfn.SEQUENCE(100,1,13,3))&lt;&gt;""),"")&lt;&gt;"")*1)</f>
        <v>0</v>
      </c>
      <c r="JQ3" s="47" cm="1">
        <f t="array" ref="JQ3">SUMPRODUCT((IFERROR(_xlfn._xlws.FILTER(INDEX(JQ:JQ,_xlfn.SEQUENCE(100,1,13,3)),INDEX(JQ:JQ,_xlfn.SEQUENCE(100,1,13,3))&lt;&gt;""),"")&lt;&gt;"")*1)</f>
        <v>0</v>
      </c>
      <c r="JR3" s="47" cm="1">
        <f t="array" ref="JR3">SUMPRODUCT((IFERROR(_xlfn._xlws.FILTER(INDEX(JR:JR,_xlfn.SEQUENCE(100,1,13,3)),INDEX(JR:JR,_xlfn.SEQUENCE(100,1,13,3))&lt;&gt;""),"")&lt;&gt;"")*1)</f>
        <v>0</v>
      </c>
      <c r="JS3" s="47" cm="1">
        <f t="array" ref="JS3">SUMPRODUCT((IFERROR(_xlfn._xlws.FILTER(INDEX(JS:JS,_xlfn.SEQUENCE(100,1,13,3)),INDEX(JS:JS,_xlfn.SEQUENCE(100,1,13,3))&lt;&gt;""),"")&lt;&gt;"")*1)</f>
        <v>0</v>
      </c>
      <c r="JT3" s="47" cm="1">
        <f t="array" ref="JT3">SUMPRODUCT((IFERROR(_xlfn._xlws.FILTER(INDEX(JT:JT,_xlfn.SEQUENCE(100,1,13,3)),INDEX(JT:JT,_xlfn.SEQUENCE(100,1,13,3))&lt;&gt;""),"")&lt;&gt;"")*1)</f>
        <v>0</v>
      </c>
      <c r="JU3" s="47" cm="1">
        <f t="array" ref="JU3">SUMPRODUCT((IFERROR(_xlfn._xlws.FILTER(INDEX(JU:JU,_xlfn.SEQUENCE(100,1,13,3)),INDEX(JU:JU,_xlfn.SEQUENCE(100,1,13,3))&lt;&gt;""),"")&lt;&gt;"")*1)</f>
        <v>0</v>
      </c>
      <c r="JV3" s="47" cm="1">
        <f t="array" ref="JV3">SUMPRODUCT((IFERROR(_xlfn._xlws.FILTER(INDEX(JV:JV,_xlfn.SEQUENCE(100,1,13,3)),INDEX(JV:JV,_xlfn.SEQUENCE(100,1,13,3))&lt;&gt;""),"")&lt;&gt;"")*1)</f>
        <v>0</v>
      </c>
      <c r="JW3" s="47" cm="1">
        <f t="array" ref="JW3">SUMPRODUCT((IFERROR(_xlfn._xlws.FILTER(INDEX(JW:JW,_xlfn.SEQUENCE(100,1,13,3)),INDEX(JW:JW,_xlfn.SEQUENCE(100,1,13,3))&lt;&gt;""),"")&lt;&gt;"")*1)</f>
        <v>0</v>
      </c>
      <c r="JX3" s="47" cm="1">
        <f t="array" ref="JX3">SUMPRODUCT((IFERROR(_xlfn._xlws.FILTER(INDEX(JX:JX,_xlfn.SEQUENCE(100,1,13,3)),INDEX(JX:JX,_xlfn.SEQUENCE(100,1,13,3))&lt;&gt;""),"")&lt;&gt;"")*1)</f>
        <v>0</v>
      </c>
      <c r="JY3" s="47" cm="1">
        <f t="array" ref="JY3">SUMPRODUCT((IFERROR(_xlfn._xlws.FILTER(INDEX(JY:JY,_xlfn.SEQUENCE(100,1,13,3)),INDEX(JY:JY,_xlfn.SEQUENCE(100,1,13,3))&lt;&gt;""),"")&lt;&gt;"")*1)</f>
        <v>0</v>
      </c>
      <c r="JZ3" s="47" cm="1">
        <f t="array" ref="JZ3">SUMPRODUCT((IFERROR(_xlfn._xlws.FILTER(INDEX(JZ:JZ,_xlfn.SEQUENCE(100,1,13,3)),INDEX(JZ:JZ,_xlfn.SEQUENCE(100,1,13,3))&lt;&gt;""),"")&lt;&gt;"")*1)</f>
        <v>0</v>
      </c>
      <c r="KA3" s="47" cm="1">
        <f t="array" ref="KA3">SUMPRODUCT((IFERROR(_xlfn._xlws.FILTER(INDEX(KA:KA,_xlfn.SEQUENCE(100,1,13,3)),INDEX(KA:KA,_xlfn.SEQUENCE(100,1,13,3))&lt;&gt;""),"")&lt;&gt;"")*1)</f>
        <v>0</v>
      </c>
      <c r="KB3" s="47" cm="1">
        <f t="array" ref="KB3">SUMPRODUCT((IFERROR(_xlfn._xlws.FILTER(INDEX(KB:KB,_xlfn.SEQUENCE(100,1,13,3)),INDEX(KB:KB,_xlfn.SEQUENCE(100,1,13,3))&lt;&gt;""),"")&lt;&gt;"")*1)</f>
        <v>0</v>
      </c>
      <c r="KC3" s="47" cm="1">
        <f t="array" ref="KC3">SUMPRODUCT((IFERROR(_xlfn._xlws.FILTER(INDEX(KC:KC,_xlfn.SEQUENCE(100,1,13,3)),INDEX(KC:KC,_xlfn.SEQUENCE(100,1,13,3))&lt;&gt;""),"")&lt;&gt;"")*1)</f>
        <v>0</v>
      </c>
      <c r="KD3" s="47" cm="1">
        <f t="array" ref="KD3">SUMPRODUCT((IFERROR(_xlfn._xlws.FILTER(INDEX(KD:KD,_xlfn.SEQUENCE(100,1,13,3)),INDEX(KD:KD,_xlfn.SEQUENCE(100,1,13,3))&lt;&gt;""),"")&lt;&gt;"")*1)</f>
        <v>0</v>
      </c>
      <c r="KE3" s="47" cm="1">
        <f t="array" ref="KE3">SUMPRODUCT((IFERROR(_xlfn._xlws.FILTER(INDEX(KE:KE,_xlfn.SEQUENCE(100,1,13,3)),INDEX(KE:KE,_xlfn.SEQUENCE(100,1,13,3))&lt;&gt;""),"")&lt;&gt;"")*1)</f>
        <v>0</v>
      </c>
      <c r="KF3" s="47" cm="1">
        <f t="array" ref="KF3">SUMPRODUCT((IFERROR(_xlfn._xlws.FILTER(INDEX(KF:KF,_xlfn.SEQUENCE(100,1,13,3)),INDEX(KF:KF,_xlfn.SEQUENCE(100,1,13,3))&lt;&gt;""),"")&lt;&gt;"")*1)</f>
        <v>0</v>
      </c>
      <c r="KG3" s="47" cm="1">
        <f t="array" ref="KG3">SUMPRODUCT((IFERROR(_xlfn._xlws.FILTER(INDEX(KG:KG,_xlfn.SEQUENCE(100,1,13,3)),INDEX(KG:KG,_xlfn.SEQUENCE(100,1,13,3))&lt;&gt;""),"")&lt;&gt;"")*1)</f>
        <v>0</v>
      </c>
      <c r="KH3" s="47" cm="1">
        <f t="array" ref="KH3">SUMPRODUCT((IFERROR(_xlfn._xlws.FILTER(INDEX(KH:KH,_xlfn.SEQUENCE(100,1,13,3)),INDEX(KH:KH,_xlfn.SEQUENCE(100,1,13,3))&lt;&gt;""),"")&lt;&gt;"")*1)</f>
        <v>0</v>
      </c>
      <c r="KI3" s="47" cm="1">
        <f t="array" ref="KI3">SUMPRODUCT((IFERROR(_xlfn._xlws.FILTER(INDEX(KI:KI,_xlfn.SEQUENCE(100,1,13,3)),INDEX(KI:KI,_xlfn.SEQUENCE(100,1,13,3))&lt;&gt;""),"")&lt;&gt;"")*1)</f>
        <v>0</v>
      </c>
      <c r="KJ3" s="47" cm="1">
        <f t="array" ref="KJ3">SUMPRODUCT((IFERROR(_xlfn._xlws.FILTER(INDEX(KJ:KJ,_xlfn.SEQUENCE(100,1,13,3)),INDEX(KJ:KJ,_xlfn.SEQUENCE(100,1,13,3))&lt;&gt;""),"")&lt;&gt;"")*1)</f>
        <v>0</v>
      </c>
      <c r="KK3" s="47" cm="1">
        <f t="array" ref="KK3">SUMPRODUCT((IFERROR(_xlfn._xlws.FILTER(INDEX(KK:KK,_xlfn.SEQUENCE(100,1,13,3)),INDEX(KK:KK,_xlfn.SEQUENCE(100,1,13,3))&lt;&gt;""),"")&lt;&gt;"")*1)</f>
        <v>0</v>
      </c>
      <c r="KL3" s="47" cm="1">
        <f t="array" ref="KL3">SUMPRODUCT((IFERROR(_xlfn._xlws.FILTER(INDEX(KL:KL,_xlfn.SEQUENCE(100,1,13,3)),INDEX(KL:KL,_xlfn.SEQUENCE(100,1,13,3))&lt;&gt;""),"")&lt;&gt;"")*1)</f>
        <v>0</v>
      </c>
      <c r="KM3" s="47" cm="1">
        <f t="array" ref="KM3">SUMPRODUCT((IFERROR(_xlfn._xlws.FILTER(INDEX(KM:KM,_xlfn.SEQUENCE(100,1,13,3)),INDEX(KM:KM,_xlfn.SEQUENCE(100,1,13,3))&lt;&gt;""),"")&lt;&gt;"")*1)</f>
        <v>0</v>
      </c>
      <c r="KN3" s="47" cm="1">
        <f t="array" ref="KN3">SUMPRODUCT((IFERROR(_xlfn._xlws.FILTER(INDEX(KN:KN,_xlfn.SEQUENCE(100,1,13,3)),INDEX(KN:KN,_xlfn.SEQUENCE(100,1,13,3))&lt;&gt;""),"")&lt;&gt;"")*1)</f>
        <v>0</v>
      </c>
      <c r="KO3" s="47" cm="1">
        <f t="array" ref="KO3">SUMPRODUCT((IFERROR(_xlfn._xlws.FILTER(INDEX(KO:KO,_xlfn.SEQUENCE(100,1,13,3)),INDEX(KO:KO,_xlfn.SEQUENCE(100,1,13,3))&lt;&gt;""),"")&lt;&gt;"")*1)</f>
        <v>0</v>
      </c>
      <c r="KP3" s="47" cm="1">
        <f t="array" ref="KP3">SUMPRODUCT((IFERROR(_xlfn._xlws.FILTER(INDEX(KP:KP,_xlfn.SEQUENCE(100,1,13,3)),INDEX(KP:KP,_xlfn.SEQUENCE(100,1,13,3))&lt;&gt;""),"")&lt;&gt;"")*1)</f>
        <v>0</v>
      </c>
      <c r="KQ3" s="47" cm="1">
        <f t="array" ref="KQ3">SUMPRODUCT((IFERROR(_xlfn._xlws.FILTER(INDEX(KQ:KQ,_xlfn.SEQUENCE(100,1,13,3)),INDEX(KQ:KQ,_xlfn.SEQUENCE(100,1,13,3))&lt;&gt;""),"")&lt;&gt;"")*1)</f>
        <v>0</v>
      </c>
      <c r="KR3" s="47" cm="1">
        <f t="array" ref="KR3">SUMPRODUCT((IFERROR(_xlfn._xlws.FILTER(INDEX(KR:KR,_xlfn.SEQUENCE(100,1,13,3)),INDEX(KR:KR,_xlfn.SEQUENCE(100,1,13,3))&lt;&gt;""),"")&lt;&gt;"")*1)</f>
        <v>0</v>
      </c>
      <c r="KS3" s="47" cm="1">
        <f t="array" ref="KS3">SUMPRODUCT((IFERROR(_xlfn._xlws.FILTER(INDEX(KS:KS,_xlfn.SEQUENCE(100,1,13,3)),INDEX(KS:KS,_xlfn.SEQUENCE(100,1,13,3))&lt;&gt;""),"")&lt;&gt;"")*1)</f>
        <v>0</v>
      </c>
      <c r="KT3" s="47" cm="1">
        <f t="array" ref="KT3">SUMPRODUCT((IFERROR(_xlfn._xlws.FILTER(INDEX(KT:KT,_xlfn.SEQUENCE(100,1,13,3)),INDEX(KT:KT,_xlfn.SEQUENCE(100,1,13,3))&lt;&gt;""),"")&lt;&gt;"")*1)</f>
        <v>0</v>
      </c>
      <c r="KU3" s="47" cm="1">
        <f t="array" ref="KU3">SUMPRODUCT((IFERROR(_xlfn._xlws.FILTER(INDEX(KU:KU,_xlfn.SEQUENCE(100,1,13,3)),INDEX(KU:KU,_xlfn.SEQUENCE(100,1,13,3))&lt;&gt;""),"")&lt;&gt;"")*1)</f>
        <v>0</v>
      </c>
      <c r="KV3" s="47" cm="1">
        <f t="array" ref="KV3">SUMPRODUCT((IFERROR(_xlfn._xlws.FILTER(INDEX(KV:KV,_xlfn.SEQUENCE(100,1,13,3)),INDEX(KV:KV,_xlfn.SEQUENCE(100,1,13,3))&lt;&gt;""),"")&lt;&gt;"")*1)</f>
        <v>0</v>
      </c>
      <c r="KW3" s="47" cm="1">
        <f t="array" ref="KW3">SUMPRODUCT((IFERROR(_xlfn._xlws.FILTER(INDEX(KW:KW,_xlfn.SEQUENCE(100,1,13,3)),INDEX(KW:KW,_xlfn.SEQUENCE(100,1,13,3))&lt;&gt;""),"")&lt;&gt;"")*1)</f>
        <v>0</v>
      </c>
      <c r="KX3" s="47" cm="1">
        <f t="array" ref="KX3">SUMPRODUCT((IFERROR(_xlfn._xlws.FILTER(INDEX(KX:KX,_xlfn.SEQUENCE(100,1,13,3)),INDEX(KX:KX,_xlfn.SEQUENCE(100,1,13,3))&lt;&gt;""),"")&lt;&gt;"")*1)</f>
        <v>0</v>
      </c>
      <c r="KY3" s="47" cm="1">
        <f t="array" ref="KY3">SUMPRODUCT((IFERROR(_xlfn._xlws.FILTER(INDEX(KY:KY,_xlfn.SEQUENCE(100,1,13,3)),INDEX(KY:KY,_xlfn.SEQUENCE(100,1,13,3))&lt;&gt;""),"")&lt;&gt;"")*1)</f>
        <v>0</v>
      </c>
      <c r="KZ3" s="47" cm="1">
        <f t="array" ref="KZ3">SUMPRODUCT((IFERROR(_xlfn._xlws.FILTER(INDEX(KZ:KZ,_xlfn.SEQUENCE(100,1,13,3)),INDEX(KZ:KZ,_xlfn.SEQUENCE(100,1,13,3))&lt;&gt;""),"")&lt;&gt;"")*1)</f>
        <v>0</v>
      </c>
      <c r="LA3" s="47" cm="1">
        <f t="array" ref="LA3">SUMPRODUCT((IFERROR(_xlfn._xlws.FILTER(INDEX(LA:LA,_xlfn.SEQUENCE(100,1,13,3)),INDEX(LA:LA,_xlfn.SEQUENCE(100,1,13,3))&lt;&gt;""),"")&lt;&gt;"")*1)</f>
        <v>0</v>
      </c>
      <c r="LB3" s="47" cm="1">
        <f t="array" ref="LB3">SUMPRODUCT((IFERROR(_xlfn._xlws.FILTER(INDEX(LB:LB,_xlfn.SEQUENCE(100,1,13,3)),INDEX(LB:LB,_xlfn.SEQUENCE(100,1,13,3))&lt;&gt;""),"")&lt;&gt;"")*1)</f>
        <v>0</v>
      </c>
      <c r="LC3" s="47" cm="1">
        <f t="array" ref="LC3">SUMPRODUCT((IFERROR(_xlfn._xlws.FILTER(INDEX(LC:LC,_xlfn.SEQUENCE(100,1,13,3)),INDEX(LC:LC,_xlfn.SEQUENCE(100,1,13,3))&lt;&gt;""),"")&lt;&gt;"")*1)</f>
        <v>0</v>
      </c>
      <c r="LD3" s="47" cm="1">
        <f t="array" ref="LD3">SUMPRODUCT((IFERROR(_xlfn._xlws.FILTER(INDEX(LD:LD,_xlfn.SEQUENCE(100,1,13,3)),INDEX(LD:LD,_xlfn.SEQUENCE(100,1,13,3))&lt;&gt;""),"")&lt;&gt;"")*1)</f>
        <v>0</v>
      </c>
      <c r="LE3" s="47" cm="1">
        <f t="array" ref="LE3">SUMPRODUCT((IFERROR(_xlfn._xlws.FILTER(INDEX(LE:LE,_xlfn.SEQUENCE(100,1,13,3)),INDEX(LE:LE,_xlfn.SEQUENCE(100,1,13,3))&lt;&gt;""),"")&lt;&gt;"")*1)</f>
        <v>0</v>
      </c>
      <c r="LF3" s="47" cm="1">
        <f t="array" ref="LF3">SUMPRODUCT((IFERROR(_xlfn._xlws.FILTER(INDEX(LF:LF,_xlfn.SEQUENCE(100,1,13,3)),INDEX(LF:LF,_xlfn.SEQUENCE(100,1,13,3))&lt;&gt;""),"")&lt;&gt;"")*1)</f>
        <v>0</v>
      </c>
      <c r="LG3" s="47" cm="1">
        <f t="array" ref="LG3">SUMPRODUCT((IFERROR(_xlfn._xlws.FILTER(INDEX(LG:LG,_xlfn.SEQUENCE(100,1,13,3)),INDEX(LG:LG,_xlfn.SEQUENCE(100,1,13,3))&lt;&gt;""),"")&lt;&gt;"")*1)</f>
        <v>0</v>
      </c>
      <c r="LH3" s="47" cm="1">
        <f t="array" ref="LH3">SUMPRODUCT((IFERROR(_xlfn._xlws.FILTER(INDEX(LH:LH,_xlfn.SEQUENCE(100,1,13,3)),INDEX(LH:LH,_xlfn.SEQUENCE(100,1,13,3))&lt;&gt;""),"")&lt;&gt;"")*1)</f>
        <v>0</v>
      </c>
      <c r="LI3" s="47" cm="1">
        <f t="array" ref="LI3">SUMPRODUCT((IFERROR(_xlfn._xlws.FILTER(INDEX(LI:LI,_xlfn.SEQUENCE(100,1,13,3)),INDEX(LI:LI,_xlfn.SEQUENCE(100,1,13,3))&lt;&gt;""),"")&lt;&gt;"")*1)</f>
        <v>0</v>
      </c>
      <c r="LJ3" s="47" cm="1">
        <f t="array" ref="LJ3">SUMPRODUCT((IFERROR(_xlfn._xlws.FILTER(INDEX(LJ:LJ,_xlfn.SEQUENCE(100,1,13,3)),INDEX(LJ:LJ,_xlfn.SEQUENCE(100,1,13,3))&lt;&gt;""),"")&lt;&gt;"")*1)</f>
        <v>0</v>
      </c>
      <c r="LK3" s="47" cm="1">
        <f t="array" ref="LK3">SUMPRODUCT((IFERROR(_xlfn._xlws.FILTER(INDEX(LK:LK,_xlfn.SEQUENCE(100,1,13,3)),INDEX(LK:LK,_xlfn.SEQUENCE(100,1,13,3))&lt;&gt;""),"")&lt;&gt;"")*1)</f>
        <v>0</v>
      </c>
      <c r="LL3" s="47" cm="1">
        <f t="array" ref="LL3">SUMPRODUCT((IFERROR(_xlfn._xlws.FILTER(INDEX(LL:LL,_xlfn.SEQUENCE(100,1,13,3)),INDEX(LL:LL,_xlfn.SEQUENCE(100,1,13,3))&lt;&gt;""),"")&lt;&gt;"")*1)</f>
        <v>0</v>
      </c>
      <c r="LM3" s="47" cm="1">
        <f t="array" ref="LM3">SUMPRODUCT((IFERROR(_xlfn._xlws.FILTER(INDEX(LM:LM,_xlfn.SEQUENCE(100,1,13,3)),INDEX(LM:LM,_xlfn.SEQUENCE(100,1,13,3))&lt;&gt;""),"")&lt;&gt;"")*1)</f>
        <v>0</v>
      </c>
      <c r="LN3" s="47" cm="1">
        <f t="array" ref="LN3">SUMPRODUCT((IFERROR(_xlfn._xlws.FILTER(INDEX(LN:LN,_xlfn.SEQUENCE(100,1,13,3)),INDEX(LN:LN,_xlfn.SEQUENCE(100,1,13,3))&lt;&gt;""),"")&lt;&gt;"")*1)</f>
        <v>0</v>
      </c>
      <c r="LO3" s="47" cm="1">
        <f t="array" ref="LO3">SUMPRODUCT((IFERROR(_xlfn._xlws.FILTER(INDEX(LO:LO,_xlfn.SEQUENCE(100,1,13,3)),INDEX(LO:LO,_xlfn.SEQUENCE(100,1,13,3))&lt;&gt;""),"")&lt;&gt;"")*1)</f>
        <v>0</v>
      </c>
      <c r="LP3" s="47" cm="1">
        <f t="array" ref="LP3">SUMPRODUCT((IFERROR(_xlfn._xlws.FILTER(INDEX(LP:LP,_xlfn.SEQUENCE(100,1,13,3)),INDEX(LP:LP,_xlfn.SEQUENCE(100,1,13,3))&lt;&gt;""),"")&lt;&gt;"")*1)</f>
        <v>0</v>
      </c>
      <c r="LQ3" s="47" cm="1">
        <f t="array" ref="LQ3">SUMPRODUCT((IFERROR(_xlfn._xlws.FILTER(INDEX(LQ:LQ,_xlfn.SEQUENCE(100,1,13,3)),INDEX(LQ:LQ,_xlfn.SEQUENCE(100,1,13,3))&lt;&gt;""),"")&lt;&gt;"")*1)</f>
        <v>0</v>
      </c>
      <c r="LR3" s="47" cm="1">
        <f t="array" ref="LR3">SUMPRODUCT((IFERROR(_xlfn._xlws.FILTER(INDEX(LR:LR,_xlfn.SEQUENCE(100,1,13,3)),INDEX(LR:LR,_xlfn.SEQUENCE(100,1,13,3))&lt;&gt;""),"")&lt;&gt;"")*1)</f>
        <v>0</v>
      </c>
      <c r="LS3" s="47" cm="1">
        <f t="array" ref="LS3">SUMPRODUCT((IFERROR(_xlfn._xlws.FILTER(INDEX(LS:LS,_xlfn.SEQUENCE(100,1,13,3)),INDEX(LS:LS,_xlfn.SEQUENCE(100,1,13,3))&lt;&gt;""),"")&lt;&gt;"")*1)</f>
        <v>0</v>
      </c>
      <c r="LT3" s="47" cm="1">
        <f t="array" ref="LT3">SUMPRODUCT((IFERROR(_xlfn._xlws.FILTER(INDEX(LT:LT,_xlfn.SEQUENCE(100,1,13,3)),INDEX(LT:LT,_xlfn.SEQUENCE(100,1,13,3))&lt;&gt;""),"")&lt;&gt;"")*1)</f>
        <v>0</v>
      </c>
      <c r="LU3" s="47" cm="1">
        <f t="array" ref="LU3">SUMPRODUCT((IFERROR(_xlfn._xlws.FILTER(INDEX(LU:LU,_xlfn.SEQUENCE(100,1,13,3)),INDEX(LU:LU,_xlfn.SEQUENCE(100,1,13,3))&lt;&gt;""),"")&lt;&gt;"")*1)</f>
        <v>0</v>
      </c>
      <c r="LV3" s="47" cm="1">
        <f t="array" ref="LV3">SUMPRODUCT((IFERROR(_xlfn._xlws.FILTER(INDEX(LV:LV,_xlfn.SEQUENCE(100,1,13,3)),INDEX(LV:LV,_xlfn.SEQUENCE(100,1,13,3))&lt;&gt;""),"")&lt;&gt;"")*1)</f>
        <v>0</v>
      </c>
      <c r="LW3" s="47" cm="1">
        <f t="array" ref="LW3">SUMPRODUCT((IFERROR(_xlfn._xlws.FILTER(INDEX(LW:LW,_xlfn.SEQUENCE(100,1,13,3)),INDEX(LW:LW,_xlfn.SEQUENCE(100,1,13,3))&lt;&gt;""),"")&lt;&gt;"")*1)</f>
        <v>0</v>
      </c>
      <c r="LX3" s="47" cm="1">
        <f t="array" ref="LX3">SUMPRODUCT((IFERROR(_xlfn._xlws.FILTER(INDEX(LX:LX,_xlfn.SEQUENCE(100,1,13,3)),INDEX(LX:LX,_xlfn.SEQUENCE(100,1,13,3))&lt;&gt;""),"")&lt;&gt;"")*1)</f>
        <v>0</v>
      </c>
      <c r="LY3" s="47" cm="1">
        <f t="array" ref="LY3">SUMPRODUCT((IFERROR(_xlfn._xlws.FILTER(INDEX(LY:LY,_xlfn.SEQUENCE(100,1,13,3)),INDEX(LY:LY,_xlfn.SEQUENCE(100,1,13,3))&lt;&gt;""),"")&lt;&gt;"")*1)</f>
        <v>0</v>
      </c>
      <c r="LZ3" s="47" cm="1">
        <f t="array" ref="LZ3">SUMPRODUCT((IFERROR(_xlfn._xlws.FILTER(INDEX(LZ:LZ,_xlfn.SEQUENCE(100,1,13,3)),INDEX(LZ:LZ,_xlfn.SEQUENCE(100,1,13,3))&lt;&gt;""),"")&lt;&gt;"")*1)</f>
        <v>0</v>
      </c>
      <c r="MA3" s="47" cm="1">
        <f t="array" ref="MA3">SUMPRODUCT((IFERROR(_xlfn._xlws.FILTER(INDEX(MA:MA,_xlfn.SEQUENCE(100,1,13,3)),INDEX(MA:MA,_xlfn.SEQUENCE(100,1,13,3))&lt;&gt;""),"")&lt;&gt;"")*1)</f>
        <v>0</v>
      </c>
      <c r="MB3" s="47" cm="1">
        <f t="array" ref="MB3">SUMPRODUCT((IFERROR(_xlfn._xlws.FILTER(INDEX(MB:MB,_xlfn.SEQUENCE(100,1,13,3)),INDEX(MB:MB,_xlfn.SEQUENCE(100,1,13,3))&lt;&gt;""),"")&lt;&gt;"")*1)</f>
        <v>0</v>
      </c>
      <c r="MC3" s="47" cm="1">
        <f t="array" ref="MC3">SUMPRODUCT((IFERROR(_xlfn._xlws.FILTER(INDEX(MC:MC,_xlfn.SEQUENCE(100,1,13,3)),INDEX(MC:MC,_xlfn.SEQUENCE(100,1,13,3))&lt;&gt;""),"")&lt;&gt;"")*1)</f>
        <v>0</v>
      </c>
      <c r="MD3" s="47" cm="1">
        <f t="array" ref="MD3">SUMPRODUCT((IFERROR(_xlfn._xlws.FILTER(INDEX(MD:MD,_xlfn.SEQUENCE(100,1,13,3)),INDEX(MD:MD,_xlfn.SEQUENCE(100,1,13,3))&lt;&gt;""),"")&lt;&gt;"")*1)</f>
        <v>0</v>
      </c>
      <c r="ME3" s="47" cm="1">
        <f t="array" ref="ME3">SUMPRODUCT((IFERROR(_xlfn._xlws.FILTER(INDEX(ME:ME,_xlfn.SEQUENCE(100,1,13,3)),INDEX(ME:ME,_xlfn.SEQUENCE(100,1,13,3))&lt;&gt;""),"")&lt;&gt;"")*1)</f>
        <v>0</v>
      </c>
      <c r="MF3" s="47" cm="1">
        <f t="array" ref="MF3">SUMPRODUCT((IFERROR(_xlfn._xlws.FILTER(INDEX(MF:MF,_xlfn.SEQUENCE(100,1,13,3)),INDEX(MF:MF,_xlfn.SEQUENCE(100,1,13,3))&lt;&gt;""),"")&lt;&gt;"")*1)</f>
        <v>0</v>
      </c>
      <c r="MG3" s="47" cm="1">
        <f t="array" ref="MG3">SUMPRODUCT((IFERROR(_xlfn._xlws.FILTER(INDEX(MG:MG,_xlfn.SEQUENCE(100,1,13,3)),INDEX(MG:MG,_xlfn.SEQUENCE(100,1,13,3))&lt;&gt;""),"")&lt;&gt;"")*1)</f>
        <v>0</v>
      </c>
      <c r="MH3" s="47" cm="1">
        <f t="array" ref="MH3">SUMPRODUCT((IFERROR(_xlfn._xlws.FILTER(INDEX(MH:MH,_xlfn.SEQUENCE(100,1,13,3)),INDEX(MH:MH,_xlfn.SEQUENCE(100,1,13,3))&lt;&gt;""),"")&lt;&gt;"")*1)</f>
        <v>0</v>
      </c>
      <c r="MI3" s="47" cm="1">
        <f t="array" ref="MI3">SUMPRODUCT((IFERROR(_xlfn._xlws.FILTER(INDEX(MI:MI,_xlfn.SEQUENCE(100,1,13,3)),INDEX(MI:MI,_xlfn.SEQUENCE(100,1,13,3))&lt;&gt;""),"")&lt;&gt;"")*1)</f>
        <v>0</v>
      </c>
      <c r="MJ3" s="47" cm="1">
        <f t="array" ref="MJ3">SUMPRODUCT((IFERROR(_xlfn._xlws.FILTER(INDEX(MJ:MJ,_xlfn.SEQUENCE(100,1,13,3)),INDEX(MJ:MJ,_xlfn.SEQUENCE(100,1,13,3))&lt;&gt;""),"")&lt;&gt;"")*1)</f>
        <v>0</v>
      </c>
      <c r="MK3" s="47" cm="1">
        <f t="array" ref="MK3">SUMPRODUCT((IFERROR(_xlfn._xlws.FILTER(INDEX(MK:MK,_xlfn.SEQUENCE(100,1,13,3)),INDEX(MK:MK,_xlfn.SEQUENCE(100,1,13,3))&lt;&gt;""),"")&lt;&gt;"")*1)</f>
        <v>0</v>
      </c>
      <c r="ML3" s="47" cm="1">
        <f t="array" ref="ML3">SUMPRODUCT((IFERROR(_xlfn._xlws.FILTER(INDEX(ML:ML,_xlfn.SEQUENCE(100,1,13,3)),INDEX(ML:ML,_xlfn.SEQUENCE(100,1,13,3))&lt;&gt;""),"")&lt;&gt;"")*1)</f>
        <v>0</v>
      </c>
      <c r="MM3" s="47" cm="1">
        <f t="array" ref="MM3">SUMPRODUCT((IFERROR(_xlfn._xlws.FILTER(INDEX(MM:MM,_xlfn.SEQUENCE(100,1,13,3)),INDEX(MM:MM,_xlfn.SEQUENCE(100,1,13,3))&lt;&gt;""),"")&lt;&gt;"")*1)</f>
        <v>0</v>
      </c>
      <c r="MN3" s="47" cm="1">
        <f t="array" ref="MN3">SUMPRODUCT((IFERROR(_xlfn._xlws.FILTER(INDEX(MN:MN,_xlfn.SEQUENCE(100,1,13,3)),INDEX(MN:MN,_xlfn.SEQUENCE(100,1,13,3))&lt;&gt;""),"")&lt;&gt;"")*1)</f>
        <v>0</v>
      </c>
      <c r="MO3" s="47" cm="1">
        <f t="array" ref="MO3">SUMPRODUCT((IFERROR(_xlfn._xlws.FILTER(INDEX(MO:MO,_xlfn.SEQUENCE(100,1,13,3)),INDEX(MO:MO,_xlfn.SEQUENCE(100,1,13,3))&lt;&gt;""),"")&lt;&gt;"")*1)</f>
        <v>0</v>
      </c>
      <c r="MP3" s="47" cm="1">
        <f t="array" ref="MP3">SUMPRODUCT((IFERROR(_xlfn._xlws.FILTER(INDEX(MP:MP,_xlfn.SEQUENCE(100,1,13,3)),INDEX(MP:MP,_xlfn.SEQUENCE(100,1,13,3))&lt;&gt;""),"")&lt;&gt;"")*1)</f>
        <v>0</v>
      </c>
      <c r="MQ3" s="47" cm="1">
        <f t="array" ref="MQ3">SUMPRODUCT((IFERROR(_xlfn._xlws.FILTER(INDEX(MQ:MQ,_xlfn.SEQUENCE(100,1,13,3)),INDEX(MQ:MQ,_xlfn.SEQUENCE(100,1,13,3))&lt;&gt;""),"")&lt;&gt;"")*1)</f>
        <v>0</v>
      </c>
      <c r="MR3" s="47" cm="1">
        <f t="array" ref="MR3">SUMPRODUCT((IFERROR(_xlfn._xlws.FILTER(INDEX(MR:MR,_xlfn.SEQUENCE(100,1,13,3)),INDEX(MR:MR,_xlfn.SEQUENCE(100,1,13,3))&lt;&gt;""),"")&lt;&gt;"")*1)</f>
        <v>0</v>
      </c>
      <c r="MS3" s="47" cm="1">
        <f t="array" ref="MS3">SUMPRODUCT((IFERROR(_xlfn._xlws.FILTER(INDEX(MS:MS,_xlfn.SEQUENCE(100,1,13,3)),INDEX(MS:MS,_xlfn.SEQUENCE(100,1,13,3))&lt;&gt;""),"")&lt;&gt;"")*1)</f>
        <v>0</v>
      </c>
      <c r="MT3" s="47" cm="1">
        <f t="array" ref="MT3">SUMPRODUCT((IFERROR(_xlfn._xlws.FILTER(INDEX(MT:MT,_xlfn.SEQUENCE(100,1,13,3)),INDEX(MT:MT,_xlfn.SEQUENCE(100,1,13,3))&lt;&gt;""),"")&lt;&gt;"")*1)</f>
        <v>0</v>
      </c>
      <c r="MU3" s="47" cm="1">
        <f t="array" ref="MU3">SUMPRODUCT((IFERROR(_xlfn._xlws.FILTER(INDEX(MU:MU,_xlfn.SEQUENCE(100,1,13,3)),INDEX(MU:MU,_xlfn.SEQUENCE(100,1,13,3))&lt;&gt;""),"")&lt;&gt;"")*1)</f>
        <v>0</v>
      </c>
      <c r="MV3" s="47" cm="1">
        <f t="array" ref="MV3">SUMPRODUCT((IFERROR(_xlfn._xlws.FILTER(INDEX(MV:MV,_xlfn.SEQUENCE(100,1,13,3)),INDEX(MV:MV,_xlfn.SEQUENCE(100,1,13,3))&lt;&gt;""),"")&lt;&gt;"")*1)</f>
        <v>0</v>
      </c>
      <c r="MW3" s="47" cm="1">
        <f t="array" ref="MW3">SUMPRODUCT((IFERROR(_xlfn._xlws.FILTER(INDEX(MW:MW,_xlfn.SEQUENCE(100,1,13,3)),INDEX(MW:MW,_xlfn.SEQUENCE(100,1,13,3))&lt;&gt;""),"")&lt;&gt;"")*1)</f>
        <v>0</v>
      </c>
      <c r="MX3" s="47" cm="1">
        <f t="array" ref="MX3">SUMPRODUCT((IFERROR(_xlfn._xlws.FILTER(INDEX(MX:MX,_xlfn.SEQUENCE(100,1,13,3)),INDEX(MX:MX,_xlfn.SEQUENCE(100,1,13,3))&lt;&gt;""),"")&lt;&gt;"")*1)</f>
        <v>0</v>
      </c>
      <c r="MY3" s="47" cm="1">
        <f t="array" ref="MY3">SUMPRODUCT((IFERROR(_xlfn._xlws.FILTER(INDEX(MY:MY,_xlfn.SEQUENCE(100,1,13,3)),INDEX(MY:MY,_xlfn.SEQUENCE(100,1,13,3))&lt;&gt;""),"")&lt;&gt;"")*1)</f>
        <v>0</v>
      </c>
      <c r="MZ3" s="47" cm="1">
        <f t="array" ref="MZ3">SUMPRODUCT((IFERROR(_xlfn._xlws.FILTER(INDEX(MZ:MZ,_xlfn.SEQUENCE(100,1,13,3)),INDEX(MZ:MZ,_xlfn.SEQUENCE(100,1,13,3))&lt;&gt;""),"")&lt;&gt;"")*1)</f>
        <v>0</v>
      </c>
      <c r="NA3" s="47" cm="1">
        <f t="array" ref="NA3">SUMPRODUCT((IFERROR(_xlfn._xlws.FILTER(INDEX(NA:NA,_xlfn.SEQUENCE(100,1,13,3)),INDEX(NA:NA,_xlfn.SEQUENCE(100,1,13,3))&lt;&gt;""),"")&lt;&gt;"")*1)</f>
        <v>0</v>
      </c>
      <c r="NB3" s="47" cm="1">
        <f t="array" ref="NB3">SUMPRODUCT((IFERROR(_xlfn._xlws.FILTER(INDEX(NB:NB,_xlfn.SEQUENCE(100,1,13,3)),INDEX(NB:NB,_xlfn.SEQUENCE(100,1,13,3))&lt;&gt;""),"")&lt;&gt;"")*1)</f>
        <v>0</v>
      </c>
      <c r="NC3" s="47" cm="1">
        <f t="array" ref="NC3">SUMPRODUCT((IFERROR(_xlfn._xlws.FILTER(INDEX(NC:NC,_xlfn.SEQUENCE(100,1,13,3)),INDEX(NC:NC,_xlfn.SEQUENCE(100,1,13,3))&lt;&gt;""),"")&lt;&gt;"")*1)</f>
        <v>0</v>
      </c>
      <c r="ND3" s="47" cm="1">
        <f t="array" ref="ND3">SUMPRODUCT((IFERROR(_xlfn._xlws.FILTER(INDEX(ND:ND,_xlfn.SEQUENCE(100,1,13,3)),INDEX(ND:ND,_xlfn.SEQUENCE(100,1,13,3))&lt;&gt;""),"")&lt;&gt;"")*1)</f>
        <v>0</v>
      </c>
      <c r="NE3" s="47" cm="1">
        <f t="array" ref="NE3">SUMPRODUCT((IFERROR(_xlfn._xlws.FILTER(INDEX(NE:NE,_xlfn.SEQUENCE(100,1,13,3)),INDEX(NE:NE,_xlfn.SEQUENCE(100,1,13,3))&lt;&gt;""),"")&lt;&gt;"")*1)</f>
        <v>0</v>
      </c>
      <c r="NF3" s="47" cm="1">
        <f t="array" ref="NF3">SUMPRODUCT((IFERROR(_xlfn._xlws.FILTER(INDEX(NF:NF,_xlfn.SEQUENCE(100,1,13,3)),INDEX(NF:NF,_xlfn.SEQUENCE(100,1,13,3))&lt;&gt;""),"")&lt;&gt;"")*1)</f>
        <v>0</v>
      </c>
      <c r="NG3" s="47" cm="1">
        <f t="array" ref="NG3">SUMPRODUCT((IFERROR(_xlfn._xlws.FILTER(INDEX(NG:NG,_xlfn.SEQUENCE(100,1,13,3)),INDEX(NG:NG,_xlfn.SEQUENCE(100,1,13,3))&lt;&gt;""),"")&lt;&gt;"")*1)</f>
        <v>0</v>
      </c>
      <c r="NH3" s="47" cm="1">
        <f t="array" ref="NH3">SUMPRODUCT((IFERROR(_xlfn._xlws.FILTER(INDEX(NH:NH,_xlfn.SEQUENCE(100,1,13,3)),INDEX(NH:NH,_xlfn.SEQUENCE(100,1,13,3))&lt;&gt;""),"")&lt;&gt;"")*1)</f>
        <v>0</v>
      </c>
      <c r="NI3" s="47" cm="1">
        <f t="array" ref="NI3">SUMPRODUCT((IFERROR(_xlfn._xlws.FILTER(INDEX(NI:NI,_xlfn.SEQUENCE(100,1,13,3)),INDEX(NI:NI,_xlfn.SEQUENCE(100,1,13,3))&lt;&gt;""),"")&lt;&gt;"")*1)</f>
        <v>0</v>
      </c>
      <c r="NJ3" s="47" cm="1">
        <f t="array" ref="NJ3">SUMPRODUCT((IFERROR(_xlfn._xlws.FILTER(INDEX(NJ:NJ,_xlfn.SEQUENCE(100,1,13,3)),INDEX(NJ:NJ,_xlfn.SEQUENCE(100,1,13,3))&lt;&gt;""),"")&lt;&gt;"")*1)</f>
        <v>0</v>
      </c>
      <c r="NK3" s="47" cm="1">
        <f t="array" ref="NK3">SUMPRODUCT((IFERROR(_xlfn._xlws.FILTER(INDEX(NK:NK,_xlfn.SEQUENCE(100,1,13,3)),INDEX(NK:NK,_xlfn.SEQUENCE(100,1,13,3))&lt;&gt;""),"")&lt;&gt;"")*1)</f>
        <v>0</v>
      </c>
      <c r="NL3" s="47" cm="1">
        <f t="array" ref="NL3">SUMPRODUCT((IFERROR(_xlfn._xlws.FILTER(INDEX(NL:NL,_xlfn.SEQUENCE(100,1,13,3)),INDEX(NL:NL,_xlfn.SEQUENCE(100,1,13,3))&lt;&gt;""),"")&lt;&gt;"")*1)</f>
        <v>0</v>
      </c>
      <c r="NM3" s="47" cm="1">
        <f t="array" ref="NM3">SUMPRODUCT((IFERROR(_xlfn._xlws.FILTER(INDEX(NM:NM,_xlfn.SEQUENCE(100,1,13,3)),INDEX(NM:NM,_xlfn.SEQUENCE(100,1,13,3))&lt;&gt;""),"")&lt;&gt;"")*1)</f>
        <v>0</v>
      </c>
      <c r="NN3" s="47" cm="1">
        <f t="array" ref="NN3">SUMPRODUCT((IFERROR(_xlfn._xlws.FILTER(INDEX(NN:NN,_xlfn.SEQUENCE(100,1,13,3)),INDEX(NN:NN,_xlfn.SEQUENCE(100,1,13,3))&lt;&gt;""),"")&lt;&gt;"")*1)</f>
        <v>0</v>
      </c>
      <c r="NO3" s="47" cm="1">
        <f t="array" ref="NO3">SUMPRODUCT((IFERROR(_xlfn._xlws.FILTER(INDEX(NO:NO,_xlfn.SEQUENCE(100,1,13,3)),INDEX(NO:NO,_xlfn.SEQUENCE(100,1,13,3))&lt;&gt;""),"")&lt;&gt;"")*1)</f>
        <v>0</v>
      </c>
      <c r="NP3" s="47" cm="1">
        <f t="array" ref="NP3">SUMPRODUCT((IFERROR(_xlfn._xlws.FILTER(INDEX(NP:NP,_xlfn.SEQUENCE(100,1,13,3)),INDEX(NP:NP,_xlfn.SEQUENCE(100,1,13,3))&lt;&gt;""),"")&lt;&gt;"")*1)</f>
        <v>0</v>
      </c>
      <c r="NQ3" s="47" cm="1">
        <f t="array" ref="NQ3">SUMPRODUCT((IFERROR(_xlfn._xlws.FILTER(INDEX(NQ:NQ,_xlfn.SEQUENCE(100,1,13,3)),INDEX(NQ:NQ,_xlfn.SEQUENCE(100,1,13,3))&lt;&gt;""),"")&lt;&gt;"")*1)</f>
        <v>0</v>
      </c>
      <c r="NR3" s="47" cm="1">
        <f t="array" ref="NR3">SUMPRODUCT((IFERROR(_xlfn._xlws.FILTER(INDEX(NR:NR,_xlfn.SEQUENCE(100,1,13,3)),INDEX(NR:NR,_xlfn.SEQUENCE(100,1,13,3))&lt;&gt;""),"")&lt;&gt;"")*1)</f>
        <v>0</v>
      </c>
      <c r="NS3" s="47" cm="1">
        <f t="array" ref="NS3">SUMPRODUCT((IFERROR(_xlfn._xlws.FILTER(INDEX(NS:NS,_xlfn.SEQUENCE(100,1,13,3)),INDEX(NS:NS,_xlfn.SEQUENCE(100,1,13,3))&lt;&gt;""),"")&lt;&gt;"")*1)</f>
        <v>0</v>
      </c>
      <c r="NT3" s="47" cm="1">
        <f t="array" ref="NT3">SUMPRODUCT((IFERROR(_xlfn._xlws.FILTER(INDEX(NT:NT,_xlfn.SEQUENCE(100,1,13,3)),INDEX(NT:NT,_xlfn.SEQUENCE(100,1,13,3))&lt;&gt;""),"")&lt;&gt;"")*1)</f>
        <v>0</v>
      </c>
      <c r="NU3" s="47" cm="1">
        <f t="array" ref="NU3">SUMPRODUCT((IFERROR(_xlfn._xlws.FILTER(INDEX(NU:NU,_xlfn.SEQUENCE(100,1,13,3)),INDEX(NU:NU,_xlfn.SEQUENCE(100,1,13,3))&lt;&gt;""),"")&lt;&gt;"")*1)</f>
        <v>0</v>
      </c>
      <c r="NV3" s="47" cm="1">
        <f t="array" ref="NV3">SUMPRODUCT((IFERROR(_xlfn._xlws.FILTER(INDEX(NV:NV,_xlfn.SEQUENCE(100,1,13,3)),INDEX(NV:NV,_xlfn.SEQUENCE(100,1,13,3))&lt;&gt;""),"")&lt;&gt;"")*1)</f>
        <v>0</v>
      </c>
      <c r="NW3" s="47" cm="1">
        <f t="array" ref="NW3">SUMPRODUCT((IFERROR(_xlfn._xlws.FILTER(INDEX(NW:NW,_xlfn.SEQUENCE(100,1,13,3)),INDEX(NW:NW,_xlfn.SEQUENCE(100,1,13,3))&lt;&gt;""),"")&lt;&gt;"")*1)</f>
        <v>0</v>
      </c>
      <c r="NX3" s="47" cm="1">
        <f t="array" ref="NX3">SUMPRODUCT((IFERROR(_xlfn._xlws.FILTER(INDEX(NX:NX,_xlfn.SEQUENCE(100,1,13,3)),INDEX(NX:NX,_xlfn.SEQUENCE(100,1,13,3))&lt;&gt;""),"")&lt;&gt;"")*1)</f>
        <v>0</v>
      </c>
      <c r="NY3" s="47" cm="1">
        <f t="array" ref="NY3">SUMPRODUCT((IFERROR(_xlfn._xlws.FILTER(INDEX(NY:NY,_xlfn.SEQUENCE(100,1,13,3)),INDEX(NY:NY,_xlfn.SEQUENCE(100,1,13,3))&lt;&gt;""),"")&lt;&gt;"")*1)</f>
        <v>0</v>
      </c>
      <c r="NZ3" s="47" cm="1">
        <f t="array" ref="NZ3">SUMPRODUCT((IFERROR(_xlfn._xlws.FILTER(INDEX(NZ:NZ,_xlfn.SEQUENCE(100,1,13,3)),INDEX(NZ:NZ,_xlfn.SEQUENCE(100,1,13,3))&lt;&gt;""),"")&lt;&gt;"")*1)</f>
        <v>0</v>
      </c>
      <c r="OA3" s="47" cm="1">
        <f t="array" ref="OA3">SUMPRODUCT((IFERROR(_xlfn._xlws.FILTER(INDEX(OA:OA,_xlfn.SEQUENCE(100,1,13,3)),INDEX(OA:OA,_xlfn.SEQUENCE(100,1,13,3))&lt;&gt;""),"")&lt;&gt;"")*1)</f>
        <v>0</v>
      </c>
      <c r="OB3" s="47" cm="1">
        <f t="array" ref="OB3">SUMPRODUCT((IFERROR(_xlfn._xlws.FILTER(INDEX(OB:OB,_xlfn.SEQUENCE(100,1,13,3)),INDEX(OB:OB,_xlfn.SEQUENCE(100,1,13,3))&lt;&gt;""),"")&lt;&gt;"")*1)</f>
        <v>0</v>
      </c>
      <c r="OC3" s="47" cm="1">
        <f t="array" ref="OC3">SUMPRODUCT((IFERROR(_xlfn._xlws.FILTER(INDEX(OC:OC,_xlfn.SEQUENCE(100,1,13,3)),INDEX(OC:OC,_xlfn.SEQUENCE(100,1,13,3))&lt;&gt;""),"")&lt;&gt;"")*1)</f>
        <v>0</v>
      </c>
      <c r="OD3" s="47" cm="1">
        <f t="array" ref="OD3">SUMPRODUCT((IFERROR(_xlfn._xlws.FILTER(INDEX(OD:OD,_xlfn.SEQUENCE(100,1,13,3)),INDEX(OD:OD,_xlfn.SEQUENCE(100,1,13,3))&lt;&gt;""),"")&lt;&gt;"")*1)</f>
        <v>0</v>
      </c>
      <c r="OE3" s="47" cm="1">
        <f t="array" ref="OE3">SUMPRODUCT((IFERROR(_xlfn._xlws.FILTER(INDEX(OE:OE,_xlfn.SEQUENCE(100,1,13,3)),INDEX(OE:OE,_xlfn.SEQUENCE(100,1,13,3))&lt;&gt;""),"")&lt;&gt;"")*1)</f>
        <v>0</v>
      </c>
      <c r="OF3" s="47" cm="1">
        <f t="array" ref="OF3">SUMPRODUCT((IFERROR(_xlfn._xlws.FILTER(INDEX(OF:OF,_xlfn.SEQUENCE(100,1,13,3)),INDEX(OF:OF,_xlfn.SEQUENCE(100,1,13,3))&lt;&gt;""),"")&lt;&gt;"")*1)</f>
        <v>0</v>
      </c>
      <c r="OG3" s="47" cm="1">
        <f t="array" ref="OG3">SUMPRODUCT((IFERROR(_xlfn._xlws.FILTER(INDEX(OG:OG,_xlfn.SEQUENCE(100,1,13,3)),INDEX(OG:OG,_xlfn.SEQUENCE(100,1,13,3))&lt;&gt;""),"")&lt;&gt;"")*1)</f>
        <v>0</v>
      </c>
      <c r="OH3" s="47" cm="1">
        <f t="array" ref="OH3">SUMPRODUCT((IFERROR(_xlfn._xlws.FILTER(INDEX(OH:OH,_xlfn.SEQUENCE(100,1,13,3)),INDEX(OH:OH,_xlfn.SEQUENCE(100,1,13,3))&lt;&gt;""),"")&lt;&gt;"")*1)</f>
        <v>0</v>
      </c>
      <c r="OI3" s="47" cm="1">
        <f t="array" ref="OI3">SUMPRODUCT((IFERROR(_xlfn._xlws.FILTER(INDEX(OI:OI,_xlfn.SEQUENCE(100,1,13,3)),INDEX(OI:OI,_xlfn.SEQUENCE(100,1,13,3))&lt;&gt;""),"")&lt;&gt;"")*1)</f>
        <v>0</v>
      </c>
      <c r="OJ3" s="47" cm="1">
        <f t="array" ref="OJ3">SUMPRODUCT((IFERROR(_xlfn._xlws.FILTER(INDEX(OJ:OJ,_xlfn.SEQUENCE(100,1,13,3)),INDEX(OJ:OJ,_xlfn.SEQUENCE(100,1,13,3))&lt;&gt;""),"")&lt;&gt;"")*1)</f>
        <v>0</v>
      </c>
      <c r="OK3" s="47" cm="1">
        <f t="array" ref="OK3">SUMPRODUCT((IFERROR(_xlfn._xlws.FILTER(INDEX(OK:OK,_xlfn.SEQUENCE(100,1,13,3)),INDEX(OK:OK,_xlfn.SEQUENCE(100,1,13,3))&lt;&gt;""),"")&lt;&gt;"")*1)</f>
        <v>0</v>
      </c>
      <c r="OL3" s="47" cm="1">
        <f t="array" ref="OL3">SUMPRODUCT((IFERROR(_xlfn._xlws.FILTER(INDEX(OL:OL,_xlfn.SEQUENCE(100,1,13,3)),INDEX(OL:OL,_xlfn.SEQUENCE(100,1,13,3))&lt;&gt;""),"")&lt;&gt;"")*1)</f>
        <v>0</v>
      </c>
      <c r="OM3" s="47" cm="1">
        <f t="array" ref="OM3">SUMPRODUCT((IFERROR(_xlfn._xlws.FILTER(INDEX(OM:OM,_xlfn.SEQUENCE(100,1,13,3)),INDEX(OM:OM,_xlfn.SEQUENCE(100,1,13,3))&lt;&gt;""),"")&lt;&gt;"")*1)</f>
        <v>0</v>
      </c>
      <c r="ON3" s="47" cm="1">
        <f t="array" ref="ON3">SUMPRODUCT((IFERROR(_xlfn._xlws.FILTER(INDEX(ON:ON,_xlfn.SEQUENCE(100,1,13,3)),INDEX(ON:ON,_xlfn.SEQUENCE(100,1,13,3))&lt;&gt;""),"")&lt;&gt;"")*1)</f>
        <v>0</v>
      </c>
      <c r="OO3" s="47" cm="1">
        <f t="array" ref="OO3">SUMPRODUCT((IFERROR(_xlfn._xlws.FILTER(INDEX(OO:OO,_xlfn.SEQUENCE(100,1,13,3)),INDEX(OO:OO,_xlfn.SEQUENCE(100,1,13,3))&lt;&gt;""),"")&lt;&gt;"")*1)</f>
        <v>0</v>
      </c>
      <c r="OP3" s="47" cm="1">
        <f t="array" ref="OP3">SUMPRODUCT((IFERROR(_xlfn._xlws.FILTER(INDEX(OP:OP,_xlfn.SEQUENCE(100,1,13,3)),INDEX(OP:OP,_xlfn.SEQUENCE(100,1,13,3))&lt;&gt;""),"")&lt;&gt;"")*1)</f>
        <v>0</v>
      </c>
      <c r="OQ3" s="47" cm="1">
        <f t="array" ref="OQ3">SUMPRODUCT((IFERROR(_xlfn._xlws.FILTER(INDEX(OQ:OQ,_xlfn.SEQUENCE(100,1,13,3)),INDEX(OQ:OQ,_xlfn.SEQUENCE(100,1,13,3))&lt;&gt;""),"")&lt;&gt;"")*1)</f>
        <v>0</v>
      </c>
      <c r="OR3" s="47" cm="1">
        <f t="array" ref="OR3">SUMPRODUCT((IFERROR(_xlfn._xlws.FILTER(INDEX(OR:OR,_xlfn.SEQUENCE(100,1,13,3)),INDEX(OR:OR,_xlfn.SEQUENCE(100,1,13,3))&lt;&gt;""),"")&lt;&gt;"")*1)</f>
        <v>0</v>
      </c>
      <c r="OS3" s="47" cm="1">
        <f t="array" ref="OS3">SUMPRODUCT((IFERROR(_xlfn._xlws.FILTER(INDEX(OS:OS,_xlfn.SEQUENCE(100,1,13,3)),INDEX(OS:OS,_xlfn.SEQUENCE(100,1,13,3))&lt;&gt;""),"")&lt;&gt;"")*1)</f>
        <v>0</v>
      </c>
      <c r="OT3" s="47" cm="1">
        <f t="array" ref="OT3">SUMPRODUCT((IFERROR(_xlfn._xlws.FILTER(INDEX(OT:OT,_xlfn.SEQUENCE(100,1,13,3)),INDEX(OT:OT,_xlfn.SEQUENCE(100,1,13,3))&lt;&gt;""),"")&lt;&gt;"")*1)</f>
        <v>0</v>
      </c>
      <c r="OU3" s="47" cm="1">
        <f t="array" ref="OU3">SUMPRODUCT((IFERROR(_xlfn._xlws.FILTER(INDEX(OU:OU,_xlfn.SEQUENCE(100,1,13,3)),INDEX(OU:OU,_xlfn.SEQUENCE(100,1,13,3))&lt;&gt;""),"")&lt;&gt;"")*1)</f>
        <v>0</v>
      </c>
      <c r="OV3" s="47" cm="1">
        <f t="array" ref="OV3">SUMPRODUCT((IFERROR(_xlfn._xlws.FILTER(INDEX(OV:OV,_xlfn.SEQUENCE(100,1,13,3)),INDEX(OV:OV,_xlfn.SEQUENCE(100,1,13,3))&lt;&gt;""),"")&lt;&gt;"")*1)</f>
        <v>0</v>
      </c>
      <c r="OW3" s="47" cm="1">
        <f t="array" ref="OW3">SUMPRODUCT((IFERROR(_xlfn._xlws.FILTER(INDEX(OW:OW,_xlfn.SEQUENCE(100,1,13,3)),INDEX(OW:OW,_xlfn.SEQUENCE(100,1,13,3))&lt;&gt;""),"")&lt;&gt;"")*1)</f>
        <v>0</v>
      </c>
      <c r="OX3" s="47" cm="1">
        <f t="array" ref="OX3">SUMPRODUCT((IFERROR(_xlfn._xlws.FILTER(INDEX(OX:OX,_xlfn.SEQUENCE(100,1,13,3)),INDEX(OX:OX,_xlfn.SEQUENCE(100,1,13,3))&lt;&gt;""),"")&lt;&gt;"")*1)</f>
        <v>0</v>
      </c>
      <c r="OY3" s="47" cm="1">
        <f t="array" ref="OY3">SUMPRODUCT((IFERROR(_xlfn._xlws.FILTER(INDEX(OY:OY,_xlfn.SEQUENCE(100,1,13,3)),INDEX(OY:OY,_xlfn.SEQUENCE(100,1,13,3))&lt;&gt;""),"")&lt;&gt;"")*1)</f>
        <v>0</v>
      </c>
      <c r="OZ3" s="47" cm="1">
        <f t="array" ref="OZ3">SUMPRODUCT((IFERROR(_xlfn._xlws.FILTER(INDEX(OZ:OZ,_xlfn.SEQUENCE(100,1,13,3)),INDEX(OZ:OZ,_xlfn.SEQUENCE(100,1,13,3))&lt;&gt;""),"")&lt;&gt;"")*1)</f>
        <v>0</v>
      </c>
      <c r="PA3" s="47" cm="1">
        <f t="array" ref="PA3">SUMPRODUCT((IFERROR(_xlfn._xlws.FILTER(INDEX(PA:PA,_xlfn.SEQUENCE(100,1,13,3)),INDEX(PA:PA,_xlfn.SEQUENCE(100,1,13,3))&lt;&gt;""),"")&lt;&gt;"")*1)</f>
        <v>0</v>
      </c>
      <c r="PB3" s="47" cm="1">
        <f t="array" ref="PB3">SUMPRODUCT((IFERROR(_xlfn._xlws.FILTER(INDEX(PB:PB,_xlfn.SEQUENCE(100,1,13,3)),INDEX(PB:PB,_xlfn.SEQUENCE(100,1,13,3))&lt;&gt;""),"")&lt;&gt;"")*1)</f>
        <v>0</v>
      </c>
      <c r="PC3" s="47" cm="1">
        <f t="array" ref="PC3">SUMPRODUCT((IFERROR(_xlfn._xlws.FILTER(INDEX(PC:PC,_xlfn.SEQUENCE(100,1,13,3)),INDEX(PC:PC,_xlfn.SEQUENCE(100,1,13,3))&lt;&gt;""),"")&lt;&gt;"")*1)</f>
        <v>0</v>
      </c>
      <c r="PD3" s="47" cm="1">
        <f t="array" ref="PD3">SUMPRODUCT((IFERROR(_xlfn._xlws.FILTER(INDEX(PD:PD,_xlfn.SEQUENCE(100,1,13,3)),INDEX(PD:PD,_xlfn.SEQUENCE(100,1,13,3))&lt;&gt;""),"")&lt;&gt;"")*1)</f>
        <v>0</v>
      </c>
      <c r="PE3" s="47" cm="1">
        <f t="array" ref="PE3">SUMPRODUCT((IFERROR(_xlfn._xlws.FILTER(INDEX(PE:PE,_xlfn.SEQUENCE(100,1,13,3)),INDEX(PE:PE,_xlfn.SEQUENCE(100,1,13,3))&lt;&gt;""),"")&lt;&gt;"")*1)</f>
        <v>0</v>
      </c>
      <c r="PF3" s="47" cm="1">
        <f t="array" ref="PF3">SUMPRODUCT((IFERROR(_xlfn._xlws.FILTER(INDEX(PF:PF,_xlfn.SEQUENCE(100,1,13,3)),INDEX(PF:PF,_xlfn.SEQUENCE(100,1,13,3))&lt;&gt;""),"")&lt;&gt;"")*1)</f>
        <v>0</v>
      </c>
      <c r="PG3" s="47" cm="1">
        <f t="array" ref="PG3">SUMPRODUCT((IFERROR(_xlfn._xlws.FILTER(INDEX(PG:PG,_xlfn.SEQUENCE(100,1,13,3)),INDEX(PG:PG,_xlfn.SEQUENCE(100,1,13,3))&lt;&gt;""),"")&lt;&gt;"")*1)</f>
        <v>0</v>
      </c>
      <c r="PH3" s="47" cm="1">
        <f t="array" ref="PH3">SUMPRODUCT((IFERROR(_xlfn._xlws.FILTER(INDEX(PH:PH,_xlfn.SEQUENCE(100,1,13,3)),INDEX(PH:PH,_xlfn.SEQUENCE(100,1,13,3))&lt;&gt;""),"")&lt;&gt;"")*1)</f>
        <v>0</v>
      </c>
      <c r="PI3" s="47" cm="1">
        <f t="array" ref="PI3">SUMPRODUCT((IFERROR(_xlfn._xlws.FILTER(INDEX(PI:PI,_xlfn.SEQUENCE(100,1,13,3)),INDEX(PI:PI,_xlfn.SEQUENCE(100,1,13,3))&lt;&gt;""),"")&lt;&gt;"")*1)</f>
        <v>0</v>
      </c>
      <c r="PJ3" s="47" cm="1">
        <f t="array" ref="PJ3">SUMPRODUCT((IFERROR(_xlfn._xlws.FILTER(INDEX(PJ:PJ,_xlfn.SEQUENCE(100,1,13,3)),INDEX(PJ:PJ,_xlfn.SEQUENCE(100,1,13,3))&lt;&gt;""),"")&lt;&gt;"")*1)</f>
        <v>0</v>
      </c>
      <c r="PK3" s="47" cm="1">
        <f t="array" ref="PK3">SUMPRODUCT((IFERROR(_xlfn._xlws.FILTER(INDEX(PK:PK,_xlfn.SEQUENCE(100,1,13,3)),INDEX(PK:PK,_xlfn.SEQUENCE(100,1,13,3))&lt;&gt;""),"")&lt;&gt;"")*1)</f>
        <v>0</v>
      </c>
      <c r="PL3" s="47" cm="1">
        <f t="array" ref="PL3">SUMPRODUCT((IFERROR(_xlfn._xlws.FILTER(INDEX(PL:PL,_xlfn.SEQUENCE(100,1,13,3)),INDEX(PL:PL,_xlfn.SEQUENCE(100,1,13,3))&lt;&gt;""),"")&lt;&gt;"")*1)</f>
        <v>0</v>
      </c>
      <c r="PM3" s="47" cm="1">
        <f t="array" ref="PM3">SUMPRODUCT((IFERROR(_xlfn._xlws.FILTER(INDEX(PM:PM,_xlfn.SEQUENCE(100,1,13,3)),INDEX(PM:PM,_xlfn.SEQUENCE(100,1,13,3))&lt;&gt;""),"")&lt;&gt;"")*1)</f>
        <v>0</v>
      </c>
      <c r="PN3" s="47" cm="1">
        <f t="array" ref="PN3">SUMPRODUCT((IFERROR(_xlfn._xlws.FILTER(INDEX(PN:PN,_xlfn.SEQUENCE(100,1,13,3)),INDEX(PN:PN,_xlfn.SEQUENCE(100,1,13,3))&lt;&gt;""),"")&lt;&gt;"")*1)</f>
        <v>0</v>
      </c>
      <c r="PO3" s="47" cm="1">
        <f t="array" ref="PO3">SUMPRODUCT((IFERROR(_xlfn._xlws.FILTER(INDEX(PO:PO,_xlfn.SEQUENCE(100,1,13,3)),INDEX(PO:PO,_xlfn.SEQUENCE(100,1,13,3))&lt;&gt;""),"")&lt;&gt;"")*1)</f>
        <v>0</v>
      </c>
      <c r="PP3" s="47" cm="1">
        <f t="array" ref="PP3">SUMPRODUCT((IFERROR(_xlfn._xlws.FILTER(INDEX(PP:PP,_xlfn.SEQUENCE(100,1,13,3)),INDEX(PP:PP,_xlfn.SEQUENCE(100,1,13,3))&lt;&gt;""),"")&lt;&gt;"")*1)</f>
        <v>0</v>
      </c>
      <c r="PQ3" s="47" cm="1">
        <f t="array" ref="PQ3">SUMPRODUCT((IFERROR(_xlfn._xlws.FILTER(INDEX(PQ:PQ,_xlfn.SEQUENCE(100,1,13,3)),INDEX(PQ:PQ,_xlfn.SEQUENCE(100,1,13,3))&lt;&gt;""),"")&lt;&gt;"")*1)</f>
        <v>0</v>
      </c>
      <c r="PR3" s="47" cm="1">
        <f t="array" ref="PR3">SUMPRODUCT((IFERROR(_xlfn._xlws.FILTER(INDEX(PR:PR,_xlfn.SEQUENCE(100,1,13,3)),INDEX(PR:PR,_xlfn.SEQUENCE(100,1,13,3))&lt;&gt;""),"")&lt;&gt;"")*1)</f>
        <v>0</v>
      </c>
      <c r="PS3" s="47" cm="1">
        <f t="array" ref="PS3">SUMPRODUCT((IFERROR(_xlfn._xlws.FILTER(INDEX(PS:PS,_xlfn.SEQUENCE(100,1,13,3)),INDEX(PS:PS,_xlfn.SEQUENCE(100,1,13,3))&lt;&gt;""),"")&lt;&gt;"")*1)</f>
        <v>0</v>
      </c>
      <c r="PT3" s="47" cm="1">
        <f t="array" ref="PT3">SUMPRODUCT((IFERROR(_xlfn._xlws.FILTER(INDEX(PT:PT,_xlfn.SEQUENCE(100,1,13,3)),INDEX(PT:PT,_xlfn.SEQUENCE(100,1,13,3))&lt;&gt;""),"")&lt;&gt;"")*1)</f>
        <v>0</v>
      </c>
      <c r="PU3" s="47" cm="1">
        <f t="array" ref="PU3">SUMPRODUCT((IFERROR(_xlfn._xlws.FILTER(INDEX(PU:PU,_xlfn.SEQUENCE(100,1,13,3)),INDEX(PU:PU,_xlfn.SEQUENCE(100,1,13,3))&lt;&gt;""),"")&lt;&gt;"")*1)</f>
        <v>0</v>
      </c>
      <c r="PV3" s="47" cm="1">
        <f t="array" ref="PV3">SUMPRODUCT((IFERROR(_xlfn._xlws.FILTER(INDEX(PV:PV,_xlfn.SEQUENCE(100,1,13,3)),INDEX(PV:PV,_xlfn.SEQUENCE(100,1,13,3))&lt;&gt;""),"")&lt;&gt;"")*1)</f>
        <v>0</v>
      </c>
      <c r="PW3" s="47" cm="1">
        <f t="array" ref="PW3">SUMPRODUCT((IFERROR(_xlfn._xlws.FILTER(INDEX(PW:PW,_xlfn.SEQUENCE(100,1,13,3)),INDEX(PW:PW,_xlfn.SEQUENCE(100,1,13,3))&lt;&gt;""),"")&lt;&gt;"")*1)</f>
        <v>0</v>
      </c>
      <c r="PX3" s="47" cm="1">
        <f t="array" ref="PX3">SUMPRODUCT((IFERROR(_xlfn._xlws.FILTER(INDEX(PX:PX,_xlfn.SEQUENCE(100,1,13,3)),INDEX(PX:PX,_xlfn.SEQUENCE(100,1,13,3))&lt;&gt;""),"")&lt;&gt;"")*1)</f>
        <v>0</v>
      </c>
      <c r="PY3" s="47" cm="1">
        <f t="array" ref="PY3">SUMPRODUCT((IFERROR(_xlfn._xlws.FILTER(INDEX(PY:PY,_xlfn.SEQUENCE(100,1,13,3)),INDEX(PY:PY,_xlfn.SEQUENCE(100,1,13,3))&lt;&gt;""),"")&lt;&gt;"")*1)</f>
        <v>0</v>
      </c>
      <c r="PZ3" s="47" cm="1">
        <f t="array" ref="PZ3">SUMPRODUCT((IFERROR(_xlfn._xlws.FILTER(INDEX(PZ:PZ,_xlfn.SEQUENCE(100,1,13,3)),INDEX(PZ:PZ,_xlfn.SEQUENCE(100,1,13,3))&lt;&gt;""),"")&lt;&gt;"")*1)</f>
        <v>0</v>
      </c>
      <c r="QA3" s="47" cm="1">
        <f t="array" ref="QA3">SUMPRODUCT((IFERROR(_xlfn._xlws.FILTER(INDEX(QA:QA,_xlfn.SEQUENCE(100,1,13,3)),INDEX(QA:QA,_xlfn.SEQUENCE(100,1,13,3))&lt;&gt;""),"")&lt;&gt;"")*1)</f>
        <v>0</v>
      </c>
      <c r="QB3" s="47" cm="1">
        <f t="array" ref="QB3">SUMPRODUCT((IFERROR(_xlfn._xlws.FILTER(INDEX(QB:QB,_xlfn.SEQUENCE(100,1,13,3)),INDEX(QB:QB,_xlfn.SEQUENCE(100,1,13,3))&lt;&gt;""),"")&lt;&gt;"")*1)</f>
        <v>0</v>
      </c>
      <c r="QC3" s="47" cm="1">
        <f t="array" ref="QC3">SUMPRODUCT((IFERROR(_xlfn._xlws.FILTER(INDEX(QC:QC,_xlfn.SEQUENCE(100,1,13,3)),INDEX(QC:QC,_xlfn.SEQUENCE(100,1,13,3))&lt;&gt;""),"")&lt;&gt;"")*1)</f>
        <v>0</v>
      </c>
      <c r="QD3" s="47" cm="1">
        <f t="array" ref="QD3">SUMPRODUCT((IFERROR(_xlfn._xlws.FILTER(INDEX(QD:QD,_xlfn.SEQUENCE(100,1,13,3)),INDEX(QD:QD,_xlfn.SEQUENCE(100,1,13,3))&lt;&gt;""),"")&lt;&gt;"")*1)</f>
        <v>0</v>
      </c>
      <c r="QE3" s="47" cm="1">
        <f t="array" ref="QE3">SUMPRODUCT((IFERROR(_xlfn._xlws.FILTER(INDEX(QE:QE,_xlfn.SEQUENCE(100,1,13,3)),INDEX(QE:QE,_xlfn.SEQUENCE(100,1,13,3))&lt;&gt;""),"")&lt;&gt;"")*1)</f>
        <v>0</v>
      </c>
      <c r="QF3" s="47" cm="1">
        <f t="array" ref="QF3">SUMPRODUCT((IFERROR(_xlfn._xlws.FILTER(INDEX(QF:QF,_xlfn.SEQUENCE(100,1,13,3)),INDEX(QF:QF,_xlfn.SEQUENCE(100,1,13,3))&lt;&gt;""),"")&lt;&gt;"")*1)</f>
        <v>0</v>
      </c>
      <c r="QG3" s="47" cm="1">
        <f t="array" ref="QG3">SUMPRODUCT((IFERROR(_xlfn._xlws.FILTER(INDEX(QG:QG,_xlfn.SEQUENCE(100,1,13,3)),INDEX(QG:QG,_xlfn.SEQUENCE(100,1,13,3))&lt;&gt;""),"")&lt;&gt;"")*1)</f>
        <v>0</v>
      </c>
      <c r="QH3" s="47" cm="1">
        <f t="array" ref="QH3">SUMPRODUCT((IFERROR(_xlfn._xlws.FILTER(INDEX(QH:QH,_xlfn.SEQUENCE(100,1,13,3)),INDEX(QH:QH,_xlfn.SEQUENCE(100,1,13,3))&lt;&gt;""),"")&lt;&gt;"")*1)</f>
        <v>0</v>
      </c>
      <c r="QI3" s="47" cm="1">
        <f t="array" ref="QI3">SUMPRODUCT((IFERROR(_xlfn._xlws.FILTER(INDEX(QI:QI,_xlfn.SEQUENCE(100,1,13,3)),INDEX(QI:QI,_xlfn.SEQUENCE(100,1,13,3))&lt;&gt;""),"")&lt;&gt;"")*1)</f>
        <v>0</v>
      </c>
      <c r="QJ3" s="47" cm="1">
        <f t="array" ref="QJ3">SUMPRODUCT((IFERROR(_xlfn._xlws.FILTER(INDEX(QJ:QJ,_xlfn.SEQUENCE(100,1,13,3)),INDEX(QJ:QJ,_xlfn.SEQUENCE(100,1,13,3))&lt;&gt;""),"")&lt;&gt;"")*1)</f>
        <v>0</v>
      </c>
      <c r="QK3" s="47" cm="1">
        <f t="array" ref="QK3">SUMPRODUCT((IFERROR(_xlfn._xlws.FILTER(INDEX(QK:QK,_xlfn.SEQUENCE(100,1,13,3)),INDEX(QK:QK,_xlfn.SEQUENCE(100,1,13,3))&lt;&gt;""),"")&lt;&gt;"")*1)</f>
        <v>0</v>
      </c>
      <c r="QL3" s="47" cm="1">
        <f t="array" ref="QL3">SUMPRODUCT((IFERROR(_xlfn._xlws.FILTER(INDEX(QL:QL,_xlfn.SEQUENCE(100,1,13,3)),INDEX(QL:QL,_xlfn.SEQUENCE(100,1,13,3))&lt;&gt;""),"")&lt;&gt;"")*1)</f>
        <v>0</v>
      </c>
      <c r="QM3" s="47" cm="1">
        <f t="array" ref="QM3">SUMPRODUCT((IFERROR(_xlfn._xlws.FILTER(INDEX(QM:QM,_xlfn.SEQUENCE(100,1,13,3)),INDEX(QM:QM,_xlfn.SEQUENCE(100,1,13,3))&lt;&gt;""),"")&lt;&gt;"")*1)</f>
        <v>0</v>
      </c>
      <c r="QN3" s="47" cm="1">
        <f t="array" ref="QN3">SUMPRODUCT((IFERROR(_xlfn._xlws.FILTER(INDEX(QN:QN,_xlfn.SEQUENCE(100,1,13,3)),INDEX(QN:QN,_xlfn.SEQUENCE(100,1,13,3))&lt;&gt;""),"")&lt;&gt;"")*1)</f>
        <v>0</v>
      </c>
      <c r="QO3" s="47" cm="1">
        <f t="array" ref="QO3">SUMPRODUCT((IFERROR(_xlfn._xlws.FILTER(INDEX(QO:QO,_xlfn.SEQUENCE(100,1,13,3)),INDEX(QO:QO,_xlfn.SEQUENCE(100,1,13,3))&lt;&gt;""),"")&lt;&gt;"")*1)</f>
        <v>0</v>
      </c>
      <c r="QP3" s="47" cm="1">
        <f t="array" ref="QP3">SUMPRODUCT((IFERROR(_xlfn._xlws.FILTER(INDEX(QP:QP,_xlfn.SEQUENCE(100,1,13,3)),INDEX(QP:QP,_xlfn.SEQUENCE(100,1,13,3))&lt;&gt;""),"")&lt;&gt;"")*1)</f>
        <v>0</v>
      </c>
      <c r="QQ3" s="47" cm="1">
        <f t="array" ref="QQ3">SUMPRODUCT((IFERROR(_xlfn._xlws.FILTER(INDEX(QQ:QQ,_xlfn.SEQUENCE(100,1,13,3)),INDEX(QQ:QQ,_xlfn.SEQUENCE(100,1,13,3))&lt;&gt;""),"")&lt;&gt;"")*1)</f>
        <v>0</v>
      </c>
      <c r="QR3" s="47" cm="1">
        <f t="array" ref="QR3">SUMPRODUCT((IFERROR(_xlfn._xlws.FILTER(INDEX(QR:QR,_xlfn.SEQUENCE(100,1,13,3)),INDEX(QR:QR,_xlfn.SEQUENCE(100,1,13,3))&lt;&gt;""),"")&lt;&gt;"")*1)</f>
        <v>0</v>
      </c>
      <c r="QS3" s="47" cm="1">
        <f t="array" ref="QS3">SUMPRODUCT((IFERROR(_xlfn._xlws.FILTER(INDEX(QS:QS,_xlfn.SEQUENCE(100,1,13,3)),INDEX(QS:QS,_xlfn.SEQUENCE(100,1,13,3))&lt;&gt;""),"")&lt;&gt;"")*1)</f>
        <v>0</v>
      </c>
      <c r="QT3" s="47" cm="1">
        <f t="array" ref="QT3">SUMPRODUCT((IFERROR(_xlfn._xlws.FILTER(INDEX(QT:QT,_xlfn.SEQUENCE(100,1,13,3)),INDEX(QT:QT,_xlfn.SEQUENCE(100,1,13,3))&lt;&gt;""),"")&lt;&gt;"")*1)</f>
        <v>0</v>
      </c>
      <c r="QU3" s="47" cm="1">
        <f t="array" ref="QU3">SUMPRODUCT((IFERROR(_xlfn._xlws.FILTER(INDEX(QU:QU,_xlfn.SEQUENCE(100,1,13,3)),INDEX(QU:QU,_xlfn.SEQUENCE(100,1,13,3))&lt;&gt;""),"")&lt;&gt;"")*1)</f>
        <v>0</v>
      </c>
      <c r="QV3" s="47" cm="1">
        <f t="array" ref="QV3">SUMPRODUCT((IFERROR(_xlfn._xlws.FILTER(INDEX(QV:QV,_xlfn.SEQUENCE(100,1,13,3)),INDEX(QV:QV,_xlfn.SEQUENCE(100,1,13,3))&lt;&gt;""),"")&lt;&gt;"")*1)</f>
        <v>0</v>
      </c>
      <c r="QW3" s="47" cm="1">
        <f t="array" ref="QW3">SUMPRODUCT((IFERROR(_xlfn._xlws.FILTER(INDEX(QW:QW,_xlfn.SEQUENCE(100,1,13,3)),INDEX(QW:QW,_xlfn.SEQUENCE(100,1,13,3))&lt;&gt;""),"")&lt;&gt;"")*1)</f>
        <v>0</v>
      </c>
      <c r="QX3" s="47" cm="1">
        <f t="array" ref="QX3">SUMPRODUCT((IFERROR(_xlfn._xlws.FILTER(INDEX(QX:QX,_xlfn.SEQUENCE(100,1,13,3)),INDEX(QX:QX,_xlfn.SEQUENCE(100,1,13,3))&lt;&gt;""),"")&lt;&gt;"")*1)</f>
        <v>0</v>
      </c>
      <c r="QY3" s="47" cm="1">
        <f t="array" ref="QY3">SUMPRODUCT((IFERROR(_xlfn._xlws.FILTER(INDEX(QY:QY,_xlfn.SEQUENCE(100,1,13,3)),INDEX(QY:QY,_xlfn.SEQUENCE(100,1,13,3))&lt;&gt;""),"")&lt;&gt;"")*1)</f>
        <v>0</v>
      </c>
      <c r="QZ3" s="47" cm="1">
        <f t="array" ref="QZ3">SUMPRODUCT((IFERROR(_xlfn._xlws.FILTER(INDEX(QZ:QZ,_xlfn.SEQUENCE(100,1,13,3)),INDEX(QZ:QZ,_xlfn.SEQUENCE(100,1,13,3))&lt;&gt;""),"")&lt;&gt;"")*1)</f>
        <v>0</v>
      </c>
      <c r="RA3" s="47" cm="1">
        <f t="array" ref="RA3">SUMPRODUCT((IFERROR(_xlfn._xlws.FILTER(INDEX(RA:RA,_xlfn.SEQUENCE(100,1,13,3)),INDEX(RA:RA,_xlfn.SEQUENCE(100,1,13,3))&lt;&gt;""),"")&lt;&gt;"")*1)</f>
        <v>0</v>
      </c>
      <c r="RB3" s="47" cm="1">
        <f t="array" ref="RB3">SUMPRODUCT((IFERROR(_xlfn._xlws.FILTER(INDEX(RB:RB,_xlfn.SEQUENCE(100,1,13,3)),INDEX(RB:RB,_xlfn.SEQUENCE(100,1,13,3))&lt;&gt;""),"")&lt;&gt;"")*1)</f>
        <v>0</v>
      </c>
      <c r="RC3" s="47" cm="1">
        <f t="array" ref="RC3">SUMPRODUCT((IFERROR(_xlfn._xlws.FILTER(INDEX(RC:RC,_xlfn.SEQUENCE(100,1,13,3)),INDEX(RC:RC,_xlfn.SEQUENCE(100,1,13,3))&lt;&gt;""),"")&lt;&gt;"")*1)</f>
        <v>0</v>
      </c>
      <c r="RD3" s="47" cm="1">
        <f t="array" ref="RD3">SUMPRODUCT((IFERROR(_xlfn._xlws.FILTER(INDEX(RD:RD,_xlfn.SEQUENCE(100,1,13,3)),INDEX(RD:RD,_xlfn.SEQUENCE(100,1,13,3))&lt;&gt;""),"")&lt;&gt;"")*1)</f>
        <v>0</v>
      </c>
      <c r="RE3" s="47" cm="1">
        <f t="array" ref="RE3">SUMPRODUCT((IFERROR(_xlfn._xlws.FILTER(INDEX(RE:RE,_xlfn.SEQUENCE(100,1,13,3)),INDEX(RE:RE,_xlfn.SEQUENCE(100,1,13,3))&lt;&gt;""),"")&lt;&gt;"")*1)</f>
        <v>0</v>
      </c>
      <c r="RF3" s="47" cm="1">
        <f t="array" ref="RF3">SUMPRODUCT((IFERROR(_xlfn._xlws.FILTER(INDEX(RF:RF,_xlfn.SEQUENCE(100,1,13,3)),INDEX(RF:RF,_xlfn.SEQUENCE(100,1,13,3))&lt;&gt;""),"")&lt;&gt;"")*1)</f>
        <v>0</v>
      </c>
      <c r="RG3" s="47" cm="1">
        <f t="array" ref="RG3">SUMPRODUCT((IFERROR(_xlfn._xlws.FILTER(INDEX(RG:RG,_xlfn.SEQUENCE(100,1,13,3)),INDEX(RG:RG,_xlfn.SEQUENCE(100,1,13,3))&lt;&gt;""),"")&lt;&gt;"")*1)</f>
        <v>0</v>
      </c>
      <c r="RH3" s="47" cm="1">
        <f t="array" ref="RH3">SUMPRODUCT((IFERROR(_xlfn._xlws.FILTER(INDEX(RH:RH,_xlfn.SEQUENCE(100,1,13,3)),INDEX(RH:RH,_xlfn.SEQUENCE(100,1,13,3))&lt;&gt;""),"")&lt;&gt;"")*1)</f>
        <v>0</v>
      </c>
      <c r="RI3" s="47" cm="1">
        <f t="array" ref="RI3">SUMPRODUCT((IFERROR(_xlfn._xlws.FILTER(INDEX(RI:RI,_xlfn.SEQUENCE(100,1,13,3)),INDEX(RI:RI,_xlfn.SEQUENCE(100,1,13,3))&lt;&gt;""),"")&lt;&gt;"")*1)</f>
        <v>0</v>
      </c>
      <c r="RJ3" s="47" cm="1">
        <f t="array" ref="RJ3">SUMPRODUCT((IFERROR(_xlfn._xlws.FILTER(INDEX(RJ:RJ,_xlfn.SEQUENCE(100,1,13,3)),INDEX(RJ:RJ,_xlfn.SEQUENCE(100,1,13,3))&lt;&gt;""),"")&lt;&gt;"")*1)</f>
        <v>0</v>
      </c>
      <c r="RK3" s="47" cm="1">
        <f t="array" ref="RK3">SUMPRODUCT((IFERROR(_xlfn._xlws.FILTER(INDEX(RK:RK,_xlfn.SEQUENCE(100,1,13,3)),INDEX(RK:RK,_xlfn.SEQUENCE(100,1,13,3))&lt;&gt;""),"")&lt;&gt;"")*1)</f>
        <v>0</v>
      </c>
      <c r="RL3" s="47" cm="1">
        <f t="array" ref="RL3">SUMPRODUCT((IFERROR(_xlfn._xlws.FILTER(INDEX(RL:RL,_xlfn.SEQUENCE(100,1,13,3)),INDEX(RL:RL,_xlfn.SEQUENCE(100,1,13,3))&lt;&gt;""),"")&lt;&gt;"")*1)</f>
        <v>0</v>
      </c>
      <c r="RM3" s="47" cm="1">
        <f t="array" ref="RM3">SUMPRODUCT((IFERROR(_xlfn._xlws.FILTER(INDEX(RM:RM,_xlfn.SEQUENCE(100,1,13,3)),INDEX(RM:RM,_xlfn.SEQUENCE(100,1,13,3))&lt;&gt;""),"")&lt;&gt;"")*1)</f>
        <v>0</v>
      </c>
      <c r="RN3" s="47" cm="1">
        <f t="array" ref="RN3">SUMPRODUCT((IFERROR(_xlfn._xlws.FILTER(INDEX(RN:RN,_xlfn.SEQUENCE(100,1,13,3)),INDEX(RN:RN,_xlfn.SEQUENCE(100,1,13,3))&lt;&gt;""),"")&lt;&gt;"")*1)</f>
        <v>0</v>
      </c>
      <c r="RO3" s="47" cm="1">
        <f t="array" ref="RO3">SUMPRODUCT((IFERROR(_xlfn._xlws.FILTER(INDEX(RO:RO,_xlfn.SEQUENCE(100,1,13,3)),INDEX(RO:RO,_xlfn.SEQUENCE(100,1,13,3))&lt;&gt;""),"")&lt;&gt;"")*1)</f>
        <v>0</v>
      </c>
      <c r="RP3" s="47" cm="1">
        <f t="array" ref="RP3">SUMPRODUCT((IFERROR(_xlfn._xlws.FILTER(INDEX(RP:RP,_xlfn.SEQUENCE(100,1,13,3)),INDEX(RP:RP,_xlfn.SEQUENCE(100,1,13,3))&lt;&gt;""),"")&lt;&gt;"")*1)</f>
        <v>0</v>
      </c>
      <c r="RQ3" s="47" cm="1">
        <f t="array" ref="RQ3">SUMPRODUCT((IFERROR(_xlfn._xlws.FILTER(INDEX(RQ:RQ,_xlfn.SEQUENCE(100,1,13,3)),INDEX(RQ:RQ,_xlfn.SEQUENCE(100,1,13,3))&lt;&gt;""),"")&lt;&gt;"")*1)</f>
        <v>0</v>
      </c>
      <c r="RR3" s="47" cm="1">
        <f t="array" ref="RR3">SUMPRODUCT((IFERROR(_xlfn._xlws.FILTER(INDEX(RR:RR,_xlfn.SEQUENCE(100,1,13,3)),INDEX(RR:RR,_xlfn.SEQUENCE(100,1,13,3))&lt;&gt;""),"")&lt;&gt;"")*1)</f>
        <v>0</v>
      </c>
      <c r="RS3" s="47" cm="1">
        <f t="array" ref="RS3">SUMPRODUCT((IFERROR(_xlfn._xlws.FILTER(INDEX(RS:RS,_xlfn.SEQUENCE(100,1,13,3)),INDEX(RS:RS,_xlfn.SEQUENCE(100,1,13,3))&lt;&gt;""),"")&lt;&gt;"")*1)</f>
        <v>0</v>
      </c>
      <c r="RT3" s="47" cm="1">
        <f t="array" ref="RT3">SUMPRODUCT((IFERROR(_xlfn._xlws.FILTER(INDEX(RT:RT,_xlfn.SEQUENCE(100,1,13,3)),INDEX(RT:RT,_xlfn.SEQUENCE(100,1,13,3))&lt;&gt;""),"")&lt;&gt;"")*1)</f>
        <v>0</v>
      </c>
      <c r="RU3" s="47" cm="1">
        <f t="array" ref="RU3">SUMPRODUCT((IFERROR(_xlfn._xlws.FILTER(INDEX(RU:RU,_xlfn.SEQUENCE(100,1,13,3)),INDEX(RU:RU,_xlfn.SEQUENCE(100,1,13,3))&lt;&gt;""),"")&lt;&gt;"")*1)</f>
        <v>0</v>
      </c>
      <c r="RV3" s="47" cm="1">
        <f t="array" ref="RV3">SUMPRODUCT((IFERROR(_xlfn._xlws.FILTER(INDEX(RV:RV,_xlfn.SEQUENCE(100,1,13,3)),INDEX(RV:RV,_xlfn.SEQUENCE(100,1,13,3))&lt;&gt;""),"")&lt;&gt;"")*1)</f>
        <v>0</v>
      </c>
      <c r="RW3" s="47" cm="1">
        <f t="array" ref="RW3">SUMPRODUCT((IFERROR(_xlfn._xlws.FILTER(INDEX(RW:RW,_xlfn.SEQUENCE(100,1,13,3)),INDEX(RW:RW,_xlfn.SEQUENCE(100,1,13,3))&lt;&gt;""),"")&lt;&gt;"")*1)</f>
        <v>0</v>
      </c>
      <c r="RX3" s="47" cm="1">
        <f t="array" ref="RX3">SUMPRODUCT((IFERROR(_xlfn._xlws.FILTER(INDEX(RX:RX,_xlfn.SEQUENCE(100,1,13,3)),INDEX(RX:RX,_xlfn.SEQUENCE(100,1,13,3))&lt;&gt;""),"")&lt;&gt;"")*1)</f>
        <v>0</v>
      </c>
      <c r="RY3" s="47" cm="1">
        <f t="array" ref="RY3">SUMPRODUCT((IFERROR(_xlfn._xlws.FILTER(INDEX(RY:RY,_xlfn.SEQUENCE(100,1,13,3)),INDEX(RY:RY,_xlfn.SEQUENCE(100,1,13,3))&lt;&gt;""),"")&lt;&gt;"")*1)</f>
        <v>0</v>
      </c>
      <c r="RZ3" s="47" cm="1">
        <f t="array" ref="RZ3">SUMPRODUCT((IFERROR(_xlfn._xlws.FILTER(INDEX(RZ:RZ,_xlfn.SEQUENCE(100,1,13,3)),INDEX(RZ:RZ,_xlfn.SEQUENCE(100,1,13,3))&lt;&gt;""),"")&lt;&gt;"")*1)</f>
        <v>0</v>
      </c>
      <c r="SA3" s="47" cm="1">
        <f t="array" ref="SA3">SUMPRODUCT((IFERROR(_xlfn._xlws.FILTER(INDEX(SA:SA,_xlfn.SEQUENCE(100,1,13,3)),INDEX(SA:SA,_xlfn.SEQUENCE(100,1,13,3))&lt;&gt;""),"")&lt;&gt;"")*1)</f>
        <v>0</v>
      </c>
      <c r="SB3" s="47" cm="1">
        <f t="array" ref="SB3">SUMPRODUCT((IFERROR(_xlfn._xlws.FILTER(INDEX(SB:SB,_xlfn.SEQUENCE(100,1,13,3)),INDEX(SB:SB,_xlfn.SEQUENCE(100,1,13,3))&lt;&gt;""),"")&lt;&gt;"")*1)</f>
        <v>0</v>
      </c>
      <c r="SC3" s="47" cm="1">
        <f t="array" ref="SC3">SUMPRODUCT((IFERROR(_xlfn._xlws.FILTER(INDEX(SC:SC,_xlfn.SEQUENCE(100,1,13,3)),INDEX(SC:SC,_xlfn.SEQUENCE(100,1,13,3))&lt;&gt;""),"")&lt;&gt;"")*1)</f>
        <v>0</v>
      </c>
      <c r="SD3" s="47" cm="1">
        <f t="array" ref="SD3">SUMPRODUCT((IFERROR(_xlfn._xlws.FILTER(INDEX(SD:SD,_xlfn.SEQUENCE(100,1,13,3)),INDEX(SD:SD,_xlfn.SEQUENCE(100,1,13,3))&lt;&gt;""),"")&lt;&gt;"")*1)</f>
        <v>0</v>
      </c>
      <c r="SE3" s="47" cm="1">
        <f t="array" ref="SE3">SUMPRODUCT((IFERROR(_xlfn._xlws.FILTER(INDEX(SE:SE,_xlfn.SEQUENCE(100,1,13,3)),INDEX(SE:SE,_xlfn.SEQUENCE(100,1,13,3))&lt;&gt;""),"")&lt;&gt;"")*1)</f>
        <v>0</v>
      </c>
      <c r="SF3" s="47" cm="1">
        <f t="array" ref="SF3">SUMPRODUCT((IFERROR(_xlfn._xlws.FILTER(INDEX(SF:SF,_xlfn.SEQUENCE(100,1,13,3)),INDEX(SF:SF,_xlfn.SEQUENCE(100,1,13,3))&lt;&gt;""),"")&lt;&gt;"")*1)</f>
        <v>0</v>
      </c>
      <c r="SG3" s="47" cm="1">
        <f t="array" ref="SG3">SUMPRODUCT((IFERROR(_xlfn._xlws.FILTER(INDEX(SG:SG,_xlfn.SEQUENCE(100,1,13,3)),INDEX(SG:SG,_xlfn.SEQUENCE(100,1,13,3))&lt;&gt;""),"")&lt;&gt;"")*1)</f>
        <v>0</v>
      </c>
      <c r="SH3" s="47" cm="1">
        <f t="array" ref="SH3">SUMPRODUCT((IFERROR(_xlfn._xlws.FILTER(INDEX(SH:SH,_xlfn.SEQUENCE(100,1,13,3)),INDEX(SH:SH,_xlfn.SEQUENCE(100,1,13,3))&lt;&gt;""),"")&lt;&gt;"")*1)</f>
        <v>0</v>
      </c>
      <c r="SI3" s="47" cm="1">
        <f t="array" ref="SI3">SUMPRODUCT((IFERROR(_xlfn._xlws.FILTER(INDEX(SI:SI,_xlfn.SEQUENCE(100,1,13,3)),INDEX(SI:SI,_xlfn.SEQUENCE(100,1,13,3))&lt;&gt;""),"")&lt;&gt;"")*1)</f>
        <v>0</v>
      </c>
      <c r="SJ3" s="47" cm="1">
        <f t="array" ref="SJ3">SUMPRODUCT((IFERROR(_xlfn._xlws.FILTER(INDEX(SJ:SJ,_xlfn.SEQUENCE(100,1,13,3)),INDEX(SJ:SJ,_xlfn.SEQUENCE(100,1,13,3))&lt;&gt;""),"")&lt;&gt;"")*1)</f>
        <v>0</v>
      </c>
      <c r="SK3" s="47" cm="1">
        <f t="array" ref="SK3">SUMPRODUCT((IFERROR(_xlfn._xlws.FILTER(INDEX(SK:SK,_xlfn.SEQUENCE(100,1,13,3)),INDEX(SK:SK,_xlfn.SEQUENCE(100,1,13,3))&lt;&gt;""),"")&lt;&gt;"")*1)</f>
        <v>0</v>
      </c>
      <c r="SL3" s="47" cm="1">
        <f t="array" ref="SL3">SUMPRODUCT((IFERROR(_xlfn._xlws.FILTER(INDEX(SL:SL,_xlfn.SEQUENCE(100,1,13,3)),INDEX(SL:SL,_xlfn.SEQUENCE(100,1,13,3))&lt;&gt;""),"")&lt;&gt;"")*1)</f>
        <v>0</v>
      </c>
      <c r="SM3" s="47" cm="1">
        <f t="array" ref="SM3">SUMPRODUCT((IFERROR(_xlfn._xlws.FILTER(INDEX(SM:SM,_xlfn.SEQUENCE(100,1,13,3)),INDEX(SM:SM,_xlfn.SEQUENCE(100,1,13,3))&lt;&gt;""),"")&lt;&gt;"")*1)</f>
        <v>0</v>
      </c>
      <c r="SN3" s="47" cm="1">
        <f t="array" ref="SN3">SUMPRODUCT((IFERROR(_xlfn._xlws.FILTER(INDEX(SN:SN,_xlfn.SEQUENCE(100,1,13,3)),INDEX(SN:SN,_xlfn.SEQUENCE(100,1,13,3))&lt;&gt;""),"")&lt;&gt;"")*1)</f>
        <v>0</v>
      </c>
      <c r="SO3" s="47" cm="1">
        <f t="array" ref="SO3">SUMPRODUCT((IFERROR(_xlfn._xlws.FILTER(INDEX(SO:SO,_xlfn.SEQUENCE(100,1,13,3)),INDEX(SO:SO,_xlfn.SEQUENCE(100,1,13,3))&lt;&gt;""),"")&lt;&gt;"")*1)</f>
        <v>0</v>
      </c>
      <c r="SP3" s="47" cm="1">
        <f t="array" ref="SP3">SUMPRODUCT((IFERROR(_xlfn._xlws.FILTER(INDEX(SP:SP,_xlfn.SEQUENCE(100,1,13,3)),INDEX(SP:SP,_xlfn.SEQUENCE(100,1,13,3))&lt;&gt;""),"")&lt;&gt;"")*1)</f>
        <v>0</v>
      </c>
      <c r="SQ3" s="47" cm="1">
        <f t="array" ref="SQ3">SUMPRODUCT((IFERROR(_xlfn._xlws.FILTER(INDEX(SQ:SQ,_xlfn.SEQUENCE(100,1,13,3)),INDEX(SQ:SQ,_xlfn.SEQUENCE(100,1,13,3))&lt;&gt;""),"")&lt;&gt;"")*1)</f>
        <v>0</v>
      </c>
      <c r="SR3" s="47" cm="1">
        <f t="array" ref="SR3">SUMPRODUCT((IFERROR(_xlfn._xlws.FILTER(INDEX(SR:SR,_xlfn.SEQUENCE(100,1,13,3)),INDEX(SR:SR,_xlfn.SEQUENCE(100,1,13,3))&lt;&gt;""),"")&lt;&gt;"")*1)</f>
        <v>0</v>
      </c>
    </row>
    <row r="4" spans="1:512" ht="16.25" customHeight="1" x14ac:dyDescent="0.7">
      <c r="A4" s="51"/>
      <c r="B4" s="51"/>
      <c r="C4" s="5"/>
      <c r="D4" s="5"/>
      <c r="E4" s="5"/>
      <c r="F4" s="5"/>
      <c r="G4" s="48"/>
      <c r="H4" s="48"/>
      <c r="I4" s="48"/>
      <c r="J4" s="48"/>
      <c r="K4" s="49" t="s">
        <v>116</v>
      </c>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c r="JI4" s="69"/>
      <c r="JJ4" s="69"/>
      <c r="JK4" s="69"/>
      <c r="JL4" s="69"/>
      <c r="JM4" s="69"/>
      <c r="JN4" s="69"/>
      <c r="JO4" s="69"/>
      <c r="JP4" s="69"/>
      <c r="JQ4" s="69"/>
      <c r="JR4" s="69"/>
      <c r="JS4" s="69"/>
      <c r="JT4" s="69"/>
      <c r="JU4" s="69"/>
      <c r="JV4" s="69"/>
      <c r="JW4" s="69"/>
      <c r="JX4" s="69"/>
      <c r="JY4" s="69"/>
      <c r="JZ4" s="69"/>
      <c r="KA4" s="69"/>
      <c r="KB4" s="69"/>
      <c r="KC4" s="69"/>
      <c r="KD4" s="69"/>
      <c r="KE4" s="69"/>
      <c r="KF4" s="69"/>
      <c r="KG4" s="69"/>
      <c r="KH4" s="69"/>
      <c r="KI4" s="69"/>
      <c r="KJ4" s="69"/>
      <c r="KK4" s="69"/>
      <c r="KL4" s="69"/>
      <c r="KM4" s="69"/>
      <c r="KN4" s="69"/>
      <c r="KO4" s="69"/>
      <c r="KP4" s="69"/>
      <c r="KQ4" s="69"/>
      <c r="KR4" s="69"/>
      <c r="KS4" s="69"/>
      <c r="KT4" s="69"/>
      <c r="KU4" s="69"/>
      <c r="KV4" s="69"/>
      <c r="KW4" s="69"/>
      <c r="KX4" s="69"/>
      <c r="KY4" s="69"/>
      <c r="KZ4" s="69"/>
      <c r="LA4" s="69"/>
      <c r="LB4" s="69"/>
      <c r="LC4" s="69"/>
      <c r="LD4" s="69"/>
      <c r="LE4" s="69"/>
      <c r="LF4" s="69"/>
      <c r="LG4" s="69"/>
      <c r="LH4" s="69"/>
      <c r="LI4" s="69"/>
      <c r="LJ4" s="69"/>
      <c r="LK4" s="69"/>
      <c r="LL4" s="69"/>
      <c r="LM4" s="69"/>
      <c r="LN4" s="69"/>
      <c r="LO4" s="69"/>
      <c r="LP4" s="69"/>
      <c r="LQ4" s="69"/>
      <c r="LR4" s="69"/>
      <c r="LS4" s="69"/>
      <c r="LT4" s="69"/>
      <c r="LU4" s="69"/>
      <c r="LV4" s="69"/>
      <c r="LW4" s="69"/>
      <c r="LX4" s="69"/>
      <c r="LY4" s="69"/>
      <c r="LZ4" s="69"/>
      <c r="MA4" s="69"/>
      <c r="MB4" s="69"/>
      <c r="MC4" s="69"/>
      <c r="MD4" s="69"/>
      <c r="ME4" s="69"/>
      <c r="MF4" s="69"/>
      <c r="MG4" s="69"/>
      <c r="MH4" s="69"/>
      <c r="MI4" s="69"/>
      <c r="MJ4" s="69"/>
      <c r="MK4" s="69"/>
      <c r="ML4" s="69"/>
      <c r="MM4" s="69"/>
      <c r="MN4" s="69"/>
      <c r="MO4" s="69"/>
      <c r="MP4" s="69"/>
      <c r="MQ4" s="69"/>
      <c r="MR4" s="69"/>
      <c r="MS4" s="69"/>
      <c r="MT4" s="69"/>
      <c r="MU4" s="69"/>
      <c r="MV4" s="69"/>
      <c r="MW4" s="69"/>
      <c r="MX4" s="69"/>
      <c r="MY4" s="69"/>
      <c r="MZ4" s="69"/>
      <c r="NA4" s="69"/>
      <c r="NB4" s="69"/>
      <c r="NC4" s="69"/>
      <c r="ND4" s="69"/>
      <c r="NE4" s="69"/>
      <c r="NF4" s="69"/>
      <c r="NG4" s="69"/>
      <c r="NH4" s="69"/>
      <c r="NI4" s="69"/>
      <c r="NJ4" s="69"/>
      <c r="NK4" s="69"/>
      <c r="NL4" s="69"/>
      <c r="NM4" s="69"/>
      <c r="NN4" s="69"/>
      <c r="NO4" s="69"/>
      <c r="NP4" s="69"/>
      <c r="NQ4" s="69"/>
      <c r="NR4" s="69"/>
      <c r="NS4" s="69"/>
      <c r="NT4" s="69"/>
      <c r="NU4" s="69"/>
      <c r="NV4" s="69"/>
      <c r="NW4" s="69"/>
      <c r="NX4" s="69"/>
      <c r="NY4" s="69"/>
      <c r="NZ4" s="69"/>
      <c r="OA4" s="69"/>
      <c r="OB4" s="69"/>
      <c r="OC4" s="69"/>
      <c r="OD4" s="69"/>
      <c r="OE4" s="69"/>
      <c r="OF4" s="69"/>
      <c r="OG4" s="69"/>
      <c r="OH4" s="69"/>
      <c r="OI4" s="69"/>
      <c r="OJ4" s="69"/>
      <c r="OK4" s="69"/>
      <c r="OL4" s="69"/>
      <c r="OM4" s="69"/>
      <c r="ON4" s="69"/>
      <c r="OO4" s="69"/>
      <c r="OP4" s="69"/>
      <c r="OQ4" s="69"/>
      <c r="OR4" s="69"/>
      <c r="OS4" s="69"/>
      <c r="OT4" s="69"/>
      <c r="OU4" s="69"/>
      <c r="OV4" s="69"/>
      <c r="OW4" s="69"/>
      <c r="OX4" s="69"/>
      <c r="OY4" s="69"/>
      <c r="OZ4" s="69"/>
      <c r="PA4" s="69"/>
      <c r="PB4" s="69"/>
      <c r="PC4" s="69"/>
      <c r="PD4" s="69"/>
      <c r="PE4" s="69"/>
      <c r="PF4" s="69"/>
      <c r="PG4" s="69"/>
      <c r="PH4" s="69"/>
      <c r="PI4" s="69"/>
      <c r="PJ4" s="69"/>
      <c r="PK4" s="69"/>
      <c r="PL4" s="69"/>
      <c r="PM4" s="69"/>
      <c r="PN4" s="69"/>
      <c r="PO4" s="69"/>
      <c r="PP4" s="69"/>
      <c r="PQ4" s="69"/>
      <c r="PR4" s="69"/>
      <c r="PS4" s="69"/>
      <c r="PT4" s="69"/>
      <c r="PU4" s="69"/>
      <c r="PV4" s="69"/>
      <c r="PW4" s="69"/>
      <c r="PX4" s="69"/>
      <c r="PY4" s="69"/>
      <c r="PZ4" s="69"/>
      <c r="QA4" s="69"/>
      <c r="QB4" s="69"/>
      <c r="QC4" s="69"/>
      <c r="QD4" s="69"/>
      <c r="QE4" s="69"/>
      <c r="QF4" s="69"/>
      <c r="QG4" s="69"/>
      <c r="QH4" s="69"/>
      <c r="QI4" s="69"/>
      <c r="QJ4" s="69"/>
      <c r="QK4" s="69"/>
      <c r="QL4" s="69"/>
      <c r="QM4" s="69"/>
      <c r="QN4" s="69"/>
      <c r="QO4" s="69"/>
      <c r="QP4" s="69"/>
      <c r="QQ4" s="69"/>
      <c r="QR4" s="69"/>
      <c r="QS4" s="69"/>
      <c r="QT4" s="69"/>
      <c r="QU4" s="69"/>
      <c r="QV4" s="69"/>
      <c r="QW4" s="69"/>
      <c r="QX4" s="69"/>
      <c r="QY4" s="69"/>
      <c r="QZ4" s="69"/>
      <c r="RA4" s="69"/>
      <c r="RB4" s="69"/>
      <c r="RC4" s="69"/>
      <c r="RD4" s="69"/>
      <c r="RE4" s="69"/>
      <c r="RF4" s="69"/>
      <c r="RG4" s="69"/>
      <c r="RH4" s="69"/>
      <c r="RI4" s="69"/>
      <c r="RJ4" s="69"/>
      <c r="RK4" s="69"/>
      <c r="RL4" s="69"/>
      <c r="RM4" s="69"/>
      <c r="RN4" s="69"/>
      <c r="RO4" s="69"/>
      <c r="RP4" s="69"/>
      <c r="RQ4" s="69"/>
      <c r="RR4" s="69"/>
      <c r="RS4" s="69"/>
      <c r="RT4" s="69"/>
      <c r="RU4" s="69"/>
      <c r="RV4" s="69"/>
      <c r="RW4" s="69"/>
      <c r="RX4" s="69"/>
      <c r="RY4" s="69"/>
      <c r="RZ4" s="69"/>
      <c r="SA4" s="69"/>
      <c r="SB4" s="69"/>
      <c r="SC4" s="69"/>
      <c r="SD4" s="69"/>
      <c r="SE4" s="69"/>
      <c r="SF4" s="69"/>
      <c r="SG4" s="69"/>
      <c r="SH4" s="69"/>
      <c r="SI4" s="69"/>
      <c r="SJ4" s="69"/>
      <c r="SK4" s="69"/>
      <c r="SL4" s="69"/>
      <c r="SM4" s="69"/>
      <c r="SN4" s="69"/>
      <c r="SO4" s="69"/>
      <c r="SP4" s="69"/>
      <c r="SQ4" s="69"/>
      <c r="SR4" s="69"/>
    </row>
    <row r="5" spans="1:512" ht="16.25" customHeight="1" x14ac:dyDescent="0.7">
      <c r="A5" s="6"/>
      <c r="B5" s="6"/>
      <c r="C5" s="6"/>
      <c r="D5" s="50"/>
      <c r="E5" s="50"/>
      <c r="F5" s="7"/>
      <c r="G5" s="48"/>
      <c r="H5" s="48"/>
      <c r="I5" s="48"/>
      <c r="J5" s="48"/>
      <c r="K5" s="49" t="s">
        <v>117</v>
      </c>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0"/>
      <c r="EM5" s="70"/>
      <c r="EN5" s="70"/>
      <c r="EO5" s="70"/>
      <c r="EP5" s="70"/>
      <c r="EQ5" s="70"/>
      <c r="ER5" s="70"/>
      <c r="ES5" s="70"/>
      <c r="ET5" s="70"/>
      <c r="EU5" s="70"/>
      <c r="EV5" s="70"/>
      <c r="EW5" s="70"/>
      <c r="EX5" s="70"/>
      <c r="EY5" s="70"/>
      <c r="EZ5" s="70"/>
      <c r="FA5" s="70"/>
      <c r="FB5" s="70"/>
      <c r="FC5" s="70"/>
      <c r="FD5" s="70"/>
      <c r="FE5" s="70"/>
      <c r="FF5" s="70"/>
      <c r="FG5" s="70"/>
      <c r="FH5" s="70"/>
      <c r="FI5" s="70"/>
      <c r="FJ5" s="70"/>
      <c r="FK5" s="70"/>
      <c r="FL5" s="70"/>
      <c r="FM5" s="70"/>
      <c r="FN5" s="70"/>
      <c r="FO5" s="70"/>
      <c r="FP5" s="70"/>
      <c r="FQ5" s="70"/>
      <c r="FR5" s="70"/>
      <c r="FS5" s="70"/>
      <c r="FT5" s="70"/>
      <c r="FU5" s="70"/>
      <c r="FV5" s="70"/>
      <c r="FW5" s="70"/>
      <c r="FX5" s="70"/>
      <c r="FY5" s="70"/>
      <c r="FZ5" s="70"/>
      <c r="GA5" s="70"/>
      <c r="GB5" s="70"/>
      <c r="GC5" s="70"/>
      <c r="GD5" s="70"/>
      <c r="GE5" s="70"/>
      <c r="GF5" s="70"/>
      <c r="GG5" s="70"/>
      <c r="GH5" s="70"/>
      <c r="GI5" s="70"/>
      <c r="GJ5" s="70"/>
      <c r="GK5" s="70"/>
      <c r="GL5" s="70"/>
      <c r="GM5" s="70"/>
      <c r="GN5" s="70"/>
      <c r="GO5" s="70"/>
      <c r="GP5" s="70"/>
      <c r="GQ5" s="70"/>
      <c r="GR5" s="70"/>
      <c r="GS5" s="70"/>
      <c r="GT5" s="70"/>
      <c r="GU5" s="70"/>
      <c r="GV5" s="70"/>
      <c r="GW5" s="70"/>
      <c r="GX5" s="70"/>
      <c r="GY5" s="70"/>
      <c r="GZ5" s="70"/>
      <c r="HA5" s="70"/>
      <c r="HB5" s="70"/>
      <c r="HC5" s="70"/>
      <c r="HD5" s="70"/>
      <c r="HE5" s="70"/>
      <c r="HF5" s="70"/>
      <c r="HG5" s="70"/>
      <c r="HH5" s="70"/>
      <c r="HI5" s="70"/>
      <c r="HJ5" s="70"/>
      <c r="HK5" s="70"/>
      <c r="HL5" s="70"/>
      <c r="HM5" s="70"/>
      <c r="HN5" s="70"/>
      <c r="HO5" s="70"/>
      <c r="HP5" s="70"/>
      <c r="HQ5" s="70"/>
      <c r="HR5" s="70"/>
      <c r="HS5" s="70"/>
      <c r="HT5" s="70"/>
      <c r="HU5" s="70"/>
      <c r="HV5" s="70"/>
      <c r="HW5" s="70"/>
      <c r="HX5" s="70"/>
      <c r="HY5" s="70"/>
      <c r="HZ5" s="70"/>
      <c r="IA5" s="70"/>
      <c r="IB5" s="70"/>
      <c r="IC5" s="70"/>
      <c r="ID5" s="70"/>
      <c r="IE5" s="70"/>
      <c r="IF5" s="70"/>
      <c r="IG5" s="70"/>
      <c r="IH5" s="70"/>
      <c r="II5" s="70"/>
      <c r="IJ5" s="70"/>
      <c r="IK5" s="70"/>
      <c r="IL5" s="70"/>
      <c r="IM5" s="70"/>
      <c r="IN5" s="70"/>
      <c r="IO5" s="70"/>
      <c r="IP5" s="70"/>
      <c r="IQ5" s="70"/>
      <c r="IR5" s="70"/>
      <c r="IS5" s="70"/>
      <c r="IT5" s="70"/>
      <c r="IU5" s="70"/>
      <c r="IV5" s="70"/>
      <c r="IW5" s="70"/>
      <c r="IX5" s="70"/>
      <c r="IY5" s="70"/>
      <c r="IZ5" s="70"/>
      <c r="JA5" s="70"/>
      <c r="JB5" s="70"/>
      <c r="JC5" s="70"/>
      <c r="JD5" s="70"/>
      <c r="JE5" s="70"/>
      <c r="JF5" s="70"/>
      <c r="JG5" s="70"/>
      <c r="JH5" s="70"/>
      <c r="JI5" s="70"/>
      <c r="JJ5" s="70"/>
      <c r="JK5" s="70"/>
      <c r="JL5" s="70"/>
      <c r="JM5" s="70"/>
      <c r="JN5" s="70"/>
      <c r="JO5" s="70"/>
      <c r="JP5" s="70"/>
      <c r="JQ5" s="70"/>
      <c r="JR5" s="70"/>
      <c r="JS5" s="70"/>
      <c r="JT5" s="70"/>
      <c r="JU5" s="70"/>
      <c r="JV5" s="70"/>
      <c r="JW5" s="70"/>
      <c r="JX5" s="70"/>
      <c r="JY5" s="70"/>
      <c r="JZ5" s="70"/>
      <c r="KA5" s="70"/>
      <c r="KB5" s="70"/>
      <c r="KC5" s="70"/>
      <c r="KD5" s="70"/>
      <c r="KE5" s="70"/>
      <c r="KF5" s="70"/>
      <c r="KG5" s="70"/>
      <c r="KH5" s="70"/>
      <c r="KI5" s="70"/>
      <c r="KJ5" s="70"/>
      <c r="KK5" s="70"/>
      <c r="KL5" s="70"/>
      <c r="KM5" s="70"/>
      <c r="KN5" s="70"/>
      <c r="KO5" s="70"/>
      <c r="KP5" s="70"/>
      <c r="KQ5" s="70"/>
      <c r="KR5" s="70"/>
      <c r="KS5" s="70"/>
      <c r="KT5" s="70"/>
      <c r="KU5" s="70"/>
      <c r="KV5" s="70"/>
      <c r="KW5" s="70"/>
      <c r="KX5" s="70"/>
      <c r="KY5" s="70"/>
      <c r="KZ5" s="70"/>
      <c r="LA5" s="70"/>
      <c r="LB5" s="70"/>
      <c r="LC5" s="70"/>
      <c r="LD5" s="70"/>
      <c r="LE5" s="70"/>
      <c r="LF5" s="70"/>
      <c r="LG5" s="70"/>
      <c r="LH5" s="70"/>
      <c r="LI5" s="70"/>
      <c r="LJ5" s="70"/>
      <c r="LK5" s="70"/>
      <c r="LL5" s="70"/>
      <c r="LM5" s="70"/>
      <c r="LN5" s="70"/>
      <c r="LO5" s="70"/>
      <c r="LP5" s="70"/>
      <c r="LQ5" s="70"/>
      <c r="LR5" s="70"/>
      <c r="LS5" s="70"/>
      <c r="LT5" s="70"/>
      <c r="LU5" s="70"/>
      <c r="LV5" s="70"/>
      <c r="LW5" s="70"/>
      <c r="LX5" s="70"/>
      <c r="LY5" s="70"/>
      <c r="LZ5" s="70"/>
      <c r="MA5" s="70"/>
      <c r="MB5" s="70"/>
      <c r="MC5" s="70"/>
      <c r="MD5" s="70"/>
      <c r="ME5" s="70"/>
      <c r="MF5" s="70"/>
      <c r="MG5" s="70"/>
      <c r="MH5" s="70"/>
      <c r="MI5" s="70"/>
      <c r="MJ5" s="70"/>
      <c r="MK5" s="70"/>
      <c r="ML5" s="70"/>
      <c r="MM5" s="70"/>
      <c r="MN5" s="70"/>
      <c r="MO5" s="70"/>
      <c r="MP5" s="70"/>
      <c r="MQ5" s="70"/>
      <c r="MR5" s="70"/>
      <c r="MS5" s="70"/>
      <c r="MT5" s="70"/>
      <c r="MU5" s="70"/>
      <c r="MV5" s="70"/>
      <c r="MW5" s="70"/>
      <c r="MX5" s="70"/>
      <c r="MY5" s="70"/>
      <c r="MZ5" s="70"/>
      <c r="NA5" s="70"/>
      <c r="NB5" s="70"/>
      <c r="NC5" s="70"/>
      <c r="ND5" s="70"/>
      <c r="NE5" s="70"/>
      <c r="NF5" s="70"/>
      <c r="NG5" s="70"/>
      <c r="NH5" s="70"/>
      <c r="NI5" s="70"/>
      <c r="NJ5" s="70"/>
      <c r="NK5" s="70"/>
      <c r="NL5" s="70"/>
      <c r="NM5" s="70"/>
      <c r="NN5" s="70"/>
      <c r="NO5" s="70"/>
      <c r="NP5" s="70"/>
      <c r="NQ5" s="70"/>
      <c r="NR5" s="70"/>
      <c r="NS5" s="70"/>
      <c r="NT5" s="70"/>
      <c r="NU5" s="70"/>
      <c r="NV5" s="70"/>
      <c r="NW5" s="70"/>
      <c r="NX5" s="70"/>
      <c r="NY5" s="70"/>
      <c r="NZ5" s="70"/>
      <c r="OA5" s="70"/>
      <c r="OB5" s="70"/>
      <c r="OC5" s="70"/>
      <c r="OD5" s="70"/>
      <c r="OE5" s="70"/>
      <c r="OF5" s="70"/>
      <c r="OG5" s="70"/>
      <c r="OH5" s="70"/>
      <c r="OI5" s="70"/>
      <c r="OJ5" s="70"/>
      <c r="OK5" s="70"/>
      <c r="OL5" s="70"/>
      <c r="OM5" s="70"/>
      <c r="ON5" s="70"/>
      <c r="OO5" s="70"/>
      <c r="OP5" s="70"/>
      <c r="OQ5" s="70"/>
      <c r="OR5" s="70"/>
      <c r="OS5" s="70"/>
      <c r="OT5" s="70"/>
      <c r="OU5" s="70"/>
      <c r="OV5" s="70"/>
      <c r="OW5" s="70"/>
      <c r="OX5" s="70"/>
      <c r="OY5" s="70"/>
      <c r="OZ5" s="70"/>
      <c r="PA5" s="70"/>
      <c r="PB5" s="70"/>
      <c r="PC5" s="70"/>
      <c r="PD5" s="70"/>
      <c r="PE5" s="70"/>
      <c r="PF5" s="70"/>
      <c r="PG5" s="70"/>
      <c r="PH5" s="70"/>
      <c r="PI5" s="70"/>
      <c r="PJ5" s="70"/>
      <c r="PK5" s="70"/>
      <c r="PL5" s="70"/>
      <c r="PM5" s="70"/>
      <c r="PN5" s="70"/>
      <c r="PO5" s="70"/>
      <c r="PP5" s="70"/>
      <c r="PQ5" s="70"/>
      <c r="PR5" s="70"/>
      <c r="PS5" s="70"/>
      <c r="PT5" s="70"/>
      <c r="PU5" s="70"/>
      <c r="PV5" s="70"/>
      <c r="PW5" s="70"/>
      <c r="PX5" s="70"/>
      <c r="PY5" s="70"/>
      <c r="PZ5" s="70"/>
      <c r="QA5" s="70"/>
      <c r="QB5" s="70"/>
      <c r="QC5" s="70"/>
      <c r="QD5" s="70"/>
      <c r="QE5" s="70"/>
      <c r="QF5" s="70"/>
      <c r="QG5" s="70"/>
      <c r="QH5" s="70"/>
      <c r="QI5" s="70"/>
      <c r="QJ5" s="70"/>
      <c r="QK5" s="70"/>
      <c r="QL5" s="70"/>
      <c r="QM5" s="70"/>
      <c r="QN5" s="70"/>
      <c r="QO5" s="70"/>
      <c r="QP5" s="70"/>
      <c r="QQ5" s="70"/>
      <c r="QR5" s="70"/>
      <c r="QS5" s="70"/>
      <c r="QT5" s="70"/>
      <c r="QU5" s="70"/>
      <c r="QV5" s="70"/>
      <c r="QW5" s="70"/>
      <c r="QX5" s="70"/>
      <c r="QY5" s="70"/>
      <c r="QZ5" s="70"/>
      <c r="RA5" s="70"/>
      <c r="RB5" s="70"/>
      <c r="RC5" s="70"/>
      <c r="RD5" s="70"/>
      <c r="RE5" s="70"/>
      <c r="RF5" s="70"/>
      <c r="RG5" s="70"/>
      <c r="RH5" s="70"/>
      <c r="RI5" s="70"/>
      <c r="RJ5" s="70"/>
      <c r="RK5" s="70"/>
      <c r="RL5" s="70"/>
      <c r="RM5" s="70"/>
      <c r="RN5" s="70"/>
      <c r="RO5" s="70"/>
      <c r="RP5" s="70"/>
      <c r="RQ5" s="70"/>
      <c r="RR5" s="70"/>
      <c r="RS5" s="70"/>
      <c r="RT5" s="70"/>
      <c r="RU5" s="70"/>
      <c r="RV5" s="70"/>
      <c r="RW5" s="70"/>
      <c r="RX5" s="70"/>
      <c r="RY5" s="70"/>
      <c r="RZ5" s="70"/>
      <c r="SA5" s="70"/>
      <c r="SB5" s="70"/>
      <c r="SC5" s="70"/>
      <c r="SD5" s="70"/>
      <c r="SE5" s="70"/>
      <c r="SF5" s="70"/>
      <c r="SG5" s="70"/>
      <c r="SH5" s="70"/>
      <c r="SI5" s="70"/>
      <c r="SJ5" s="70"/>
      <c r="SK5" s="70"/>
      <c r="SL5" s="70"/>
      <c r="SM5" s="70"/>
      <c r="SN5" s="70"/>
      <c r="SO5" s="70"/>
      <c r="SP5" s="70"/>
      <c r="SQ5" s="70"/>
      <c r="SR5" s="70"/>
    </row>
    <row r="6" spans="1:512" ht="16.25" customHeight="1" x14ac:dyDescent="0.7">
      <c r="A6" s="6"/>
      <c r="B6" s="6"/>
      <c r="C6" s="8"/>
      <c r="D6" s="9"/>
      <c r="E6" s="10"/>
      <c r="F6" s="11"/>
      <c r="G6" s="78"/>
      <c r="H6" s="78"/>
      <c r="I6" s="78"/>
      <c r="J6" s="78"/>
      <c r="K6" s="80" t="s">
        <v>118</v>
      </c>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c r="IP6" s="70"/>
      <c r="IQ6" s="70"/>
      <c r="IR6" s="70"/>
      <c r="IS6" s="70"/>
      <c r="IT6" s="70"/>
      <c r="IU6" s="70"/>
      <c r="IV6" s="70"/>
      <c r="IW6" s="70"/>
      <c r="IX6" s="70"/>
      <c r="IY6" s="70"/>
      <c r="IZ6" s="70"/>
      <c r="JA6" s="70"/>
      <c r="JB6" s="70"/>
      <c r="JC6" s="70"/>
      <c r="JD6" s="70"/>
      <c r="JE6" s="70"/>
      <c r="JF6" s="70"/>
      <c r="JG6" s="70"/>
      <c r="JH6" s="70"/>
      <c r="JI6" s="70"/>
      <c r="JJ6" s="70"/>
      <c r="JK6" s="70"/>
      <c r="JL6" s="70"/>
      <c r="JM6" s="70"/>
      <c r="JN6" s="70"/>
      <c r="JO6" s="70"/>
      <c r="JP6" s="70"/>
      <c r="JQ6" s="70"/>
      <c r="JR6" s="70"/>
      <c r="JS6" s="70"/>
      <c r="JT6" s="70"/>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0"/>
      <c r="OK6" s="70"/>
      <c r="OL6" s="70"/>
      <c r="OM6" s="70"/>
      <c r="ON6" s="70"/>
      <c r="OO6" s="70"/>
      <c r="OP6" s="70"/>
      <c r="OQ6" s="70"/>
      <c r="OR6" s="70"/>
      <c r="OS6" s="70"/>
      <c r="OT6" s="70"/>
      <c r="OU6" s="70"/>
      <c r="OV6" s="70"/>
      <c r="OW6" s="70"/>
      <c r="OX6" s="70"/>
      <c r="OY6" s="70"/>
      <c r="OZ6" s="70"/>
      <c r="PA6" s="70"/>
      <c r="PB6" s="70"/>
      <c r="PC6" s="70"/>
      <c r="PD6" s="70"/>
      <c r="PE6" s="70"/>
      <c r="PF6" s="70"/>
      <c r="PG6" s="70"/>
      <c r="PH6" s="70"/>
      <c r="PI6" s="70"/>
      <c r="PJ6" s="70"/>
      <c r="PK6" s="70"/>
      <c r="PL6" s="70"/>
      <c r="PM6" s="70"/>
      <c r="PN6" s="70"/>
      <c r="PO6" s="70"/>
      <c r="PP6" s="70"/>
      <c r="PQ6" s="70"/>
      <c r="PR6" s="70"/>
      <c r="PS6" s="70"/>
      <c r="PT6" s="70"/>
      <c r="PU6" s="70"/>
      <c r="PV6" s="70"/>
      <c r="PW6" s="70"/>
      <c r="PX6" s="70"/>
      <c r="PY6" s="70"/>
      <c r="PZ6" s="70"/>
      <c r="QA6" s="70"/>
      <c r="QB6" s="70"/>
      <c r="QC6" s="70"/>
      <c r="QD6" s="70"/>
      <c r="QE6" s="70"/>
      <c r="QF6" s="70"/>
      <c r="QG6" s="70"/>
      <c r="QH6" s="70"/>
      <c r="QI6" s="70"/>
      <c r="QJ6" s="70"/>
      <c r="QK6" s="70"/>
      <c r="QL6" s="70"/>
      <c r="QM6" s="70"/>
      <c r="QN6" s="70"/>
      <c r="QO6" s="70"/>
      <c r="QP6" s="70"/>
      <c r="QQ6" s="70"/>
      <c r="QR6" s="70"/>
      <c r="QS6" s="70"/>
      <c r="QT6" s="70"/>
      <c r="QU6" s="70"/>
      <c r="QV6" s="70"/>
      <c r="QW6" s="70"/>
      <c r="QX6" s="70"/>
      <c r="QY6" s="70"/>
      <c r="QZ6" s="70"/>
      <c r="RA6" s="70"/>
      <c r="RB6" s="70"/>
      <c r="RC6" s="70"/>
      <c r="RD6" s="70"/>
      <c r="RE6" s="70"/>
      <c r="RF6" s="70"/>
      <c r="RG6" s="70"/>
      <c r="RH6" s="70"/>
      <c r="RI6" s="70"/>
      <c r="RJ6" s="70"/>
      <c r="RK6" s="70"/>
      <c r="RL6" s="70"/>
      <c r="RM6" s="70"/>
      <c r="RN6" s="70"/>
      <c r="RO6" s="70"/>
      <c r="RP6" s="70"/>
      <c r="RQ6" s="70"/>
      <c r="RR6" s="70"/>
      <c r="RS6" s="70"/>
      <c r="RT6" s="70"/>
      <c r="RU6" s="70"/>
      <c r="RV6" s="70"/>
      <c r="RW6" s="70"/>
      <c r="RX6" s="70"/>
      <c r="RY6" s="70"/>
      <c r="RZ6" s="70"/>
      <c r="SA6" s="70"/>
      <c r="SB6" s="70"/>
      <c r="SC6" s="70"/>
      <c r="SD6" s="70"/>
      <c r="SE6" s="70"/>
      <c r="SF6" s="70"/>
      <c r="SG6" s="70"/>
      <c r="SH6" s="70"/>
      <c r="SI6" s="70"/>
      <c r="SJ6" s="70"/>
      <c r="SK6" s="70"/>
      <c r="SL6" s="70"/>
      <c r="SM6" s="70"/>
      <c r="SN6" s="70"/>
      <c r="SO6" s="70"/>
      <c r="SP6" s="70"/>
      <c r="SQ6" s="70"/>
      <c r="SR6" s="70"/>
    </row>
    <row r="7" spans="1:512" ht="16.25" customHeight="1" x14ac:dyDescent="0.7">
      <c r="A7" s="6"/>
      <c r="B7" s="7"/>
      <c r="C7" s="8"/>
      <c r="D7" s="12"/>
      <c r="E7" s="177" t="s">
        <v>119</v>
      </c>
      <c r="F7" s="177"/>
      <c r="G7" s="78"/>
      <c r="H7" s="78"/>
      <c r="I7" s="78"/>
      <c r="J7" s="78"/>
      <c r="K7" s="80" t="s">
        <v>120</v>
      </c>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0"/>
      <c r="EM7" s="70"/>
      <c r="EN7" s="70"/>
      <c r="EO7" s="70"/>
      <c r="EP7" s="70"/>
      <c r="EQ7" s="70"/>
      <c r="ER7" s="70"/>
      <c r="ES7" s="70"/>
      <c r="ET7" s="70"/>
      <c r="EU7" s="70"/>
      <c r="EV7" s="70"/>
      <c r="EW7" s="70"/>
      <c r="EX7" s="70"/>
      <c r="EY7" s="70"/>
      <c r="EZ7" s="70"/>
      <c r="FA7" s="70"/>
      <c r="FB7" s="70"/>
      <c r="FC7" s="70"/>
      <c r="FD7" s="70"/>
      <c r="FE7" s="70"/>
      <c r="FF7" s="70"/>
      <c r="FG7" s="70"/>
      <c r="FH7" s="70"/>
      <c r="FI7" s="70"/>
      <c r="FJ7" s="70"/>
      <c r="FK7" s="70"/>
      <c r="FL7" s="70"/>
      <c r="FM7" s="70"/>
      <c r="FN7" s="70"/>
      <c r="FO7" s="70"/>
      <c r="FP7" s="70"/>
      <c r="FQ7" s="70"/>
      <c r="FR7" s="70"/>
      <c r="FS7" s="70"/>
      <c r="FT7" s="70"/>
      <c r="FU7" s="70"/>
      <c r="FV7" s="70"/>
      <c r="FW7" s="70"/>
      <c r="FX7" s="70"/>
      <c r="FY7" s="70"/>
      <c r="FZ7" s="70"/>
      <c r="GA7" s="70"/>
      <c r="GB7" s="70"/>
      <c r="GC7" s="70"/>
      <c r="GD7" s="70"/>
      <c r="GE7" s="70"/>
      <c r="GF7" s="70"/>
      <c r="GG7" s="70"/>
      <c r="GH7" s="70"/>
      <c r="GI7" s="70"/>
      <c r="GJ7" s="70"/>
      <c r="GK7" s="70"/>
      <c r="GL7" s="70"/>
      <c r="GM7" s="70"/>
      <c r="GN7" s="70"/>
      <c r="GO7" s="70"/>
      <c r="GP7" s="70"/>
      <c r="GQ7" s="70"/>
      <c r="GR7" s="70"/>
      <c r="GS7" s="70"/>
      <c r="GT7" s="70"/>
      <c r="GU7" s="70"/>
      <c r="GV7" s="70"/>
      <c r="GW7" s="70"/>
      <c r="GX7" s="70"/>
      <c r="GY7" s="70"/>
      <c r="GZ7" s="70"/>
      <c r="HA7" s="70"/>
      <c r="HB7" s="70"/>
      <c r="HC7" s="70"/>
      <c r="HD7" s="70"/>
      <c r="HE7" s="70"/>
      <c r="HF7" s="70"/>
      <c r="HG7" s="70"/>
      <c r="HH7" s="70"/>
      <c r="HI7" s="70"/>
      <c r="HJ7" s="70"/>
      <c r="HK7" s="70"/>
      <c r="HL7" s="70"/>
      <c r="HM7" s="70"/>
      <c r="HN7" s="70"/>
      <c r="HO7" s="70"/>
      <c r="HP7" s="70"/>
      <c r="HQ7" s="70"/>
      <c r="HR7" s="70"/>
      <c r="HS7" s="70"/>
      <c r="HT7" s="70"/>
      <c r="HU7" s="70"/>
      <c r="HV7" s="70"/>
      <c r="HW7" s="70"/>
      <c r="HX7" s="70"/>
      <c r="HY7" s="70"/>
      <c r="HZ7" s="70"/>
      <c r="IA7" s="70"/>
      <c r="IB7" s="70"/>
      <c r="IC7" s="70"/>
      <c r="ID7" s="70"/>
      <c r="IE7" s="70"/>
      <c r="IF7" s="70"/>
      <c r="IG7" s="70"/>
      <c r="IH7" s="70"/>
      <c r="II7" s="70"/>
      <c r="IJ7" s="70"/>
      <c r="IK7" s="70"/>
      <c r="IL7" s="70"/>
      <c r="IM7" s="70"/>
      <c r="IN7" s="70"/>
      <c r="IO7" s="70"/>
      <c r="IP7" s="70"/>
      <c r="IQ7" s="70"/>
      <c r="IR7" s="70"/>
      <c r="IS7" s="70"/>
      <c r="IT7" s="70"/>
      <c r="IU7" s="70"/>
      <c r="IV7" s="70"/>
      <c r="IW7" s="70"/>
      <c r="IX7" s="70"/>
      <c r="IY7" s="70"/>
      <c r="IZ7" s="70"/>
      <c r="JA7" s="70"/>
      <c r="JB7" s="70"/>
      <c r="JC7" s="70"/>
      <c r="JD7" s="70"/>
      <c r="JE7" s="70"/>
      <c r="JF7" s="70"/>
      <c r="JG7" s="70"/>
      <c r="JH7" s="70"/>
      <c r="JI7" s="70"/>
      <c r="JJ7" s="70"/>
      <c r="JK7" s="70"/>
      <c r="JL7" s="70"/>
      <c r="JM7" s="70"/>
      <c r="JN7" s="70"/>
      <c r="JO7" s="70"/>
      <c r="JP7" s="70"/>
      <c r="JQ7" s="70"/>
      <c r="JR7" s="70"/>
      <c r="JS7" s="70"/>
      <c r="JT7" s="70"/>
      <c r="JU7" s="70"/>
      <c r="JV7" s="70"/>
      <c r="JW7" s="70"/>
      <c r="JX7" s="70"/>
      <c r="JY7" s="70"/>
      <c r="JZ7" s="70"/>
      <c r="KA7" s="70"/>
      <c r="KB7" s="70"/>
      <c r="KC7" s="70"/>
      <c r="KD7" s="70"/>
      <c r="KE7" s="70"/>
      <c r="KF7" s="70"/>
      <c r="KG7" s="70"/>
      <c r="KH7" s="70"/>
      <c r="KI7" s="70"/>
      <c r="KJ7" s="70"/>
      <c r="KK7" s="70"/>
      <c r="KL7" s="70"/>
      <c r="KM7" s="70"/>
      <c r="KN7" s="70"/>
      <c r="KO7" s="70"/>
      <c r="KP7" s="70"/>
      <c r="KQ7" s="70"/>
      <c r="KR7" s="70"/>
      <c r="KS7" s="70"/>
      <c r="KT7" s="70"/>
      <c r="KU7" s="70"/>
      <c r="KV7" s="70"/>
      <c r="KW7" s="70"/>
      <c r="KX7" s="70"/>
      <c r="KY7" s="70"/>
      <c r="KZ7" s="70"/>
      <c r="LA7" s="70"/>
      <c r="LB7" s="70"/>
      <c r="LC7" s="70"/>
      <c r="LD7" s="70"/>
      <c r="LE7" s="70"/>
      <c r="LF7" s="70"/>
      <c r="LG7" s="70"/>
      <c r="LH7" s="70"/>
      <c r="LI7" s="70"/>
      <c r="LJ7" s="70"/>
      <c r="LK7" s="70"/>
      <c r="LL7" s="70"/>
      <c r="LM7" s="70"/>
      <c r="LN7" s="70"/>
      <c r="LO7" s="70"/>
      <c r="LP7" s="70"/>
      <c r="LQ7" s="70"/>
      <c r="LR7" s="70"/>
      <c r="LS7" s="70"/>
      <c r="LT7" s="70"/>
      <c r="LU7" s="70"/>
      <c r="LV7" s="70"/>
      <c r="LW7" s="70"/>
      <c r="LX7" s="70"/>
      <c r="LY7" s="70"/>
      <c r="LZ7" s="70"/>
      <c r="MA7" s="70"/>
      <c r="MB7" s="70"/>
      <c r="MC7" s="70"/>
      <c r="MD7" s="70"/>
      <c r="ME7" s="70"/>
      <c r="MF7" s="70"/>
      <c r="MG7" s="70"/>
      <c r="MH7" s="70"/>
      <c r="MI7" s="70"/>
      <c r="MJ7" s="70"/>
      <c r="MK7" s="70"/>
      <c r="ML7" s="70"/>
      <c r="MM7" s="70"/>
      <c r="MN7" s="70"/>
      <c r="MO7" s="70"/>
      <c r="MP7" s="70"/>
      <c r="MQ7" s="70"/>
      <c r="MR7" s="70"/>
      <c r="MS7" s="70"/>
      <c r="MT7" s="70"/>
      <c r="MU7" s="70"/>
      <c r="MV7" s="70"/>
      <c r="MW7" s="70"/>
      <c r="MX7" s="70"/>
      <c r="MY7" s="70"/>
      <c r="MZ7" s="70"/>
      <c r="NA7" s="70"/>
      <c r="NB7" s="70"/>
      <c r="NC7" s="70"/>
      <c r="ND7" s="70"/>
      <c r="NE7" s="70"/>
      <c r="NF7" s="70"/>
      <c r="NG7" s="70"/>
      <c r="NH7" s="70"/>
      <c r="NI7" s="70"/>
      <c r="NJ7" s="70"/>
      <c r="NK7" s="70"/>
      <c r="NL7" s="70"/>
      <c r="NM7" s="70"/>
      <c r="NN7" s="70"/>
      <c r="NO7" s="70"/>
      <c r="NP7" s="70"/>
      <c r="NQ7" s="70"/>
      <c r="NR7" s="70"/>
      <c r="NS7" s="70"/>
      <c r="NT7" s="70"/>
      <c r="NU7" s="70"/>
      <c r="NV7" s="70"/>
      <c r="NW7" s="70"/>
      <c r="NX7" s="70"/>
      <c r="NY7" s="70"/>
      <c r="NZ7" s="70"/>
      <c r="OA7" s="70"/>
      <c r="OB7" s="70"/>
      <c r="OC7" s="70"/>
      <c r="OD7" s="70"/>
      <c r="OE7" s="70"/>
      <c r="OF7" s="70"/>
      <c r="OG7" s="70"/>
      <c r="OH7" s="70"/>
      <c r="OI7" s="70"/>
      <c r="OJ7" s="70"/>
      <c r="OK7" s="70"/>
      <c r="OL7" s="70"/>
      <c r="OM7" s="70"/>
      <c r="ON7" s="70"/>
      <c r="OO7" s="70"/>
      <c r="OP7" s="70"/>
      <c r="OQ7" s="70"/>
      <c r="OR7" s="70"/>
      <c r="OS7" s="70"/>
      <c r="OT7" s="70"/>
      <c r="OU7" s="70"/>
      <c r="OV7" s="70"/>
      <c r="OW7" s="70"/>
      <c r="OX7" s="70"/>
      <c r="OY7" s="70"/>
      <c r="OZ7" s="70"/>
      <c r="PA7" s="70"/>
      <c r="PB7" s="70"/>
      <c r="PC7" s="70"/>
      <c r="PD7" s="70"/>
      <c r="PE7" s="70"/>
      <c r="PF7" s="70"/>
      <c r="PG7" s="70"/>
      <c r="PH7" s="70"/>
      <c r="PI7" s="70"/>
      <c r="PJ7" s="70"/>
      <c r="PK7" s="70"/>
      <c r="PL7" s="70"/>
      <c r="PM7" s="70"/>
      <c r="PN7" s="70"/>
      <c r="PO7" s="70"/>
      <c r="PP7" s="70"/>
      <c r="PQ7" s="70"/>
      <c r="PR7" s="70"/>
      <c r="PS7" s="70"/>
      <c r="PT7" s="70"/>
      <c r="PU7" s="70"/>
      <c r="PV7" s="70"/>
      <c r="PW7" s="70"/>
      <c r="PX7" s="70"/>
      <c r="PY7" s="70"/>
      <c r="PZ7" s="70"/>
      <c r="QA7" s="70"/>
      <c r="QB7" s="70"/>
      <c r="QC7" s="70"/>
      <c r="QD7" s="70"/>
      <c r="QE7" s="70"/>
      <c r="QF7" s="70"/>
      <c r="QG7" s="70"/>
      <c r="QH7" s="70"/>
      <c r="QI7" s="70"/>
      <c r="QJ7" s="70"/>
      <c r="QK7" s="70"/>
      <c r="QL7" s="70"/>
      <c r="QM7" s="70"/>
      <c r="QN7" s="70"/>
      <c r="QO7" s="70"/>
      <c r="QP7" s="70"/>
      <c r="QQ7" s="70"/>
      <c r="QR7" s="70"/>
      <c r="QS7" s="70"/>
      <c r="QT7" s="70"/>
      <c r="QU7" s="70"/>
      <c r="QV7" s="70"/>
      <c r="QW7" s="70"/>
      <c r="QX7" s="70"/>
      <c r="QY7" s="70"/>
      <c r="QZ7" s="70"/>
      <c r="RA7" s="70"/>
      <c r="RB7" s="70"/>
      <c r="RC7" s="70"/>
      <c r="RD7" s="70"/>
      <c r="RE7" s="70"/>
      <c r="RF7" s="70"/>
      <c r="RG7" s="70"/>
      <c r="RH7" s="70"/>
      <c r="RI7" s="70"/>
      <c r="RJ7" s="70"/>
      <c r="RK7" s="70"/>
      <c r="RL7" s="70"/>
      <c r="RM7" s="70"/>
      <c r="RN7" s="70"/>
      <c r="RO7" s="70"/>
      <c r="RP7" s="70"/>
      <c r="RQ7" s="70"/>
      <c r="RR7" s="70"/>
      <c r="RS7" s="70"/>
      <c r="RT7" s="70"/>
      <c r="RU7" s="70"/>
      <c r="RV7" s="70"/>
      <c r="RW7" s="70"/>
      <c r="RX7" s="70"/>
      <c r="RY7" s="70"/>
      <c r="RZ7" s="70"/>
      <c r="SA7" s="70"/>
      <c r="SB7" s="70"/>
      <c r="SC7" s="70"/>
      <c r="SD7" s="70"/>
      <c r="SE7" s="70"/>
      <c r="SF7" s="70"/>
      <c r="SG7" s="70"/>
      <c r="SH7" s="70"/>
      <c r="SI7" s="70"/>
      <c r="SJ7" s="70"/>
      <c r="SK7" s="70"/>
      <c r="SL7" s="70"/>
      <c r="SM7" s="70"/>
      <c r="SN7" s="70"/>
      <c r="SO7" s="70"/>
      <c r="SP7" s="70"/>
      <c r="SQ7" s="70"/>
      <c r="SR7" s="70"/>
    </row>
    <row r="8" spans="1:512" ht="16.25" customHeight="1" x14ac:dyDescent="0.7">
      <c r="A8" s="181" t="s">
        <v>121</v>
      </c>
      <c r="B8" s="181"/>
      <c r="C8" s="183"/>
      <c r="D8" s="183"/>
      <c r="E8" s="183"/>
      <c r="F8" s="183"/>
      <c r="G8" s="78"/>
      <c r="H8" s="78"/>
      <c r="I8" s="78"/>
      <c r="J8" s="78"/>
      <c r="K8" s="80" t="s">
        <v>122</v>
      </c>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c r="IP8" s="70"/>
      <c r="IQ8" s="70"/>
      <c r="IR8" s="70"/>
      <c r="IS8" s="70"/>
      <c r="IT8" s="70"/>
      <c r="IU8" s="70"/>
      <c r="IV8" s="70"/>
      <c r="IW8" s="70"/>
      <c r="IX8" s="70"/>
      <c r="IY8" s="70"/>
      <c r="IZ8" s="70"/>
      <c r="JA8" s="70"/>
      <c r="JB8" s="70"/>
      <c r="JC8" s="70"/>
      <c r="JD8" s="70"/>
      <c r="JE8" s="70"/>
      <c r="JF8" s="70"/>
      <c r="JG8" s="70"/>
      <c r="JH8" s="70"/>
      <c r="JI8" s="70"/>
      <c r="JJ8" s="70"/>
      <c r="JK8" s="70"/>
      <c r="JL8" s="70"/>
      <c r="JM8" s="70"/>
      <c r="JN8" s="70"/>
      <c r="JO8" s="70"/>
      <c r="JP8" s="70"/>
      <c r="JQ8" s="70"/>
      <c r="JR8" s="70"/>
      <c r="JS8" s="70"/>
      <c r="JT8" s="70"/>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c r="KY8" s="70"/>
      <c r="KZ8" s="70"/>
      <c r="LA8" s="70"/>
      <c r="LB8" s="70"/>
      <c r="LC8" s="70"/>
      <c r="LD8" s="70"/>
      <c r="LE8" s="70"/>
      <c r="LF8" s="70"/>
      <c r="LG8" s="70"/>
      <c r="LH8" s="70"/>
      <c r="LI8" s="70"/>
      <c r="LJ8" s="70"/>
      <c r="LK8" s="70"/>
      <c r="LL8" s="70"/>
      <c r="LM8" s="70"/>
      <c r="LN8" s="70"/>
      <c r="LO8" s="70"/>
      <c r="LP8" s="70"/>
      <c r="LQ8" s="70"/>
      <c r="LR8" s="70"/>
      <c r="LS8" s="70"/>
      <c r="LT8" s="70"/>
      <c r="LU8" s="70"/>
      <c r="LV8" s="70"/>
      <c r="LW8" s="70"/>
      <c r="LX8" s="70"/>
      <c r="LY8" s="70"/>
      <c r="LZ8" s="70"/>
      <c r="MA8" s="70"/>
      <c r="MB8" s="70"/>
      <c r="MC8" s="70"/>
      <c r="MD8" s="70"/>
      <c r="ME8" s="70"/>
      <c r="MF8" s="70"/>
      <c r="MG8" s="70"/>
      <c r="MH8" s="70"/>
      <c r="MI8" s="70"/>
      <c r="MJ8" s="70"/>
      <c r="MK8" s="70"/>
      <c r="ML8" s="70"/>
      <c r="MM8" s="70"/>
      <c r="MN8" s="70"/>
      <c r="MO8" s="70"/>
      <c r="MP8" s="70"/>
      <c r="MQ8" s="70"/>
      <c r="MR8" s="70"/>
      <c r="MS8" s="70"/>
      <c r="MT8" s="70"/>
      <c r="MU8" s="70"/>
      <c r="MV8" s="70"/>
      <c r="MW8" s="70"/>
      <c r="MX8" s="70"/>
      <c r="MY8" s="70"/>
      <c r="MZ8" s="70"/>
      <c r="NA8" s="70"/>
      <c r="NB8" s="70"/>
      <c r="NC8" s="70"/>
      <c r="ND8" s="70"/>
      <c r="NE8" s="70"/>
      <c r="NF8" s="70"/>
      <c r="NG8" s="70"/>
      <c r="NH8" s="70"/>
      <c r="NI8" s="70"/>
      <c r="NJ8" s="70"/>
      <c r="NK8" s="70"/>
      <c r="NL8" s="70"/>
      <c r="NM8" s="70"/>
      <c r="NN8" s="70"/>
      <c r="NO8" s="70"/>
      <c r="NP8" s="70"/>
      <c r="NQ8" s="70"/>
      <c r="NR8" s="70"/>
      <c r="NS8" s="70"/>
      <c r="NT8" s="70"/>
      <c r="NU8" s="70"/>
      <c r="NV8" s="70"/>
      <c r="NW8" s="70"/>
      <c r="NX8" s="70"/>
      <c r="NY8" s="70"/>
      <c r="NZ8" s="70"/>
      <c r="OA8" s="70"/>
      <c r="OB8" s="70"/>
      <c r="OC8" s="70"/>
      <c r="OD8" s="70"/>
      <c r="OE8" s="70"/>
      <c r="OF8" s="70"/>
      <c r="OG8" s="70"/>
      <c r="OH8" s="70"/>
      <c r="OI8" s="70"/>
      <c r="OJ8" s="70"/>
      <c r="OK8" s="70"/>
      <c r="OL8" s="70"/>
      <c r="OM8" s="70"/>
      <c r="ON8" s="70"/>
      <c r="OO8" s="70"/>
      <c r="OP8" s="70"/>
      <c r="OQ8" s="70"/>
      <c r="OR8" s="70"/>
      <c r="OS8" s="70"/>
      <c r="OT8" s="70"/>
      <c r="OU8" s="70"/>
      <c r="OV8" s="70"/>
      <c r="OW8" s="70"/>
      <c r="OX8" s="70"/>
      <c r="OY8" s="70"/>
      <c r="OZ8" s="70"/>
      <c r="PA8" s="70"/>
      <c r="PB8" s="70"/>
      <c r="PC8" s="70"/>
      <c r="PD8" s="70"/>
      <c r="PE8" s="70"/>
      <c r="PF8" s="70"/>
      <c r="PG8" s="70"/>
      <c r="PH8" s="70"/>
      <c r="PI8" s="70"/>
      <c r="PJ8" s="70"/>
      <c r="PK8" s="70"/>
      <c r="PL8" s="70"/>
      <c r="PM8" s="70"/>
      <c r="PN8" s="70"/>
      <c r="PO8" s="70"/>
      <c r="PP8" s="70"/>
      <c r="PQ8" s="70"/>
      <c r="PR8" s="70"/>
      <c r="PS8" s="70"/>
      <c r="PT8" s="70"/>
      <c r="PU8" s="70"/>
      <c r="PV8" s="70"/>
      <c r="PW8" s="70"/>
      <c r="PX8" s="70"/>
      <c r="PY8" s="70"/>
      <c r="PZ8" s="70"/>
      <c r="QA8" s="70"/>
      <c r="QB8" s="70"/>
      <c r="QC8" s="70"/>
      <c r="QD8" s="70"/>
      <c r="QE8" s="70"/>
      <c r="QF8" s="70"/>
      <c r="QG8" s="70"/>
      <c r="QH8" s="70"/>
      <c r="QI8" s="70"/>
      <c r="QJ8" s="70"/>
      <c r="QK8" s="70"/>
      <c r="QL8" s="70"/>
      <c r="QM8" s="70"/>
      <c r="QN8" s="70"/>
      <c r="QO8" s="70"/>
      <c r="QP8" s="70"/>
      <c r="QQ8" s="70"/>
      <c r="QR8" s="70"/>
      <c r="QS8" s="70"/>
      <c r="QT8" s="70"/>
      <c r="QU8" s="70"/>
      <c r="QV8" s="70"/>
      <c r="QW8" s="70"/>
      <c r="QX8" s="70"/>
      <c r="QY8" s="70"/>
      <c r="QZ8" s="70"/>
      <c r="RA8" s="70"/>
      <c r="RB8" s="70"/>
      <c r="RC8" s="70"/>
      <c r="RD8" s="70"/>
      <c r="RE8" s="70"/>
      <c r="RF8" s="70"/>
      <c r="RG8" s="70"/>
      <c r="RH8" s="70"/>
      <c r="RI8" s="70"/>
      <c r="RJ8" s="70"/>
      <c r="RK8" s="70"/>
      <c r="RL8" s="70"/>
      <c r="RM8" s="70"/>
      <c r="RN8" s="70"/>
      <c r="RO8" s="70"/>
      <c r="RP8" s="70"/>
      <c r="RQ8" s="70"/>
      <c r="RR8" s="70"/>
      <c r="RS8" s="70"/>
      <c r="RT8" s="70"/>
      <c r="RU8" s="70"/>
      <c r="RV8" s="70"/>
      <c r="RW8" s="70"/>
      <c r="RX8" s="70"/>
      <c r="RY8" s="70"/>
      <c r="RZ8" s="70"/>
      <c r="SA8" s="70"/>
      <c r="SB8" s="70"/>
      <c r="SC8" s="70"/>
      <c r="SD8" s="70"/>
      <c r="SE8" s="70"/>
      <c r="SF8" s="70"/>
      <c r="SG8" s="70"/>
      <c r="SH8" s="70"/>
      <c r="SI8" s="70"/>
      <c r="SJ8" s="70"/>
      <c r="SK8" s="70"/>
      <c r="SL8" s="70"/>
      <c r="SM8" s="70"/>
      <c r="SN8" s="70"/>
      <c r="SO8" s="70"/>
      <c r="SP8" s="70"/>
      <c r="SQ8" s="70"/>
      <c r="SR8" s="70"/>
    </row>
    <row r="9" spans="1:512" ht="16.25" customHeight="1" x14ac:dyDescent="0.65">
      <c r="A9" s="182" t="s">
        <v>123</v>
      </c>
      <c r="B9" s="182"/>
      <c r="C9" s="184"/>
      <c r="D9" s="184"/>
      <c r="E9" s="184"/>
      <c r="F9" s="184"/>
      <c r="G9" s="79"/>
      <c r="H9" s="81"/>
      <c r="I9" s="79"/>
      <c r="J9" s="79"/>
      <c r="K9" s="80" t="s">
        <v>124</v>
      </c>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c r="GB9" s="70"/>
      <c r="GC9" s="70"/>
      <c r="GD9" s="70"/>
      <c r="GE9" s="70"/>
      <c r="GF9" s="70"/>
      <c r="GG9" s="70"/>
      <c r="GH9" s="70"/>
      <c r="GI9" s="70"/>
      <c r="GJ9" s="70"/>
      <c r="GK9" s="70"/>
      <c r="GL9" s="70"/>
      <c r="GM9" s="70"/>
      <c r="GN9" s="70"/>
      <c r="GO9" s="70"/>
      <c r="GP9" s="70"/>
      <c r="GQ9" s="70"/>
      <c r="GR9" s="70"/>
      <c r="GS9" s="70"/>
      <c r="GT9" s="70"/>
      <c r="GU9" s="70"/>
      <c r="GV9" s="70"/>
      <c r="GW9" s="70"/>
      <c r="GX9" s="70"/>
      <c r="GY9" s="70"/>
      <c r="GZ9" s="70"/>
      <c r="HA9" s="70"/>
      <c r="HB9" s="70"/>
      <c r="HC9" s="70"/>
      <c r="HD9" s="70"/>
      <c r="HE9" s="70"/>
      <c r="HF9" s="70"/>
      <c r="HG9" s="70"/>
      <c r="HH9" s="70"/>
      <c r="HI9" s="70"/>
      <c r="HJ9" s="70"/>
      <c r="HK9" s="70"/>
      <c r="HL9" s="70"/>
      <c r="HM9" s="70"/>
      <c r="HN9" s="70"/>
      <c r="HO9" s="70"/>
      <c r="HP9" s="70"/>
      <c r="HQ9" s="70"/>
      <c r="HR9" s="70"/>
      <c r="HS9" s="70"/>
      <c r="HT9" s="70"/>
      <c r="HU9" s="70"/>
      <c r="HV9" s="70"/>
      <c r="HW9" s="70"/>
      <c r="HX9" s="70"/>
      <c r="HY9" s="70"/>
      <c r="HZ9" s="70"/>
      <c r="IA9" s="70"/>
      <c r="IB9" s="70"/>
      <c r="IC9" s="70"/>
      <c r="ID9" s="70"/>
      <c r="IE9" s="70"/>
      <c r="IF9" s="70"/>
      <c r="IG9" s="70"/>
      <c r="IH9" s="70"/>
      <c r="II9" s="70"/>
      <c r="IJ9" s="70"/>
      <c r="IK9" s="70"/>
      <c r="IL9" s="70"/>
      <c r="IM9" s="70"/>
      <c r="IN9" s="70"/>
      <c r="IO9" s="70"/>
      <c r="IP9" s="70"/>
      <c r="IQ9" s="70"/>
      <c r="IR9" s="70"/>
      <c r="IS9" s="70"/>
      <c r="IT9" s="70"/>
      <c r="IU9" s="70"/>
      <c r="IV9" s="70"/>
      <c r="IW9" s="70"/>
      <c r="IX9" s="70"/>
      <c r="IY9" s="70"/>
      <c r="IZ9" s="70"/>
      <c r="JA9" s="70"/>
      <c r="JB9" s="70"/>
      <c r="JC9" s="70"/>
      <c r="JD9" s="70"/>
      <c r="JE9" s="70"/>
      <c r="JF9" s="70"/>
      <c r="JG9" s="70"/>
      <c r="JH9" s="70"/>
      <c r="JI9" s="70"/>
      <c r="JJ9" s="70"/>
      <c r="JK9" s="70"/>
      <c r="JL9" s="70"/>
      <c r="JM9" s="70"/>
      <c r="JN9" s="70"/>
      <c r="JO9" s="70"/>
      <c r="JP9" s="70"/>
      <c r="JQ9" s="70"/>
      <c r="JR9" s="70"/>
      <c r="JS9" s="70"/>
      <c r="JT9" s="70"/>
      <c r="JU9" s="70"/>
      <c r="JV9" s="70"/>
      <c r="JW9" s="70"/>
      <c r="JX9" s="70"/>
      <c r="JY9" s="70"/>
      <c r="JZ9" s="70"/>
      <c r="KA9" s="70"/>
      <c r="KB9" s="70"/>
      <c r="KC9" s="70"/>
      <c r="KD9" s="70"/>
      <c r="KE9" s="70"/>
      <c r="KF9" s="70"/>
      <c r="KG9" s="70"/>
      <c r="KH9" s="70"/>
      <c r="KI9" s="70"/>
      <c r="KJ9" s="70"/>
      <c r="KK9" s="70"/>
      <c r="KL9" s="70"/>
      <c r="KM9" s="70"/>
      <c r="KN9" s="70"/>
      <c r="KO9" s="70"/>
      <c r="KP9" s="70"/>
      <c r="KQ9" s="70"/>
      <c r="KR9" s="70"/>
      <c r="KS9" s="70"/>
      <c r="KT9" s="70"/>
      <c r="KU9" s="70"/>
      <c r="KV9" s="70"/>
      <c r="KW9" s="70"/>
      <c r="KX9" s="70"/>
      <c r="KY9" s="70"/>
      <c r="KZ9" s="70"/>
      <c r="LA9" s="70"/>
      <c r="LB9" s="70"/>
      <c r="LC9" s="70"/>
      <c r="LD9" s="70"/>
      <c r="LE9" s="70"/>
      <c r="LF9" s="70"/>
      <c r="LG9" s="70"/>
      <c r="LH9" s="70"/>
      <c r="LI9" s="70"/>
      <c r="LJ9" s="70"/>
      <c r="LK9" s="70"/>
      <c r="LL9" s="70"/>
      <c r="LM9" s="70"/>
      <c r="LN9" s="70"/>
      <c r="LO9" s="70"/>
      <c r="LP9" s="70"/>
      <c r="LQ9" s="70"/>
      <c r="LR9" s="70"/>
      <c r="LS9" s="70"/>
      <c r="LT9" s="70"/>
      <c r="LU9" s="70"/>
      <c r="LV9" s="70"/>
      <c r="LW9" s="70"/>
      <c r="LX9" s="70"/>
      <c r="LY9" s="70"/>
      <c r="LZ9" s="70"/>
      <c r="MA9" s="70"/>
      <c r="MB9" s="70"/>
      <c r="MC9" s="70"/>
      <c r="MD9" s="70"/>
      <c r="ME9" s="70"/>
      <c r="MF9" s="70"/>
      <c r="MG9" s="70"/>
      <c r="MH9" s="70"/>
      <c r="MI9" s="70"/>
      <c r="MJ9" s="70"/>
      <c r="MK9" s="70"/>
      <c r="ML9" s="70"/>
      <c r="MM9" s="70"/>
      <c r="MN9" s="70"/>
      <c r="MO9" s="70"/>
      <c r="MP9" s="70"/>
      <c r="MQ9" s="70"/>
      <c r="MR9" s="70"/>
      <c r="MS9" s="70"/>
      <c r="MT9" s="70"/>
      <c r="MU9" s="70"/>
      <c r="MV9" s="70"/>
      <c r="MW9" s="70"/>
      <c r="MX9" s="70"/>
      <c r="MY9" s="70"/>
      <c r="MZ9" s="70"/>
      <c r="NA9" s="70"/>
      <c r="NB9" s="70"/>
      <c r="NC9" s="70"/>
      <c r="ND9" s="70"/>
      <c r="NE9" s="70"/>
      <c r="NF9" s="70"/>
      <c r="NG9" s="70"/>
      <c r="NH9" s="70"/>
      <c r="NI9" s="70"/>
      <c r="NJ9" s="70"/>
      <c r="NK9" s="70"/>
      <c r="NL9" s="70"/>
      <c r="NM9" s="70"/>
      <c r="NN9" s="70"/>
      <c r="NO9" s="70"/>
      <c r="NP9" s="70"/>
      <c r="NQ9" s="70"/>
      <c r="NR9" s="70"/>
      <c r="NS9" s="70"/>
      <c r="NT9" s="70"/>
      <c r="NU9" s="70"/>
      <c r="NV9" s="70"/>
      <c r="NW9" s="70"/>
      <c r="NX9" s="70"/>
      <c r="NY9" s="70"/>
      <c r="NZ9" s="70"/>
      <c r="OA9" s="70"/>
      <c r="OB9" s="70"/>
      <c r="OC9" s="70"/>
      <c r="OD9" s="70"/>
      <c r="OE9" s="70"/>
      <c r="OF9" s="70"/>
      <c r="OG9" s="70"/>
      <c r="OH9" s="70"/>
      <c r="OI9" s="70"/>
      <c r="OJ9" s="70"/>
      <c r="OK9" s="70"/>
      <c r="OL9" s="70"/>
      <c r="OM9" s="70"/>
      <c r="ON9" s="70"/>
      <c r="OO9" s="70"/>
      <c r="OP9" s="70"/>
      <c r="OQ9" s="70"/>
      <c r="OR9" s="70"/>
      <c r="OS9" s="70"/>
      <c r="OT9" s="70"/>
      <c r="OU9" s="70"/>
      <c r="OV9" s="70"/>
      <c r="OW9" s="70"/>
      <c r="OX9" s="70"/>
      <c r="OY9" s="70"/>
      <c r="OZ9" s="70"/>
      <c r="PA9" s="70"/>
      <c r="PB9" s="70"/>
      <c r="PC9" s="70"/>
      <c r="PD9" s="70"/>
      <c r="PE9" s="70"/>
      <c r="PF9" s="70"/>
      <c r="PG9" s="70"/>
      <c r="PH9" s="70"/>
      <c r="PI9" s="70"/>
      <c r="PJ9" s="70"/>
      <c r="PK9" s="70"/>
      <c r="PL9" s="70"/>
      <c r="PM9" s="70"/>
      <c r="PN9" s="70"/>
      <c r="PO9" s="70"/>
      <c r="PP9" s="70"/>
      <c r="PQ9" s="70"/>
      <c r="PR9" s="70"/>
      <c r="PS9" s="70"/>
      <c r="PT9" s="70"/>
      <c r="PU9" s="70"/>
      <c r="PV9" s="70"/>
      <c r="PW9" s="70"/>
      <c r="PX9" s="70"/>
      <c r="PY9" s="70"/>
      <c r="PZ9" s="70"/>
      <c r="QA9" s="70"/>
      <c r="QB9" s="70"/>
      <c r="QC9" s="70"/>
      <c r="QD9" s="70"/>
      <c r="QE9" s="70"/>
      <c r="QF9" s="70"/>
      <c r="QG9" s="70"/>
      <c r="QH9" s="70"/>
      <c r="QI9" s="70"/>
      <c r="QJ9" s="70"/>
      <c r="QK9" s="70"/>
      <c r="QL9" s="70"/>
      <c r="QM9" s="70"/>
      <c r="QN9" s="70"/>
      <c r="QO9" s="70"/>
      <c r="QP9" s="70"/>
      <c r="QQ9" s="70"/>
      <c r="QR9" s="70"/>
      <c r="QS9" s="70"/>
      <c r="QT9" s="70"/>
      <c r="QU9" s="70"/>
      <c r="QV9" s="70"/>
      <c r="QW9" s="70"/>
      <c r="QX9" s="70"/>
      <c r="QY9" s="70"/>
      <c r="QZ9" s="70"/>
      <c r="RA9" s="70"/>
      <c r="RB9" s="70"/>
      <c r="RC9" s="70"/>
      <c r="RD9" s="70"/>
      <c r="RE9" s="70"/>
      <c r="RF9" s="70"/>
      <c r="RG9" s="70"/>
      <c r="RH9" s="70"/>
      <c r="RI9" s="70"/>
      <c r="RJ9" s="70"/>
      <c r="RK9" s="70"/>
      <c r="RL9" s="70"/>
      <c r="RM9" s="70"/>
      <c r="RN9" s="70"/>
      <c r="RO9" s="70"/>
      <c r="RP9" s="70"/>
      <c r="RQ9" s="70"/>
      <c r="RR9" s="70"/>
      <c r="RS9" s="70"/>
      <c r="RT9" s="70"/>
      <c r="RU9" s="70"/>
      <c r="RV9" s="70"/>
      <c r="RW9" s="70"/>
      <c r="RX9" s="70"/>
      <c r="RY9" s="70"/>
      <c r="RZ9" s="70"/>
      <c r="SA9" s="70"/>
      <c r="SB9" s="70"/>
      <c r="SC9" s="70"/>
      <c r="SD9" s="70"/>
      <c r="SE9" s="70"/>
      <c r="SF9" s="70"/>
      <c r="SG9" s="70"/>
      <c r="SH9" s="70"/>
      <c r="SI9" s="70"/>
      <c r="SJ9" s="70"/>
      <c r="SK9" s="70"/>
      <c r="SL9" s="70"/>
      <c r="SM9" s="70"/>
      <c r="SN9" s="70"/>
      <c r="SO9" s="70"/>
      <c r="SP9" s="70"/>
      <c r="SQ9" s="70"/>
      <c r="SR9" s="70"/>
    </row>
    <row r="10" spans="1:512" s="53" customFormat="1" ht="16.25" customHeight="1" x14ac:dyDescent="0.7">
      <c r="A10" s="84" t="s">
        <v>125</v>
      </c>
      <c r="B10" s="84" t="s">
        <v>126</v>
      </c>
      <c r="C10" s="84"/>
      <c r="D10" s="84"/>
      <c r="E10" s="84" t="s">
        <v>99</v>
      </c>
      <c r="F10" s="84"/>
      <c r="G10" s="82" t="s">
        <v>102</v>
      </c>
      <c r="H10" s="82"/>
      <c r="I10" s="82" t="s">
        <v>127</v>
      </c>
      <c r="J10" s="82"/>
      <c r="K10" s="83" t="s">
        <v>128</v>
      </c>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c r="KL10" s="52"/>
      <c r="KM10" s="52"/>
      <c r="KN10" s="52"/>
      <c r="KO10" s="52"/>
      <c r="KP10" s="52"/>
      <c r="KQ10" s="52"/>
      <c r="KR10" s="52"/>
      <c r="KS10" s="52"/>
      <c r="KT10" s="52"/>
      <c r="KU10" s="52"/>
      <c r="KV10" s="52"/>
      <c r="KW10" s="52"/>
      <c r="KX10" s="52"/>
      <c r="KY10" s="52"/>
      <c r="KZ10" s="52"/>
      <c r="LA10" s="52"/>
      <c r="LB10" s="52"/>
      <c r="LC10" s="52"/>
      <c r="LD10" s="52"/>
      <c r="LE10" s="52"/>
      <c r="LF10" s="52"/>
      <c r="LG10" s="52"/>
      <c r="LH10" s="52"/>
      <c r="LI10" s="52"/>
      <c r="LJ10" s="52"/>
      <c r="LK10" s="52"/>
      <c r="LL10" s="52"/>
      <c r="LM10" s="52"/>
      <c r="LN10" s="52"/>
      <c r="LO10" s="52"/>
      <c r="LP10" s="52"/>
      <c r="LQ10" s="52"/>
      <c r="LR10" s="52"/>
      <c r="LS10" s="52"/>
      <c r="LT10" s="52"/>
      <c r="LU10" s="52"/>
      <c r="LV10" s="52"/>
      <c r="LW10" s="52"/>
      <c r="LX10" s="52"/>
      <c r="LY10" s="52"/>
      <c r="LZ10" s="52"/>
      <c r="MA10" s="52"/>
      <c r="MB10" s="52"/>
      <c r="MC10" s="52"/>
      <c r="MD10" s="52"/>
      <c r="ME10" s="52"/>
      <c r="MF10" s="52"/>
      <c r="MG10" s="52"/>
      <c r="MH10" s="52"/>
      <c r="MI10" s="52"/>
      <c r="MJ10" s="52"/>
      <c r="MK10" s="52"/>
      <c r="ML10" s="52"/>
      <c r="MM10" s="52"/>
      <c r="MN10" s="52"/>
      <c r="MO10" s="52"/>
      <c r="MP10" s="52"/>
      <c r="MQ10" s="52"/>
      <c r="MR10" s="52"/>
      <c r="MS10" s="52"/>
      <c r="MT10" s="52"/>
      <c r="MU10" s="52"/>
      <c r="MV10" s="52"/>
      <c r="MW10" s="52"/>
      <c r="MX10" s="52"/>
      <c r="MY10" s="52"/>
      <c r="MZ10" s="52"/>
      <c r="NA10" s="52"/>
      <c r="NB10" s="52"/>
      <c r="NC10" s="52"/>
      <c r="ND10" s="52"/>
      <c r="NE10" s="52"/>
      <c r="NF10" s="52"/>
      <c r="NG10" s="52"/>
      <c r="NH10" s="52"/>
      <c r="NI10" s="52"/>
      <c r="NJ10" s="52"/>
      <c r="NK10" s="52"/>
      <c r="NL10" s="52"/>
      <c r="NM10" s="52"/>
      <c r="NN10" s="52"/>
      <c r="NO10" s="52"/>
      <c r="NP10" s="52"/>
      <c r="NQ10" s="52"/>
      <c r="NR10" s="52"/>
      <c r="NS10" s="52"/>
      <c r="NT10" s="52"/>
      <c r="NU10" s="52"/>
      <c r="NV10" s="52"/>
      <c r="NW10" s="52"/>
      <c r="NX10" s="52"/>
      <c r="NY10" s="52"/>
      <c r="NZ10" s="52"/>
      <c r="OA10" s="52"/>
      <c r="OB10" s="52"/>
      <c r="OC10" s="52"/>
      <c r="OD10" s="52"/>
      <c r="OE10" s="52"/>
      <c r="OF10" s="52"/>
      <c r="OG10" s="52"/>
      <c r="OH10" s="52"/>
      <c r="OI10" s="52"/>
      <c r="OJ10" s="52"/>
      <c r="OK10" s="52"/>
      <c r="OL10" s="52"/>
      <c r="OM10" s="52"/>
      <c r="ON10" s="52"/>
      <c r="OO10" s="52"/>
      <c r="OP10" s="52"/>
      <c r="OQ10" s="52"/>
      <c r="OR10" s="52"/>
      <c r="OS10" s="52"/>
      <c r="OT10" s="52"/>
      <c r="OU10" s="52"/>
      <c r="OV10" s="52"/>
      <c r="OW10" s="52"/>
      <c r="OX10" s="52"/>
      <c r="OY10" s="52"/>
      <c r="OZ10" s="52"/>
      <c r="PA10" s="52"/>
      <c r="PB10" s="52"/>
      <c r="PC10" s="52"/>
      <c r="PD10" s="52"/>
      <c r="PE10" s="52"/>
      <c r="PF10" s="52"/>
      <c r="PG10" s="52"/>
      <c r="PH10" s="52"/>
      <c r="PI10" s="52"/>
      <c r="PJ10" s="52"/>
      <c r="PK10" s="52"/>
      <c r="PL10" s="52"/>
      <c r="PM10" s="52"/>
      <c r="PN10" s="52"/>
      <c r="PO10" s="52"/>
      <c r="PP10" s="52"/>
      <c r="PQ10" s="52"/>
      <c r="PR10" s="52"/>
      <c r="PS10" s="52"/>
      <c r="PT10" s="52"/>
      <c r="PU10" s="52"/>
      <c r="PV10" s="52"/>
      <c r="PW10" s="52"/>
      <c r="PX10" s="52"/>
      <c r="PY10" s="52"/>
      <c r="PZ10" s="52"/>
      <c r="QA10" s="52"/>
      <c r="QB10" s="52"/>
      <c r="QC10" s="52"/>
      <c r="QD10" s="52"/>
      <c r="QE10" s="52"/>
      <c r="QF10" s="52"/>
      <c r="QG10" s="52"/>
      <c r="QH10" s="52"/>
      <c r="QI10" s="52"/>
      <c r="QJ10" s="52"/>
      <c r="QK10" s="52"/>
      <c r="QL10" s="52"/>
      <c r="QM10" s="52"/>
      <c r="QN10" s="52"/>
      <c r="QO10" s="52"/>
      <c r="QP10" s="52"/>
      <c r="QQ10" s="52"/>
      <c r="QR10" s="52"/>
      <c r="QS10" s="52"/>
      <c r="QT10" s="52"/>
      <c r="QU10" s="52"/>
      <c r="QV10" s="52"/>
      <c r="QW10" s="52"/>
      <c r="QX10" s="52"/>
      <c r="QY10" s="52"/>
      <c r="QZ10" s="52"/>
      <c r="RA10" s="52"/>
      <c r="RB10" s="52"/>
      <c r="RC10" s="52"/>
      <c r="RD10" s="52"/>
      <c r="RE10" s="52"/>
      <c r="RF10" s="52"/>
      <c r="RG10" s="52"/>
      <c r="RH10" s="52"/>
      <c r="RI10" s="52"/>
      <c r="RJ10" s="52"/>
      <c r="RK10" s="52"/>
      <c r="RL10" s="52"/>
      <c r="RM10" s="52"/>
      <c r="RN10" s="52"/>
      <c r="RO10" s="52"/>
      <c r="RP10" s="52"/>
      <c r="RQ10" s="52"/>
      <c r="RR10" s="52"/>
      <c r="RS10" s="52"/>
      <c r="RT10" s="52"/>
      <c r="RU10" s="52"/>
      <c r="RV10" s="52"/>
      <c r="RW10" s="52"/>
      <c r="RX10" s="52"/>
      <c r="RY10" s="52"/>
      <c r="RZ10" s="52"/>
      <c r="SA10" s="52"/>
      <c r="SB10" s="52"/>
      <c r="SC10" s="52"/>
      <c r="SD10" s="52"/>
      <c r="SE10" s="52"/>
      <c r="SF10" s="52"/>
      <c r="SG10" s="52"/>
      <c r="SH10" s="52"/>
      <c r="SI10" s="52"/>
      <c r="SJ10" s="52"/>
      <c r="SK10" s="52"/>
      <c r="SL10" s="52"/>
      <c r="SM10" s="52"/>
      <c r="SN10" s="52"/>
      <c r="SO10" s="52"/>
      <c r="SP10" s="52"/>
      <c r="SQ10" s="52"/>
      <c r="SR10" s="52"/>
    </row>
    <row r="11" spans="1:512" ht="15" customHeight="1" x14ac:dyDescent="0.7">
      <c r="A11" s="171">
        <v>1</v>
      </c>
      <c r="B11" s="171" t="s">
        <v>3</v>
      </c>
      <c r="C11" s="171" t="s">
        <v>344</v>
      </c>
      <c r="D11" s="171"/>
      <c r="E11" s="171" t="s">
        <v>1</v>
      </c>
      <c r="F11" s="171"/>
      <c r="G11" s="174" t="s">
        <v>345</v>
      </c>
      <c r="H11" s="88" t="s">
        <v>346</v>
      </c>
      <c r="I11" s="89" t="s">
        <v>347</v>
      </c>
      <c r="J11" s="90">
        <v>20.900000000000002</v>
      </c>
      <c r="K11" s="168">
        <v>20.8</v>
      </c>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c r="HP11" s="54"/>
      <c r="HQ11" s="54"/>
      <c r="HR11" s="54"/>
      <c r="HS11" s="54"/>
      <c r="HT11" s="54"/>
      <c r="HU11" s="54"/>
      <c r="HV11" s="54"/>
      <c r="HW11" s="54"/>
      <c r="HX11" s="54"/>
      <c r="HY11" s="54"/>
      <c r="HZ11" s="54"/>
      <c r="IA11" s="54"/>
      <c r="IB11" s="54"/>
      <c r="IC11" s="54"/>
      <c r="ID11" s="54"/>
      <c r="IE11" s="54"/>
      <c r="IF11" s="54"/>
      <c r="IG11" s="54"/>
      <c r="IH11" s="54"/>
      <c r="II11" s="54"/>
      <c r="IJ11" s="54"/>
      <c r="IK11" s="54"/>
      <c r="IL11" s="54"/>
      <c r="IM11" s="54"/>
      <c r="IN11" s="54"/>
      <c r="IO11" s="54"/>
      <c r="IP11" s="54"/>
      <c r="IQ11" s="54"/>
      <c r="IR11" s="54"/>
      <c r="IS11" s="54"/>
      <c r="IT11" s="54"/>
      <c r="IU11" s="54"/>
      <c r="IV11" s="54"/>
      <c r="IW11" s="54"/>
      <c r="IX11" s="54"/>
      <c r="IY11" s="54"/>
      <c r="IZ11" s="54"/>
      <c r="JA11" s="54"/>
      <c r="JB11" s="54"/>
      <c r="JC11" s="54"/>
      <c r="JD11" s="54"/>
      <c r="JE11" s="54"/>
      <c r="JF11" s="54"/>
      <c r="JG11" s="54"/>
      <c r="JH11" s="54"/>
      <c r="JI11" s="54"/>
      <c r="JJ11" s="54"/>
      <c r="JK11" s="54"/>
      <c r="JL11" s="54"/>
      <c r="JM11" s="54"/>
      <c r="JN11" s="54"/>
      <c r="JO11" s="54"/>
      <c r="JP11" s="54"/>
      <c r="JQ11" s="54"/>
      <c r="JR11" s="54"/>
      <c r="JS11" s="54"/>
      <c r="JT11" s="54"/>
      <c r="JU11" s="54"/>
      <c r="JV11" s="54"/>
      <c r="JW11" s="54"/>
      <c r="JX11" s="54"/>
      <c r="JY11" s="54"/>
      <c r="JZ11" s="54"/>
      <c r="KA11" s="54"/>
      <c r="KB11" s="54"/>
      <c r="KC11" s="54"/>
      <c r="KD11" s="54"/>
      <c r="KE11" s="54"/>
      <c r="KF11" s="54"/>
      <c r="KG11" s="54"/>
      <c r="KH11" s="54"/>
      <c r="KI11" s="54"/>
      <c r="KJ11" s="54"/>
      <c r="KK11" s="54"/>
      <c r="KL11" s="54"/>
      <c r="KM11" s="54"/>
      <c r="KN11" s="54"/>
      <c r="KO11" s="54"/>
      <c r="KP11" s="54"/>
      <c r="KQ11" s="54"/>
      <c r="KR11" s="54"/>
      <c r="KS11" s="54"/>
      <c r="KT11" s="54"/>
      <c r="KU11" s="54"/>
      <c r="KV11" s="54"/>
      <c r="KW11" s="54"/>
      <c r="KX11" s="54"/>
      <c r="KY11" s="54"/>
      <c r="KZ11" s="54"/>
      <c r="LA11" s="54"/>
      <c r="LB11" s="54"/>
      <c r="LC11" s="54"/>
      <c r="LD11" s="54"/>
      <c r="LE11" s="54"/>
      <c r="LF11" s="54"/>
      <c r="LG11" s="54"/>
      <c r="LH11" s="54"/>
      <c r="LI11" s="54"/>
      <c r="LJ11" s="54"/>
      <c r="LK11" s="54"/>
      <c r="LL11" s="54"/>
      <c r="LM11" s="54"/>
      <c r="LN11" s="54"/>
      <c r="LO11" s="54"/>
      <c r="LP11" s="54"/>
      <c r="LQ11" s="54"/>
      <c r="LR11" s="54"/>
      <c r="LS11" s="54"/>
      <c r="LT11" s="54"/>
      <c r="LU11" s="54"/>
      <c r="LV11" s="54"/>
      <c r="LW11" s="54"/>
      <c r="LX11" s="54"/>
      <c r="LY11" s="54"/>
      <c r="LZ11" s="54"/>
      <c r="MA11" s="54"/>
      <c r="MB11" s="54"/>
      <c r="MC11" s="54"/>
      <c r="MD11" s="54"/>
      <c r="ME11" s="54"/>
      <c r="MF11" s="54"/>
      <c r="MG11" s="54"/>
      <c r="MH11" s="54"/>
      <c r="MI11" s="54"/>
      <c r="MJ11" s="54"/>
      <c r="MK11" s="54"/>
      <c r="ML11" s="54"/>
      <c r="MM11" s="54"/>
      <c r="MN11" s="54"/>
      <c r="MO11" s="54"/>
      <c r="MP11" s="54"/>
      <c r="MQ11" s="54"/>
      <c r="MR11" s="54"/>
      <c r="MS11" s="54"/>
      <c r="MT11" s="54"/>
      <c r="MU11" s="54"/>
      <c r="MV11" s="54"/>
      <c r="MW11" s="54"/>
      <c r="MX11" s="54"/>
      <c r="MY11" s="54"/>
      <c r="MZ11" s="54"/>
      <c r="NA11" s="54"/>
      <c r="NB11" s="54"/>
      <c r="NC11" s="54"/>
      <c r="ND11" s="54"/>
      <c r="NE11" s="54"/>
      <c r="NF11" s="54"/>
      <c r="NG11" s="54"/>
      <c r="NH11" s="54"/>
      <c r="NI11" s="54"/>
      <c r="NJ11" s="54"/>
      <c r="NK11" s="54"/>
      <c r="NL11" s="54"/>
      <c r="NM11" s="54"/>
      <c r="NN11" s="54"/>
      <c r="NO11" s="54"/>
      <c r="NP11" s="54"/>
      <c r="NQ11" s="54"/>
      <c r="NR11" s="54"/>
      <c r="NS11" s="54"/>
      <c r="NT11" s="54"/>
      <c r="NU11" s="54"/>
      <c r="NV11" s="54"/>
      <c r="NW11" s="54"/>
      <c r="NX11" s="54"/>
      <c r="NY11" s="54"/>
      <c r="NZ11" s="54"/>
      <c r="OA11" s="54"/>
      <c r="OB11" s="54"/>
      <c r="OC11" s="54"/>
      <c r="OD11" s="54"/>
      <c r="OE11" s="54"/>
      <c r="OF11" s="54"/>
      <c r="OG11" s="54"/>
      <c r="OH11" s="54"/>
      <c r="OI11" s="54"/>
      <c r="OJ11" s="54"/>
      <c r="OK11" s="54"/>
      <c r="OL11" s="54"/>
      <c r="OM11" s="54"/>
      <c r="ON11" s="54"/>
      <c r="OO11" s="54"/>
      <c r="OP11" s="54"/>
      <c r="OQ11" s="54"/>
      <c r="OR11" s="54"/>
      <c r="OS11" s="54"/>
      <c r="OT11" s="54"/>
      <c r="OU11" s="54"/>
      <c r="OV11" s="54"/>
      <c r="OW11" s="54"/>
      <c r="OX11" s="54"/>
      <c r="OY11" s="54"/>
      <c r="OZ11" s="54"/>
      <c r="PA11" s="54"/>
      <c r="PB11" s="54"/>
      <c r="PC11" s="54"/>
      <c r="PD11" s="54"/>
      <c r="PE11" s="54"/>
      <c r="PF11" s="54"/>
      <c r="PG11" s="54"/>
      <c r="PH11" s="54"/>
      <c r="PI11" s="54"/>
      <c r="PJ11" s="54"/>
      <c r="PK11" s="54"/>
      <c r="PL11" s="54"/>
      <c r="PM11" s="54"/>
      <c r="PN11" s="54"/>
      <c r="PO11" s="54"/>
      <c r="PP11" s="54"/>
      <c r="PQ11" s="54"/>
      <c r="PR11" s="54"/>
      <c r="PS11" s="54"/>
      <c r="PT11" s="54"/>
      <c r="PU11" s="54"/>
      <c r="PV11" s="54"/>
      <c r="PW11" s="54"/>
      <c r="PX11" s="54"/>
      <c r="PY11" s="54"/>
      <c r="PZ11" s="54"/>
      <c r="QA11" s="54"/>
      <c r="QB11" s="54"/>
      <c r="QC11" s="54"/>
      <c r="QD11" s="54"/>
      <c r="QE11" s="54"/>
      <c r="QF11" s="54"/>
      <c r="QG11" s="54"/>
      <c r="QH11" s="54"/>
      <c r="QI11" s="54"/>
      <c r="QJ11" s="54"/>
      <c r="QK11" s="54"/>
      <c r="QL11" s="54"/>
      <c r="QM11" s="54"/>
      <c r="QN11" s="54"/>
      <c r="QO11" s="54"/>
      <c r="QP11" s="54"/>
      <c r="QQ11" s="54"/>
      <c r="QR11" s="54"/>
      <c r="QS11" s="54"/>
      <c r="QT11" s="54"/>
      <c r="QU11" s="54"/>
      <c r="QV11" s="54"/>
      <c r="QW11" s="54"/>
      <c r="QX11" s="54"/>
      <c r="QY11" s="54"/>
      <c r="QZ11" s="54"/>
      <c r="RA11" s="54"/>
      <c r="RB11" s="54"/>
      <c r="RC11" s="54"/>
      <c r="RD11" s="54"/>
      <c r="RE11" s="54"/>
      <c r="RF11" s="54"/>
      <c r="RG11" s="54"/>
      <c r="RH11" s="54"/>
      <c r="RI11" s="54"/>
      <c r="RJ11" s="54"/>
      <c r="RK11" s="54"/>
      <c r="RL11" s="54"/>
      <c r="RM11" s="54"/>
      <c r="RN11" s="54"/>
      <c r="RO11" s="54"/>
      <c r="RP11" s="54"/>
      <c r="RQ11" s="54"/>
      <c r="RR11" s="54"/>
      <c r="RS11" s="54"/>
      <c r="RT11" s="54"/>
      <c r="RU11" s="54"/>
      <c r="RV11" s="54"/>
      <c r="RW11" s="54"/>
      <c r="RX11" s="54"/>
      <c r="RY11" s="54"/>
      <c r="RZ11" s="54"/>
      <c r="SA11" s="54"/>
      <c r="SB11" s="54"/>
      <c r="SC11" s="54"/>
      <c r="SD11" s="54"/>
      <c r="SE11" s="54"/>
      <c r="SF11" s="54"/>
      <c r="SG11" s="54"/>
      <c r="SH11" s="54"/>
      <c r="SI11" s="54"/>
      <c r="SJ11" s="54"/>
      <c r="SK11" s="54"/>
      <c r="SL11" s="54"/>
      <c r="SM11" s="54"/>
      <c r="SN11" s="54"/>
      <c r="SO11" s="54"/>
      <c r="SP11" s="54"/>
      <c r="SQ11" s="54"/>
      <c r="SR11" s="54"/>
    </row>
    <row r="12" spans="1:512" ht="15" customHeight="1" x14ac:dyDescent="0.7">
      <c r="A12" s="172"/>
      <c r="B12" s="172"/>
      <c r="C12" s="172"/>
      <c r="D12" s="172"/>
      <c r="E12" s="172"/>
      <c r="F12" s="172"/>
      <c r="G12" s="175"/>
      <c r="H12" s="91"/>
      <c r="I12" s="89" t="s">
        <v>348</v>
      </c>
      <c r="J12" s="90">
        <v>20.7</v>
      </c>
      <c r="K12" s="169"/>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c r="IW12" s="54"/>
      <c r="IX12" s="54"/>
      <c r="IY12" s="54"/>
      <c r="IZ12" s="54"/>
      <c r="JA12" s="54"/>
      <c r="JB12" s="54"/>
      <c r="JC12" s="54"/>
      <c r="JD12" s="54"/>
      <c r="JE12" s="54"/>
      <c r="JF12" s="54"/>
      <c r="JG12" s="54"/>
      <c r="JH12" s="54"/>
      <c r="JI12" s="54"/>
      <c r="JJ12" s="54"/>
      <c r="JK12" s="54"/>
      <c r="JL12" s="54"/>
      <c r="JM12" s="54"/>
      <c r="JN12" s="54"/>
      <c r="JO12" s="54"/>
      <c r="JP12" s="54"/>
      <c r="JQ12" s="54"/>
      <c r="JR12" s="54"/>
      <c r="JS12" s="54"/>
      <c r="JT12" s="54"/>
      <c r="JU12" s="54"/>
      <c r="JV12" s="54"/>
      <c r="JW12" s="54"/>
      <c r="JX12" s="54"/>
      <c r="JY12" s="54"/>
      <c r="JZ12" s="54"/>
      <c r="KA12" s="54"/>
      <c r="KB12" s="54"/>
      <c r="KC12" s="54"/>
      <c r="KD12" s="54"/>
      <c r="KE12" s="54"/>
      <c r="KF12" s="54"/>
      <c r="KG12" s="54"/>
      <c r="KH12" s="54"/>
      <c r="KI12" s="54"/>
      <c r="KJ12" s="54"/>
      <c r="KK12" s="54"/>
      <c r="KL12" s="54"/>
      <c r="KM12" s="54"/>
      <c r="KN12" s="54"/>
      <c r="KO12" s="54"/>
      <c r="KP12" s="54"/>
      <c r="KQ12" s="54"/>
      <c r="KR12" s="54"/>
      <c r="KS12" s="54"/>
      <c r="KT12" s="54"/>
      <c r="KU12" s="54"/>
      <c r="KV12" s="54"/>
      <c r="KW12" s="54"/>
      <c r="KX12" s="54"/>
      <c r="KY12" s="54"/>
      <c r="KZ12" s="54"/>
      <c r="LA12" s="54"/>
      <c r="LB12" s="54"/>
      <c r="LC12" s="54"/>
      <c r="LD12" s="54"/>
      <c r="LE12" s="54"/>
      <c r="LF12" s="54"/>
      <c r="LG12" s="54"/>
      <c r="LH12" s="54"/>
      <c r="LI12" s="54"/>
      <c r="LJ12" s="54"/>
      <c r="LK12" s="54"/>
      <c r="LL12" s="54"/>
      <c r="LM12" s="54"/>
      <c r="LN12" s="54"/>
      <c r="LO12" s="54"/>
      <c r="LP12" s="54"/>
      <c r="LQ12" s="54"/>
      <c r="LR12" s="54"/>
      <c r="LS12" s="54"/>
      <c r="LT12" s="54"/>
      <c r="LU12" s="54"/>
      <c r="LV12" s="54"/>
      <c r="LW12" s="54"/>
      <c r="LX12" s="54"/>
      <c r="LY12" s="54"/>
      <c r="LZ12" s="54"/>
      <c r="MA12" s="54"/>
      <c r="MB12" s="54"/>
      <c r="MC12" s="54"/>
      <c r="MD12" s="54"/>
      <c r="ME12" s="54"/>
      <c r="MF12" s="54"/>
      <c r="MG12" s="54"/>
      <c r="MH12" s="54"/>
      <c r="MI12" s="54"/>
      <c r="MJ12" s="54"/>
      <c r="MK12" s="54"/>
      <c r="ML12" s="54"/>
      <c r="MM12" s="54"/>
      <c r="MN12" s="54"/>
      <c r="MO12" s="54"/>
      <c r="MP12" s="54"/>
      <c r="MQ12" s="54"/>
      <c r="MR12" s="54"/>
      <c r="MS12" s="54"/>
      <c r="MT12" s="54"/>
      <c r="MU12" s="54"/>
      <c r="MV12" s="54"/>
      <c r="MW12" s="54"/>
      <c r="MX12" s="54"/>
      <c r="MY12" s="54"/>
      <c r="MZ12" s="54"/>
      <c r="NA12" s="54"/>
      <c r="NB12" s="54"/>
      <c r="NC12" s="54"/>
      <c r="ND12" s="54"/>
      <c r="NE12" s="54"/>
      <c r="NF12" s="54"/>
      <c r="NG12" s="54"/>
      <c r="NH12" s="54"/>
      <c r="NI12" s="54"/>
      <c r="NJ12" s="54"/>
      <c r="NK12" s="54"/>
      <c r="NL12" s="54"/>
      <c r="NM12" s="54"/>
      <c r="NN12" s="54"/>
      <c r="NO12" s="54"/>
      <c r="NP12" s="54"/>
      <c r="NQ12" s="54"/>
      <c r="NR12" s="54"/>
      <c r="NS12" s="54"/>
      <c r="NT12" s="54"/>
      <c r="NU12" s="54"/>
      <c r="NV12" s="54"/>
      <c r="NW12" s="54"/>
      <c r="NX12" s="54"/>
      <c r="NY12" s="54"/>
      <c r="NZ12" s="54"/>
      <c r="OA12" s="54"/>
      <c r="OB12" s="54"/>
      <c r="OC12" s="54"/>
      <c r="OD12" s="54"/>
      <c r="OE12" s="54"/>
      <c r="OF12" s="54"/>
      <c r="OG12" s="54"/>
      <c r="OH12" s="54"/>
      <c r="OI12" s="54"/>
      <c r="OJ12" s="54"/>
      <c r="OK12" s="54"/>
      <c r="OL12" s="54"/>
      <c r="OM12" s="54"/>
      <c r="ON12" s="54"/>
      <c r="OO12" s="54"/>
      <c r="OP12" s="54"/>
      <c r="OQ12" s="54"/>
      <c r="OR12" s="54"/>
      <c r="OS12" s="54"/>
      <c r="OT12" s="54"/>
      <c r="OU12" s="54"/>
      <c r="OV12" s="54"/>
      <c r="OW12" s="54"/>
      <c r="OX12" s="54"/>
      <c r="OY12" s="54"/>
      <c r="OZ12" s="54"/>
      <c r="PA12" s="54"/>
      <c r="PB12" s="54"/>
      <c r="PC12" s="54"/>
      <c r="PD12" s="54"/>
      <c r="PE12" s="54"/>
      <c r="PF12" s="54"/>
      <c r="PG12" s="54"/>
      <c r="PH12" s="54"/>
      <c r="PI12" s="54"/>
      <c r="PJ12" s="54"/>
      <c r="PK12" s="54"/>
      <c r="PL12" s="54"/>
      <c r="PM12" s="54"/>
      <c r="PN12" s="54"/>
      <c r="PO12" s="54"/>
      <c r="PP12" s="54"/>
      <c r="PQ12" s="54"/>
      <c r="PR12" s="54"/>
      <c r="PS12" s="54"/>
      <c r="PT12" s="54"/>
      <c r="PU12" s="54"/>
      <c r="PV12" s="54"/>
      <c r="PW12" s="54"/>
      <c r="PX12" s="54"/>
      <c r="PY12" s="54"/>
      <c r="PZ12" s="54"/>
      <c r="QA12" s="54"/>
      <c r="QB12" s="54"/>
      <c r="QC12" s="54"/>
      <c r="QD12" s="54"/>
      <c r="QE12" s="54"/>
      <c r="QF12" s="54"/>
      <c r="QG12" s="54"/>
      <c r="QH12" s="54"/>
      <c r="QI12" s="54"/>
      <c r="QJ12" s="54"/>
      <c r="QK12" s="54"/>
      <c r="QL12" s="54"/>
      <c r="QM12" s="54"/>
      <c r="QN12" s="54"/>
      <c r="QO12" s="54"/>
      <c r="QP12" s="54"/>
      <c r="QQ12" s="54"/>
      <c r="QR12" s="54"/>
      <c r="QS12" s="54"/>
      <c r="QT12" s="54"/>
      <c r="QU12" s="54"/>
      <c r="QV12" s="54"/>
      <c r="QW12" s="54"/>
      <c r="QX12" s="54"/>
      <c r="QY12" s="54"/>
      <c r="QZ12" s="54"/>
      <c r="RA12" s="54"/>
      <c r="RB12" s="54"/>
      <c r="RC12" s="54"/>
      <c r="RD12" s="54"/>
      <c r="RE12" s="54"/>
      <c r="RF12" s="54"/>
      <c r="RG12" s="54"/>
      <c r="RH12" s="54"/>
      <c r="RI12" s="54"/>
      <c r="RJ12" s="54"/>
      <c r="RK12" s="54"/>
      <c r="RL12" s="54"/>
      <c r="RM12" s="54"/>
      <c r="RN12" s="54"/>
      <c r="RO12" s="54"/>
      <c r="RP12" s="54"/>
      <c r="RQ12" s="54"/>
      <c r="RR12" s="54"/>
      <c r="RS12" s="54"/>
      <c r="RT12" s="54"/>
      <c r="RU12" s="54"/>
      <c r="RV12" s="54"/>
      <c r="RW12" s="54"/>
      <c r="RX12" s="54"/>
      <c r="RY12" s="54"/>
      <c r="RZ12" s="54"/>
      <c r="SA12" s="54"/>
      <c r="SB12" s="54"/>
      <c r="SC12" s="54"/>
      <c r="SD12" s="54"/>
      <c r="SE12" s="54"/>
      <c r="SF12" s="54"/>
      <c r="SG12" s="54"/>
      <c r="SH12" s="54"/>
      <c r="SI12" s="54"/>
      <c r="SJ12" s="54"/>
      <c r="SK12" s="54"/>
      <c r="SL12" s="54"/>
      <c r="SM12" s="54"/>
      <c r="SN12" s="54"/>
      <c r="SO12" s="54"/>
      <c r="SP12" s="54"/>
      <c r="SQ12" s="54"/>
      <c r="SR12" s="54"/>
    </row>
    <row r="13" spans="1:512" s="55" customFormat="1" ht="15" customHeight="1" x14ac:dyDescent="0.7">
      <c r="A13" s="173"/>
      <c r="B13" s="173"/>
      <c r="C13" s="173"/>
      <c r="D13" s="173"/>
      <c r="E13" s="173"/>
      <c r="F13" s="173"/>
      <c r="G13" s="176"/>
      <c r="H13" s="92"/>
      <c r="I13" s="93"/>
      <c r="J13" s="94"/>
      <c r="K13" s="170"/>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c r="IX13" s="56"/>
      <c r="IY13" s="56"/>
      <c r="IZ13" s="56"/>
      <c r="JA13" s="56"/>
      <c r="JB13" s="56"/>
      <c r="JC13" s="56"/>
      <c r="JD13" s="56"/>
      <c r="JE13" s="56"/>
      <c r="JF13" s="56"/>
      <c r="JG13" s="56"/>
      <c r="JH13" s="56"/>
      <c r="JI13" s="56"/>
      <c r="JJ13" s="56"/>
      <c r="JK13" s="56"/>
      <c r="JL13" s="56"/>
      <c r="JM13" s="56"/>
      <c r="JN13" s="56"/>
      <c r="JO13" s="56"/>
      <c r="JP13" s="56"/>
      <c r="JQ13" s="56"/>
      <c r="JR13" s="56"/>
      <c r="JS13" s="56"/>
      <c r="JT13" s="56"/>
      <c r="JU13" s="56"/>
      <c r="JV13" s="56"/>
      <c r="JW13" s="56"/>
      <c r="JX13" s="56"/>
      <c r="JY13" s="56"/>
      <c r="JZ13" s="56"/>
      <c r="KA13" s="56"/>
      <c r="KB13" s="56"/>
      <c r="KC13" s="56"/>
      <c r="KD13" s="56"/>
      <c r="KE13" s="56"/>
      <c r="KF13" s="56"/>
      <c r="KG13" s="56"/>
      <c r="KH13" s="56"/>
      <c r="KI13" s="56"/>
      <c r="KJ13" s="56"/>
      <c r="KK13" s="56"/>
      <c r="KL13" s="56"/>
      <c r="KM13" s="56"/>
      <c r="KN13" s="56"/>
      <c r="KO13" s="56"/>
      <c r="KP13" s="56"/>
      <c r="KQ13" s="56"/>
      <c r="KR13" s="56"/>
      <c r="KS13" s="56"/>
      <c r="KT13" s="56"/>
      <c r="KU13" s="56"/>
      <c r="KV13" s="56"/>
      <c r="KW13" s="56"/>
      <c r="KX13" s="56"/>
      <c r="KY13" s="56"/>
      <c r="KZ13" s="56"/>
      <c r="LA13" s="56"/>
      <c r="LB13" s="56"/>
      <c r="LC13" s="56"/>
      <c r="LD13" s="56"/>
      <c r="LE13" s="56"/>
      <c r="LF13" s="56"/>
      <c r="LG13" s="56"/>
      <c r="LH13" s="56"/>
      <c r="LI13" s="56"/>
      <c r="LJ13" s="56"/>
      <c r="LK13" s="56"/>
      <c r="LL13" s="56"/>
      <c r="LM13" s="56"/>
      <c r="LN13" s="56"/>
      <c r="LO13" s="56"/>
      <c r="LP13" s="56"/>
      <c r="LQ13" s="56"/>
      <c r="LR13" s="56"/>
      <c r="LS13" s="56"/>
      <c r="LT13" s="56"/>
      <c r="LU13" s="56"/>
      <c r="LV13" s="56"/>
      <c r="LW13" s="56"/>
      <c r="LX13" s="56"/>
      <c r="LY13" s="56"/>
      <c r="LZ13" s="56"/>
      <c r="MA13" s="56"/>
      <c r="MB13" s="56"/>
      <c r="MC13" s="56"/>
      <c r="MD13" s="56"/>
      <c r="ME13" s="56"/>
      <c r="MF13" s="56"/>
      <c r="MG13" s="56"/>
      <c r="MH13" s="56"/>
      <c r="MI13" s="56"/>
      <c r="MJ13" s="56"/>
      <c r="MK13" s="56"/>
      <c r="ML13" s="56"/>
      <c r="MM13" s="56"/>
      <c r="MN13" s="56"/>
      <c r="MO13" s="56"/>
      <c r="MP13" s="56"/>
      <c r="MQ13" s="56"/>
      <c r="MR13" s="56"/>
      <c r="MS13" s="56"/>
      <c r="MT13" s="56"/>
      <c r="MU13" s="56"/>
      <c r="MV13" s="56"/>
      <c r="MW13" s="56"/>
      <c r="MX13" s="56"/>
      <c r="MY13" s="56"/>
      <c r="MZ13" s="56"/>
      <c r="NA13" s="56"/>
      <c r="NB13" s="56"/>
      <c r="NC13" s="56"/>
      <c r="ND13" s="56"/>
      <c r="NE13" s="56"/>
      <c r="NF13" s="56"/>
      <c r="NG13" s="56"/>
      <c r="NH13" s="56"/>
      <c r="NI13" s="56"/>
      <c r="NJ13" s="56"/>
      <c r="NK13" s="56"/>
      <c r="NL13" s="56"/>
      <c r="NM13" s="56"/>
      <c r="NN13" s="56"/>
      <c r="NO13" s="56"/>
      <c r="NP13" s="56"/>
      <c r="NQ13" s="56"/>
      <c r="NR13" s="56"/>
      <c r="NS13" s="56"/>
      <c r="NT13" s="56"/>
      <c r="NU13" s="56"/>
      <c r="NV13" s="56"/>
      <c r="NW13" s="56"/>
      <c r="NX13" s="56"/>
      <c r="NY13" s="56"/>
      <c r="NZ13" s="56"/>
      <c r="OA13" s="56"/>
      <c r="OB13" s="56"/>
      <c r="OC13" s="56"/>
      <c r="OD13" s="56"/>
      <c r="OE13" s="56"/>
      <c r="OF13" s="56"/>
      <c r="OG13" s="56"/>
      <c r="OH13" s="56"/>
      <c r="OI13" s="56"/>
      <c r="OJ13" s="56"/>
      <c r="OK13" s="56"/>
      <c r="OL13" s="56"/>
      <c r="OM13" s="56"/>
      <c r="ON13" s="56"/>
      <c r="OO13" s="56"/>
      <c r="OP13" s="56"/>
      <c r="OQ13" s="56"/>
      <c r="OR13" s="56"/>
      <c r="OS13" s="56"/>
      <c r="OT13" s="56"/>
      <c r="OU13" s="56"/>
      <c r="OV13" s="56"/>
      <c r="OW13" s="56"/>
      <c r="OX13" s="56"/>
      <c r="OY13" s="56"/>
      <c r="OZ13" s="56"/>
      <c r="PA13" s="56"/>
      <c r="PB13" s="56"/>
      <c r="PC13" s="56"/>
      <c r="PD13" s="56"/>
      <c r="PE13" s="56"/>
      <c r="PF13" s="56"/>
      <c r="PG13" s="56"/>
      <c r="PH13" s="56"/>
      <c r="PI13" s="56"/>
      <c r="PJ13" s="56"/>
      <c r="PK13" s="56"/>
      <c r="PL13" s="56"/>
      <c r="PM13" s="56"/>
      <c r="PN13" s="56"/>
      <c r="PO13" s="56"/>
      <c r="PP13" s="56"/>
      <c r="PQ13" s="56"/>
      <c r="PR13" s="56"/>
      <c r="PS13" s="56"/>
      <c r="PT13" s="56"/>
      <c r="PU13" s="56"/>
      <c r="PV13" s="56"/>
      <c r="PW13" s="56"/>
      <c r="PX13" s="56"/>
      <c r="PY13" s="56"/>
      <c r="PZ13" s="56"/>
      <c r="QA13" s="56"/>
      <c r="QB13" s="56"/>
      <c r="QC13" s="56"/>
      <c r="QD13" s="56"/>
      <c r="QE13" s="56"/>
      <c r="QF13" s="56"/>
      <c r="QG13" s="56"/>
      <c r="QH13" s="56"/>
      <c r="QI13" s="56"/>
      <c r="QJ13" s="56"/>
      <c r="QK13" s="56"/>
      <c r="QL13" s="56"/>
      <c r="QM13" s="56"/>
      <c r="QN13" s="56"/>
      <c r="QO13" s="56"/>
      <c r="QP13" s="56"/>
      <c r="QQ13" s="56"/>
      <c r="QR13" s="56"/>
      <c r="QS13" s="56"/>
      <c r="QT13" s="56"/>
      <c r="QU13" s="56"/>
      <c r="QV13" s="56"/>
      <c r="QW13" s="56"/>
      <c r="QX13" s="56"/>
      <c r="QY13" s="56"/>
      <c r="QZ13" s="56"/>
      <c r="RA13" s="56"/>
      <c r="RB13" s="56"/>
      <c r="RC13" s="56"/>
      <c r="RD13" s="56"/>
      <c r="RE13" s="56"/>
      <c r="RF13" s="56"/>
      <c r="RG13" s="56"/>
      <c r="RH13" s="56"/>
      <c r="RI13" s="56"/>
      <c r="RJ13" s="56"/>
      <c r="RK13" s="56"/>
      <c r="RL13" s="56"/>
      <c r="RM13" s="56"/>
      <c r="RN13" s="56"/>
      <c r="RO13" s="56"/>
      <c r="RP13" s="56"/>
      <c r="RQ13" s="56"/>
      <c r="RR13" s="56"/>
      <c r="RS13" s="56"/>
      <c r="RT13" s="56"/>
      <c r="RU13" s="56"/>
      <c r="RV13" s="56"/>
      <c r="RW13" s="56"/>
      <c r="RX13" s="56"/>
      <c r="RY13" s="56"/>
      <c r="RZ13" s="56"/>
      <c r="SA13" s="56"/>
      <c r="SB13" s="56"/>
      <c r="SC13" s="56"/>
      <c r="SD13" s="56"/>
      <c r="SE13" s="56"/>
      <c r="SF13" s="56"/>
      <c r="SG13" s="56"/>
      <c r="SH13" s="56"/>
      <c r="SI13" s="56"/>
      <c r="SJ13" s="56"/>
      <c r="SK13" s="56"/>
      <c r="SL13" s="56"/>
      <c r="SM13" s="56"/>
      <c r="SN13" s="56"/>
      <c r="SO13" s="56"/>
      <c r="SP13" s="56"/>
      <c r="SQ13" s="56"/>
      <c r="SR13" s="56"/>
    </row>
    <row r="14" spans="1:512" ht="15" customHeight="1" x14ac:dyDescent="0.7">
      <c r="A14" s="171">
        <v>2</v>
      </c>
      <c r="B14" s="171" t="s">
        <v>3</v>
      </c>
      <c r="C14" s="171" t="s">
        <v>344</v>
      </c>
      <c r="D14" s="171"/>
      <c r="E14" s="171" t="s">
        <v>1</v>
      </c>
      <c r="F14" s="171"/>
      <c r="G14" s="174" t="s">
        <v>349</v>
      </c>
      <c r="H14" s="88" t="s">
        <v>350</v>
      </c>
      <c r="I14" s="89" t="s">
        <v>351</v>
      </c>
      <c r="J14" s="90">
        <v>18.990000000000002</v>
      </c>
      <c r="K14" s="168">
        <v>18.98</v>
      </c>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4"/>
      <c r="DD14" s="54"/>
      <c r="DE14" s="54"/>
      <c r="DF14" s="54"/>
      <c r="DG14" s="54"/>
      <c r="DH14" s="54"/>
      <c r="DI14" s="54"/>
      <c r="DJ14" s="54"/>
      <c r="DK14" s="54"/>
      <c r="DL14" s="54"/>
      <c r="DM14" s="54"/>
      <c r="DN14" s="54"/>
      <c r="DO14" s="54"/>
      <c r="DP14" s="54"/>
      <c r="DQ14" s="54"/>
      <c r="DR14" s="54"/>
      <c r="DS14" s="54"/>
      <c r="DT14" s="54"/>
      <c r="DU14" s="54"/>
      <c r="DV14" s="54"/>
      <c r="DW14" s="54"/>
      <c r="DX14" s="54"/>
      <c r="DY14" s="54"/>
      <c r="DZ14" s="54"/>
      <c r="EA14" s="54"/>
      <c r="EB14" s="54"/>
      <c r="EC14" s="54"/>
      <c r="ED14" s="54"/>
      <c r="EE14" s="54"/>
      <c r="EF14" s="54"/>
      <c r="EG14" s="54"/>
      <c r="EH14" s="54"/>
      <c r="EI14" s="54"/>
      <c r="EJ14" s="54"/>
      <c r="EK14" s="54"/>
      <c r="EL14" s="54"/>
      <c r="EM14" s="54"/>
      <c r="EN14" s="54"/>
      <c r="EO14" s="54"/>
      <c r="EP14" s="54"/>
      <c r="EQ14" s="54"/>
      <c r="ER14" s="54"/>
      <c r="ES14" s="54"/>
      <c r="ET14" s="54"/>
      <c r="EU14" s="54"/>
      <c r="EV14" s="54"/>
      <c r="EW14" s="54"/>
      <c r="EX14" s="54"/>
      <c r="EY14" s="54"/>
      <c r="EZ14" s="54"/>
      <c r="FA14" s="54"/>
      <c r="FB14" s="54"/>
      <c r="FC14" s="54"/>
      <c r="FD14" s="54"/>
      <c r="FE14" s="54"/>
      <c r="FF14" s="54"/>
      <c r="FG14" s="54"/>
      <c r="FH14" s="54"/>
      <c r="FI14" s="54"/>
      <c r="FJ14" s="54"/>
      <c r="FK14" s="54"/>
      <c r="FL14" s="54"/>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4"/>
      <c r="HT14" s="54"/>
      <c r="HU14" s="54"/>
      <c r="HV14" s="54"/>
      <c r="HW14" s="54"/>
      <c r="HX14" s="54"/>
      <c r="HY14" s="54"/>
      <c r="HZ14" s="54"/>
      <c r="IA14" s="54"/>
      <c r="IB14" s="54"/>
      <c r="IC14" s="54"/>
      <c r="ID14" s="54"/>
      <c r="IE14" s="54"/>
      <c r="IF14" s="54"/>
      <c r="IG14" s="54"/>
      <c r="IH14" s="54"/>
      <c r="II14" s="54"/>
      <c r="IJ14" s="54"/>
      <c r="IK14" s="54"/>
      <c r="IL14" s="54"/>
      <c r="IM14" s="54"/>
      <c r="IN14" s="54"/>
      <c r="IO14" s="54"/>
      <c r="IP14" s="54"/>
      <c r="IQ14" s="54"/>
      <c r="IR14" s="54"/>
      <c r="IS14" s="54"/>
      <c r="IT14" s="54"/>
      <c r="IU14" s="54"/>
      <c r="IV14" s="54"/>
      <c r="IW14" s="54"/>
      <c r="IX14" s="54"/>
      <c r="IY14" s="54"/>
      <c r="IZ14" s="54"/>
      <c r="JA14" s="54"/>
      <c r="JB14" s="54"/>
      <c r="JC14" s="54"/>
      <c r="JD14" s="54"/>
      <c r="JE14" s="54"/>
      <c r="JF14" s="54"/>
      <c r="JG14" s="54"/>
      <c r="JH14" s="54"/>
      <c r="JI14" s="54"/>
      <c r="JJ14" s="54"/>
      <c r="JK14" s="54"/>
      <c r="JL14" s="54"/>
      <c r="JM14" s="54"/>
      <c r="JN14" s="54"/>
      <c r="JO14" s="54"/>
      <c r="JP14" s="54"/>
      <c r="JQ14" s="54"/>
      <c r="JR14" s="54"/>
      <c r="JS14" s="54"/>
      <c r="JT14" s="54"/>
      <c r="JU14" s="54"/>
      <c r="JV14" s="54"/>
      <c r="JW14" s="54"/>
      <c r="JX14" s="54"/>
      <c r="JY14" s="54"/>
      <c r="JZ14" s="54"/>
      <c r="KA14" s="54"/>
      <c r="KB14" s="54"/>
      <c r="KC14" s="54"/>
      <c r="KD14" s="54"/>
      <c r="KE14" s="54"/>
      <c r="KF14" s="54"/>
      <c r="KG14" s="54"/>
      <c r="KH14" s="54"/>
      <c r="KI14" s="54"/>
      <c r="KJ14" s="54"/>
      <c r="KK14" s="54"/>
      <c r="KL14" s="54"/>
      <c r="KM14" s="54"/>
      <c r="KN14" s="54"/>
      <c r="KO14" s="54"/>
      <c r="KP14" s="54"/>
      <c r="KQ14" s="54"/>
      <c r="KR14" s="54"/>
      <c r="KS14" s="54"/>
      <c r="KT14" s="54"/>
      <c r="KU14" s="54"/>
      <c r="KV14" s="54"/>
      <c r="KW14" s="54"/>
      <c r="KX14" s="54"/>
      <c r="KY14" s="54"/>
      <c r="KZ14" s="54"/>
      <c r="LA14" s="54"/>
      <c r="LB14" s="54"/>
      <c r="LC14" s="54"/>
      <c r="LD14" s="54"/>
      <c r="LE14" s="54"/>
      <c r="LF14" s="54"/>
      <c r="LG14" s="54"/>
      <c r="LH14" s="54"/>
      <c r="LI14" s="54"/>
      <c r="LJ14" s="54"/>
      <c r="LK14" s="54"/>
      <c r="LL14" s="54"/>
      <c r="LM14" s="54"/>
      <c r="LN14" s="54"/>
      <c r="LO14" s="54"/>
      <c r="LP14" s="54"/>
      <c r="LQ14" s="54"/>
      <c r="LR14" s="54"/>
      <c r="LS14" s="54"/>
      <c r="LT14" s="54"/>
      <c r="LU14" s="54"/>
      <c r="LV14" s="54"/>
      <c r="LW14" s="54"/>
      <c r="LX14" s="54"/>
      <c r="LY14" s="54"/>
      <c r="LZ14" s="54"/>
      <c r="MA14" s="54"/>
      <c r="MB14" s="54"/>
      <c r="MC14" s="54"/>
      <c r="MD14" s="54"/>
      <c r="ME14" s="54"/>
      <c r="MF14" s="54"/>
      <c r="MG14" s="54"/>
      <c r="MH14" s="54"/>
      <c r="MI14" s="54"/>
      <c r="MJ14" s="54"/>
      <c r="MK14" s="54"/>
      <c r="ML14" s="54"/>
      <c r="MM14" s="54"/>
      <c r="MN14" s="54"/>
      <c r="MO14" s="54"/>
      <c r="MP14" s="54"/>
      <c r="MQ14" s="54"/>
      <c r="MR14" s="54"/>
      <c r="MS14" s="54"/>
      <c r="MT14" s="54"/>
      <c r="MU14" s="54"/>
      <c r="MV14" s="54"/>
      <c r="MW14" s="54"/>
      <c r="MX14" s="54"/>
      <c r="MY14" s="54"/>
      <c r="MZ14" s="54"/>
      <c r="NA14" s="54"/>
      <c r="NB14" s="54"/>
      <c r="NC14" s="54"/>
      <c r="ND14" s="54"/>
      <c r="NE14" s="54"/>
      <c r="NF14" s="54"/>
      <c r="NG14" s="54"/>
      <c r="NH14" s="54"/>
      <c r="NI14" s="54"/>
      <c r="NJ14" s="54"/>
      <c r="NK14" s="54"/>
      <c r="NL14" s="54"/>
      <c r="NM14" s="54"/>
      <c r="NN14" s="54"/>
      <c r="NO14" s="54"/>
      <c r="NP14" s="54"/>
      <c r="NQ14" s="54"/>
      <c r="NR14" s="54"/>
      <c r="NS14" s="54"/>
      <c r="NT14" s="54"/>
      <c r="NU14" s="54"/>
      <c r="NV14" s="54"/>
      <c r="NW14" s="54"/>
      <c r="NX14" s="54"/>
      <c r="NY14" s="54"/>
      <c r="NZ14" s="54"/>
      <c r="OA14" s="54"/>
      <c r="OB14" s="54"/>
      <c r="OC14" s="54"/>
      <c r="OD14" s="54"/>
      <c r="OE14" s="54"/>
      <c r="OF14" s="54"/>
      <c r="OG14" s="54"/>
      <c r="OH14" s="54"/>
      <c r="OI14" s="54"/>
      <c r="OJ14" s="54"/>
      <c r="OK14" s="54"/>
      <c r="OL14" s="54"/>
      <c r="OM14" s="54"/>
      <c r="ON14" s="54"/>
      <c r="OO14" s="54"/>
      <c r="OP14" s="54"/>
      <c r="OQ14" s="54"/>
      <c r="OR14" s="54"/>
      <c r="OS14" s="54"/>
      <c r="OT14" s="54"/>
      <c r="OU14" s="54"/>
      <c r="OV14" s="54"/>
      <c r="OW14" s="54"/>
      <c r="OX14" s="54"/>
      <c r="OY14" s="54"/>
      <c r="OZ14" s="54"/>
      <c r="PA14" s="54"/>
      <c r="PB14" s="54"/>
      <c r="PC14" s="54"/>
      <c r="PD14" s="54"/>
      <c r="PE14" s="54"/>
      <c r="PF14" s="54"/>
      <c r="PG14" s="54"/>
      <c r="PH14" s="54"/>
      <c r="PI14" s="54"/>
      <c r="PJ14" s="54"/>
      <c r="PK14" s="54"/>
      <c r="PL14" s="54"/>
      <c r="PM14" s="54"/>
      <c r="PN14" s="54"/>
      <c r="PO14" s="54"/>
      <c r="PP14" s="54"/>
      <c r="PQ14" s="54"/>
      <c r="PR14" s="54"/>
      <c r="PS14" s="54"/>
      <c r="PT14" s="54"/>
      <c r="PU14" s="54"/>
      <c r="PV14" s="54"/>
      <c r="PW14" s="54"/>
      <c r="PX14" s="54"/>
      <c r="PY14" s="54"/>
      <c r="PZ14" s="54"/>
      <c r="QA14" s="54"/>
      <c r="QB14" s="54"/>
      <c r="QC14" s="54"/>
      <c r="QD14" s="54"/>
      <c r="QE14" s="54"/>
      <c r="QF14" s="54"/>
      <c r="QG14" s="54"/>
      <c r="QH14" s="54"/>
      <c r="QI14" s="54"/>
      <c r="QJ14" s="54"/>
      <c r="QK14" s="54"/>
      <c r="QL14" s="54"/>
      <c r="QM14" s="54"/>
      <c r="QN14" s="54"/>
      <c r="QO14" s="54"/>
      <c r="QP14" s="54"/>
      <c r="QQ14" s="54"/>
      <c r="QR14" s="54"/>
      <c r="QS14" s="54"/>
      <c r="QT14" s="54"/>
      <c r="QU14" s="54"/>
      <c r="QV14" s="54"/>
      <c r="QW14" s="54"/>
      <c r="QX14" s="54"/>
      <c r="QY14" s="54"/>
      <c r="QZ14" s="54"/>
      <c r="RA14" s="54"/>
      <c r="RB14" s="54"/>
      <c r="RC14" s="54"/>
      <c r="RD14" s="54"/>
      <c r="RE14" s="54"/>
      <c r="RF14" s="54"/>
      <c r="RG14" s="54"/>
      <c r="RH14" s="54"/>
      <c r="RI14" s="54"/>
      <c r="RJ14" s="54"/>
      <c r="RK14" s="54"/>
      <c r="RL14" s="54"/>
      <c r="RM14" s="54"/>
      <c r="RN14" s="54"/>
      <c r="RO14" s="54"/>
      <c r="RP14" s="54"/>
      <c r="RQ14" s="54"/>
      <c r="RR14" s="54"/>
      <c r="RS14" s="54"/>
      <c r="RT14" s="54"/>
      <c r="RU14" s="54"/>
      <c r="RV14" s="54"/>
      <c r="RW14" s="54"/>
      <c r="RX14" s="54"/>
      <c r="RY14" s="54"/>
      <c r="RZ14" s="54"/>
      <c r="SA14" s="54"/>
      <c r="SB14" s="54"/>
      <c r="SC14" s="54"/>
      <c r="SD14" s="54"/>
      <c r="SE14" s="54"/>
      <c r="SF14" s="54"/>
      <c r="SG14" s="54"/>
      <c r="SH14" s="54"/>
      <c r="SI14" s="54"/>
      <c r="SJ14" s="54"/>
      <c r="SK14" s="54"/>
      <c r="SL14" s="54"/>
      <c r="SM14" s="54"/>
      <c r="SN14" s="54"/>
      <c r="SO14" s="54"/>
      <c r="SP14" s="54"/>
      <c r="SQ14" s="54"/>
      <c r="SR14" s="54"/>
    </row>
    <row r="15" spans="1:512" ht="15" customHeight="1" x14ac:dyDescent="0.7">
      <c r="A15" s="172"/>
      <c r="B15" s="172"/>
      <c r="C15" s="172"/>
      <c r="D15" s="172"/>
      <c r="E15" s="172"/>
      <c r="F15" s="172"/>
      <c r="G15" s="175"/>
      <c r="H15" s="91"/>
      <c r="I15" s="89" t="s">
        <v>352</v>
      </c>
      <c r="J15" s="90">
        <v>18.97</v>
      </c>
      <c r="K15" s="169"/>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c r="KA15" s="54"/>
      <c r="KB15" s="54"/>
      <c r="KC15" s="54"/>
      <c r="KD15" s="54"/>
      <c r="KE15" s="54"/>
      <c r="KF15" s="54"/>
      <c r="KG15" s="54"/>
      <c r="KH15" s="54"/>
      <c r="KI15" s="54"/>
      <c r="KJ15" s="54"/>
      <c r="KK15" s="54"/>
      <c r="KL15" s="54"/>
      <c r="KM15" s="54"/>
      <c r="KN15" s="54"/>
      <c r="KO15" s="54"/>
      <c r="KP15" s="54"/>
      <c r="KQ15" s="54"/>
      <c r="KR15" s="54"/>
      <c r="KS15" s="54"/>
      <c r="KT15" s="54"/>
      <c r="KU15" s="54"/>
      <c r="KV15" s="54"/>
      <c r="KW15" s="54"/>
      <c r="KX15" s="54"/>
      <c r="KY15" s="54"/>
      <c r="KZ15" s="54"/>
      <c r="LA15" s="54"/>
      <c r="LB15" s="54"/>
      <c r="LC15" s="54"/>
      <c r="LD15" s="54"/>
      <c r="LE15" s="54"/>
      <c r="LF15" s="54"/>
      <c r="LG15" s="54"/>
      <c r="LH15" s="54"/>
      <c r="LI15" s="54"/>
      <c r="LJ15" s="54"/>
      <c r="LK15" s="54"/>
      <c r="LL15" s="54"/>
      <c r="LM15" s="54"/>
      <c r="LN15" s="54"/>
      <c r="LO15" s="54"/>
      <c r="LP15" s="54"/>
      <c r="LQ15" s="54"/>
      <c r="LR15" s="54"/>
      <c r="LS15" s="54"/>
      <c r="LT15" s="54"/>
      <c r="LU15" s="54"/>
      <c r="LV15" s="54"/>
      <c r="LW15" s="54"/>
      <c r="LX15" s="54"/>
      <c r="LY15" s="54"/>
      <c r="LZ15" s="54"/>
      <c r="MA15" s="54"/>
      <c r="MB15" s="54"/>
      <c r="MC15" s="54"/>
      <c r="MD15" s="54"/>
      <c r="ME15" s="54"/>
      <c r="MF15" s="54"/>
      <c r="MG15" s="54"/>
      <c r="MH15" s="54"/>
      <c r="MI15" s="54"/>
      <c r="MJ15" s="54"/>
      <c r="MK15" s="54"/>
      <c r="ML15" s="54"/>
      <c r="MM15" s="54"/>
      <c r="MN15" s="54"/>
      <c r="MO15" s="54"/>
      <c r="MP15" s="54"/>
      <c r="MQ15" s="54"/>
      <c r="MR15" s="54"/>
      <c r="MS15" s="54"/>
      <c r="MT15" s="54"/>
      <c r="MU15" s="54"/>
      <c r="MV15" s="54"/>
      <c r="MW15" s="54"/>
      <c r="MX15" s="54"/>
      <c r="MY15" s="54"/>
      <c r="MZ15" s="54"/>
      <c r="NA15" s="54"/>
      <c r="NB15" s="54"/>
      <c r="NC15" s="54"/>
      <c r="ND15" s="54"/>
      <c r="NE15" s="54"/>
      <c r="NF15" s="54"/>
      <c r="NG15" s="54"/>
      <c r="NH15" s="54"/>
      <c r="NI15" s="54"/>
      <c r="NJ15" s="54"/>
      <c r="NK15" s="54"/>
      <c r="NL15" s="54"/>
      <c r="NM15" s="54"/>
      <c r="NN15" s="54"/>
      <c r="NO15" s="54"/>
      <c r="NP15" s="54"/>
      <c r="NQ15" s="54"/>
      <c r="NR15" s="54"/>
      <c r="NS15" s="54"/>
      <c r="NT15" s="54"/>
      <c r="NU15" s="54"/>
      <c r="NV15" s="54"/>
      <c r="NW15" s="54"/>
      <c r="NX15" s="54"/>
      <c r="NY15" s="54"/>
      <c r="NZ15" s="54"/>
      <c r="OA15" s="54"/>
      <c r="OB15" s="54"/>
      <c r="OC15" s="54"/>
      <c r="OD15" s="54"/>
      <c r="OE15" s="54"/>
      <c r="OF15" s="54"/>
      <c r="OG15" s="54"/>
      <c r="OH15" s="54"/>
      <c r="OI15" s="54"/>
      <c r="OJ15" s="54"/>
      <c r="OK15" s="54"/>
      <c r="OL15" s="54"/>
      <c r="OM15" s="54"/>
      <c r="ON15" s="54"/>
      <c r="OO15" s="54"/>
      <c r="OP15" s="54"/>
      <c r="OQ15" s="54"/>
      <c r="OR15" s="54"/>
      <c r="OS15" s="54"/>
      <c r="OT15" s="54"/>
      <c r="OU15" s="54"/>
      <c r="OV15" s="54"/>
      <c r="OW15" s="54"/>
      <c r="OX15" s="54"/>
      <c r="OY15" s="54"/>
      <c r="OZ15" s="54"/>
      <c r="PA15" s="54"/>
      <c r="PB15" s="54"/>
      <c r="PC15" s="54"/>
      <c r="PD15" s="54"/>
      <c r="PE15" s="54"/>
      <c r="PF15" s="54"/>
      <c r="PG15" s="54"/>
      <c r="PH15" s="54"/>
      <c r="PI15" s="54"/>
      <c r="PJ15" s="54"/>
      <c r="PK15" s="54"/>
      <c r="PL15" s="54"/>
      <c r="PM15" s="54"/>
      <c r="PN15" s="54"/>
      <c r="PO15" s="54"/>
      <c r="PP15" s="54"/>
      <c r="PQ15" s="54"/>
      <c r="PR15" s="54"/>
      <c r="PS15" s="54"/>
      <c r="PT15" s="54"/>
      <c r="PU15" s="54"/>
      <c r="PV15" s="54"/>
      <c r="PW15" s="54"/>
      <c r="PX15" s="54"/>
      <c r="PY15" s="54"/>
      <c r="PZ15" s="54"/>
      <c r="QA15" s="54"/>
      <c r="QB15" s="54"/>
      <c r="QC15" s="54"/>
      <c r="QD15" s="54"/>
      <c r="QE15" s="54"/>
      <c r="QF15" s="54"/>
      <c r="QG15" s="54"/>
      <c r="QH15" s="54"/>
      <c r="QI15" s="54"/>
      <c r="QJ15" s="54"/>
      <c r="QK15" s="54"/>
      <c r="QL15" s="54"/>
      <c r="QM15" s="54"/>
      <c r="QN15" s="54"/>
      <c r="QO15" s="54"/>
      <c r="QP15" s="54"/>
      <c r="QQ15" s="54"/>
      <c r="QR15" s="54"/>
      <c r="QS15" s="54"/>
      <c r="QT15" s="54"/>
      <c r="QU15" s="54"/>
      <c r="QV15" s="54"/>
      <c r="QW15" s="54"/>
      <c r="QX15" s="54"/>
      <c r="QY15" s="54"/>
      <c r="QZ15" s="54"/>
      <c r="RA15" s="54"/>
      <c r="RB15" s="54"/>
      <c r="RC15" s="54"/>
      <c r="RD15" s="54"/>
      <c r="RE15" s="54"/>
      <c r="RF15" s="54"/>
      <c r="RG15" s="54"/>
      <c r="RH15" s="54"/>
      <c r="RI15" s="54"/>
      <c r="RJ15" s="54"/>
      <c r="RK15" s="54"/>
      <c r="RL15" s="54"/>
      <c r="RM15" s="54"/>
      <c r="RN15" s="54"/>
      <c r="RO15" s="54"/>
      <c r="RP15" s="54"/>
      <c r="RQ15" s="54"/>
      <c r="RR15" s="54"/>
      <c r="RS15" s="54"/>
      <c r="RT15" s="54"/>
      <c r="RU15" s="54"/>
      <c r="RV15" s="54"/>
      <c r="RW15" s="54"/>
      <c r="RX15" s="54"/>
      <c r="RY15" s="54"/>
      <c r="RZ15" s="54"/>
      <c r="SA15" s="54"/>
      <c r="SB15" s="54"/>
      <c r="SC15" s="54"/>
      <c r="SD15" s="54"/>
      <c r="SE15" s="54"/>
      <c r="SF15" s="54"/>
      <c r="SG15" s="54"/>
      <c r="SH15" s="54"/>
      <c r="SI15" s="54"/>
      <c r="SJ15" s="54"/>
      <c r="SK15" s="54"/>
      <c r="SL15" s="54"/>
      <c r="SM15" s="54"/>
      <c r="SN15" s="54"/>
      <c r="SO15" s="54"/>
      <c r="SP15" s="54"/>
      <c r="SQ15" s="54"/>
      <c r="SR15" s="54"/>
    </row>
    <row r="16" spans="1:512" s="55" customFormat="1" ht="15" customHeight="1" x14ac:dyDescent="0.7">
      <c r="A16" s="173"/>
      <c r="B16" s="173"/>
      <c r="C16" s="173"/>
      <c r="D16" s="173"/>
      <c r="E16" s="173"/>
      <c r="F16" s="173"/>
      <c r="G16" s="176"/>
      <c r="H16" s="92"/>
      <c r="I16" s="93"/>
      <c r="J16" s="94"/>
      <c r="K16" s="170"/>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c r="KY16" s="56"/>
      <c r="KZ16" s="56"/>
      <c r="LA16" s="56"/>
      <c r="LB16" s="56"/>
      <c r="LC16" s="56"/>
      <c r="LD16" s="56"/>
      <c r="LE16" s="56"/>
      <c r="LF16" s="56"/>
      <c r="LG16" s="56"/>
      <c r="LH16" s="56"/>
      <c r="LI16" s="56"/>
      <c r="LJ16" s="56"/>
      <c r="LK16" s="56"/>
      <c r="LL16" s="56"/>
      <c r="LM16" s="56"/>
      <c r="LN16" s="56"/>
      <c r="LO16" s="56"/>
      <c r="LP16" s="56"/>
      <c r="LQ16" s="56"/>
      <c r="LR16" s="56"/>
      <c r="LS16" s="56"/>
      <c r="LT16" s="56"/>
      <c r="LU16" s="56"/>
      <c r="LV16" s="56"/>
      <c r="LW16" s="56"/>
      <c r="LX16" s="56"/>
      <c r="LY16" s="56"/>
      <c r="LZ16" s="56"/>
      <c r="MA16" s="56"/>
      <c r="MB16" s="56"/>
      <c r="MC16" s="56"/>
      <c r="MD16" s="56"/>
      <c r="ME16" s="56"/>
      <c r="MF16" s="56"/>
      <c r="MG16" s="56"/>
      <c r="MH16" s="56"/>
      <c r="MI16" s="56"/>
      <c r="MJ16" s="56"/>
      <c r="MK16" s="56"/>
      <c r="ML16" s="56"/>
      <c r="MM16" s="56"/>
      <c r="MN16" s="56"/>
      <c r="MO16" s="56"/>
      <c r="MP16" s="56"/>
      <c r="MQ16" s="56"/>
      <c r="MR16" s="56"/>
      <c r="MS16" s="56"/>
      <c r="MT16" s="56"/>
      <c r="MU16" s="56"/>
      <c r="MV16" s="56"/>
      <c r="MW16" s="56"/>
      <c r="MX16" s="56"/>
      <c r="MY16" s="56"/>
      <c r="MZ16" s="56"/>
      <c r="NA16" s="56"/>
      <c r="NB16" s="56"/>
      <c r="NC16" s="56"/>
      <c r="ND16" s="56"/>
      <c r="NE16" s="56"/>
      <c r="NF16" s="56"/>
      <c r="NG16" s="56"/>
      <c r="NH16" s="56"/>
      <c r="NI16" s="56"/>
      <c r="NJ16" s="56"/>
      <c r="NK16" s="56"/>
      <c r="NL16" s="56"/>
      <c r="NM16" s="56"/>
      <c r="NN16" s="56"/>
      <c r="NO16" s="56"/>
      <c r="NP16" s="56"/>
      <c r="NQ16" s="56"/>
      <c r="NR16" s="56"/>
      <c r="NS16" s="56"/>
      <c r="NT16" s="56"/>
      <c r="NU16" s="56"/>
      <c r="NV16" s="56"/>
      <c r="NW16" s="56"/>
      <c r="NX16" s="56"/>
      <c r="NY16" s="56"/>
      <c r="NZ16" s="56"/>
      <c r="OA16" s="56"/>
      <c r="OB16" s="56"/>
      <c r="OC16" s="56"/>
      <c r="OD16" s="56"/>
      <c r="OE16" s="56"/>
      <c r="OF16" s="56"/>
      <c r="OG16" s="56"/>
      <c r="OH16" s="56"/>
      <c r="OI16" s="56"/>
      <c r="OJ16" s="56"/>
      <c r="OK16" s="56"/>
      <c r="OL16" s="56"/>
      <c r="OM16" s="56"/>
      <c r="ON16" s="56"/>
      <c r="OO16" s="56"/>
      <c r="OP16" s="56"/>
      <c r="OQ16" s="56"/>
      <c r="OR16" s="56"/>
      <c r="OS16" s="56"/>
      <c r="OT16" s="56"/>
      <c r="OU16" s="56"/>
      <c r="OV16" s="56"/>
      <c r="OW16" s="56"/>
      <c r="OX16" s="56"/>
      <c r="OY16" s="56"/>
      <c r="OZ16" s="56"/>
      <c r="PA16" s="56"/>
      <c r="PB16" s="56"/>
      <c r="PC16" s="56"/>
      <c r="PD16" s="56"/>
      <c r="PE16" s="56"/>
      <c r="PF16" s="56"/>
      <c r="PG16" s="56"/>
      <c r="PH16" s="56"/>
      <c r="PI16" s="56"/>
      <c r="PJ16" s="56"/>
      <c r="PK16" s="56"/>
      <c r="PL16" s="56"/>
      <c r="PM16" s="56"/>
      <c r="PN16" s="56"/>
      <c r="PO16" s="56"/>
      <c r="PP16" s="56"/>
      <c r="PQ16" s="56"/>
      <c r="PR16" s="56"/>
      <c r="PS16" s="56"/>
      <c r="PT16" s="56"/>
      <c r="PU16" s="56"/>
      <c r="PV16" s="56"/>
      <c r="PW16" s="56"/>
      <c r="PX16" s="56"/>
      <c r="PY16" s="56"/>
      <c r="PZ16" s="56"/>
      <c r="QA16" s="56"/>
      <c r="QB16" s="56"/>
      <c r="QC16" s="56"/>
      <c r="QD16" s="56"/>
      <c r="QE16" s="56"/>
      <c r="QF16" s="56"/>
      <c r="QG16" s="56"/>
      <c r="QH16" s="56"/>
      <c r="QI16" s="56"/>
      <c r="QJ16" s="56"/>
      <c r="QK16" s="56"/>
      <c r="QL16" s="56"/>
      <c r="QM16" s="56"/>
      <c r="QN16" s="56"/>
      <c r="QO16" s="56"/>
      <c r="QP16" s="56"/>
      <c r="QQ16" s="56"/>
      <c r="QR16" s="56"/>
      <c r="QS16" s="56"/>
      <c r="QT16" s="56"/>
      <c r="QU16" s="56"/>
      <c r="QV16" s="56"/>
      <c r="QW16" s="56"/>
      <c r="QX16" s="56"/>
      <c r="QY16" s="56"/>
      <c r="QZ16" s="56"/>
      <c r="RA16" s="56"/>
      <c r="RB16" s="56"/>
      <c r="RC16" s="56"/>
      <c r="RD16" s="56"/>
      <c r="RE16" s="56"/>
      <c r="RF16" s="56"/>
      <c r="RG16" s="56"/>
      <c r="RH16" s="56"/>
      <c r="RI16" s="56"/>
      <c r="RJ16" s="56"/>
      <c r="RK16" s="56"/>
      <c r="RL16" s="56"/>
      <c r="RM16" s="56"/>
      <c r="RN16" s="56"/>
      <c r="RO16" s="56"/>
      <c r="RP16" s="56"/>
      <c r="RQ16" s="56"/>
      <c r="RR16" s="56"/>
      <c r="RS16" s="56"/>
      <c r="RT16" s="56"/>
      <c r="RU16" s="56"/>
      <c r="RV16" s="56"/>
      <c r="RW16" s="56"/>
      <c r="RX16" s="56"/>
      <c r="RY16" s="56"/>
      <c r="RZ16" s="56"/>
      <c r="SA16" s="56"/>
      <c r="SB16" s="56"/>
      <c r="SC16" s="56"/>
      <c r="SD16" s="56"/>
      <c r="SE16" s="56"/>
      <c r="SF16" s="56"/>
      <c r="SG16" s="56"/>
      <c r="SH16" s="56"/>
      <c r="SI16" s="56"/>
      <c r="SJ16" s="56"/>
      <c r="SK16" s="56"/>
      <c r="SL16" s="56"/>
      <c r="SM16" s="56"/>
      <c r="SN16" s="56"/>
      <c r="SO16" s="56"/>
      <c r="SP16" s="56"/>
      <c r="SQ16" s="56"/>
      <c r="SR16" s="56"/>
    </row>
    <row r="17" spans="1:512" ht="15" customHeight="1" x14ac:dyDescent="0.7">
      <c r="A17" s="171">
        <v>3</v>
      </c>
      <c r="B17" s="171" t="s">
        <v>3</v>
      </c>
      <c r="C17" s="171" t="s">
        <v>344</v>
      </c>
      <c r="D17" s="171"/>
      <c r="E17" s="171" t="s">
        <v>1</v>
      </c>
      <c r="F17" s="171"/>
      <c r="G17" s="174" t="s">
        <v>353</v>
      </c>
      <c r="H17" s="88" t="s">
        <v>354</v>
      </c>
      <c r="I17" s="89" t="s">
        <v>355</v>
      </c>
      <c r="J17" s="90">
        <v>18.7</v>
      </c>
      <c r="K17" s="168">
        <v>18.5</v>
      </c>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c r="KY17" s="54"/>
      <c r="KZ17" s="54"/>
      <c r="LA17" s="54"/>
      <c r="LB17" s="54"/>
      <c r="LC17" s="54"/>
      <c r="LD17" s="54"/>
      <c r="LE17" s="54"/>
      <c r="LF17" s="54"/>
      <c r="LG17" s="54"/>
      <c r="LH17" s="54"/>
      <c r="LI17" s="54"/>
      <c r="LJ17" s="54"/>
      <c r="LK17" s="54"/>
      <c r="LL17" s="54"/>
      <c r="LM17" s="54"/>
      <c r="LN17" s="54"/>
      <c r="LO17" s="54"/>
      <c r="LP17" s="54"/>
      <c r="LQ17" s="54"/>
      <c r="LR17" s="54"/>
      <c r="LS17" s="54"/>
      <c r="LT17" s="54"/>
      <c r="LU17" s="54"/>
      <c r="LV17" s="54"/>
      <c r="LW17" s="54"/>
      <c r="LX17" s="54"/>
      <c r="LY17" s="54"/>
      <c r="LZ17" s="54"/>
      <c r="MA17" s="54"/>
      <c r="MB17" s="54"/>
      <c r="MC17" s="54"/>
      <c r="MD17" s="54"/>
      <c r="ME17" s="54"/>
      <c r="MF17" s="54"/>
      <c r="MG17" s="54"/>
      <c r="MH17" s="54"/>
      <c r="MI17" s="54"/>
      <c r="MJ17" s="54"/>
      <c r="MK17" s="54"/>
      <c r="ML17" s="54"/>
      <c r="MM17" s="54"/>
      <c r="MN17" s="54"/>
      <c r="MO17" s="54"/>
      <c r="MP17" s="54"/>
      <c r="MQ17" s="54"/>
      <c r="MR17" s="54"/>
      <c r="MS17" s="54"/>
      <c r="MT17" s="54"/>
      <c r="MU17" s="54"/>
      <c r="MV17" s="54"/>
      <c r="MW17" s="54"/>
      <c r="MX17" s="54"/>
      <c r="MY17" s="54"/>
      <c r="MZ17" s="54"/>
      <c r="NA17" s="54"/>
      <c r="NB17" s="54"/>
      <c r="NC17" s="54"/>
      <c r="ND17" s="54"/>
      <c r="NE17" s="54"/>
      <c r="NF17" s="54"/>
      <c r="NG17" s="54"/>
      <c r="NH17" s="54"/>
      <c r="NI17" s="54"/>
      <c r="NJ17" s="54"/>
      <c r="NK17" s="54"/>
      <c r="NL17" s="54"/>
      <c r="NM17" s="54"/>
      <c r="NN17" s="54"/>
      <c r="NO17" s="54"/>
      <c r="NP17" s="54"/>
      <c r="NQ17" s="54"/>
      <c r="NR17" s="54"/>
      <c r="NS17" s="54"/>
      <c r="NT17" s="54"/>
      <c r="NU17" s="54"/>
      <c r="NV17" s="54"/>
      <c r="NW17" s="54"/>
      <c r="NX17" s="54"/>
      <c r="NY17" s="54"/>
      <c r="NZ17" s="54"/>
      <c r="OA17" s="54"/>
      <c r="OB17" s="54"/>
      <c r="OC17" s="54"/>
      <c r="OD17" s="54"/>
      <c r="OE17" s="54"/>
      <c r="OF17" s="54"/>
      <c r="OG17" s="54"/>
      <c r="OH17" s="54"/>
      <c r="OI17" s="54"/>
      <c r="OJ17" s="54"/>
      <c r="OK17" s="54"/>
      <c r="OL17" s="54"/>
      <c r="OM17" s="54"/>
      <c r="ON17" s="54"/>
      <c r="OO17" s="54"/>
      <c r="OP17" s="54"/>
      <c r="OQ17" s="54"/>
      <c r="OR17" s="54"/>
      <c r="OS17" s="54"/>
      <c r="OT17" s="54"/>
      <c r="OU17" s="54"/>
      <c r="OV17" s="54"/>
      <c r="OW17" s="54"/>
      <c r="OX17" s="54"/>
      <c r="OY17" s="54"/>
      <c r="OZ17" s="54"/>
      <c r="PA17" s="54"/>
      <c r="PB17" s="54"/>
      <c r="PC17" s="54"/>
      <c r="PD17" s="54"/>
      <c r="PE17" s="54"/>
      <c r="PF17" s="54"/>
      <c r="PG17" s="54"/>
      <c r="PH17" s="54"/>
      <c r="PI17" s="54"/>
      <c r="PJ17" s="54"/>
      <c r="PK17" s="54"/>
      <c r="PL17" s="54"/>
      <c r="PM17" s="54"/>
      <c r="PN17" s="54"/>
      <c r="PO17" s="54"/>
      <c r="PP17" s="54"/>
      <c r="PQ17" s="54"/>
      <c r="PR17" s="54"/>
      <c r="PS17" s="54"/>
      <c r="PT17" s="54"/>
      <c r="PU17" s="54"/>
      <c r="PV17" s="54"/>
      <c r="PW17" s="54"/>
      <c r="PX17" s="54"/>
      <c r="PY17" s="54"/>
      <c r="PZ17" s="54"/>
      <c r="QA17" s="54"/>
      <c r="QB17" s="54"/>
      <c r="QC17" s="54"/>
      <c r="QD17" s="54"/>
      <c r="QE17" s="54"/>
      <c r="QF17" s="54"/>
      <c r="QG17" s="54"/>
      <c r="QH17" s="54"/>
      <c r="QI17" s="54"/>
      <c r="QJ17" s="54"/>
      <c r="QK17" s="54"/>
      <c r="QL17" s="54"/>
      <c r="QM17" s="54"/>
      <c r="QN17" s="54"/>
      <c r="QO17" s="54"/>
      <c r="QP17" s="54"/>
      <c r="QQ17" s="54"/>
      <c r="QR17" s="54"/>
      <c r="QS17" s="54"/>
      <c r="QT17" s="54"/>
      <c r="QU17" s="54"/>
      <c r="QV17" s="54"/>
      <c r="QW17" s="54"/>
      <c r="QX17" s="54"/>
      <c r="QY17" s="54"/>
      <c r="QZ17" s="54"/>
      <c r="RA17" s="54"/>
      <c r="RB17" s="54"/>
      <c r="RC17" s="54"/>
      <c r="RD17" s="54"/>
      <c r="RE17" s="54"/>
      <c r="RF17" s="54"/>
      <c r="RG17" s="54"/>
      <c r="RH17" s="54"/>
      <c r="RI17" s="54"/>
      <c r="RJ17" s="54"/>
      <c r="RK17" s="54"/>
      <c r="RL17" s="54"/>
      <c r="RM17" s="54"/>
      <c r="RN17" s="54"/>
      <c r="RO17" s="54"/>
      <c r="RP17" s="54"/>
      <c r="RQ17" s="54"/>
      <c r="RR17" s="54"/>
      <c r="RS17" s="54"/>
      <c r="RT17" s="54"/>
      <c r="RU17" s="54"/>
      <c r="RV17" s="54"/>
      <c r="RW17" s="54"/>
      <c r="RX17" s="54"/>
      <c r="RY17" s="54"/>
      <c r="RZ17" s="54"/>
      <c r="SA17" s="54"/>
      <c r="SB17" s="54"/>
      <c r="SC17" s="54"/>
      <c r="SD17" s="54"/>
      <c r="SE17" s="54"/>
      <c r="SF17" s="54"/>
      <c r="SG17" s="54"/>
      <c r="SH17" s="54"/>
      <c r="SI17" s="54"/>
      <c r="SJ17" s="54"/>
      <c r="SK17" s="54"/>
      <c r="SL17" s="54"/>
      <c r="SM17" s="54"/>
      <c r="SN17" s="54"/>
      <c r="SO17" s="54"/>
      <c r="SP17" s="54"/>
      <c r="SQ17" s="54"/>
      <c r="SR17" s="54"/>
    </row>
    <row r="18" spans="1:512" ht="15" customHeight="1" x14ac:dyDescent="0.7">
      <c r="A18" s="172"/>
      <c r="B18" s="172"/>
      <c r="C18" s="172"/>
      <c r="D18" s="172"/>
      <c r="E18" s="172"/>
      <c r="F18" s="172"/>
      <c r="G18" s="175"/>
      <c r="H18" s="91"/>
      <c r="I18" s="89" t="s">
        <v>356</v>
      </c>
      <c r="J18" s="90">
        <v>18.3</v>
      </c>
      <c r="K18" s="169"/>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c r="KY18" s="54"/>
      <c r="KZ18" s="54"/>
      <c r="LA18" s="54"/>
      <c r="LB18" s="54"/>
      <c r="LC18" s="54"/>
      <c r="LD18" s="54"/>
      <c r="LE18" s="54"/>
      <c r="LF18" s="54"/>
      <c r="LG18" s="54"/>
      <c r="LH18" s="54"/>
      <c r="LI18" s="54"/>
      <c r="LJ18" s="54"/>
      <c r="LK18" s="54"/>
      <c r="LL18" s="54"/>
      <c r="LM18" s="54"/>
      <c r="LN18" s="54"/>
      <c r="LO18" s="54"/>
      <c r="LP18" s="54"/>
      <c r="LQ18" s="54"/>
      <c r="LR18" s="54"/>
      <c r="LS18" s="54"/>
      <c r="LT18" s="54"/>
      <c r="LU18" s="54"/>
      <c r="LV18" s="54"/>
      <c r="LW18" s="54"/>
      <c r="LX18" s="54"/>
      <c r="LY18" s="54"/>
      <c r="LZ18" s="54"/>
      <c r="MA18" s="54"/>
      <c r="MB18" s="54"/>
      <c r="MC18" s="54"/>
      <c r="MD18" s="54"/>
      <c r="ME18" s="54"/>
      <c r="MF18" s="54"/>
      <c r="MG18" s="54"/>
      <c r="MH18" s="54"/>
      <c r="MI18" s="54"/>
      <c r="MJ18" s="54"/>
      <c r="MK18" s="54"/>
      <c r="ML18" s="54"/>
      <c r="MM18" s="54"/>
      <c r="MN18" s="54"/>
      <c r="MO18" s="54"/>
      <c r="MP18" s="54"/>
      <c r="MQ18" s="54"/>
      <c r="MR18" s="54"/>
      <c r="MS18" s="54"/>
      <c r="MT18" s="54"/>
      <c r="MU18" s="54"/>
      <c r="MV18" s="54"/>
      <c r="MW18" s="54"/>
      <c r="MX18" s="54"/>
      <c r="MY18" s="54"/>
      <c r="MZ18" s="54"/>
      <c r="NA18" s="54"/>
      <c r="NB18" s="54"/>
      <c r="NC18" s="54"/>
      <c r="ND18" s="54"/>
      <c r="NE18" s="54"/>
      <c r="NF18" s="54"/>
      <c r="NG18" s="54"/>
      <c r="NH18" s="54"/>
      <c r="NI18" s="54"/>
      <c r="NJ18" s="54"/>
      <c r="NK18" s="54"/>
      <c r="NL18" s="54"/>
      <c r="NM18" s="54"/>
      <c r="NN18" s="54"/>
      <c r="NO18" s="54"/>
      <c r="NP18" s="54"/>
      <c r="NQ18" s="54"/>
      <c r="NR18" s="54"/>
      <c r="NS18" s="54"/>
      <c r="NT18" s="54"/>
      <c r="NU18" s="54"/>
      <c r="NV18" s="54"/>
      <c r="NW18" s="54"/>
      <c r="NX18" s="54"/>
      <c r="NY18" s="54"/>
      <c r="NZ18" s="54"/>
      <c r="OA18" s="54"/>
      <c r="OB18" s="54"/>
      <c r="OC18" s="54"/>
      <c r="OD18" s="54"/>
      <c r="OE18" s="54"/>
      <c r="OF18" s="54"/>
      <c r="OG18" s="54"/>
      <c r="OH18" s="54"/>
      <c r="OI18" s="54"/>
      <c r="OJ18" s="54"/>
      <c r="OK18" s="54"/>
      <c r="OL18" s="54"/>
      <c r="OM18" s="54"/>
      <c r="ON18" s="54"/>
      <c r="OO18" s="54"/>
      <c r="OP18" s="54"/>
      <c r="OQ18" s="54"/>
      <c r="OR18" s="54"/>
      <c r="OS18" s="54"/>
      <c r="OT18" s="54"/>
      <c r="OU18" s="54"/>
      <c r="OV18" s="54"/>
      <c r="OW18" s="54"/>
      <c r="OX18" s="54"/>
      <c r="OY18" s="54"/>
      <c r="OZ18" s="54"/>
      <c r="PA18" s="54"/>
      <c r="PB18" s="54"/>
      <c r="PC18" s="54"/>
      <c r="PD18" s="54"/>
      <c r="PE18" s="54"/>
      <c r="PF18" s="54"/>
      <c r="PG18" s="54"/>
      <c r="PH18" s="54"/>
      <c r="PI18" s="54"/>
      <c r="PJ18" s="54"/>
      <c r="PK18" s="54"/>
      <c r="PL18" s="54"/>
      <c r="PM18" s="54"/>
      <c r="PN18" s="54"/>
      <c r="PO18" s="54"/>
      <c r="PP18" s="54"/>
      <c r="PQ18" s="54"/>
      <c r="PR18" s="54"/>
      <c r="PS18" s="54"/>
      <c r="PT18" s="54"/>
      <c r="PU18" s="54"/>
      <c r="PV18" s="54"/>
      <c r="PW18" s="54"/>
      <c r="PX18" s="54"/>
      <c r="PY18" s="54"/>
      <c r="PZ18" s="54"/>
      <c r="QA18" s="54"/>
      <c r="QB18" s="54"/>
      <c r="QC18" s="54"/>
      <c r="QD18" s="54"/>
      <c r="QE18" s="54"/>
      <c r="QF18" s="54"/>
      <c r="QG18" s="54"/>
      <c r="QH18" s="54"/>
      <c r="QI18" s="54"/>
      <c r="QJ18" s="54"/>
      <c r="QK18" s="54"/>
      <c r="QL18" s="54"/>
      <c r="QM18" s="54"/>
      <c r="QN18" s="54"/>
      <c r="QO18" s="54"/>
      <c r="QP18" s="54"/>
      <c r="QQ18" s="54"/>
      <c r="QR18" s="54"/>
      <c r="QS18" s="54"/>
      <c r="QT18" s="54"/>
      <c r="QU18" s="54"/>
      <c r="QV18" s="54"/>
      <c r="QW18" s="54"/>
      <c r="QX18" s="54"/>
      <c r="QY18" s="54"/>
      <c r="QZ18" s="54"/>
      <c r="RA18" s="54"/>
      <c r="RB18" s="54"/>
      <c r="RC18" s="54"/>
      <c r="RD18" s="54"/>
      <c r="RE18" s="54"/>
      <c r="RF18" s="54"/>
      <c r="RG18" s="54"/>
      <c r="RH18" s="54"/>
      <c r="RI18" s="54"/>
      <c r="RJ18" s="54"/>
      <c r="RK18" s="54"/>
      <c r="RL18" s="54"/>
      <c r="RM18" s="54"/>
      <c r="RN18" s="54"/>
      <c r="RO18" s="54"/>
      <c r="RP18" s="54"/>
      <c r="RQ18" s="54"/>
      <c r="RR18" s="54"/>
      <c r="RS18" s="54"/>
      <c r="RT18" s="54"/>
      <c r="RU18" s="54"/>
      <c r="RV18" s="54"/>
      <c r="RW18" s="54"/>
      <c r="RX18" s="54"/>
      <c r="RY18" s="54"/>
      <c r="RZ18" s="54"/>
      <c r="SA18" s="54"/>
      <c r="SB18" s="54"/>
      <c r="SC18" s="54"/>
      <c r="SD18" s="54"/>
      <c r="SE18" s="54"/>
      <c r="SF18" s="54"/>
      <c r="SG18" s="54"/>
      <c r="SH18" s="54"/>
      <c r="SI18" s="54"/>
      <c r="SJ18" s="54"/>
      <c r="SK18" s="54"/>
      <c r="SL18" s="54"/>
      <c r="SM18" s="54"/>
      <c r="SN18" s="54"/>
      <c r="SO18" s="54"/>
      <c r="SP18" s="54"/>
      <c r="SQ18" s="54"/>
      <c r="SR18" s="54"/>
    </row>
    <row r="19" spans="1:512" s="55" customFormat="1" ht="15" customHeight="1" x14ac:dyDescent="0.7">
      <c r="A19" s="173"/>
      <c r="B19" s="173"/>
      <c r="C19" s="173"/>
      <c r="D19" s="173"/>
      <c r="E19" s="173"/>
      <c r="F19" s="173"/>
      <c r="G19" s="176"/>
      <c r="H19" s="92"/>
      <c r="I19" s="93"/>
      <c r="J19" s="94"/>
      <c r="K19" s="170"/>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c r="IX19" s="56"/>
      <c r="IY19" s="56"/>
      <c r="IZ19" s="56"/>
      <c r="JA19" s="56"/>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c r="JZ19" s="56"/>
      <c r="KA19" s="56"/>
      <c r="KB19" s="56"/>
      <c r="KC19" s="56"/>
      <c r="KD19" s="56"/>
      <c r="KE19" s="56"/>
      <c r="KF19" s="56"/>
      <c r="KG19" s="56"/>
      <c r="KH19" s="56"/>
      <c r="KI19" s="56"/>
      <c r="KJ19" s="56"/>
      <c r="KK19" s="56"/>
      <c r="KL19" s="56"/>
      <c r="KM19" s="56"/>
      <c r="KN19" s="56"/>
      <c r="KO19" s="56"/>
      <c r="KP19" s="56"/>
      <c r="KQ19" s="56"/>
      <c r="KR19" s="56"/>
      <c r="KS19" s="56"/>
      <c r="KT19" s="56"/>
      <c r="KU19" s="56"/>
      <c r="KV19" s="56"/>
      <c r="KW19" s="56"/>
      <c r="KX19" s="56"/>
      <c r="KY19" s="56"/>
      <c r="KZ19" s="56"/>
      <c r="LA19" s="56"/>
      <c r="LB19" s="56"/>
      <c r="LC19" s="56"/>
      <c r="LD19" s="56"/>
      <c r="LE19" s="56"/>
      <c r="LF19" s="56"/>
      <c r="LG19" s="56"/>
      <c r="LH19" s="56"/>
      <c r="LI19" s="56"/>
      <c r="LJ19" s="56"/>
      <c r="LK19" s="56"/>
      <c r="LL19" s="56"/>
      <c r="LM19" s="56"/>
      <c r="LN19" s="56"/>
      <c r="LO19" s="56"/>
      <c r="LP19" s="56"/>
      <c r="LQ19" s="56"/>
      <c r="LR19" s="56"/>
      <c r="LS19" s="56"/>
      <c r="LT19" s="56"/>
      <c r="LU19" s="56"/>
      <c r="LV19" s="56"/>
      <c r="LW19" s="56"/>
      <c r="LX19" s="56"/>
      <c r="LY19" s="56"/>
      <c r="LZ19" s="56"/>
      <c r="MA19" s="56"/>
      <c r="MB19" s="56"/>
      <c r="MC19" s="56"/>
      <c r="MD19" s="56"/>
      <c r="ME19" s="56"/>
      <c r="MF19" s="56"/>
      <c r="MG19" s="56"/>
      <c r="MH19" s="56"/>
      <c r="MI19" s="56"/>
      <c r="MJ19" s="56"/>
      <c r="MK19" s="56"/>
      <c r="ML19" s="56"/>
      <c r="MM19" s="56"/>
      <c r="MN19" s="56"/>
      <c r="MO19" s="56"/>
      <c r="MP19" s="56"/>
      <c r="MQ19" s="56"/>
      <c r="MR19" s="56"/>
      <c r="MS19" s="56"/>
      <c r="MT19" s="56"/>
      <c r="MU19" s="56"/>
      <c r="MV19" s="56"/>
      <c r="MW19" s="56"/>
      <c r="MX19" s="56"/>
      <c r="MY19" s="56"/>
      <c r="MZ19" s="56"/>
      <c r="NA19" s="56"/>
      <c r="NB19" s="56"/>
      <c r="NC19" s="56"/>
      <c r="ND19" s="56"/>
      <c r="NE19" s="56"/>
      <c r="NF19" s="56"/>
      <c r="NG19" s="56"/>
      <c r="NH19" s="56"/>
      <c r="NI19" s="56"/>
      <c r="NJ19" s="56"/>
      <c r="NK19" s="56"/>
      <c r="NL19" s="56"/>
      <c r="NM19" s="56"/>
      <c r="NN19" s="56"/>
      <c r="NO19" s="56"/>
      <c r="NP19" s="56"/>
      <c r="NQ19" s="56"/>
      <c r="NR19" s="56"/>
      <c r="NS19" s="56"/>
      <c r="NT19" s="56"/>
      <c r="NU19" s="56"/>
      <c r="NV19" s="56"/>
      <c r="NW19" s="56"/>
      <c r="NX19" s="56"/>
      <c r="NY19" s="56"/>
      <c r="NZ19" s="56"/>
      <c r="OA19" s="56"/>
      <c r="OB19" s="56"/>
      <c r="OC19" s="56"/>
      <c r="OD19" s="56"/>
      <c r="OE19" s="56"/>
      <c r="OF19" s="56"/>
      <c r="OG19" s="56"/>
      <c r="OH19" s="56"/>
      <c r="OI19" s="56"/>
      <c r="OJ19" s="56"/>
      <c r="OK19" s="56"/>
      <c r="OL19" s="56"/>
      <c r="OM19" s="56"/>
      <c r="ON19" s="56"/>
      <c r="OO19" s="56"/>
      <c r="OP19" s="56"/>
      <c r="OQ19" s="56"/>
      <c r="OR19" s="56"/>
      <c r="OS19" s="56"/>
      <c r="OT19" s="56"/>
      <c r="OU19" s="56"/>
      <c r="OV19" s="56"/>
      <c r="OW19" s="56"/>
      <c r="OX19" s="56"/>
      <c r="OY19" s="56"/>
      <c r="OZ19" s="56"/>
      <c r="PA19" s="56"/>
      <c r="PB19" s="56"/>
      <c r="PC19" s="56"/>
      <c r="PD19" s="56"/>
      <c r="PE19" s="56"/>
      <c r="PF19" s="56"/>
      <c r="PG19" s="56"/>
      <c r="PH19" s="56"/>
      <c r="PI19" s="56"/>
      <c r="PJ19" s="56"/>
      <c r="PK19" s="56"/>
      <c r="PL19" s="56"/>
      <c r="PM19" s="56"/>
      <c r="PN19" s="56"/>
      <c r="PO19" s="56"/>
      <c r="PP19" s="56"/>
      <c r="PQ19" s="56"/>
      <c r="PR19" s="56"/>
      <c r="PS19" s="56"/>
      <c r="PT19" s="56"/>
      <c r="PU19" s="56"/>
      <c r="PV19" s="56"/>
      <c r="PW19" s="56"/>
      <c r="PX19" s="56"/>
      <c r="PY19" s="56"/>
      <c r="PZ19" s="56"/>
      <c r="QA19" s="56"/>
      <c r="QB19" s="56"/>
      <c r="QC19" s="56"/>
      <c r="QD19" s="56"/>
      <c r="QE19" s="56"/>
      <c r="QF19" s="56"/>
      <c r="QG19" s="56"/>
      <c r="QH19" s="56"/>
      <c r="QI19" s="56"/>
      <c r="QJ19" s="56"/>
      <c r="QK19" s="56"/>
      <c r="QL19" s="56"/>
      <c r="QM19" s="56"/>
      <c r="QN19" s="56"/>
      <c r="QO19" s="56"/>
      <c r="QP19" s="56"/>
      <c r="QQ19" s="56"/>
      <c r="QR19" s="56"/>
      <c r="QS19" s="56"/>
      <c r="QT19" s="56"/>
      <c r="QU19" s="56"/>
      <c r="QV19" s="56"/>
      <c r="QW19" s="56"/>
      <c r="QX19" s="56"/>
      <c r="QY19" s="56"/>
      <c r="QZ19" s="56"/>
      <c r="RA19" s="56"/>
      <c r="RB19" s="56"/>
      <c r="RC19" s="56"/>
      <c r="RD19" s="56"/>
      <c r="RE19" s="56"/>
      <c r="RF19" s="56"/>
      <c r="RG19" s="56"/>
      <c r="RH19" s="56"/>
      <c r="RI19" s="56"/>
      <c r="RJ19" s="56"/>
      <c r="RK19" s="56"/>
      <c r="RL19" s="56"/>
      <c r="RM19" s="56"/>
      <c r="RN19" s="56"/>
      <c r="RO19" s="56"/>
      <c r="RP19" s="56"/>
      <c r="RQ19" s="56"/>
      <c r="RR19" s="56"/>
      <c r="RS19" s="56"/>
      <c r="RT19" s="56"/>
      <c r="RU19" s="56"/>
      <c r="RV19" s="56"/>
      <c r="RW19" s="56"/>
      <c r="RX19" s="56"/>
      <c r="RY19" s="56"/>
      <c r="RZ19" s="56"/>
      <c r="SA19" s="56"/>
      <c r="SB19" s="56"/>
      <c r="SC19" s="56"/>
      <c r="SD19" s="56"/>
      <c r="SE19" s="56"/>
      <c r="SF19" s="56"/>
      <c r="SG19" s="56"/>
      <c r="SH19" s="56"/>
      <c r="SI19" s="56"/>
      <c r="SJ19" s="56"/>
      <c r="SK19" s="56"/>
      <c r="SL19" s="56"/>
      <c r="SM19" s="56"/>
      <c r="SN19" s="56"/>
      <c r="SO19" s="56"/>
      <c r="SP19" s="56"/>
      <c r="SQ19" s="56"/>
      <c r="SR19" s="56"/>
    </row>
    <row r="20" spans="1:512" ht="15" customHeight="1" x14ac:dyDescent="0.7">
      <c r="A20" s="171">
        <v>4</v>
      </c>
      <c r="B20" s="171" t="s">
        <v>357</v>
      </c>
      <c r="C20" s="171" t="s">
        <v>344</v>
      </c>
      <c r="D20" s="171"/>
      <c r="E20" s="171" t="s">
        <v>1</v>
      </c>
      <c r="F20" s="171"/>
      <c r="G20" s="174" t="s">
        <v>358</v>
      </c>
      <c r="H20" s="88" t="s">
        <v>359</v>
      </c>
      <c r="I20" s="89" t="s">
        <v>347</v>
      </c>
      <c r="J20" s="90">
        <v>4.5999999999999996</v>
      </c>
      <c r="K20" s="168">
        <v>4.5</v>
      </c>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c r="KY20" s="54"/>
      <c r="KZ20" s="54"/>
      <c r="LA20" s="54"/>
      <c r="LB20" s="54"/>
      <c r="LC20" s="54"/>
      <c r="LD20" s="54"/>
      <c r="LE20" s="54"/>
      <c r="LF20" s="54"/>
      <c r="LG20" s="54"/>
      <c r="LH20" s="54"/>
      <c r="LI20" s="54"/>
      <c r="LJ20" s="54"/>
      <c r="LK20" s="54"/>
      <c r="LL20" s="54"/>
      <c r="LM20" s="54"/>
      <c r="LN20" s="54"/>
      <c r="LO20" s="54"/>
      <c r="LP20" s="54"/>
      <c r="LQ20" s="54"/>
      <c r="LR20" s="54"/>
      <c r="LS20" s="54"/>
      <c r="LT20" s="54"/>
      <c r="LU20" s="54"/>
      <c r="LV20" s="54"/>
      <c r="LW20" s="54"/>
      <c r="LX20" s="54"/>
      <c r="LY20" s="54"/>
      <c r="LZ20" s="54"/>
      <c r="MA20" s="54"/>
      <c r="MB20" s="54"/>
      <c r="MC20" s="54"/>
      <c r="MD20" s="54"/>
      <c r="ME20" s="54"/>
      <c r="MF20" s="54"/>
      <c r="MG20" s="54"/>
      <c r="MH20" s="54"/>
      <c r="MI20" s="54"/>
      <c r="MJ20" s="54"/>
      <c r="MK20" s="54"/>
      <c r="ML20" s="54"/>
      <c r="MM20" s="54"/>
      <c r="MN20" s="54"/>
      <c r="MO20" s="54"/>
      <c r="MP20" s="54"/>
      <c r="MQ20" s="54"/>
      <c r="MR20" s="54"/>
      <c r="MS20" s="54"/>
      <c r="MT20" s="54"/>
      <c r="MU20" s="54"/>
      <c r="MV20" s="54"/>
      <c r="MW20" s="54"/>
      <c r="MX20" s="54"/>
      <c r="MY20" s="54"/>
      <c r="MZ20" s="54"/>
      <c r="NA20" s="54"/>
      <c r="NB20" s="54"/>
      <c r="NC20" s="54"/>
      <c r="ND20" s="54"/>
      <c r="NE20" s="54"/>
      <c r="NF20" s="54"/>
      <c r="NG20" s="54"/>
      <c r="NH20" s="54"/>
      <c r="NI20" s="54"/>
      <c r="NJ20" s="54"/>
      <c r="NK20" s="54"/>
      <c r="NL20" s="54"/>
      <c r="NM20" s="54"/>
      <c r="NN20" s="54"/>
      <c r="NO20" s="54"/>
      <c r="NP20" s="54"/>
      <c r="NQ20" s="54"/>
      <c r="NR20" s="54"/>
      <c r="NS20" s="54"/>
      <c r="NT20" s="54"/>
      <c r="NU20" s="54"/>
      <c r="NV20" s="54"/>
      <c r="NW20" s="54"/>
      <c r="NX20" s="54"/>
      <c r="NY20" s="54"/>
      <c r="NZ20" s="54"/>
      <c r="OA20" s="54"/>
      <c r="OB20" s="54"/>
      <c r="OC20" s="54"/>
      <c r="OD20" s="54"/>
      <c r="OE20" s="54"/>
      <c r="OF20" s="54"/>
      <c r="OG20" s="54"/>
      <c r="OH20" s="54"/>
      <c r="OI20" s="54"/>
      <c r="OJ20" s="54"/>
      <c r="OK20" s="54"/>
      <c r="OL20" s="54"/>
      <c r="OM20" s="54"/>
      <c r="ON20" s="54"/>
      <c r="OO20" s="54"/>
      <c r="OP20" s="54"/>
      <c r="OQ20" s="54"/>
      <c r="OR20" s="54"/>
      <c r="OS20" s="54"/>
      <c r="OT20" s="54"/>
      <c r="OU20" s="54"/>
      <c r="OV20" s="54"/>
      <c r="OW20" s="54"/>
      <c r="OX20" s="54"/>
      <c r="OY20" s="54"/>
      <c r="OZ20" s="54"/>
      <c r="PA20" s="54"/>
      <c r="PB20" s="54"/>
      <c r="PC20" s="54"/>
      <c r="PD20" s="54"/>
      <c r="PE20" s="54"/>
      <c r="PF20" s="54"/>
      <c r="PG20" s="54"/>
      <c r="PH20" s="54"/>
      <c r="PI20" s="54"/>
      <c r="PJ20" s="54"/>
      <c r="PK20" s="54"/>
      <c r="PL20" s="54"/>
      <c r="PM20" s="54"/>
      <c r="PN20" s="54"/>
      <c r="PO20" s="54"/>
      <c r="PP20" s="54"/>
      <c r="PQ20" s="54"/>
      <c r="PR20" s="54"/>
      <c r="PS20" s="54"/>
      <c r="PT20" s="54"/>
      <c r="PU20" s="54"/>
      <c r="PV20" s="54"/>
      <c r="PW20" s="54"/>
      <c r="PX20" s="54"/>
      <c r="PY20" s="54"/>
      <c r="PZ20" s="54"/>
      <c r="QA20" s="54"/>
      <c r="QB20" s="54"/>
      <c r="QC20" s="54"/>
      <c r="QD20" s="54"/>
      <c r="QE20" s="54"/>
      <c r="QF20" s="54"/>
      <c r="QG20" s="54"/>
      <c r="QH20" s="54"/>
      <c r="QI20" s="54"/>
      <c r="QJ20" s="54"/>
      <c r="QK20" s="54"/>
      <c r="QL20" s="54"/>
      <c r="QM20" s="54"/>
      <c r="QN20" s="54"/>
      <c r="QO20" s="54"/>
      <c r="QP20" s="54"/>
      <c r="QQ20" s="54"/>
      <c r="QR20" s="54"/>
      <c r="QS20" s="54"/>
      <c r="QT20" s="54"/>
      <c r="QU20" s="54"/>
      <c r="QV20" s="54"/>
      <c r="QW20" s="54"/>
      <c r="QX20" s="54"/>
      <c r="QY20" s="54"/>
      <c r="QZ20" s="54"/>
      <c r="RA20" s="54"/>
      <c r="RB20" s="54"/>
      <c r="RC20" s="54"/>
      <c r="RD20" s="54"/>
      <c r="RE20" s="54"/>
      <c r="RF20" s="54"/>
      <c r="RG20" s="54"/>
      <c r="RH20" s="54"/>
      <c r="RI20" s="54"/>
      <c r="RJ20" s="54"/>
      <c r="RK20" s="54"/>
      <c r="RL20" s="54"/>
      <c r="RM20" s="54"/>
      <c r="RN20" s="54"/>
      <c r="RO20" s="54"/>
      <c r="RP20" s="54"/>
      <c r="RQ20" s="54"/>
      <c r="RR20" s="54"/>
      <c r="RS20" s="54"/>
      <c r="RT20" s="54"/>
      <c r="RU20" s="54"/>
      <c r="RV20" s="54"/>
      <c r="RW20" s="54"/>
      <c r="RX20" s="54"/>
      <c r="RY20" s="54"/>
      <c r="RZ20" s="54"/>
      <c r="SA20" s="54"/>
      <c r="SB20" s="54"/>
      <c r="SC20" s="54"/>
      <c r="SD20" s="54"/>
      <c r="SE20" s="54"/>
      <c r="SF20" s="54"/>
      <c r="SG20" s="54"/>
      <c r="SH20" s="54"/>
      <c r="SI20" s="54"/>
      <c r="SJ20" s="54"/>
      <c r="SK20" s="54"/>
      <c r="SL20" s="54"/>
      <c r="SM20" s="54"/>
      <c r="SN20" s="54"/>
      <c r="SO20" s="54"/>
      <c r="SP20" s="54"/>
      <c r="SQ20" s="54"/>
      <c r="SR20" s="54"/>
    </row>
    <row r="21" spans="1:512" ht="15" customHeight="1" x14ac:dyDescent="0.7">
      <c r="A21" s="172"/>
      <c r="B21" s="172"/>
      <c r="C21" s="172"/>
      <c r="D21" s="172"/>
      <c r="E21" s="172"/>
      <c r="F21" s="172"/>
      <c r="G21" s="175"/>
      <c r="H21" s="91"/>
      <c r="I21" s="89" t="s">
        <v>348</v>
      </c>
      <c r="J21" s="90">
        <v>4.4000000000000004</v>
      </c>
      <c r="K21" s="169"/>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4"/>
      <c r="LV21" s="54"/>
      <c r="LW21" s="54"/>
      <c r="LX21" s="54"/>
      <c r="LY21" s="54"/>
      <c r="LZ21" s="54"/>
      <c r="MA21" s="54"/>
      <c r="MB21" s="54"/>
      <c r="MC21" s="54"/>
      <c r="MD21" s="54"/>
      <c r="ME21" s="54"/>
      <c r="MF21" s="54"/>
      <c r="MG21" s="54"/>
      <c r="MH21" s="54"/>
      <c r="MI21" s="54"/>
      <c r="MJ21" s="54"/>
      <c r="MK21" s="54"/>
      <c r="ML21" s="54"/>
      <c r="MM21" s="54"/>
      <c r="MN21" s="54"/>
      <c r="MO21" s="54"/>
      <c r="MP21" s="54"/>
      <c r="MQ21" s="54"/>
      <c r="MR21" s="54"/>
      <c r="MS21" s="54"/>
      <c r="MT21" s="54"/>
      <c r="MU21" s="54"/>
      <c r="MV21" s="54"/>
      <c r="MW21" s="54"/>
      <c r="MX21" s="54"/>
      <c r="MY21" s="54"/>
      <c r="MZ21" s="54"/>
      <c r="NA21" s="54"/>
      <c r="NB21" s="54"/>
      <c r="NC21" s="54"/>
      <c r="ND21" s="54"/>
      <c r="NE21" s="54"/>
      <c r="NF21" s="54"/>
      <c r="NG21" s="54"/>
      <c r="NH21" s="54"/>
      <c r="NI21" s="54"/>
      <c r="NJ21" s="54"/>
      <c r="NK21" s="54"/>
      <c r="NL21" s="54"/>
      <c r="NM21" s="54"/>
      <c r="NN21" s="54"/>
      <c r="NO21" s="54"/>
      <c r="NP21" s="54"/>
      <c r="NQ21" s="54"/>
      <c r="NR21" s="54"/>
      <c r="NS21" s="54"/>
      <c r="NT21" s="54"/>
      <c r="NU21" s="54"/>
      <c r="NV21" s="54"/>
      <c r="NW21" s="54"/>
      <c r="NX21" s="54"/>
      <c r="NY21" s="54"/>
      <c r="NZ21" s="54"/>
      <c r="OA21" s="54"/>
      <c r="OB21" s="54"/>
      <c r="OC21" s="54"/>
      <c r="OD21" s="54"/>
      <c r="OE21" s="54"/>
      <c r="OF21" s="54"/>
      <c r="OG21" s="54"/>
      <c r="OH21" s="54"/>
      <c r="OI21" s="54"/>
      <c r="OJ21" s="54"/>
      <c r="OK21" s="54"/>
      <c r="OL21" s="54"/>
      <c r="OM21" s="54"/>
      <c r="ON21" s="54"/>
      <c r="OO21" s="54"/>
      <c r="OP21" s="54"/>
      <c r="OQ21" s="54"/>
      <c r="OR21" s="54"/>
      <c r="OS21" s="54"/>
      <c r="OT21" s="54"/>
      <c r="OU21" s="54"/>
      <c r="OV21" s="54"/>
      <c r="OW21" s="54"/>
      <c r="OX21" s="54"/>
      <c r="OY21" s="54"/>
      <c r="OZ21" s="54"/>
      <c r="PA21" s="54"/>
      <c r="PB21" s="54"/>
      <c r="PC21" s="54"/>
      <c r="PD21" s="54"/>
      <c r="PE21" s="54"/>
      <c r="PF21" s="54"/>
      <c r="PG21" s="54"/>
      <c r="PH21" s="54"/>
      <c r="PI21" s="54"/>
      <c r="PJ21" s="54"/>
      <c r="PK21" s="54"/>
      <c r="PL21" s="54"/>
      <c r="PM21" s="54"/>
      <c r="PN21" s="54"/>
      <c r="PO21" s="54"/>
      <c r="PP21" s="54"/>
      <c r="PQ21" s="54"/>
      <c r="PR21" s="54"/>
      <c r="PS21" s="54"/>
      <c r="PT21" s="54"/>
      <c r="PU21" s="54"/>
      <c r="PV21" s="54"/>
      <c r="PW21" s="54"/>
      <c r="PX21" s="54"/>
      <c r="PY21" s="54"/>
      <c r="PZ21" s="54"/>
      <c r="QA21" s="54"/>
      <c r="QB21" s="54"/>
      <c r="QC21" s="54"/>
      <c r="QD21" s="54"/>
      <c r="QE21" s="54"/>
      <c r="QF21" s="54"/>
      <c r="QG21" s="54"/>
      <c r="QH21" s="54"/>
      <c r="QI21" s="54"/>
      <c r="QJ21" s="54"/>
      <c r="QK21" s="54"/>
      <c r="QL21" s="54"/>
      <c r="QM21" s="54"/>
      <c r="QN21" s="54"/>
      <c r="QO21" s="54"/>
      <c r="QP21" s="54"/>
      <c r="QQ21" s="54"/>
      <c r="QR21" s="54"/>
      <c r="QS21" s="54"/>
      <c r="QT21" s="54"/>
      <c r="QU21" s="54"/>
      <c r="QV21" s="54"/>
      <c r="QW21" s="54"/>
      <c r="QX21" s="54"/>
      <c r="QY21" s="54"/>
      <c r="QZ21" s="54"/>
      <c r="RA21" s="54"/>
      <c r="RB21" s="54"/>
      <c r="RC21" s="54"/>
      <c r="RD21" s="54"/>
      <c r="RE21" s="54"/>
      <c r="RF21" s="54"/>
      <c r="RG21" s="54"/>
      <c r="RH21" s="54"/>
      <c r="RI21" s="54"/>
      <c r="RJ21" s="54"/>
      <c r="RK21" s="54"/>
      <c r="RL21" s="54"/>
      <c r="RM21" s="54"/>
      <c r="RN21" s="54"/>
      <c r="RO21" s="54"/>
      <c r="RP21" s="54"/>
      <c r="RQ21" s="54"/>
      <c r="RR21" s="54"/>
      <c r="RS21" s="54"/>
      <c r="RT21" s="54"/>
      <c r="RU21" s="54"/>
      <c r="RV21" s="54"/>
      <c r="RW21" s="54"/>
      <c r="RX21" s="54"/>
      <c r="RY21" s="54"/>
      <c r="RZ21" s="54"/>
      <c r="SA21" s="54"/>
      <c r="SB21" s="54"/>
      <c r="SC21" s="54"/>
      <c r="SD21" s="54"/>
      <c r="SE21" s="54"/>
      <c r="SF21" s="54"/>
      <c r="SG21" s="54"/>
      <c r="SH21" s="54"/>
      <c r="SI21" s="54"/>
      <c r="SJ21" s="54"/>
      <c r="SK21" s="54"/>
      <c r="SL21" s="54"/>
      <c r="SM21" s="54"/>
      <c r="SN21" s="54"/>
      <c r="SO21" s="54"/>
      <c r="SP21" s="54"/>
      <c r="SQ21" s="54"/>
      <c r="SR21" s="54"/>
    </row>
    <row r="22" spans="1:512" s="55" customFormat="1" ht="15" customHeight="1" x14ac:dyDescent="0.7">
      <c r="A22" s="173"/>
      <c r="B22" s="173"/>
      <c r="C22" s="173"/>
      <c r="D22" s="173"/>
      <c r="E22" s="173"/>
      <c r="F22" s="173"/>
      <c r="G22" s="176"/>
      <c r="H22" s="92"/>
      <c r="I22" s="93"/>
      <c r="J22" s="94"/>
      <c r="K22" s="170"/>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c r="IX22" s="56"/>
      <c r="IY22" s="56"/>
      <c r="IZ22" s="56"/>
      <c r="JA22" s="56"/>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c r="JZ22" s="56"/>
      <c r="KA22" s="56"/>
      <c r="KB22" s="56"/>
      <c r="KC22" s="56"/>
      <c r="KD22" s="56"/>
      <c r="KE22" s="56"/>
      <c r="KF22" s="56"/>
      <c r="KG22" s="56"/>
      <c r="KH22" s="56"/>
      <c r="KI22" s="56"/>
      <c r="KJ22" s="56"/>
      <c r="KK22" s="56"/>
      <c r="KL22" s="56"/>
      <c r="KM22" s="56"/>
      <c r="KN22" s="56"/>
      <c r="KO22" s="56"/>
      <c r="KP22" s="56"/>
      <c r="KQ22" s="56"/>
      <c r="KR22" s="56"/>
      <c r="KS22" s="56"/>
      <c r="KT22" s="56"/>
      <c r="KU22" s="56"/>
      <c r="KV22" s="56"/>
      <c r="KW22" s="56"/>
      <c r="KX22" s="56"/>
      <c r="KY22" s="56"/>
      <c r="KZ22" s="56"/>
      <c r="LA22" s="56"/>
      <c r="LB22" s="56"/>
      <c r="LC22" s="56"/>
      <c r="LD22" s="56"/>
      <c r="LE22" s="56"/>
      <c r="LF22" s="56"/>
      <c r="LG22" s="56"/>
      <c r="LH22" s="56"/>
      <c r="LI22" s="56"/>
      <c r="LJ22" s="56"/>
      <c r="LK22" s="56"/>
      <c r="LL22" s="56"/>
      <c r="LM22" s="56"/>
      <c r="LN22" s="56"/>
      <c r="LO22" s="56"/>
      <c r="LP22" s="56"/>
      <c r="LQ22" s="56"/>
      <c r="LR22" s="56"/>
      <c r="LS22" s="56"/>
      <c r="LT22" s="56"/>
      <c r="LU22" s="56"/>
      <c r="LV22" s="56"/>
      <c r="LW22" s="56"/>
      <c r="LX22" s="56"/>
      <c r="LY22" s="56"/>
      <c r="LZ22" s="56"/>
      <c r="MA22" s="56"/>
      <c r="MB22" s="56"/>
      <c r="MC22" s="56"/>
      <c r="MD22" s="56"/>
      <c r="ME22" s="56"/>
      <c r="MF22" s="56"/>
      <c r="MG22" s="56"/>
      <c r="MH22" s="56"/>
      <c r="MI22" s="56"/>
      <c r="MJ22" s="56"/>
      <c r="MK22" s="56"/>
      <c r="ML22" s="56"/>
      <c r="MM22" s="56"/>
      <c r="MN22" s="56"/>
      <c r="MO22" s="56"/>
      <c r="MP22" s="56"/>
      <c r="MQ22" s="56"/>
      <c r="MR22" s="56"/>
      <c r="MS22" s="56"/>
      <c r="MT22" s="56"/>
      <c r="MU22" s="56"/>
      <c r="MV22" s="56"/>
      <c r="MW22" s="56"/>
      <c r="MX22" s="56"/>
      <c r="MY22" s="56"/>
      <c r="MZ22" s="56"/>
      <c r="NA22" s="56"/>
      <c r="NB22" s="56"/>
      <c r="NC22" s="56"/>
      <c r="ND22" s="56"/>
      <c r="NE22" s="56"/>
      <c r="NF22" s="56"/>
      <c r="NG22" s="56"/>
      <c r="NH22" s="56"/>
      <c r="NI22" s="56"/>
      <c r="NJ22" s="56"/>
      <c r="NK22" s="56"/>
      <c r="NL22" s="56"/>
      <c r="NM22" s="56"/>
      <c r="NN22" s="56"/>
      <c r="NO22" s="56"/>
      <c r="NP22" s="56"/>
      <c r="NQ22" s="56"/>
      <c r="NR22" s="56"/>
      <c r="NS22" s="56"/>
      <c r="NT22" s="56"/>
      <c r="NU22" s="56"/>
      <c r="NV22" s="56"/>
      <c r="NW22" s="56"/>
      <c r="NX22" s="56"/>
      <c r="NY22" s="56"/>
      <c r="NZ22" s="56"/>
      <c r="OA22" s="56"/>
      <c r="OB22" s="56"/>
      <c r="OC22" s="56"/>
      <c r="OD22" s="56"/>
      <c r="OE22" s="56"/>
      <c r="OF22" s="56"/>
      <c r="OG22" s="56"/>
      <c r="OH22" s="56"/>
      <c r="OI22" s="56"/>
      <c r="OJ22" s="56"/>
      <c r="OK22" s="56"/>
      <c r="OL22" s="56"/>
      <c r="OM22" s="56"/>
      <c r="ON22" s="56"/>
      <c r="OO22" s="56"/>
      <c r="OP22" s="56"/>
      <c r="OQ22" s="56"/>
      <c r="OR22" s="56"/>
      <c r="OS22" s="56"/>
      <c r="OT22" s="56"/>
      <c r="OU22" s="56"/>
      <c r="OV22" s="56"/>
      <c r="OW22" s="56"/>
      <c r="OX22" s="56"/>
      <c r="OY22" s="56"/>
      <c r="OZ22" s="56"/>
      <c r="PA22" s="56"/>
      <c r="PB22" s="56"/>
      <c r="PC22" s="56"/>
      <c r="PD22" s="56"/>
      <c r="PE22" s="56"/>
      <c r="PF22" s="56"/>
      <c r="PG22" s="56"/>
      <c r="PH22" s="56"/>
      <c r="PI22" s="56"/>
      <c r="PJ22" s="56"/>
      <c r="PK22" s="56"/>
      <c r="PL22" s="56"/>
      <c r="PM22" s="56"/>
      <c r="PN22" s="56"/>
      <c r="PO22" s="56"/>
      <c r="PP22" s="56"/>
      <c r="PQ22" s="56"/>
      <c r="PR22" s="56"/>
      <c r="PS22" s="56"/>
      <c r="PT22" s="56"/>
      <c r="PU22" s="56"/>
      <c r="PV22" s="56"/>
      <c r="PW22" s="56"/>
      <c r="PX22" s="56"/>
      <c r="PY22" s="56"/>
      <c r="PZ22" s="56"/>
      <c r="QA22" s="56"/>
      <c r="QB22" s="56"/>
      <c r="QC22" s="56"/>
      <c r="QD22" s="56"/>
      <c r="QE22" s="56"/>
      <c r="QF22" s="56"/>
      <c r="QG22" s="56"/>
      <c r="QH22" s="56"/>
      <c r="QI22" s="56"/>
      <c r="QJ22" s="56"/>
      <c r="QK22" s="56"/>
      <c r="QL22" s="56"/>
      <c r="QM22" s="56"/>
      <c r="QN22" s="56"/>
      <c r="QO22" s="56"/>
      <c r="QP22" s="56"/>
      <c r="QQ22" s="56"/>
      <c r="QR22" s="56"/>
      <c r="QS22" s="56"/>
      <c r="QT22" s="56"/>
      <c r="QU22" s="56"/>
      <c r="QV22" s="56"/>
      <c r="QW22" s="56"/>
      <c r="QX22" s="56"/>
      <c r="QY22" s="56"/>
      <c r="QZ22" s="56"/>
      <c r="RA22" s="56"/>
      <c r="RB22" s="56"/>
      <c r="RC22" s="56"/>
      <c r="RD22" s="56"/>
      <c r="RE22" s="56"/>
      <c r="RF22" s="56"/>
      <c r="RG22" s="56"/>
      <c r="RH22" s="56"/>
      <c r="RI22" s="56"/>
      <c r="RJ22" s="56"/>
      <c r="RK22" s="56"/>
      <c r="RL22" s="56"/>
      <c r="RM22" s="56"/>
      <c r="RN22" s="56"/>
      <c r="RO22" s="56"/>
      <c r="RP22" s="56"/>
      <c r="RQ22" s="56"/>
      <c r="RR22" s="56"/>
      <c r="RS22" s="56"/>
      <c r="RT22" s="56"/>
      <c r="RU22" s="56"/>
      <c r="RV22" s="56"/>
      <c r="RW22" s="56"/>
      <c r="RX22" s="56"/>
      <c r="RY22" s="56"/>
      <c r="RZ22" s="56"/>
      <c r="SA22" s="56"/>
      <c r="SB22" s="56"/>
      <c r="SC22" s="56"/>
      <c r="SD22" s="56"/>
      <c r="SE22" s="56"/>
      <c r="SF22" s="56"/>
      <c r="SG22" s="56"/>
      <c r="SH22" s="56"/>
      <c r="SI22" s="56"/>
      <c r="SJ22" s="56"/>
      <c r="SK22" s="56"/>
      <c r="SL22" s="56"/>
      <c r="SM22" s="56"/>
      <c r="SN22" s="56"/>
      <c r="SO22" s="56"/>
      <c r="SP22" s="56"/>
      <c r="SQ22" s="56"/>
      <c r="SR22" s="56"/>
    </row>
    <row r="23" spans="1:512" ht="15" customHeight="1" x14ac:dyDescent="0.7">
      <c r="A23" s="171">
        <v>5</v>
      </c>
      <c r="B23" s="171" t="s">
        <v>60</v>
      </c>
      <c r="C23" s="171" t="s">
        <v>344</v>
      </c>
      <c r="D23" s="171"/>
      <c r="E23" s="171" t="s">
        <v>19</v>
      </c>
      <c r="F23" s="171"/>
      <c r="G23" s="174" t="s">
        <v>360</v>
      </c>
      <c r="H23" s="88" t="s">
        <v>361</v>
      </c>
      <c r="I23" s="89" t="s">
        <v>347</v>
      </c>
      <c r="J23" s="90">
        <v>1.7000000000000002</v>
      </c>
      <c r="K23" s="168">
        <v>1.6</v>
      </c>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54"/>
      <c r="LV23" s="54"/>
      <c r="LW23" s="54"/>
      <c r="LX23" s="54"/>
      <c r="LY23" s="54"/>
      <c r="LZ23" s="54"/>
      <c r="MA23" s="54"/>
      <c r="MB23" s="54"/>
      <c r="MC23" s="54"/>
      <c r="MD23" s="54"/>
      <c r="ME23" s="54"/>
      <c r="MF23" s="54"/>
      <c r="MG23" s="54"/>
      <c r="MH23" s="54"/>
      <c r="MI23" s="54"/>
      <c r="MJ23" s="54"/>
      <c r="MK23" s="54"/>
      <c r="ML23" s="54"/>
      <c r="MM23" s="54"/>
      <c r="MN23" s="54"/>
      <c r="MO23" s="54"/>
      <c r="MP23" s="54"/>
      <c r="MQ23" s="54"/>
      <c r="MR23" s="54"/>
      <c r="MS23" s="54"/>
      <c r="MT23" s="54"/>
      <c r="MU23" s="54"/>
      <c r="MV23" s="54"/>
      <c r="MW23" s="54"/>
      <c r="MX23" s="54"/>
      <c r="MY23" s="54"/>
      <c r="MZ23" s="54"/>
      <c r="NA23" s="54"/>
      <c r="NB23" s="54"/>
      <c r="NC23" s="54"/>
      <c r="ND23" s="54"/>
      <c r="NE23" s="54"/>
      <c r="NF23" s="54"/>
      <c r="NG23" s="54"/>
      <c r="NH23" s="54"/>
      <c r="NI23" s="54"/>
      <c r="NJ23" s="54"/>
      <c r="NK23" s="54"/>
      <c r="NL23" s="54"/>
      <c r="NM23" s="54"/>
      <c r="NN23" s="54"/>
      <c r="NO23" s="54"/>
      <c r="NP23" s="54"/>
      <c r="NQ23" s="54"/>
      <c r="NR23" s="54"/>
      <c r="NS23" s="54"/>
      <c r="NT23" s="54"/>
      <c r="NU23" s="54"/>
      <c r="NV23" s="54"/>
      <c r="NW23" s="54"/>
      <c r="NX23" s="54"/>
      <c r="NY23" s="54"/>
      <c r="NZ23" s="54"/>
      <c r="OA23" s="54"/>
      <c r="OB23" s="54"/>
      <c r="OC23" s="54"/>
      <c r="OD23" s="54"/>
      <c r="OE23" s="54"/>
      <c r="OF23" s="54"/>
      <c r="OG23" s="54"/>
      <c r="OH23" s="54"/>
      <c r="OI23" s="54"/>
      <c r="OJ23" s="54"/>
      <c r="OK23" s="54"/>
      <c r="OL23" s="54"/>
      <c r="OM23" s="54"/>
      <c r="ON23" s="54"/>
      <c r="OO23" s="54"/>
      <c r="OP23" s="54"/>
      <c r="OQ23" s="54"/>
      <c r="OR23" s="54"/>
      <c r="OS23" s="54"/>
      <c r="OT23" s="54"/>
      <c r="OU23" s="54"/>
      <c r="OV23" s="54"/>
      <c r="OW23" s="54"/>
      <c r="OX23" s="54"/>
      <c r="OY23" s="54"/>
      <c r="OZ23" s="54"/>
      <c r="PA23" s="54"/>
      <c r="PB23" s="54"/>
      <c r="PC23" s="54"/>
      <c r="PD23" s="54"/>
      <c r="PE23" s="54"/>
      <c r="PF23" s="54"/>
      <c r="PG23" s="54"/>
      <c r="PH23" s="54"/>
      <c r="PI23" s="54"/>
      <c r="PJ23" s="54"/>
      <c r="PK23" s="54"/>
      <c r="PL23" s="54"/>
      <c r="PM23" s="54"/>
      <c r="PN23" s="54"/>
      <c r="PO23" s="54"/>
      <c r="PP23" s="54"/>
      <c r="PQ23" s="54"/>
      <c r="PR23" s="54"/>
      <c r="PS23" s="54"/>
      <c r="PT23" s="54"/>
      <c r="PU23" s="54"/>
      <c r="PV23" s="54"/>
      <c r="PW23" s="54"/>
      <c r="PX23" s="54"/>
      <c r="PY23" s="54"/>
      <c r="PZ23" s="54"/>
      <c r="QA23" s="54"/>
      <c r="QB23" s="54"/>
      <c r="QC23" s="54"/>
      <c r="QD23" s="54"/>
      <c r="QE23" s="54"/>
      <c r="QF23" s="54"/>
      <c r="QG23" s="54"/>
      <c r="QH23" s="54"/>
      <c r="QI23" s="54"/>
      <c r="QJ23" s="54"/>
      <c r="QK23" s="54"/>
      <c r="QL23" s="54"/>
      <c r="QM23" s="54"/>
      <c r="QN23" s="54"/>
      <c r="QO23" s="54"/>
      <c r="QP23" s="54"/>
      <c r="QQ23" s="54"/>
      <c r="QR23" s="54"/>
      <c r="QS23" s="54"/>
      <c r="QT23" s="54"/>
      <c r="QU23" s="54"/>
      <c r="QV23" s="54"/>
      <c r="QW23" s="54"/>
      <c r="QX23" s="54"/>
      <c r="QY23" s="54"/>
      <c r="QZ23" s="54"/>
      <c r="RA23" s="54"/>
      <c r="RB23" s="54"/>
      <c r="RC23" s="54"/>
      <c r="RD23" s="54"/>
      <c r="RE23" s="54"/>
      <c r="RF23" s="54"/>
      <c r="RG23" s="54"/>
      <c r="RH23" s="54"/>
      <c r="RI23" s="54"/>
      <c r="RJ23" s="54"/>
      <c r="RK23" s="54"/>
      <c r="RL23" s="54"/>
      <c r="RM23" s="54"/>
      <c r="RN23" s="54"/>
      <c r="RO23" s="54"/>
      <c r="RP23" s="54"/>
      <c r="RQ23" s="54"/>
      <c r="RR23" s="54"/>
      <c r="RS23" s="54"/>
      <c r="RT23" s="54"/>
      <c r="RU23" s="54"/>
      <c r="RV23" s="54"/>
      <c r="RW23" s="54"/>
      <c r="RX23" s="54"/>
      <c r="RY23" s="54"/>
      <c r="RZ23" s="54"/>
      <c r="SA23" s="54"/>
      <c r="SB23" s="54"/>
      <c r="SC23" s="54"/>
      <c r="SD23" s="54"/>
      <c r="SE23" s="54"/>
      <c r="SF23" s="54"/>
      <c r="SG23" s="54"/>
      <c r="SH23" s="54"/>
      <c r="SI23" s="54"/>
      <c r="SJ23" s="54"/>
      <c r="SK23" s="54"/>
      <c r="SL23" s="54"/>
      <c r="SM23" s="54"/>
      <c r="SN23" s="54"/>
      <c r="SO23" s="54"/>
      <c r="SP23" s="54"/>
      <c r="SQ23" s="54"/>
      <c r="SR23" s="54"/>
    </row>
    <row r="24" spans="1:512" ht="15" customHeight="1" x14ac:dyDescent="0.7">
      <c r="A24" s="172"/>
      <c r="B24" s="172"/>
      <c r="C24" s="172"/>
      <c r="D24" s="172"/>
      <c r="E24" s="172"/>
      <c r="F24" s="172"/>
      <c r="G24" s="175"/>
      <c r="H24" s="91"/>
      <c r="I24" s="89" t="s">
        <v>348</v>
      </c>
      <c r="J24" s="90">
        <v>1.5</v>
      </c>
      <c r="K24" s="169"/>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c r="KY24" s="54"/>
      <c r="KZ24" s="54"/>
      <c r="LA24" s="54"/>
      <c r="LB24" s="54"/>
      <c r="LC24" s="54"/>
      <c r="LD24" s="54"/>
      <c r="LE24" s="54"/>
      <c r="LF24" s="54"/>
      <c r="LG24" s="54"/>
      <c r="LH24" s="54"/>
      <c r="LI24" s="54"/>
      <c r="LJ24" s="54"/>
      <c r="LK24" s="54"/>
      <c r="LL24" s="54"/>
      <c r="LM24" s="54"/>
      <c r="LN24" s="54"/>
      <c r="LO24" s="54"/>
      <c r="LP24" s="54"/>
      <c r="LQ24" s="54"/>
      <c r="LR24" s="54"/>
      <c r="LS24" s="54"/>
      <c r="LT24" s="54"/>
      <c r="LU24" s="54"/>
      <c r="LV24" s="54"/>
      <c r="LW24" s="54"/>
      <c r="LX24" s="54"/>
      <c r="LY24" s="54"/>
      <c r="LZ24" s="54"/>
      <c r="MA24" s="54"/>
      <c r="MB24" s="54"/>
      <c r="MC24" s="54"/>
      <c r="MD24" s="54"/>
      <c r="ME24" s="54"/>
      <c r="MF24" s="54"/>
      <c r="MG24" s="54"/>
      <c r="MH24" s="54"/>
      <c r="MI24" s="54"/>
      <c r="MJ24" s="54"/>
      <c r="MK24" s="54"/>
      <c r="ML24" s="54"/>
      <c r="MM24" s="54"/>
      <c r="MN24" s="54"/>
      <c r="MO24" s="54"/>
      <c r="MP24" s="54"/>
      <c r="MQ24" s="54"/>
      <c r="MR24" s="54"/>
      <c r="MS24" s="54"/>
      <c r="MT24" s="54"/>
      <c r="MU24" s="54"/>
      <c r="MV24" s="54"/>
      <c r="MW24" s="54"/>
      <c r="MX24" s="54"/>
      <c r="MY24" s="54"/>
      <c r="MZ24" s="54"/>
      <c r="NA24" s="54"/>
      <c r="NB24" s="54"/>
      <c r="NC24" s="54"/>
      <c r="ND24" s="54"/>
      <c r="NE24" s="54"/>
      <c r="NF24" s="54"/>
      <c r="NG24" s="54"/>
      <c r="NH24" s="54"/>
      <c r="NI24" s="54"/>
      <c r="NJ24" s="54"/>
      <c r="NK24" s="54"/>
      <c r="NL24" s="54"/>
      <c r="NM24" s="54"/>
      <c r="NN24" s="54"/>
      <c r="NO24" s="54"/>
      <c r="NP24" s="54"/>
      <c r="NQ24" s="54"/>
      <c r="NR24" s="54"/>
      <c r="NS24" s="54"/>
      <c r="NT24" s="54"/>
      <c r="NU24" s="54"/>
      <c r="NV24" s="54"/>
      <c r="NW24" s="54"/>
      <c r="NX24" s="54"/>
      <c r="NY24" s="54"/>
      <c r="NZ24" s="54"/>
      <c r="OA24" s="54"/>
      <c r="OB24" s="54"/>
      <c r="OC24" s="54"/>
      <c r="OD24" s="54"/>
      <c r="OE24" s="54"/>
      <c r="OF24" s="54"/>
      <c r="OG24" s="54"/>
      <c r="OH24" s="54"/>
      <c r="OI24" s="54"/>
      <c r="OJ24" s="54"/>
      <c r="OK24" s="54"/>
      <c r="OL24" s="54"/>
      <c r="OM24" s="54"/>
      <c r="ON24" s="54"/>
      <c r="OO24" s="54"/>
      <c r="OP24" s="54"/>
      <c r="OQ24" s="54"/>
      <c r="OR24" s="54"/>
      <c r="OS24" s="54"/>
      <c r="OT24" s="54"/>
      <c r="OU24" s="54"/>
      <c r="OV24" s="54"/>
      <c r="OW24" s="54"/>
      <c r="OX24" s="54"/>
      <c r="OY24" s="54"/>
      <c r="OZ24" s="54"/>
      <c r="PA24" s="54"/>
      <c r="PB24" s="54"/>
      <c r="PC24" s="54"/>
      <c r="PD24" s="54"/>
      <c r="PE24" s="54"/>
      <c r="PF24" s="54"/>
      <c r="PG24" s="54"/>
      <c r="PH24" s="54"/>
      <c r="PI24" s="54"/>
      <c r="PJ24" s="54"/>
      <c r="PK24" s="54"/>
      <c r="PL24" s="54"/>
      <c r="PM24" s="54"/>
      <c r="PN24" s="54"/>
      <c r="PO24" s="54"/>
      <c r="PP24" s="54"/>
      <c r="PQ24" s="54"/>
      <c r="PR24" s="54"/>
      <c r="PS24" s="54"/>
      <c r="PT24" s="54"/>
      <c r="PU24" s="54"/>
      <c r="PV24" s="54"/>
      <c r="PW24" s="54"/>
      <c r="PX24" s="54"/>
      <c r="PY24" s="54"/>
      <c r="PZ24" s="54"/>
      <c r="QA24" s="54"/>
      <c r="QB24" s="54"/>
      <c r="QC24" s="54"/>
      <c r="QD24" s="54"/>
      <c r="QE24" s="54"/>
      <c r="QF24" s="54"/>
      <c r="QG24" s="54"/>
      <c r="QH24" s="54"/>
      <c r="QI24" s="54"/>
      <c r="QJ24" s="54"/>
      <c r="QK24" s="54"/>
      <c r="QL24" s="54"/>
      <c r="QM24" s="54"/>
      <c r="QN24" s="54"/>
      <c r="QO24" s="54"/>
      <c r="QP24" s="54"/>
      <c r="QQ24" s="54"/>
      <c r="QR24" s="54"/>
      <c r="QS24" s="54"/>
      <c r="QT24" s="54"/>
      <c r="QU24" s="54"/>
      <c r="QV24" s="54"/>
      <c r="QW24" s="54"/>
      <c r="QX24" s="54"/>
      <c r="QY24" s="54"/>
      <c r="QZ24" s="54"/>
      <c r="RA24" s="54"/>
      <c r="RB24" s="54"/>
      <c r="RC24" s="54"/>
      <c r="RD24" s="54"/>
      <c r="RE24" s="54"/>
      <c r="RF24" s="54"/>
      <c r="RG24" s="54"/>
      <c r="RH24" s="54"/>
      <c r="RI24" s="54"/>
      <c r="RJ24" s="54"/>
      <c r="RK24" s="54"/>
      <c r="RL24" s="54"/>
      <c r="RM24" s="54"/>
      <c r="RN24" s="54"/>
      <c r="RO24" s="54"/>
      <c r="RP24" s="54"/>
      <c r="RQ24" s="54"/>
      <c r="RR24" s="54"/>
      <c r="RS24" s="54"/>
      <c r="RT24" s="54"/>
      <c r="RU24" s="54"/>
      <c r="RV24" s="54"/>
      <c r="RW24" s="54"/>
      <c r="RX24" s="54"/>
      <c r="RY24" s="54"/>
      <c r="RZ24" s="54"/>
      <c r="SA24" s="54"/>
      <c r="SB24" s="54"/>
      <c r="SC24" s="54"/>
      <c r="SD24" s="54"/>
      <c r="SE24" s="54"/>
      <c r="SF24" s="54"/>
      <c r="SG24" s="54"/>
      <c r="SH24" s="54"/>
      <c r="SI24" s="54"/>
      <c r="SJ24" s="54"/>
      <c r="SK24" s="54"/>
      <c r="SL24" s="54"/>
      <c r="SM24" s="54"/>
      <c r="SN24" s="54"/>
      <c r="SO24" s="54"/>
      <c r="SP24" s="54"/>
      <c r="SQ24" s="54"/>
      <c r="SR24" s="54"/>
    </row>
    <row r="25" spans="1:512" s="55" customFormat="1" ht="15" customHeight="1" x14ac:dyDescent="0.7">
      <c r="A25" s="173"/>
      <c r="B25" s="173"/>
      <c r="C25" s="173"/>
      <c r="D25" s="173"/>
      <c r="E25" s="173"/>
      <c r="F25" s="173"/>
      <c r="G25" s="176"/>
      <c r="H25" s="92"/>
      <c r="I25" s="93"/>
      <c r="J25" s="94"/>
      <c r="K25" s="170"/>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c r="IX25" s="56"/>
      <c r="IY25" s="56"/>
      <c r="IZ25" s="56"/>
      <c r="JA25" s="56"/>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c r="JZ25" s="56"/>
      <c r="KA25" s="56"/>
      <c r="KB25" s="56"/>
      <c r="KC25" s="56"/>
      <c r="KD25" s="56"/>
      <c r="KE25" s="56"/>
      <c r="KF25" s="56"/>
      <c r="KG25" s="56"/>
      <c r="KH25" s="56"/>
      <c r="KI25" s="56"/>
      <c r="KJ25" s="56"/>
      <c r="KK25" s="56"/>
      <c r="KL25" s="56"/>
      <c r="KM25" s="56"/>
      <c r="KN25" s="56"/>
      <c r="KO25" s="56"/>
      <c r="KP25" s="56"/>
      <c r="KQ25" s="56"/>
      <c r="KR25" s="56"/>
      <c r="KS25" s="56"/>
      <c r="KT25" s="56"/>
      <c r="KU25" s="56"/>
      <c r="KV25" s="56"/>
      <c r="KW25" s="56"/>
      <c r="KX25" s="56"/>
      <c r="KY25" s="56"/>
      <c r="KZ25" s="56"/>
      <c r="LA25" s="56"/>
      <c r="LB25" s="56"/>
      <c r="LC25" s="56"/>
      <c r="LD25" s="56"/>
      <c r="LE25" s="56"/>
      <c r="LF25" s="56"/>
      <c r="LG25" s="56"/>
      <c r="LH25" s="56"/>
      <c r="LI25" s="56"/>
      <c r="LJ25" s="56"/>
      <c r="LK25" s="56"/>
      <c r="LL25" s="56"/>
      <c r="LM25" s="56"/>
      <c r="LN25" s="56"/>
      <c r="LO25" s="56"/>
      <c r="LP25" s="56"/>
      <c r="LQ25" s="56"/>
      <c r="LR25" s="56"/>
      <c r="LS25" s="56"/>
      <c r="LT25" s="56"/>
      <c r="LU25" s="56"/>
      <c r="LV25" s="56"/>
      <c r="LW25" s="56"/>
      <c r="LX25" s="56"/>
      <c r="LY25" s="56"/>
      <c r="LZ25" s="56"/>
      <c r="MA25" s="56"/>
      <c r="MB25" s="56"/>
      <c r="MC25" s="56"/>
      <c r="MD25" s="56"/>
      <c r="ME25" s="56"/>
      <c r="MF25" s="56"/>
      <c r="MG25" s="56"/>
      <c r="MH25" s="56"/>
      <c r="MI25" s="56"/>
      <c r="MJ25" s="56"/>
      <c r="MK25" s="56"/>
      <c r="ML25" s="56"/>
      <c r="MM25" s="56"/>
      <c r="MN25" s="56"/>
      <c r="MO25" s="56"/>
      <c r="MP25" s="56"/>
      <c r="MQ25" s="56"/>
      <c r="MR25" s="56"/>
      <c r="MS25" s="56"/>
      <c r="MT25" s="56"/>
      <c r="MU25" s="56"/>
      <c r="MV25" s="56"/>
      <c r="MW25" s="56"/>
      <c r="MX25" s="56"/>
      <c r="MY25" s="56"/>
      <c r="MZ25" s="56"/>
      <c r="NA25" s="56"/>
      <c r="NB25" s="56"/>
      <c r="NC25" s="56"/>
      <c r="ND25" s="56"/>
      <c r="NE25" s="56"/>
      <c r="NF25" s="56"/>
      <c r="NG25" s="56"/>
      <c r="NH25" s="56"/>
      <c r="NI25" s="56"/>
      <c r="NJ25" s="56"/>
      <c r="NK25" s="56"/>
      <c r="NL25" s="56"/>
      <c r="NM25" s="56"/>
      <c r="NN25" s="56"/>
      <c r="NO25" s="56"/>
      <c r="NP25" s="56"/>
      <c r="NQ25" s="56"/>
      <c r="NR25" s="56"/>
      <c r="NS25" s="56"/>
      <c r="NT25" s="56"/>
      <c r="NU25" s="56"/>
      <c r="NV25" s="56"/>
      <c r="NW25" s="56"/>
      <c r="NX25" s="56"/>
      <c r="NY25" s="56"/>
      <c r="NZ25" s="56"/>
      <c r="OA25" s="56"/>
      <c r="OB25" s="56"/>
      <c r="OC25" s="56"/>
      <c r="OD25" s="56"/>
      <c r="OE25" s="56"/>
      <c r="OF25" s="56"/>
      <c r="OG25" s="56"/>
      <c r="OH25" s="56"/>
      <c r="OI25" s="56"/>
      <c r="OJ25" s="56"/>
      <c r="OK25" s="56"/>
      <c r="OL25" s="56"/>
      <c r="OM25" s="56"/>
      <c r="ON25" s="56"/>
      <c r="OO25" s="56"/>
      <c r="OP25" s="56"/>
      <c r="OQ25" s="56"/>
      <c r="OR25" s="56"/>
      <c r="OS25" s="56"/>
      <c r="OT25" s="56"/>
      <c r="OU25" s="56"/>
      <c r="OV25" s="56"/>
      <c r="OW25" s="56"/>
      <c r="OX25" s="56"/>
      <c r="OY25" s="56"/>
      <c r="OZ25" s="56"/>
      <c r="PA25" s="56"/>
      <c r="PB25" s="56"/>
      <c r="PC25" s="56"/>
      <c r="PD25" s="56"/>
      <c r="PE25" s="56"/>
      <c r="PF25" s="56"/>
      <c r="PG25" s="56"/>
      <c r="PH25" s="56"/>
      <c r="PI25" s="56"/>
      <c r="PJ25" s="56"/>
      <c r="PK25" s="56"/>
      <c r="PL25" s="56"/>
      <c r="PM25" s="56"/>
      <c r="PN25" s="56"/>
      <c r="PO25" s="56"/>
      <c r="PP25" s="56"/>
      <c r="PQ25" s="56"/>
      <c r="PR25" s="56"/>
      <c r="PS25" s="56"/>
      <c r="PT25" s="56"/>
      <c r="PU25" s="56"/>
      <c r="PV25" s="56"/>
      <c r="PW25" s="56"/>
      <c r="PX25" s="56"/>
      <c r="PY25" s="56"/>
      <c r="PZ25" s="56"/>
      <c r="QA25" s="56"/>
      <c r="QB25" s="56"/>
      <c r="QC25" s="56"/>
      <c r="QD25" s="56"/>
      <c r="QE25" s="56"/>
      <c r="QF25" s="56"/>
      <c r="QG25" s="56"/>
      <c r="QH25" s="56"/>
      <c r="QI25" s="56"/>
      <c r="QJ25" s="56"/>
      <c r="QK25" s="56"/>
      <c r="QL25" s="56"/>
      <c r="QM25" s="56"/>
      <c r="QN25" s="56"/>
      <c r="QO25" s="56"/>
      <c r="QP25" s="56"/>
      <c r="QQ25" s="56"/>
      <c r="QR25" s="56"/>
      <c r="QS25" s="56"/>
      <c r="QT25" s="56"/>
      <c r="QU25" s="56"/>
      <c r="QV25" s="56"/>
      <c r="QW25" s="56"/>
      <c r="QX25" s="56"/>
      <c r="QY25" s="56"/>
      <c r="QZ25" s="56"/>
      <c r="RA25" s="56"/>
      <c r="RB25" s="56"/>
      <c r="RC25" s="56"/>
      <c r="RD25" s="56"/>
      <c r="RE25" s="56"/>
      <c r="RF25" s="56"/>
      <c r="RG25" s="56"/>
      <c r="RH25" s="56"/>
      <c r="RI25" s="56"/>
      <c r="RJ25" s="56"/>
      <c r="RK25" s="56"/>
      <c r="RL25" s="56"/>
      <c r="RM25" s="56"/>
      <c r="RN25" s="56"/>
      <c r="RO25" s="56"/>
      <c r="RP25" s="56"/>
      <c r="RQ25" s="56"/>
      <c r="RR25" s="56"/>
      <c r="RS25" s="56"/>
      <c r="RT25" s="56"/>
      <c r="RU25" s="56"/>
      <c r="RV25" s="56"/>
      <c r="RW25" s="56"/>
      <c r="RX25" s="56"/>
      <c r="RY25" s="56"/>
      <c r="RZ25" s="56"/>
      <c r="SA25" s="56"/>
      <c r="SB25" s="56"/>
      <c r="SC25" s="56"/>
      <c r="SD25" s="56"/>
      <c r="SE25" s="56"/>
      <c r="SF25" s="56"/>
      <c r="SG25" s="56"/>
      <c r="SH25" s="56"/>
      <c r="SI25" s="56"/>
      <c r="SJ25" s="56"/>
      <c r="SK25" s="56"/>
      <c r="SL25" s="56"/>
      <c r="SM25" s="56"/>
      <c r="SN25" s="56"/>
      <c r="SO25" s="56"/>
      <c r="SP25" s="56"/>
      <c r="SQ25" s="56"/>
      <c r="SR25" s="56"/>
    </row>
    <row r="26" spans="1:512" ht="15" customHeight="1" x14ac:dyDescent="0.7">
      <c r="A26" s="171">
        <v>6</v>
      </c>
      <c r="B26" s="171" t="s">
        <v>61</v>
      </c>
      <c r="C26" s="171" t="s">
        <v>362</v>
      </c>
      <c r="D26" s="171"/>
      <c r="E26" s="171" t="s">
        <v>19</v>
      </c>
      <c r="F26" s="171"/>
      <c r="G26" s="174" t="s">
        <v>363</v>
      </c>
      <c r="H26" s="88" t="s">
        <v>364</v>
      </c>
      <c r="I26" s="89" t="s">
        <v>365</v>
      </c>
      <c r="J26" s="90">
        <v>11.52</v>
      </c>
      <c r="K26" s="168">
        <v>11.5</v>
      </c>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c r="KY26" s="54"/>
      <c r="KZ26" s="54"/>
      <c r="LA26" s="54"/>
      <c r="LB26" s="54"/>
      <c r="LC26" s="54"/>
      <c r="LD26" s="54"/>
      <c r="LE26" s="54"/>
      <c r="LF26" s="54"/>
      <c r="LG26" s="54"/>
      <c r="LH26" s="54"/>
      <c r="LI26" s="54"/>
      <c r="LJ26" s="54"/>
      <c r="LK26" s="54"/>
      <c r="LL26" s="54"/>
      <c r="LM26" s="54"/>
      <c r="LN26" s="54"/>
      <c r="LO26" s="54"/>
      <c r="LP26" s="54"/>
      <c r="LQ26" s="54"/>
      <c r="LR26" s="54"/>
      <c r="LS26" s="54"/>
      <c r="LT26" s="54"/>
      <c r="LU26" s="54"/>
      <c r="LV26" s="54"/>
      <c r="LW26" s="54"/>
      <c r="LX26" s="54"/>
      <c r="LY26" s="54"/>
      <c r="LZ26" s="54"/>
      <c r="MA26" s="54"/>
      <c r="MB26" s="54"/>
      <c r="MC26" s="54"/>
      <c r="MD26" s="54"/>
      <c r="ME26" s="54"/>
      <c r="MF26" s="54"/>
      <c r="MG26" s="54"/>
      <c r="MH26" s="54"/>
      <c r="MI26" s="54"/>
      <c r="MJ26" s="54"/>
      <c r="MK26" s="54"/>
      <c r="ML26" s="54"/>
      <c r="MM26" s="54"/>
      <c r="MN26" s="54"/>
      <c r="MO26" s="54"/>
      <c r="MP26" s="54"/>
      <c r="MQ26" s="54"/>
      <c r="MR26" s="54"/>
      <c r="MS26" s="54"/>
      <c r="MT26" s="54"/>
      <c r="MU26" s="54"/>
      <c r="MV26" s="54"/>
      <c r="MW26" s="54"/>
      <c r="MX26" s="54"/>
      <c r="MY26" s="54"/>
      <c r="MZ26" s="54"/>
      <c r="NA26" s="54"/>
      <c r="NB26" s="54"/>
      <c r="NC26" s="54"/>
      <c r="ND26" s="54"/>
      <c r="NE26" s="54"/>
      <c r="NF26" s="54"/>
      <c r="NG26" s="54"/>
      <c r="NH26" s="54"/>
      <c r="NI26" s="54"/>
      <c r="NJ26" s="54"/>
      <c r="NK26" s="54"/>
      <c r="NL26" s="54"/>
      <c r="NM26" s="54"/>
      <c r="NN26" s="54"/>
      <c r="NO26" s="54"/>
      <c r="NP26" s="54"/>
      <c r="NQ26" s="54"/>
      <c r="NR26" s="54"/>
      <c r="NS26" s="54"/>
      <c r="NT26" s="54"/>
      <c r="NU26" s="54"/>
      <c r="NV26" s="54"/>
      <c r="NW26" s="54"/>
      <c r="NX26" s="54"/>
      <c r="NY26" s="54"/>
      <c r="NZ26" s="54"/>
      <c r="OA26" s="54"/>
      <c r="OB26" s="54"/>
      <c r="OC26" s="54"/>
      <c r="OD26" s="54"/>
      <c r="OE26" s="54"/>
      <c r="OF26" s="54"/>
      <c r="OG26" s="54"/>
      <c r="OH26" s="54"/>
      <c r="OI26" s="54"/>
      <c r="OJ26" s="54"/>
      <c r="OK26" s="54"/>
      <c r="OL26" s="54"/>
      <c r="OM26" s="54"/>
      <c r="ON26" s="54"/>
      <c r="OO26" s="54"/>
      <c r="OP26" s="54"/>
      <c r="OQ26" s="54"/>
      <c r="OR26" s="54"/>
      <c r="OS26" s="54"/>
      <c r="OT26" s="54"/>
      <c r="OU26" s="54"/>
      <c r="OV26" s="54"/>
      <c r="OW26" s="54"/>
      <c r="OX26" s="54"/>
      <c r="OY26" s="54"/>
      <c r="OZ26" s="54"/>
      <c r="PA26" s="54"/>
      <c r="PB26" s="54"/>
      <c r="PC26" s="54"/>
      <c r="PD26" s="54"/>
      <c r="PE26" s="54"/>
      <c r="PF26" s="54"/>
      <c r="PG26" s="54"/>
      <c r="PH26" s="54"/>
      <c r="PI26" s="54"/>
      <c r="PJ26" s="54"/>
      <c r="PK26" s="54"/>
      <c r="PL26" s="54"/>
      <c r="PM26" s="54"/>
      <c r="PN26" s="54"/>
      <c r="PO26" s="54"/>
      <c r="PP26" s="54"/>
      <c r="PQ26" s="54"/>
      <c r="PR26" s="54"/>
      <c r="PS26" s="54"/>
      <c r="PT26" s="54"/>
      <c r="PU26" s="54"/>
      <c r="PV26" s="54"/>
      <c r="PW26" s="54"/>
      <c r="PX26" s="54"/>
      <c r="PY26" s="54"/>
      <c r="PZ26" s="54"/>
      <c r="QA26" s="54"/>
      <c r="QB26" s="54"/>
      <c r="QC26" s="54"/>
      <c r="QD26" s="54"/>
      <c r="QE26" s="54"/>
      <c r="QF26" s="54"/>
      <c r="QG26" s="54"/>
      <c r="QH26" s="54"/>
      <c r="QI26" s="54"/>
      <c r="QJ26" s="54"/>
      <c r="QK26" s="54"/>
      <c r="QL26" s="54"/>
      <c r="QM26" s="54"/>
      <c r="QN26" s="54"/>
      <c r="QO26" s="54"/>
      <c r="QP26" s="54"/>
      <c r="QQ26" s="54"/>
      <c r="QR26" s="54"/>
      <c r="QS26" s="54"/>
      <c r="QT26" s="54"/>
      <c r="QU26" s="54"/>
      <c r="QV26" s="54"/>
      <c r="QW26" s="54"/>
      <c r="QX26" s="54"/>
      <c r="QY26" s="54"/>
      <c r="QZ26" s="54"/>
      <c r="RA26" s="54"/>
      <c r="RB26" s="54"/>
      <c r="RC26" s="54"/>
      <c r="RD26" s="54"/>
      <c r="RE26" s="54"/>
      <c r="RF26" s="54"/>
      <c r="RG26" s="54"/>
      <c r="RH26" s="54"/>
      <c r="RI26" s="54"/>
      <c r="RJ26" s="54"/>
      <c r="RK26" s="54"/>
      <c r="RL26" s="54"/>
      <c r="RM26" s="54"/>
      <c r="RN26" s="54"/>
      <c r="RO26" s="54"/>
      <c r="RP26" s="54"/>
      <c r="RQ26" s="54"/>
      <c r="RR26" s="54"/>
      <c r="RS26" s="54"/>
      <c r="RT26" s="54"/>
      <c r="RU26" s="54"/>
      <c r="RV26" s="54"/>
      <c r="RW26" s="54"/>
      <c r="RX26" s="54"/>
      <c r="RY26" s="54"/>
      <c r="RZ26" s="54"/>
      <c r="SA26" s="54"/>
      <c r="SB26" s="54"/>
      <c r="SC26" s="54"/>
      <c r="SD26" s="54"/>
      <c r="SE26" s="54"/>
      <c r="SF26" s="54"/>
      <c r="SG26" s="54"/>
      <c r="SH26" s="54"/>
      <c r="SI26" s="54"/>
      <c r="SJ26" s="54"/>
      <c r="SK26" s="54"/>
      <c r="SL26" s="54"/>
      <c r="SM26" s="54"/>
      <c r="SN26" s="54"/>
      <c r="SO26" s="54"/>
      <c r="SP26" s="54"/>
      <c r="SQ26" s="54"/>
      <c r="SR26" s="54"/>
    </row>
    <row r="27" spans="1:512" ht="15" customHeight="1" x14ac:dyDescent="0.7">
      <c r="A27" s="172"/>
      <c r="B27" s="172"/>
      <c r="C27" s="172"/>
      <c r="D27" s="172"/>
      <c r="E27" s="172"/>
      <c r="F27" s="172"/>
      <c r="G27" s="175"/>
      <c r="H27" s="91"/>
      <c r="I27" s="89" t="s">
        <v>366</v>
      </c>
      <c r="J27" s="90">
        <v>11.48</v>
      </c>
      <c r="K27" s="169"/>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c r="KY27" s="54"/>
      <c r="KZ27" s="54"/>
      <c r="LA27" s="54"/>
      <c r="LB27" s="54"/>
      <c r="LC27" s="54"/>
      <c r="LD27" s="54"/>
      <c r="LE27" s="54"/>
      <c r="LF27" s="54"/>
      <c r="LG27" s="54"/>
      <c r="LH27" s="54"/>
      <c r="LI27" s="54"/>
      <c r="LJ27" s="54"/>
      <c r="LK27" s="54"/>
      <c r="LL27" s="54"/>
      <c r="LM27" s="54"/>
      <c r="LN27" s="54"/>
      <c r="LO27" s="54"/>
      <c r="LP27" s="54"/>
      <c r="LQ27" s="54"/>
      <c r="LR27" s="54"/>
      <c r="LS27" s="54"/>
      <c r="LT27" s="54"/>
      <c r="LU27" s="54"/>
      <c r="LV27" s="54"/>
      <c r="LW27" s="54"/>
      <c r="LX27" s="54"/>
      <c r="LY27" s="54"/>
      <c r="LZ27" s="54"/>
      <c r="MA27" s="54"/>
      <c r="MB27" s="54"/>
      <c r="MC27" s="54"/>
      <c r="MD27" s="54"/>
      <c r="ME27" s="54"/>
      <c r="MF27" s="54"/>
      <c r="MG27" s="54"/>
      <c r="MH27" s="54"/>
      <c r="MI27" s="54"/>
      <c r="MJ27" s="54"/>
      <c r="MK27" s="54"/>
      <c r="ML27" s="54"/>
      <c r="MM27" s="54"/>
      <c r="MN27" s="54"/>
      <c r="MO27" s="54"/>
      <c r="MP27" s="54"/>
      <c r="MQ27" s="54"/>
      <c r="MR27" s="54"/>
      <c r="MS27" s="54"/>
      <c r="MT27" s="54"/>
      <c r="MU27" s="54"/>
      <c r="MV27" s="54"/>
      <c r="MW27" s="54"/>
      <c r="MX27" s="54"/>
      <c r="MY27" s="54"/>
      <c r="MZ27" s="54"/>
      <c r="NA27" s="54"/>
      <c r="NB27" s="54"/>
      <c r="NC27" s="54"/>
      <c r="ND27" s="54"/>
      <c r="NE27" s="54"/>
      <c r="NF27" s="54"/>
      <c r="NG27" s="54"/>
      <c r="NH27" s="54"/>
      <c r="NI27" s="54"/>
      <c r="NJ27" s="54"/>
      <c r="NK27" s="54"/>
      <c r="NL27" s="54"/>
      <c r="NM27" s="54"/>
      <c r="NN27" s="54"/>
      <c r="NO27" s="54"/>
      <c r="NP27" s="54"/>
      <c r="NQ27" s="54"/>
      <c r="NR27" s="54"/>
      <c r="NS27" s="54"/>
      <c r="NT27" s="54"/>
      <c r="NU27" s="54"/>
      <c r="NV27" s="54"/>
      <c r="NW27" s="54"/>
      <c r="NX27" s="54"/>
      <c r="NY27" s="54"/>
      <c r="NZ27" s="54"/>
      <c r="OA27" s="54"/>
      <c r="OB27" s="54"/>
      <c r="OC27" s="54"/>
      <c r="OD27" s="54"/>
      <c r="OE27" s="54"/>
      <c r="OF27" s="54"/>
      <c r="OG27" s="54"/>
      <c r="OH27" s="54"/>
      <c r="OI27" s="54"/>
      <c r="OJ27" s="54"/>
      <c r="OK27" s="54"/>
      <c r="OL27" s="54"/>
      <c r="OM27" s="54"/>
      <c r="ON27" s="54"/>
      <c r="OO27" s="54"/>
      <c r="OP27" s="54"/>
      <c r="OQ27" s="54"/>
      <c r="OR27" s="54"/>
      <c r="OS27" s="54"/>
      <c r="OT27" s="54"/>
      <c r="OU27" s="54"/>
      <c r="OV27" s="54"/>
      <c r="OW27" s="54"/>
      <c r="OX27" s="54"/>
      <c r="OY27" s="54"/>
      <c r="OZ27" s="54"/>
      <c r="PA27" s="54"/>
      <c r="PB27" s="54"/>
      <c r="PC27" s="54"/>
      <c r="PD27" s="54"/>
      <c r="PE27" s="54"/>
      <c r="PF27" s="54"/>
      <c r="PG27" s="54"/>
      <c r="PH27" s="54"/>
      <c r="PI27" s="54"/>
      <c r="PJ27" s="54"/>
      <c r="PK27" s="54"/>
      <c r="PL27" s="54"/>
      <c r="PM27" s="54"/>
      <c r="PN27" s="54"/>
      <c r="PO27" s="54"/>
      <c r="PP27" s="54"/>
      <c r="PQ27" s="54"/>
      <c r="PR27" s="54"/>
      <c r="PS27" s="54"/>
      <c r="PT27" s="54"/>
      <c r="PU27" s="54"/>
      <c r="PV27" s="54"/>
      <c r="PW27" s="54"/>
      <c r="PX27" s="54"/>
      <c r="PY27" s="54"/>
      <c r="PZ27" s="54"/>
      <c r="QA27" s="54"/>
      <c r="QB27" s="54"/>
      <c r="QC27" s="54"/>
      <c r="QD27" s="54"/>
      <c r="QE27" s="54"/>
      <c r="QF27" s="54"/>
      <c r="QG27" s="54"/>
      <c r="QH27" s="54"/>
      <c r="QI27" s="54"/>
      <c r="QJ27" s="54"/>
      <c r="QK27" s="54"/>
      <c r="QL27" s="54"/>
      <c r="QM27" s="54"/>
      <c r="QN27" s="54"/>
      <c r="QO27" s="54"/>
      <c r="QP27" s="54"/>
      <c r="QQ27" s="54"/>
      <c r="QR27" s="54"/>
      <c r="QS27" s="54"/>
      <c r="QT27" s="54"/>
      <c r="QU27" s="54"/>
      <c r="QV27" s="54"/>
      <c r="QW27" s="54"/>
      <c r="QX27" s="54"/>
      <c r="QY27" s="54"/>
      <c r="QZ27" s="54"/>
      <c r="RA27" s="54"/>
      <c r="RB27" s="54"/>
      <c r="RC27" s="54"/>
      <c r="RD27" s="54"/>
      <c r="RE27" s="54"/>
      <c r="RF27" s="54"/>
      <c r="RG27" s="54"/>
      <c r="RH27" s="54"/>
      <c r="RI27" s="54"/>
      <c r="RJ27" s="54"/>
      <c r="RK27" s="54"/>
      <c r="RL27" s="54"/>
      <c r="RM27" s="54"/>
      <c r="RN27" s="54"/>
      <c r="RO27" s="54"/>
      <c r="RP27" s="54"/>
      <c r="RQ27" s="54"/>
      <c r="RR27" s="54"/>
      <c r="RS27" s="54"/>
      <c r="RT27" s="54"/>
      <c r="RU27" s="54"/>
      <c r="RV27" s="54"/>
      <c r="RW27" s="54"/>
      <c r="RX27" s="54"/>
      <c r="RY27" s="54"/>
      <c r="RZ27" s="54"/>
      <c r="SA27" s="54"/>
      <c r="SB27" s="54"/>
      <c r="SC27" s="54"/>
      <c r="SD27" s="54"/>
      <c r="SE27" s="54"/>
      <c r="SF27" s="54"/>
      <c r="SG27" s="54"/>
      <c r="SH27" s="54"/>
      <c r="SI27" s="54"/>
      <c r="SJ27" s="54"/>
      <c r="SK27" s="54"/>
      <c r="SL27" s="54"/>
      <c r="SM27" s="54"/>
      <c r="SN27" s="54"/>
      <c r="SO27" s="54"/>
      <c r="SP27" s="54"/>
      <c r="SQ27" s="54"/>
      <c r="SR27" s="54"/>
    </row>
    <row r="28" spans="1:512" s="55" customFormat="1" ht="15" customHeight="1" x14ac:dyDescent="0.7">
      <c r="A28" s="173"/>
      <c r="B28" s="173"/>
      <c r="C28" s="173"/>
      <c r="D28" s="173"/>
      <c r="E28" s="173"/>
      <c r="F28" s="173"/>
      <c r="G28" s="176"/>
      <c r="H28" s="92"/>
      <c r="I28" s="93"/>
      <c r="J28" s="94"/>
      <c r="K28" s="170"/>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c r="MV28" s="56"/>
      <c r="MW28" s="56"/>
      <c r="MX28" s="56"/>
      <c r="MY28" s="56"/>
      <c r="MZ28" s="56"/>
      <c r="NA28" s="56"/>
      <c r="NB28" s="56"/>
      <c r="NC28" s="56"/>
      <c r="ND28" s="56"/>
      <c r="NE28" s="56"/>
      <c r="NF28" s="56"/>
      <c r="NG28" s="56"/>
      <c r="NH28" s="56"/>
      <c r="NI28" s="56"/>
      <c r="NJ28" s="56"/>
      <c r="NK28" s="56"/>
      <c r="NL28" s="56"/>
      <c r="NM28" s="56"/>
      <c r="NN28" s="56"/>
      <c r="NO28" s="56"/>
      <c r="NP28" s="56"/>
      <c r="NQ28" s="56"/>
      <c r="NR28" s="56"/>
      <c r="NS28" s="56"/>
      <c r="NT28" s="56"/>
      <c r="NU28" s="56"/>
      <c r="NV28" s="56"/>
      <c r="NW28" s="56"/>
      <c r="NX28" s="56"/>
      <c r="NY28" s="56"/>
      <c r="NZ28" s="56"/>
      <c r="OA28" s="56"/>
      <c r="OB28" s="56"/>
      <c r="OC28" s="56"/>
      <c r="OD28" s="56"/>
      <c r="OE28" s="56"/>
      <c r="OF28" s="56"/>
      <c r="OG28" s="56"/>
      <c r="OH28" s="56"/>
      <c r="OI28" s="56"/>
      <c r="OJ28" s="56"/>
      <c r="OK28" s="56"/>
      <c r="OL28" s="56"/>
      <c r="OM28" s="56"/>
      <c r="ON28" s="56"/>
      <c r="OO28" s="56"/>
      <c r="OP28" s="56"/>
      <c r="OQ28" s="56"/>
      <c r="OR28" s="56"/>
      <c r="OS28" s="56"/>
      <c r="OT28" s="56"/>
      <c r="OU28" s="56"/>
      <c r="OV28" s="56"/>
      <c r="OW28" s="56"/>
      <c r="OX28" s="56"/>
      <c r="OY28" s="56"/>
      <c r="OZ28" s="56"/>
      <c r="PA28" s="56"/>
      <c r="PB28" s="56"/>
      <c r="PC28" s="56"/>
      <c r="PD28" s="56"/>
      <c r="PE28" s="56"/>
      <c r="PF28" s="56"/>
      <c r="PG28" s="56"/>
      <c r="PH28" s="56"/>
      <c r="PI28" s="56"/>
      <c r="PJ28" s="56"/>
      <c r="PK28" s="56"/>
      <c r="PL28" s="56"/>
      <c r="PM28" s="56"/>
      <c r="PN28" s="56"/>
      <c r="PO28" s="56"/>
      <c r="PP28" s="56"/>
      <c r="PQ28" s="56"/>
      <c r="PR28" s="56"/>
      <c r="PS28" s="56"/>
      <c r="PT28" s="56"/>
      <c r="PU28" s="56"/>
      <c r="PV28" s="56"/>
      <c r="PW28" s="56"/>
      <c r="PX28" s="56"/>
      <c r="PY28" s="56"/>
      <c r="PZ28" s="56"/>
      <c r="QA28" s="56"/>
      <c r="QB28" s="56"/>
      <c r="QC28" s="56"/>
      <c r="QD28" s="56"/>
      <c r="QE28" s="56"/>
      <c r="QF28" s="56"/>
      <c r="QG28" s="56"/>
      <c r="QH28" s="56"/>
      <c r="QI28" s="56"/>
      <c r="QJ28" s="56"/>
      <c r="QK28" s="56"/>
      <c r="QL28" s="56"/>
      <c r="QM28" s="56"/>
      <c r="QN28" s="56"/>
      <c r="QO28" s="56"/>
      <c r="QP28" s="56"/>
      <c r="QQ28" s="56"/>
      <c r="QR28" s="56"/>
      <c r="QS28" s="56"/>
      <c r="QT28" s="56"/>
      <c r="QU28" s="56"/>
      <c r="QV28" s="56"/>
      <c r="QW28" s="56"/>
      <c r="QX28" s="56"/>
      <c r="QY28" s="56"/>
      <c r="QZ28" s="56"/>
      <c r="RA28" s="56"/>
      <c r="RB28" s="56"/>
      <c r="RC28" s="56"/>
      <c r="RD28" s="56"/>
      <c r="RE28" s="56"/>
      <c r="RF28" s="56"/>
      <c r="RG28" s="56"/>
      <c r="RH28" s="56"/>
      <c r="RI28" s="56"/>
      <c r="RJ28" s="56"/>
      <c r="RK28" s="56"/>
      <c r="RL28" s="56"/>
      <c r="RM28" s="56"/>
      <c r="RN28" s="56"/>
      <c r="RO28" s="56"/>
      <c r="RP28" s="56"/>
      <c r="RQ28" s="56"/>
      <c r="RR28" s="56"/>
      <c r="RS28" s="56"/>
      <c r="RT28" s="56"/>
      <c r="RU28" s="56"/>
      <c r="RV28" s="56"/>
      <c r="RW28" s="56"/>
      <c r="RX28" s="56"/>
      <c r="RY28" s="56"/>
      <c r="RZ28" s="56"/>
      <c r="SA28" s="56"/>
      <c r="SB28" s="56"/>
      <c r="SC28" s="56"/>
      <c r="SD28" s="56"/>
      <c r="SE28" s="56"/>
      <c r="SF28" s="56"/>
      <c r="SG28" s="56"/>
      <c r="SH28" s="56"/>
      <c r="SI28" s="56"/>
      <c r="SJ28" s="56"/>
      <c r="SK28" s="56"/>
      <c r="SL28" s="56"/>
      <c r="SM28" s="56"/>
      <c r="SN28" s="56"/>
      <c r="SO28" s="56"/>
      <c r="SP28" s="56"/>
      <c r="SQ28" s="56"/>
      <c r="SR28" s="56"/>
    </row>
    <row r="29" spans="1:512" ht="15" customHeight="1" x14ac:dyDescent="0.7">
      <c r="A29" s="171">
        <v>7</v>
      </c>
      <c r="B29" s="171" t="s">
        <v>61</v>
      </c>
      <c r="C29" s="171" t="s">
        <v>344</v>
      </c>
      <c r="D29" s="171"/>
      <c r="E29" s="171" t="s">
        <v>19</v>
      </c>
      <c r="F29" s="171"/>
      <c r="G29" s="174" t="s">
        <v>367</v>
      </c>
      <c r="H29" s="88" t="s">
        <v>368</v>
      </c>
      <c r="I29" s="160" t="s">
        <v>369</v>
      </c>
      <c r="J29" s="161">
        <v>7.01</v>
      </c>
      <c r="K29" s="185">
        <v>6.01</v>
      </c>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4"/>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4"/>
      <c r="KR29" s="54"/>
      <c r="KS29" s="54"/>
      <c r="KT29" s="54"/>
      <c r="KU29" s="54"/>
      <c r="KV29" s="54"/>
      <c r="KW29" s="54"/>
      <c r="KX29" s="54"/>
      <c r="KY29" s="54"/>
      <c r="KZ29" s="54"/>
      <c r="LA29" s="54"/>
      <c r="LB29" s="54"/>
      <c r="LC29" s="54"/>
      <c r="LD29" s="54"/>
      <c r="LE29" s="54"/>
      <c r="LF29" s="54"/>
      <c r="LG29" s="54"/>
      <c r="LH29" s="54"/>
      <c r="LI29" s="54"/>
      <c r="LJ29" s="54"/>
      <c r="LK29" s="54"/>
      <c r="LL29" s="54"/>
      <c r="LM29" s="54"/>
      <c r="LN29" s="54"/>
      <c r="LO29" s="54"/>
      <c r="LP29" s="54"/>
      <c r="LQ29" s="54"/>
      <c r="LR29" s="54"/>
      <c r="LS29" s="54"/>
      <c r="LT29" s="54"/>
      <c r="LU29" s="54"/>
      <c r="LV29" s="54"/>
      <c r="LW29" s="54"/>
      <c r="LX29" s="54"/>
      <c r="LY29" s="54"/>
      <c r="LZ29" s="54"/>
      <c r="MA29" s="54"/>
      <c r="MB29" s="54"/>
      <c r="MC29" s="54"/>
      <c r="MD29" s="54"/>
      <c r="ME29" s="54"/>
      <c r="MF29" s="54"/>
      <c r="MG29" s="54"/>
      <c r="MH29" s="54"/>
      <c r="MI29" s="54"/>
      <c r="MJ29" s="54"/>
      <c r="MK29" s="54"/>
      <c r="ML29" s="54"/>
      <c r="MM29" s="54"/>
      <c r="MN29" s="54"/>
      <c r="MO29" s="54"/>
      <c r="MP29" s="54"/>
      <c r="MQ29" s="54"/>
      <c r="MR29" s="54"/>
      <c r="MS29" s="54"/>
      <c r="MT29" s="54"/>
      <c r="MU29" s="54"/>
      <c r="MV29" s="54"/>
      <c r="MW29" s="54"/>
      <c r="MX29" s="54"/>
      <c r="MY29" s="54"/>
      <c r="MZ29" s="54"/>
      <c r="NA29" s="54"/>
      <c r="NB29" s="54"/>
      <c r="NC29" s="54"/>
      <c r="ND29" s="54"/>
      <c r="NE29" s="54"/>
      <c r="NF29" s="54"/>
      <c r="NG29" s="54"/>
      <c r="NH29" s="54"/>
      <c r="NI29" s="54"/>
      <c r="NJ29" s="54"/>
      <c r="NK29" s="54"/>
      <c r="NL29" s="54"/>
      <c r="NM29" s="54"/>
      <c r="NN29" s="54"/>
      <c r="NO29" s="54"/>
      <c r="NP29" s="54"/>
      <c r="NQ29" s="54"/>
      <c r="NR29" s="54"/>
      <c r="NS29" s="54"/>
      <c r="NT29" s="54"/>
      <c r="NU29" s="54"/>
      <c r="NV29" s="54"/>
      <c r="NW29" s="54"/>
      <c r="NX29" s="54"/>
      <c r="NY29" s="54"/>
      <c r="NZ29" s="54"/>
      <c r="OA29" s="54"/>
      <c r="OB29" s="54"/>
      <c r="OC29" s="54"/>
      <c r="OD29" s="54"/>
      <c r="OE29" s="54"/>
      <c r="OF29" s="54"/>
      <c r="OG29" s="54"/>
      <c r="OH29" s="54"/>
      <c r="OI29" s="54"/>
      <c r="OJ29" s="54"/>
      <c r="OK29" s="54"/>
      <c r="OL29" s="54"/>
      <c r="OM29" s="54"/>
      <c r="ON29" s="54"/>
      <c r="OO29" s="54"/>
      <c r="OP29" s="54"/>
      <c r="OQ29" s="54"/>
      <c r="OR29" s="54"/>
      <c r="OS29" s="54"/>
      <c r="OT29" s="54"/>
      <c r="OU29" s="54"/>
      <c r="OV29" s="54"/>
      <c r="OW29" s="54"/>
      <c r="OX29" s="54"/>
      <c r="OY29" s="54"/>
      <c r="OZ29" s="54"/>
      <c r="PA29" s="54"/>
      <c r="PB29" s="54"/>
      <c r="PC29" s="54"/>
      <c r="PD29" s="54"/>
      <c r="PE29" s="54"/>
      <c r="PF29" s="54"/>
      <c r="PG29" s="54"/>
      <c r="PH29" s="54"/>
      <c r="PI29" s="54"/>
      <c r="PJ29" s="54"/>
      <c r="PK29" s="54"/>
      <c r="PL29" s="54"/>
      <c r="PM29" s="54"/>
      <c r="PN29" s="54"/>
      <c r="PO29" s="54"/>
      <c r="PP29" s="54"/>
      <c r="PQ29" s="54"/>
      <c r="PR29" s="54"/>
      <c r="PS29" s="54"/>
      <c r="PT29" s="54"/>
      <c r="PU29" s="54"/>
      <c r="PV29" s="54"/>
      <c r="PW29" s="54"/>
      <c r="PX29" s="54"/>
      <c r="PY29" s="54"/>
      <c r="PZ29" s="54"/>
      <c r="QA29" s="54"/>
      <c r="QB29" s="54"/>
      <c r="QC29" s="54"/>
      <c r="QD29" s="54"/>
      <c r="QE29" s="54"/>
      <c r="QF29" s="54"/>
      <c r="QG29" s="54"/>
      <c r="QH29" s="54"/>
      <c r="QI29" s="54"/>
      <c r="QJ29" s="54"/>
      <c r="QK29" s="54"/>
      <c r="QL29" s="54"/>
      <c r="QM29" s="54"/>
      <c r="QN29" s="54"/>
      <c r="QO29" s="54"/>
      <c r="QP29" s="54"/>
      <c r="QQ29" s="54"/>
      <c r="QR29" s="54"/>
      <c r="QS29" s="54"/>
      <c r="QT29" s="54"/>
      <c r="QU29" s="54"/>
      <c r="QV29" s="54"/>
      <c r="QW29" s="54"/>
      <c r="QX29" s="54"/>
      <c r="QY29" s="54"/>
      <c r="QZ29" s="54"/>
      <c r="RA29" s="54"/>
      <c r="RB29" s="54"/>
      <c r="RC29" s="54"/>
      <c r="RD29" s="54"/>
      <c r="RE29" s="54"/>
      <c r="RF29" s="54"/>
      <c r="RG29" s="54"/>
      <c r="RH29" s="54"/>
      <c r="RI29" s="54"/>
      <c r="RJ29" s="54"/>
      <c r="RK29" s="54"/>
      <c r="RL29" s="54"/>
      <c r="RM29" s="54"/>
      <c r="RN29" s="54"/>
      <c r="RO29" s="54"/>
      <c r="RP29" s="54"/>
      <c r="RQ29" s="54"/>
      <c r="RR29" s="54"/>
      <c r="RS29" s="54"/>
      <c r="RT29" s="54"/>
      <c r="RU29" s="54"/>
      <c r="RV29" s="54"/>
      <c r="RW29" s="54"/>
      <c r="RX29" s="54"/>
      <c r="RY29" s="54"/>
      <c r="RZ29" s="54"/>
      <c r="SA29" s="54"/>
      <c r="SB29" s="54"/>
      <c r="SC29" s="54"/>
      <c r="SD29" s="54"/>
      <c r="SE29" s="54"/>
      <c r="SF29" s="54"/>
      <c r="SG29" s="54"/>
      <c r="SH29" s="54"/>
      <c r="SI29" s="54"/>
      <c r="SJ29" s="54"/>
      <c r="SK29" s="54"/>
      <c r="SL29" s="54"/>
      <c r="SM29" s="54"/>
      <c r="SN29" s="54"/>
      <c r="SO29" s="54"/>
      <c r="SP29" s="54"/>
      <c r="SQ29" s="54"/>
      <c r="SR29" s="54"/>
    </row>
    <row r="30" spans="1:512" ht="15" customHeight="1" x14ac:dyDescent="0.7">
      <c r="A30" s="172"/>
      <c r="B30" s="172"/>
      <c r="C30" s="172"/>
      <c r="D30" s="172"/>
      <c r="E30" s="172"/>
      <c r="F30" s="172"/>
      <c r="G30" s="175"/>
      <c r="H30" s="91"/>
      <c r="I30" s="160" t="s">
        <v>370</v>
      </c>
      <c r="J30" s="161">
        <v>5.01</v>
      </c>
      <c r="K30" s="186"/>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c r="HU30" s="54"/>
      <c r="HV30" s="54"/>
      <c r="HW30" s="54"/>
      <c r="HX30" s="54"/>
      <c r="HY30" s="54"/>
      <c r="HZ30" s="54"/>
      <c r="IA30" s="54"/>
      <c r="IB30" s="54"/>
      <c r="IC30" s="54"/>
      <c r="ID30" s="54"/>
      <c r="IE30" s="54"/>
      <c r="IF30" s="54"/>
      <c r="IG30" s="54"/>
      <c r="IH30" s="54"/>
      <c r="II30" s="54"/>
      <c r="IJ30" s="54"/>
      <c r="IK30" s="54"/>
      <c r="IL30" s="54"/>
      <c r="IM30" s="54"/>
      <c r="IN30" s="54"/>
      <c r="IO30" s="54"/>
      <c r="IP30" s="54"/>
      <c r="IQ30" s="54"/>
      <c r="IR30" s="54"/>
      <c r="IS30" s="54"/>
      <c r="IT30" s="54"/>
      <c r="IU30" s="54"/>
      <c r="IV30" s="54"/>
      <c r="IW30" s="54"/>
      <c r="IX30" s="54"/>
      <c r="IY30" s="54"/>
      <c r="IZ30" s="54"/>
      <c r="JA30" s="54"/>
      <c r="JB30" s="54"/>
      <c r="JC30" s="54"/>
      <c r="JD30" s="54"/>
      <c r="JE30" s="54"/>
      <c r="JF30" s="54"/>
      <c r="JG30" s="54"/>
      <c r="JH30" s="54"/>
      <c r="JI30" s="54"/>
      <c r="JJ30" s="54"/>
      <c r="JK30" s="54"/>
      <c r="JL30" s="54"/>
      <c r="JM30" s="54"/>
      <c r="JN30" s="54"/>
      <c r="JO30" s="54"/>
      <c r="JP30" s="54"/>
      <c r="JQ30" s="54"/>
      <c r="JR30" s="54"/>
      <c r="JS30" s="54"/>
      <c r="JT30" s="54"/>
      <c r="JU30" s="54"/>
      <c r="JV30" s="54"/>
      <c r="JW30" s="54"/>
      <c r="JX30" s="54"/>
      <c r="JY30" s="54"/>
      <c r="JZ30" s="54"/>
      <c r="KA30" s="54"/>
      <c r="KB30" s="54"/>
      <c r="KC30" s="54"/>
      <c r="KD30" s="54"/>
      <c r="KE30" s="54"/>
      <c r="KF30" s="54"/>
      <c r="KG30" s="54"/>
      <c r="KH30" s="54"/>
      <c r="KI30" s="54"/>
      <c r="KJ30" s="54"/>
      <c r="KK30" s="54"/>
      <c r="KL30" s="54"/>
      <c r="KM30" s="54"/>
      <c r="KN30" s="54"/>
      <c r="KO30" s="54"/>
      <c r="KP30" s="54"/>
      <c r="KQ30" s="54"/>
      <c r="KR30" s="54"/>
      <c r="KS30" s="54"/>
      <c r="KT30" s="54"/>
      <c r="KU30" s="54"/>
      <c r="KV30" s="54"/>
      <c r="KW30" s="54"/>
      <c r="KX30" s="54"/>
      <c r="KY30" s="54"/>
      <c r="KZ30" s="54"/>
      <c r="LA30" s="54"/>
      <c r="LB30" s="54"/>
      <c r="LC30" s="54"/>
      <c r="LD30" s="54"/>
      <c r="LE30" s="54"/>
      <c r="LF30" s="54"/>
      <c r="LG30" s="54"/>
      <c r="LH30" s="54"/>
      <c r="LI30" s="54"/>
      <c r="LJ30" s="54"/>
      <c r="LK30" s="54"/>
      <c r="LL30" s="54"/>
      <c r="LM30" s="54"/>
      <c r="LN30" s="54"/>
      <c r="LO30" s="54"/>
      <c r="LP30" s="54"/>
      <c r="LQ30" s="54"/>
      <c r="LR30" s="54"/>
      <c r="LS30" s="54"/>
      <c r="LT30" s="54"/>
      <c r="LU30" s="54"/>
      <c r="LV30" s="54"/>
      <c r="LW30" s="54"/>
      <c r="LX30" s="54"/>
      <c r="LY30" s="54"/>
      <c r="LZ30" s="54"/>
      <c r="MA30" s="54"/>
      <c r="MB30" s="54"/>
      <c r="MC30" s="54"/>
      <c r="MD30" s="54"/>
      <c r="ME30" s="54"/>
      <c r="MF30" s="54"/>
      <c r="MG30" s="54"/>
      <c r="MH30" s="54"/>
      <c r="MI30" s="54"/>
      <c r="MJ30" s="54"/>
      <c r="MK30" s="54"/>
      <c r="ML30" s="54"/>
      <c r="MM30" s="54"/>
      <c r="MN30" s="54"/>
      <c r="MO30" s="54"/>
      <c r="MP30" s="54"/>
      <c r="MQ30" s="54"/>
      <c r="MR30" s="54"/>
      <c r="MS30" s="54"/>
      <c r="MT30" s="54"/>
      <c r="MU30" s="54"/>
      <c r="MV30" s="54"/>
      <c r="MW30" s="54"/>
      <c r="MX30" s="54"/>
      <c r="MY30" s="54"/>
      <c r="MZ30" s="54"/>
      <c r="NA30" s="54"/>
      <c r="NB30" s="54"/>
      <c r="NC30" s="54"/>
      <c r="ND30" s="54"/>
      <c r="NE30" s="54"/>
      <c r="NF30" s="54"/>
      <c r="NG30" s="54"/>
      <c r="NH30" s="54"/>
      <c r="NI30" s="54"/>
      <c r="NJ30" s="54"/>
      <c r="NK30" s="54"/>
      <c r="NL30" s="54"/>
      <c r="NM30" s="54"/>
      <c r="NN30" s="54"/>
      <c r="NO30" s="54"/>
      <c r="NP30" s="54"/>
      <c r="NQ30" s="54"/>
      <c r="NR30" s="54"/>
      <c r="NS30" s="54"/>
      <c r="NT30" s="54"/>
      <c r="NU30" s="54"/>
      <c r="NV30" s="54"/>
      <c r="NW30" s="54"/>
      <c r="NX30" s="54"/>
      <c r="NY30" s="54"/>
      <c r="NZ30" s="54"/>
      <c r="OA30" s="54"/>
      <c r="OB30" s="54"/>
      <c r="OC30" s="54"/>
      <c r="OD30" s="54"/>
      <c r="OE30" s="54"/>
      <c r="OF30" s="54"/>
      <c r="OG30" s="54"/>
      <c r="OH30" s="54"/>
      <c r="OI30" s="54"/>
      <c r="OJ30" s="54"/>
      <c r="OK30" s="54"/>
      <c r="OL30" s="54"/>
      <c r="OM30" s="54"/>
      <c r="ON30" s="54"/>
      <c r="OO30" s="54"/>
      <c r="OP30" s="54"/>
      <c r="OQ30" s="54"/>
      <c r="OR30" s="54"/>
      <c r="OS30" s="54"/>
      <c r="OT30" s="54"/>
      <c r="OU30" s="54"/>
      <c r="OV30" s="54"/>
      <c r="OW30" s="54"/>
      <c r="OX30" s="54"/>
      <c r="OY30" s="54"/>
      <c r="OZ30" s="54"/>
      <c r="PA30" s="54"/>
      <c r="PB30" s="54"/>
      <c r="PC30" s="54"/>
      <c r="PD30" s="54"/>
      <c r="PE30" s="54"/>
      <c r="PF30" s="54"/>
      <c r="PG30" s="54"/>
      <c r="PH30" s="54"/>
      <c r="PI30" s="54"/>
      <c r="PJ30" s="54"/>
      <c r="PK30" s="54"/>
      <c r="PL30" s="54"/>
      <c r="PM30" s="54"/>
      <c r="PN30" s="54"/>
      <c r="PO30" s="54"/>
      <c r="PP30" s="54"/>
      <c r="PQ30" s="54"/>
      <c r="PR30" s="54"/>
      <c r="PS30" s="54"/>
      <c r="PT30" s="54"/>
      <c r="PU30" s="54"/>
      <c r="PV30" s="54"/>
      <c r="PW30" s="54"/>
      <c r="PX30" s="54"/>
      <c r="PY30" s="54"/>
      <c r="PZ30" s="54"/>
      <c r="QA30" s="54"/>
      <c r="QB30" s="54"/>
      <c r="QC30" s="54"/>
      <c r="QD30" s="54"/>
      <c r="QE30" s="54"/>
      <c r="QF30" s="54"/>
      <c r="QG30" s="54"/>
      <c r="QH30" s="54"/>
      <c r="QI30" s="54"/>
      <c r="QJ30" s="54"/>
      <c r="QK30" s="54"/>
      <c r="QL30" s="54"/>
      <c r="QM30" s="54"/>
      <c r="QN30" s="54"/>
      <c r="QO30" s="54"/>
      <c r="QP30" s="54"/>
      <c r="QQ30" s="54"/>
      <c r="QR30" s="54"/>
      <c r="QS30" s="54"/>
      <c r="QT30" s="54"/>
      <c r="QU30" s="54"/>
      <c r="QV30" s="54"/>
      <c r="QW30" s="54"/>
      <c r="QX30" s="54"/>
      <c r="QY30" s="54"/>
      <c r="QZ30" s="54"/>
      <c r="RA30" s="54"/>
      <c r="RB30" s="54"/>
      <c r="RC30" s="54"/>
      <c r="RD30" s="54"/>
      <c r="RE30" s="54"/>
      <c r="RF30" s="54"/>
      <c r="RG30" s="54"/>
      <c r="RH30" s="54"/>
      <c r="RI30" s="54"/>
      <c r="RJ30" s="54"/>
      <c r="RK30" s="54"/>
      <c r="RL30" s="54"/>
      <c r="RM30" s="54"/>
      <c r="RN30" s="54"/>
      <c r="RO30" s="54"/>
      <c r="RP30" s="54"/>
      <c r="RQ30" s="54"/>
      <c r="RR30" s="54"/>
      <c r="RS30" s="54"/>
      <c r="RT30" s="54"/>
      <c r="RU30" s="54"/>
      <c r="RV30" s="54"/>
      <c r="RW30" s="54"/>
      <c r="RX30" s="54"/>
      <c r="RY30" s="54"/>
      <c r="RZ30" s="54"/>
      <c r="SA30" s="54"/>
      <c r="SB30" s="54"/>
      <c r="SC30" s="54"/>
      <c r="SD30" s="54"/>
      <c r="SE30" s="54"/>
      <c r="SF30" s="54"/>
      <c r="SG30" s="54"/>
      <c r="SH30" s="54"/>
      <c r="SI30" s="54"/>
      <c r="SJ30" s="54"/>
      <c r="SK30" s="54"/>
      <c r="SL30" s="54"/>
      <c r="SM30" s="54"/>
      <c r="SN30" s="54"/>
      <c r="SO30" s="54"/>
      <c r="SP30" s="54"/>
      <c r="SQ30" s="54"/>
      <c r="SR30" s="54"/>
    </row>
    <row r="31" spans="1:512" s="55" customFormat="1" ht="15" customHeight="1" x14ac:dyDescent="0.7">
      <c r="A31" s="173"/>
      <c r="B31" s="173"/>
      <c r="C31" s="173"/>
      <c r="D31" s="173"/>
      <c r="E31" s="173"/>
      <c r="F31" s="173"/>
      <c r="G31" s="176"/>
      <c r="H31" s="92"/>
      <c r="I31" s="162"/>
      <c r="J31" s="163"/>
      <c r="K31" s="187"/>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c r="IX31" s="56"/>
      <c r="IY31" s="56"/>
      <c r="IZ31" s="56"/>
      <c r="JA31" s="56"/>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c r="JZ31" s="56"/>
      <c r="KA31" s="56"/>
      <c r="KB31" s="56"/>
      <c r="KC31" s="56"/>
      <c r="KD31" s="56"/>
      <c r="KE31" s="56"/>
      <c r="KF31" s="56"/>
      <c r="KG31" s="56"/>
      <c r="KH31" s="56"/>
      <c r="KI31" s="56"/>
      <c r="KJ31" s="56"/>
      <c r="KK31" s="56"/>
      <c r="KL31" s="56"/>
      <c r="KM31" s="56"/>
      <c r="KN31" s="56"/>
      <c r="KO31" s="56"/>
      <c r="KP31" s="56"/>
      <c r="KQ31" s="56"/>
      <c r="KR31" s="56"/>
      <c r="KS31" s="56"/>
      <c r="KT31" s="56"/>
      <c r="KU31" s="56"/>
      <c r="KV31" s="56"/>
      <c r="KW31" s="56"/>
      <c r="KX31" s="56"/>
      <c r="KY31" s="56"/>
      <c r="KZ31" s="56"/>
      <c r="LA31" s="56"/>
      <c r="LB31" s="56"/>
      <c r="LC31" s="56"/>
      <c r="LD31" s="56"/>
      <c r="LE31" s="56"/>
      <c r="LF31" s="56"/>
      <c r="LG31" s="56"/>
      <c r="LH31" s="56"/>
      <c r="LI31" s="56"/>
      <c r="LJ31" s="56"/>
      <c r="LK31" s="56"/>
      <c r="LL31" s="56"/>
      <c r="LM31" s="56"/>
      <c r="LN31" s="56"/>
      <c r="LO31" s="56"/>
      <c r="LP31" s="56"/>
      <c r="LQ31" s="56"/>
      <c r="LR31" s="56"/>
      <c r="LS31" s="56"/>
      <c r="LT31" s="56"/>
      <c r="LU31" s="56"/>
      <c r="LV31" s="56"/>
      <c r="LW31" s="56"/>
      <c r="LX31" s="56"/>
      <c r="LY31" s="56"/>
      <c r="LZ31" s="56"/>
      <c r="MA31" s="56"/>
      <c r="MB31" s="56"/>
      <c r="MC31" s="56"/>
      <c r="MD31" s="56"/>
      <c r="ME31" s="56"/>
      <c r="MF31" s="56"/>
      <c r="MG31" s="56"/>
      <c r="MH31" s="56"/>
      <c r="MI31" s="56"/>
      <c r="MJ31" s="56"/>
      <c r="MK31" s="56"/>
      <c r="ML31" s="56"/>
      <c r="MM31" s="56"/>
      <c r="MN31" s="56"/>
      <c r="MO31" s="56"/>
      <c r="MP31" s="56"/>
      <c r="MQ31" s="56"/>
      <c r="MR31" s="56"/>
      <c r="MS31" s="56"/>
      <c r="MT31" s="56"/>
      <c r="MU31" s="56"/>
      <c r="MV31" s="56"/>
      <c r="MW31" s="56"/>
      <c r="MX31" s="56"/>
      <c r="MY31" s="56"/>
      <c r="MZ31" s="56"/>
      <c r="NA31" s="56"/>
      <c r="NB31" s="56"/>
      <c r="NC31" s="56"/>
      <c r="ND31" s="56"/>
      <c r="NE31" s="56"/>
      <c r="NF31" s="56"/>
      <c r="NG31" s="56"/>
      <c r="NH31" s="56"/>
      <c r="NI31" s="56"/>
      <c r="NJ31" s="56"/>
      <c r="NK31" s="56"/>
      <c r="NL31" s="56"/>
      <c r="NM31" s="56"/>
      <c r="NN31" s="56"/>
      <c r="NO31" s="56"/>
      <c r="NP31" s="56"/>
      <c r="NQ31" s="56"/>
      <c r="NR31" s="56"/>
      <c r="NS31" s="56"/>
      <c r="NT31" s="56"/>
      <c r="NU31" s="56"/>
      <c r="NV31" s="56"/>
      <c r="NW31" s="56"/>
      <c r="NX31" s="56"/>
      <c r="NY31" s="56"/>
      <c r="NZ31" s="56"/>
      <c r="OA31" s="56"/>
      <c r="OB31" s="56"/>
      <c r="OC31" s="56"/>
      <c r="OD31" s="56"/>
      <c r="OE31" s="56"/>
      <c r="OF31" s="56"/>
      <c r="OG31" s="56"/>
      <c r="OH31" s="56"/>
      <c r="OI31" s="56"/>
      <c r="OJ31" s="56"/>
      <c r="OK31" s="56"/>
      <c r="OL31" s="56"/>
      <c r="OM31" s="56"/>
      <c r="ON31" s="56"/>
      <c r="OO31" s="56"/>
      <c r="OP31" s="56"/>
      <c r="OQ31" s="56"/>
      <c r="OR31" s="56"/>
      <c r="OS31" s="56"/>
      <c r="OT31" s="56"/>
      <c r="OU31" s="56"/>
      <c r="OV31" s="56"/>
      <c r="OW31" s="56"/>
      <c r="OX31" s="56"/>
      <c r="OY31" s="56"/>
      <c r="OZ31" s="56"/>
      <c r="PA31" s="56"/>
      <c r="PB31" s="56"/>
      <c r="PC31" s="56"/>
      <c r="PD31" s="56"/>
      <c r="PE31" s="56"/>
      <c r="PF31" s="56"/>
      <c r="PG31" s="56"/>
      <c r="PH31" s="56"/>
      <c r="PI31" s="56"/>
      <c r="PJ31" s="56"/>
      <c r="PK31" s="56"/>
      <c r="PL31" s="56"/>
      <c r="PM31" s="56"/>
      <c r="PN31" s="56"/>
      <c r="PO31" s="56"/>
      <c r="PP31" s="56"/>
      <c r="PQ31" s="56"/>
      <c r="PR31" s="56"/>
      <c r="PS31" s="56"/>
      <c r="PT31" s="56"/>
      <c r="PU31" s="56"/>
      <c r="PV31" s="56"/>
      <c r="PW31" s="56"/>
      <c r="PX31" s="56"/>
      <c r="PY31" s="56"/>
      <c r="PZ31" s="56"/>
      <c r="QA31" s="56"/>
      <c r="QB31" s="56"/>
      <c r="QC31" s="56"/>
      <c r="QD31" s="56"/>
      <c r="QE31" s="56"/>
      <c r="QF31" s="56"/>
      <c r="QG31" s="56"/>
      <c r="QH31" s="56"/>
      <c r="QI31" s="56"/>
      <c r="QJ31" s="56"/>
      <c r="QK31" s="56"/>
      <c r="QL31" s="56"/>
      <c r="QM31" s="56"/>
      <c r="QN31" s="56"/>
      <c r="QO31" s="56"/>
      <c r="QP31" s="56"/>
      <c r="QQ31" s="56"/>
      <c r="QR31" s="56"/>
      <c r="QS31" s="56"/>
      <c r="QT31" s="56"/>
      <c r="QU31" s="56"/>
      <c r="QV31" s="56"/>
      <c r="QW31" s="56"/>
      <c r="QX31" s="56"/>
      <c r="QY31" s="56"/>
      <c r="QZ31" s="56"/>
      <c r="RA31" s="56"/>
      <c r="RB31" s="56"/>
      <c r="RC31" s="56"/>
      <c r="RD31" s="56"/>
      <c r="RE31" s="56"/>
      <c r="RF31" s="56"/>
      <c r="RG31" s="56"/>
      <c r="RH31" s="56"/>
      <c r="RI31" s="56"/>
      <c r="RJ31" s="56"/>
      <c r="RK31" s="56"/>
      <c r="RL31" s="56"/>
      <c r="RM31" s="56"/>
      <c r="RN31" s="56"/>
      <c r="RO31" s="56"/>
      <c r="RP31" s="56"/>
      <c r="RQ31" s="56"/>
      <c r="RR31" s="56"/>
      <c r="RS31" s="56"/>
      <c r="RT31" s="56"/>
      <c r="RU31" s="56"/>
      <c r="RV31" s="56"/>
      <c r="RW31" s="56"/>
      <c r="RX31" s="56"/>
      <c r="RY31" s="56"/>
      <c r="RZ31" s="56"/>
      <c r="SA31" s="56"/>
      <c r="SB31" s="56"/>
      <c r="SC31" s="56"/>
      <c r="SD31" s="56"/>
      <c r="SE31" s="56"/>
      <c r="SF31" s="56"/>
      <c r="SG31" s="56"/>
      <c r="SH31" s="56"/>
      <c r="SI31" s="56"/>
      <c r="SJ31" s="56"/>
      <c r="SK31" s="56"/>
      <c r="SL31" s="56"/>
      <c r="SM31" s="56"/>
      <c r="SN31" s="56"/>
      <c r="SO31" s="56"/>
      <c r="SP31" s="56"/>
      <c r="SQ31" s="56"/>
      <c r="SR31" s="56"/>
    </row>
    <row r="32" spans="1:512" ht="15" customHeight="1" x14ac:dyDescent="0.7">
      <c r="A32" s="171">
        <v>8</v>
      </c>
      <c r="B32" s="171" t="s">
        <v>61</v>
      </c>
      <c r="C32" s="171" t="s">
        <v>344</v>
      </c>
      <c r="D32" s="171"/>
      <c r="E32" s="171" t="s">
        <v>19</v>
      </c>
      <c r="F32" s="171"/>
      <c r="G32" s="174" t="s">
        <v>371</v>
      </c>
      <c r="H32" s="88" t="s">
        <v>372</v>
      </c>
      <c r="I32" s="89" t="s">
        <v>347</v>
      </c>
      <c r="J32" s="90">
        <v>1.1000000000000001</v>
      </c>
      <c r="K32" s="168">
        <v>1</v>
      </c>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4"/>
      <c r="EF32" s="54"/>
      <c r="EG32" s="54"/>
      <c r="EH32" s="54"/>
      <c r="EI32" s="54"/>
      <c r="EJ32" s="54"/>
      <c r="EK32" s="54"/>
      <c r="EL32" s="54"/>
      <c r="EM32" s="54"/>
      <c r="EN32" s="54"/>
      <c r="EO32" s="54"/>
      <c r="EP32" s="54"/>
      <c r="EQ32" s="54"/>
      <c r="ER32" s="54"/>
      <c r="ES32" s="54"/>
      <c r="ET32" s="54"/>
      <c r="EU32" s="54"/>
      <c r="EV32" s="54"/>
      <c r="EW32" s="54"/>
      <c r="EX32" s="54"/>
      <c r="EY32" s="54"/>
      <c r="EZ32" s="54"/>
      <c r="FA32" s="54"/>
      <c r="FB32" s="54"/>
      <c r="FC32" s="54"/>
      <c r="FD32" s="54"/>
      <c r="FE32" s="54"/>
      <c r="FF32" s="54"/>
      <c r="FG32" s="54"/>
      <c r="FH32" s="54"/>
      <c r="FI32" s="54"/>
      <c r="FJ32" s="54"/>
      <c r="FK32" s="54"/>
      <c r="FL32" s="54"/>
      <c r="FM32" s="54"/>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c r="HU32" s="54"/>
      <c r="HV32" s="54"/>
      <c r="HW32" s="54"/>
      <c r="HX32" s="54"/>
      <c r="HY32" s="54"/>
      <c r="HZ32" s="54"/>
      <c r="IA32" s="54"/>
      <c r="IB32" s="54"/>
      <c r="IC32" s="54"/>
      <c r="ID32" s="54"/>
      <c r="IE32" s="54"/>
      <c r="IF32" s="54"/>
      <c r="IG32" s="54"/>
      <c r="IH32" s="54"/>
      <c r="II32" s="54"/>
      <c r="IJ32" s="54"/>
      <c r="IK32" s="54"/>
      <c r="IL32" s="54"/>
      <c r="IM32" s="54"/>
      <c r="IN32" s="54"/>
      <c r="IO32" s="54"/>
      <c r="IP32" s="54"/>
      <c r="IQ32" s="54"/>
      <c r="IR32" s="54"/>
      <c r="IS32" s="54"/>
      <c r="IT32" s="54"/>
      <c r="IU32" s="54"/>
      <c r="IV32" s="54"/>
      <c r="IW32" s="54"/>
      <c r="IX32" s="54"/>
      <c r="IY32" s="54"/>
      <c r="IZ32" s="54"/>
      <c r="JA32" s="54"/>
      <c r="JB32" s="54"/>
      <c r="JC32" s="54"/>
      <c r="JD32" s="54"/>
      <c r="JE32" s="54"/>
      <c r="JF32" s="54"/>
      <c r="JG32" s="54"/>
      <c r="JH32" s="54"/>
      <c r="JI32" s="54"/>
      <c r="JJ32" s="54"/>
      <c r="JK32" s="54"/>
      <c r="JL32" s="54"/>
      <c r="JM32" s="54"/>
      <c r="JN32" s="54"/>
      <c r="JO32" s="54"/>
      <c r="JP32" s="54"/>
      <c r="JQ32" s="54"/>
      <c r="JR32" s="54"/>
      <c r="JS32" s="54"/>
      <c r="JT32" s="54"/>
      <c r="JU32" s="54"/>
      <c r="JV32" s="54"/>
      <c r="JW32" s="54"/>
      <c r="JX32" s="54"/>
      <c r="JY32" s="54"/>
      <c r="JZ32" s="54"/>
      <c r="KA32" s="54"/>
      <c r="KB32" s="54"/>
      <c r="KC32" s="54"/>
      <c r="KD32" s="54"/>
      <c r="KE32" s="54"/>
      <c r="KF32" s="54"/>
      <c r="KG32" s="54"/>
      <c r="KH32" s="54"/>
      <c r="KI32" s="54"/>
      <c r="KJ32" s="54"/>
      <c r="KK32" s="54"/>
      <c r="KL32" s="54"/>
      <c r="KM32" s="54"/>
      <c r="KN32" s="54"/>
      <c r="KO32" s="54"/>
      <c r="KP32" s="54"/>
      <c r="KQ32" s="54"/>
      <c r="KR32" s="54"/>
      <c r="KS32" s="54"/>
      <c r="KT32" s="54"/>
      <c r="KU32" s="54"/>
      <c r="KV32" s="54"/>
      <c r="KW32" s="54"/>
      <c r="KX32" s="54"/>
      <c r="KY32" s="54"/>
      <c r="KZ32" s="54"/>
      <c r="LA32" s="54"/>
      <c r="LB32" s="54"/>
      <c r="LC32" s="54"/>
      <c r="LD32" s="54"/>
      <c r="LE32" s="54"/>
      <c r="LF32" s="54"/>
      <c r="LG32" s="54"/>
      <c r="LH32" s="54"/>
      <c r="LI32" s="54"/>
      <c r="LJ32" s="54"/>
      <c r="LK32" s="54"/>
      <c r="LL32" s="54"/>
      <c r="LM32" s="54"/>
      <c r="LN32" s="54"/>
      <c r="LO32" s="54"/>
      <c r="LP32" s="54"/>
      <c r="LQ32" s="54"/>
      <c r="LR32" s="54"/>
      <c r="LS32" s="54"/>
      <c r="LT32" s="54"/>
      <c r="LU32" s="54"/>
      <c r="LV32" s="54"/>
      <c r="LW32" s="54"/>
      <c r="LX32" s="54"/>
      <c r="LY32" s="54"/>
      <c r="LZ32" s="54"/>
      <c r="MA32" s="54"/>
      <c r="MB32" s="54"/>
      <c r="MC32" s="54"/>
      <c r="MD32" s="54"/>
      <c r="ME32" s="54"/>
      <c r="MF32" s="54"/>
      <c r="MG32" s="54"/>
      <c r="MH32" s="54"/>
      <c r="MI32" s="54"/>
      <c r="MJ32" s="54"/>
      <c r="MK32" s="54"/>
      <c r="ML32" s="54"/>
      <c r="MM32" s="54"/>
      <c r="MN32" s="54"/>
      <c r="MO32" s="54"/>
      <c r="MP32" s="54"/>
      <c r="MQ32" s="54"/>
      <c r="MR32" s="54"/>
      <c r="MS32" s="54"/>
      <c r="MT32" s="54"/>
      <c r="MU32" s="54"/>
      <c r="MV32" s="54"/>
      <c r="MW32" s="54"/>
      <c r="MX32" s="54"/>
      <c r="MY32" s="54"/>
      <c r="MZ32" s="54"/>
      <c r="NA32" s="54"/>
      <c r="NB32" s="54"/>
      <c r="NC32" s="54"/>
      <c r="ND32" s="54"/>
      <c r="NE32" s="54"/>
      <c r="NF32" s="54"/>
      <c r="NG32" s="54"/>
      <c r="NH32" s="54"/>
      <c r="NI32" s="54"/>
      <c r="NJ32" s="54"/>
      <c r="NK32" s="54"/>
      <c r="NL32" s="54"/>
      <c r="NM32" s="54"/>
      <c r="NN32" s="54"/>
      <c r="NO32" s="54"/>
      <c r="NP32" s="54"/>
      <c r="NQ32" s="54"/>
      <c r="NR32" s="54"/>
      <c r="NS32" s="54"/>
      <c r="NT32" s="54"/>
      <c r="NU32" s="54"/>
      <c r="NV32" s="54"/>
      <c r="NW32" s="54"/>
      <c r="NX32" s="54"/>
      <c r="NY32" s="54"/>
      <c r="NZ32" s="54"/>
      <c r="OA32" s="54"/>
      <c r="OB32" s="54"/>
      <c r="OC32" s="54"/>
      <c r="OD32" s="54"/>
      <c r="OE32" s="54"/>
      <c r="OF32" s="54"/>
      <c r="OG32" s="54"/>
      <c r="OH32" s="54"/>
      <c r="OI32" s="54"/>
      <c r="OJ32" s="54"/>
      <c r="OK32" s="54"/>
      <c r="OL32" s="54"/>
      <c r="OM32" s="54"/>
      <c r="ON32" s="54"/>
      <c r="OO32" s="54"/>
      <c r="OP32" s="54"/>
      <c r="OQ32" s="54"/>
      <c r="OR32" s="54"/>
      <c r="OS32" s="54"/>
      <c r="OT32" s="54"/>
      <c r="OU32" s="54"/>
      <c r="OV32" s="54"/>
      <c r="OW32" s="54"/>
      <c r="OX32" s="54"/>
      <c r="OY32" s="54"/>
      <c r="OZ32" s="54"/>
      <c r="PA32" s="54"/>
      <c r="PB32" s="54"/>
      <c r="PC32" s="54"/>
      <c r="PD32" s="54"/>
      <c r="PE32" s="54"/>
      <c r="PF32" s="54"/>
      <c r="PG32" s="54"/>
      <c r="PH32" s="54"/>
      <c r="PI32" s="54"/>
      <c r="PJ32" s="54"/>
      <c r="PK32" s="54"/>
      <c r="PL32" s="54"/>
      <c r="PM32" s="54"/>
      <c r="PN32" s="54"/>
      <c r="PO32" s="54"/>
      <c r="PP32" s="54"/>
      <c r="PQ32" s="54"/>
      <c r="PR32" s="54"/>
      <c r="PS32" s="54"/>
      <c r="PT32" s="54"/>
      <c r="PU32" s="54"/>
      <c r="PV32" s="54"/>
      <c r="PW32" s="54"/>
      <c r="PX32" s="54"/>
      <c r="PY32" s="54"/>
      <c r="PZ32" s="54"/>
      <c r="QA32" s="54"/>
      <c r="QB32" s="54"/>
      <c r="QC32" s="54"/>
      <c r="QD32" s="54"/>
      <c r="QE32" s="54"/>
      <c r="QF32" s="54"/>
      <c r="QG32" s="54"/>
      <c r="QH32" s="54"/>
      <c r="QI32" s="54"/>
      <c r="QJ32" s="54"/>
      <c r="QK32" s="54"/>
      <c r="QL32" s="54"/>
      <c r="QM32" s="54"/>
      <c r="QN32" s="54"/>
      <c r="QO32" s="54"/>
      <c r="QP32" s="54"/>
      <c r="QQ32" s="54"/>
      <c r="QR32" s="54"/>
      <c r="QS32" s="54"/>
      <c r="QT32" s="54"/>
      <c r="QU32" s="54"/>
      <c r="QV32" s="54"/>
      <c r="QW32" s="54"/>
      <c r="QX32" s="54"/>
      <c r="QY32" s="54"/>
      <c r="QZ32" s="54"/>
      <c r="RA32" s="54"/>
      <c r="RB32" s="54"/>
      <c r="RC32" s="54"/>
      <c r="RD32" s="54"/>
      <c r="RE32" s="54"/>
      <c r="RF32" s="54"/>
      <c r="RG32" s="54"/>
      <c r="RH32" s="54"/>
      <c r="RI32" s="54"/>
      <c r="RJ32" s="54"/>
      <c r="RK32" s="54"/>
      <c r="RL32" s="54"/>
      <c r="RM32" s="54"/>
      <c r="RN32" s="54"/>
      <c r="RO32" s="54"/>
      <c r="RP32" s="54"/>
      <c r="RQ32" s="54"/>
      <c r="RR32" s="54"/>
      <c r="RS32" s="54"/>
      <c r="RT32" s="54"/>
      <c r="RU32" s="54"/>
      <c r="RV32" s="54"/>
      <c r="RW32" s="54"/>
      <c r="RX32" s="54"/>
      <c r="RY32" s="54"/>
      <c r="RZ32" s="54"/>
      <c r="SA32" s="54"/>
      <c r="SB32" s="54"/>
      <c r="SC32" s="54"/>
      <c r="SD32" s="54"/>
      <c r="SE32" s="54"/>
      <c r="SF32" s="54"/>
      <c r="SG32" s="54"/>
      <c r="SH32" s="54"/>
      <c r="SI32" s="54"/>
      <c r="SJ32" s="54"/>
      <c r="SK32" s="54"/>
      <c r="SL32" s="54"/>
      <c r="SM32" s="54"/>
      <c r="SN32" s="54"/>
      <c r="SO32" s="54"/>
      <c r="SP32" s="54"/>
      <c r="SQ32" s="54"/>
      <c r="SR32" s="54"/>
    </row>
    <row r="33" spans="1:512" ht="15" customHeight="1" x14ac:dyDescent="0.7">
      <c r="A33" s="172"/>
      <c r="B33" s="172"/>
      <c r="C33" s="172"/>
      <c r="D33" s="172"/>
      <c r="E33" s="172"/>
      <c r="F33" s="172"/>
      <c r="G33" s="175"/>
      <c r="H33" s="91"/>
      <c r="I33" s="89" t="s">
        <v>348</v>
      </c>
      <c r="J33" s="90">
        <v>0.9</v>
      </c>
      <c r="K33" s="169"/>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4"/>
      <c r="EF33" s="54"/>
      <c r="EG33" s="54"/>
      <c r="EH33" s="54"/>
      <c r="EI33" s="54"/>
      <c r="EJ33" s="54"/>
      <c r="EK33" s="54"/>
      <c r="EL33" s="54"/>
      <c r="EM33" s="54"/>
      <c r="EN33" s="54"/>
      <c r="EO33" s="54"/>
      <c r="EP33" s="54"/>
      <c r="EQ33" s="54"/>
      <c r="ER33" s="54"/>
      <c r="ES33" s="54"/>
      <c r="ET33" s="54"/>
      <c r="EU33" s="54"/>
      <c r="EV33" s="54"/>
      <c r="EW33" s="54"/>
      <c r="EX33" s="54"/>
      <c r="EY33" s="54"/>
      <c r="EZ33" s="54"/>
      <c r="FA33" s="54"/>
      <c r="FB33" s="54"/>
      <c r="FC33" s="54"/>
      <c r="FD33" s="54"/>
      <c r="FE33" s="54"/>
      <c r="FF33" s="54"/>
      <c r="FG33" s="54"/>
      <c r="FH33" s="54"/>
      <c r="FI33" s="54"/>
      <c r="FJ33" s="54"/>
      <c r="FK33" s="54"/>
      <c r="FL33" s="54"/>
      <c r="FM33" s="54"/>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c r="GW33" s="54"/>
      <c r="GX33" s="54"/>
      <c r="GY33" s="54"/>
      <c r="GZ33" s="54"/>
      <c r="HA33" s="54"/>
      <c r="HB33" s="54"/>
      <c r="HC33" s="54"/>
      <c r="HD33" s="54"/>
      <c r="HE33" s="54"/>
      <c r="HF33" s="54"/>
      <c r="HG33" s="54"/>
      <c r="HH33" s="54"/>
      <c r="HI33" s="54"/>
      <c r="HJ33" s="54"/>
      <c r="HK33" s="54"/>
      <c r="HL33" s="54"/>
      <c r="HM33" s="54"/>
      <c r="HN33" s="54"/>
      <c r="HO33" s="54"/>
      <c r="HP33" s="54"/>
      <c r="HQ33" s="54"/>
      <c r="HR33" s="54"/>
      <c r="HS33" s="54"/>
      <c r="HT33" s="54"/>
      <c r="HU33" s="54"/>
      <c r="HV33" s="54"/>
      <c r="HW33" s="54"/>
      <c r="HX33" s="54"/>
      <c r="HY33" s="54"/>
      <c r="HZ33" s="54"/>
      <c r="IA33" s="54"/>
      <c r="IB33" s="54"/>
      <c r="IC33" s="54"/>
      <c r="ID33" s="54"/>
      <c r="IE33" s="54"/>
      <c r="IF33" s="54"/>
      <c r="IG33" s="54"/>
      <c r="IH33" s="54"/>
      <c r="II33" s="54"/>
      <c r="IJ33" s="54"/>
      <c r="IK33" s="54"/>
      <c r="IL33" s="54"/>
      <c r="IM33" s="54"/>
      <c r="IN33" s="54"/>
      <c r="IO33" s="54"/>
      <c r="IP33" s="54"/>
      <c r="IQ33" s="54"/>
      <c r="IR33" s="54"/>
      <c r="IS33" s="54"/>
      <c r="IT33" s="54"/>
      <c r="IU33" s="54"/>
      <c r="IV33" s="54"/>
      <c r="IW33" s="54"/>
      <c r="IX33" s="54"/>
      <c r="IY33" s="54"/>
      <c r="IZ33" s="54"/>
      <c r="JA33" s="54"/>
      <c r="JB33" s="54"/>
      <c r="JC33" s="54"/>
      <c r="JD33" s="54"/>
      <c r="JE33" s="54"/>
      <c r="JF33" s="54"/>
      <c r="JG33" s="54"/>
      <c r="JH33" s="54"/>
      <c r="JI33" s="54"/>
      <c r="JJ33" s="54"/>
      <c r="JK33" s="54"/>
      <c r="JL33" s="54"/>
      <c r="JM33" s="54"/>
      <c r="JN33" s="54"/>
      <c r="JO33" s="54"/>
      <c r="JP33" s="54"/>
      <c r="JQ33" s="54"/>
      <c r="JR33" s="54"/>
      <c r="JS33" s="54"/>
      <c r="JT33" s="54"/>
      <c r="JU33" s="54"/>
      <c r="JV33" s="54"/>
      <c r="JW33" s="54"/>
      <c r="JX33" s="54"/>
      <c r="JY33" s="54"/>
      <c r="JZ33" s="54"/>
      <c r="KA33" s="54"/>
      <c r="KB33" s="54"/>
      <c r="KC33" s="54"/>
      <c r="KD33" s="54"/>
      <c r="KE33" s="54"/>
      <c r="KF33" s="54"/>
      <c r="KG33" s="54"/>
      <c r="KH33" s="54"/>
      <c r="KI33" s="54"/>
      <c r="KJ33" s="54"/>
      <c r="KK33" s="54"/>
      <c r="KL33" s="54"/>
      <c r="KM33" s="54"/>
      <c r="KN33" s="54"/>
      <c r="KO33" s="54"/>
      <c r="KP33" s="54"/>
      <c r="KQ33" s="54"/>
      <c r="KR33" s="54"/>
      <c r="KS33" s="54"/>
      <c r="KT33" s="54"/>
      <c r="KU33" s="54"/>
      <c r="KV33" s="54"/>
      <c r="KW33" s="54"/>
      <c r="KX33" s="54"/>
      <c r="KY33" s="54"/>
      <c r="KZ33" s="54"/>
      <c r="LA33" s="54"/>
      <c r="LB33" s="54"/>
      <c r="LC33" s="54"/>
      <c r="LD33" s="54"/>
      <c r="LE33" s="54"/>
      <c r="LF33" s="54"/>
      <c r="LG33" s="54"/>
      <c r="LH33" s="54"/>
      <c r="LI33" s="54"/>
      <c r="LJ33" s="54"/>
      <c r="LK33" s="54"/>
      <c r="LL33" s="54"/>
      <c r="LM33" s="54"/>
      <c r="LN33" s="54"/>
      <c r="LO33" s="54"/>
      <c r="LP33" s="54"/>
      <c r="LQ33" s="54"/>
      <c r="LR33" s="54"/>
      <c r="LS33" s="54"/>
      <c r="LT33" s="54"/>
      <c r="LU33" s="54"/>
      <c r="LV33" s="54"/>
      <c r="LW33" s="54"/>
      <c r="LX33" s="54"/>
      <c r="LY33" s="54"/>
      <c r="LZ33" s="54"/>
      <c r="MA33" s="54"/>
      <c r="MB33" s="54"/>
      <c r="MC33" s="54"/>
      <c r="MD33" s="54"/>
      <c r="ME33" s="54"/>
      <c r="MF33" s="54"/>
      <c r="MG33" s="54"/>
      <c r="MH33" s="54"/>
      <c r="MI33" s="54"/>
      <c r="MJ33" s="54"/>
      <c r="MK33" s="54"/>
      <c r="ML33" s="54"/>
      <c r="MM33" s="54"/>
      <c r="MN33" s="54"/>
      <c r="MO33" s="54"/>
      <c r="MP33" s="54"/>
      <c r="MQ33" s="54"/>
      <c r="MR33" s="54"/>
      <c r="MS33" s="54"/>
      <c r="MT33" s="54"/>
      <c r="MU33" s="54"/>
      <c r="MV33" s="54"/>
      <c r="MW33" s="54"/>
      <c r="MX33" s="54"/>
      <c r="MY33" s="54"/>
      <c r="MZ33" s="54"/>
      <c r="NA33" s="54"/>
      <c r="NB33" s="54"/>
      <c r="NC33" s="54"/>
      <c r="ND33" s="54"/>
      <c r="NE33" s="54"/>
      <c r="NF33" s="54"/>
      <c r="NG33" s="54"/>
      <c r="NH33" s="54"/>
      <c r="NI33" s="54"/>
      <c r="NJ33" s="54"/>
      <c r="NK33" s="54"/>
      <c r="NL33" s="54"/>
      <c r="NM33" s="54"/>
      <c r="NN33" s="54"/>
      <c r="NO33" s="54"/>
      <c r="NP33" s="54"/>
      <c r="NQ33" s="54"/>
      <c r="NR33" s="54"/>
      <c r="NS33" s="54"/>
      <c r="NT33" s="54"/>
      <c r="NU33" s="54"/>
      <c r="NV33" s="54"/>
      <c r="NW33" s="54"/>
      <c r="NX33" s="54"/>
      <c r="NY33" s="54"/>
      <c r="NZ33" s="54"/>
      <c r="OA33" s="54"/>
      <c r="OB33" s="54"/>
      <c r="OC33" s="54"/>
      <c r="OD33" s="54"/>
      <c r="OE33" s="54"/>
      <c r="OF33" s="54"/>
      <c r="OG33" s="54"/>
      <c r="OH33" s="54"/>
      <c r="OI33" s="54"/>
      <c r="OJ33" s="54"/>
      <c r="OK33" s="54"/>
      <c r="OL33" s="54"/>
      <c r="OM33" s="54"/>
      <c r="ON33" s="54"/>
      <c r="OO33" s="54"/>
      <c r="OP33" s="54"/>
      <c r="OQ33" s="54"/>
      <c r="OR33" s="54"/>
      <c r="OS33" s="54"/>
      <c r="OT33" s="54"/>
      <c r="OU33" s="54"/>
      <c r="OV33" s="54"/>
      <c r="OW33" s="54"/>
      <c r="OX33" s="54"/>
      <c r="OY33" s="54"/>
      <c r="OZ33" s="54"/>
      <c r="PA33" s="54"/>
      <c r="PB33" s="54"/>
      <c r="PC33" s="54"/>
      <c r="PD33" s="54"/>
      <c r="PE33" s="54"/>
      <c r="PF33" s="54"/>
      <c r="PG33" s="54"/>
      <c r="PH33" s="54"/>
      <c r="PI33" s="54"/>
      <c r="PJ33" s="54"/>
      <c r="PK33" s="54"/>
      <c r="PL33" s="54"/>
      <c r="PM33" s="54"/>
      <c r="PN33" s="54"/>
      <c r="PO33" s="54"/>
      <c r="PP33" s="54"/>
      <c r="PQ33" s="54"/>
      <c r="PR33" s="54"/>
      <c r="PS33" s="54"/>
      <c r="PT33" s="54"/>
      <c r="PU33" s="54"/>
      <c r="PV33" s="54"/>
      <c r="PW33" s="54"/>
      <c r="PX33" s="54"/>
      <c r="PY33" s="54"/>
      <c r="PZ33" s="54"/>
      <c r="QA33" s="54"/>
      <c r="QB33" s="54"/>
      <c r="QC33" s="54"/>
      <c r="QD33" s="54"/>
      <c r="QE33" s="54"/>
      <c r="QF33" s="54"/>
      <c r="QG33" s="54"/>
      <c r="QH33" s="54"/>
      <c r="QI33" s="54"/>
      <c r="QJ33" s="54"/>
      <c r="QK33" s="54"/>
      <c r="QL33" s="54"/>
      <c r="QM33" s="54"/>
      <c r="QN33" s="54"/>
      <c r="QO33" s="54"/>
      <c r="QP33" s="54"/>
      <c r="QQ33" s="54"/>
      <c r="QR33" s="54"/>
      <c r="QS33" s="54"/>
      <c r="QT33" s="54"/>
      <c r="QU33" s="54"/>
      <c r="QV33" s="54"/>
      <c r="QW33" s="54"/>
      <c r="QX33" s="54"/>
      <c r="QY33" s="54"/>
      <c r="QZ33" s="54"/>
      <c r="RA33" s="54"/>
      <c r="RB33" s="54"/>
      <c r="RC33" s="54"/>
      <c r="RD33" s="54"/>
      <c r="RE33" s="54"/>
      <c r="RF33" s="54"/>
      <c r="RG33" s="54"/>
      <c r="RH33" s="54"/>
      <c r="RI33" s="54"/>
      <c r="RJ33" s="54"/>
      <c r="RK33" s="54"/>
      <c r="RL33" s="54"/>
      <c r="RM33" s="54"/>
      <c r="RN33" s="54"/>
      <c r="RO33" s="54"/>
      <c r="RP33" s="54"/>
      <c r="RQ33" s="54"/>
      <c r="RR33" s="54"/>
      <c r="RS33" s="54"/>
      <c r="RT33" s="54"/>
      <c r="RU33" s="54"/>
      <c r="RV33" s="54"/>
      <c r="RW33" s="54"/>
      <c r="RX33" s="54"/>
      <c r="RY33" s="54"/>
      <c r="RZ33" s="54"/>
      <c r="SA33" s="54"/>
      <c r="SB33" s="54"/>
      <c r="SC33" s="54"/>
      <c r="SD33" s="54"/>
      <c r="SE33" s="54"/>
      <c r="SF33" s="54"/>
      <c r="SG33" s="54"/>
      <c r="SH33" s="54"/>
      <c r="SI33" s="54"/>
      <c r="SJ33" s="54"/>
      <c r="SK33" s="54"/>
      <c r="SL33" s="54"/>
      <c r="SM33" s="54"/>
      <c r="SN33" s="54"/>
      <c r="SO33" s="54"/>
      <c r="SP33" s="54"/>
      <c r="SQ33" s="54"/>
      <c r="SR33" s="54"/>
    </row>
    <row r="34" spans="1:512" s="55" customFormat="1" ht="15" customHeight="1" x14ac:dyDescent="0.7">
      <c r="A34" s="173"/>
      <c r="B34" s="173"/>
      <c r="C34" s="173"/>
      <c r="D34" s="173"/>
      <c r="E34" s="173"/>
      <c r="F34" s="173"/>
      <c r="G34" s="176"/>
      <c r="H34" s="92"/>
      <c r="I34" s="93"/>
      <c r="J34" s="94"/>
      <c r="K34" s="170"/>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c r="IN34" s="56"/>
      <c r="IO34" s="56"/>
      <c r="IP34" s="56"/>
      <c r="IQ34" s="56"/>
      <c r="IR34" s="56"/>
      <c r="IS34" s="56"/>
      <c r="IT34" s="56"/>
      <c r="IU34" s="56"/>
      <c r="IV34" s="56"/>
      <c r="IW34" s="56"/>
      <c r="IX34" s="56"/>
      <c r="IY34" s="56"/>
      <c r="IZ34" s="56"/>
      <c r="JA34" s="56"/>
      <c r="JB34" s="56"/>
      <c r="JC34" s="56"/>
      <c r="JD34" s="56"/>
      <c r="JE34" s="56"/>
      <c r="JF34" s="56"/>
      <c r="JG34" s="56"/>
      <c r="JH34" s="56"/>
      <c r="JI34" s="56"/>
      <c r="JJ34" s="56"/>
      <c r="JK34" s="56"/>
      <c r="JL34" s="56"/>
      <c r="JM34" s="56"/>
      <c r="JN34" s="56"/>
      <c r="JO34" s="56"/>
      <c r="JP34" s="56"/>
      <c r="JQ34" s="56"/>
      <c r="JR34" s="56"/>
      <c r="JS34" s="56"/>
      <c r="JT34" s="56"/>
      <c r="JU34" s="56"/>
      <c r="JV34" s="56"/>
      <c r="JW34" s="56"/>
      <c r="JX34" s="56"/>
      <c r="JY34" s="56"/>
      <c r="JZ34" s="56"/>
      <c r="KA34" s="56"/>
      <c r="KB34" s="56"/>
      <c r="KC34" s="56"/>
      <c r="KD34" s="56"/>
      <c r="KE34" s="56"/>
      <c r="KF34" s="56"/>
      <c r="KG34" s="56"/>
      <c r="KH34" s="56"/>
      <c r="KI34" s="56"/>
      <c r="KJ34" s="56"/>
      <c r="KK34" s="56"/>
      <c r="KL34" s="56"/>
      <c r="KM34" s="56"/>
      <c r="KN34" s="56"/>
      <c r="KO34" s="56"/>
      <c r="KP34" s="56"/>
      <c r="KQ34" s="56"/>
      <c r="KR34" s="56"/>
      <c r="KS34" s="56"/>
      <c r="KT34" s="56"/>
      <c r="KU34" s="56"/>
      <c r="KV34" s="56"/>
      <c r="KW34" s="56"/>
      <c r="KX34" s="56"/>
      <c r="KY34" s="56"/>
      <c r="KZ34" s="56"/>
      <c r="LA34" s="56"/>
      <c r="LB34" s="56"/>
      <c r="LC34" s="56"/>
      <c r="LD34" s="56"/>
      <c r="LE34" s="56"/>
      <c r="LF34" s="56"/>
      <c r="LG34" s="56"/>
      <c r="LH34" s="56"/>
      <c r="LI34" s="56"/>
      <c r="LJ34" s="56"/>
      <c r="LK34" s="56"/>
      <c r="LL34" s="56"/>
      <c r="LM34" s="56"/>
      <c r="LN34" s="56"/>
      <c r="LO34" s="56"/>
      <c r="LP34" s="56"/>
      <c r="LQ34" s="56"/>
      <c r="LR34" s="56"/>
      <c r="LS34" s="56"/>
      <c r="LT34" s="56"/>
      <c r="LU34" s="56"/>
      <c r="LV34" s="56"/>
      <c r="LW34" s="56"/>
      <c r="LX34" s="56"/>
      <c r="LY34" s="56"/>
      <c r="LZ34" s="56"/>
      <c r="MA34" s="56"/>
      <c r="MB34" s="56"/>
      <c r="MC34" s="56"/>
      <c r="MD34" s="56"/>
      <c r="ME34" s="56"/>
      <c r="MF34" s="56"/>
      <c r="MG34" s="56"/>
      <c r="MH34" s="56"/>
      <c r="MI34" s="56"/>
      <c r="MJ34" s="56"/>
      <c r="MK34" s="56"/>
      <c r="ML34" s="56"/>
      <c r="MM34" s="56"/>
      <c r="MN34" s="56"/>
      <c r="MO34" s="56"/>
      <c r="MP34" s="56"/>
      <c r="MQ34" s="56"/>
      <c r="MR34" s="56"/>
      <c r="MS34" s="56"/>
      <c r="MT34" s="56"/>
      <c r="MU34" s="56"/>
      <c r="MV34" s="56"/>
      <c r="MW34" s="56"/>
      <c r="MX34" s="56"/>
      <c r="MY34" s="56"/>
      <c r="MZ34" s="56"/>
      <c r="NA34" s="56"/>
      <c r="NB34" s="56"/>
      <c r="NC34" s="56"/>
      <c r="ND34" s="56"/>
      <c r="NE34" s="56"/>
      <c r="NF34" s="56"/>
      <c r="NG34" s="56"/>
      <c r="NH34" s="56"/>
      <c r="NI34" s="56"/>
      <c r="NJ34" s="56"/>
      <c r="NK34" s="56"/>
      <c r="NL34" s="56"/>
      <c r="NM34" s="56"/>
      <c r="NN34" s="56"/>
      <c r="NO34" s="56"/>
      <c r="NP34" s="56"/>
      <c r="NQ34" s="56"/>
      <c r="NR34" s="56"/>
      <c r="NS34" s="56"/>
      <c r="NT34" s="56"/>
      <c r="NU34" s="56"/>
      <c r="NV34" s="56"/>
      <c r="NW34" s="56"/>
      <c r="NX34" s="56"/>
      <c r="NY34" s="56"/>
      <c r="NZ34" s="56"/>
      <c r="OA34" s="56"/>
      <c r="OB34" s="56"/>
      <c r="OC34" s="56"/>
      <c r="OD34" s="56"/>
      <c r="OE34" s="56"/>
      <c r="OF34" s="56"/>
      <c r="OG34" s="56"/>
      <c r="OH34" s="56"/>
      <c r="OI34" s="56"/>
      <c r="OJ34" s="56"/>
      <c r="OK34" s="56"/>
      <c r="OL34" s="56"/>
      <c r="OM34" s="56"/>
      <c r="ON34" s="56"/>
      <c r="OO34" s="56"/>
      <c r="OP34" s="56"/>
      <c r="OQ34" s="56"/>
      <c r="OR34" s="56"/>
      <c r="OS34" s="56"/>
      <c r="OT34" s="56"/>
      <c r="OU34" s="56"/>
      <c r="OV34" s="56"/>
      <c r="OW34" s="56"/>
      <c r="OX34" s="56"/>
      <c r="OY34" s="56"/>
      <c r="OZ34" s="56"/>
      <c r="PA34" s="56"/>
      <c r="PB34" s="56"/>
      <c r="PC34" s="56"/>
      <c r="PD34" s="56"/>
      <c r="PE34" s="56"/>
      <c r="PF34" s="56"/>
      <c r="PG34" s="56"/>
      <c r="PH34" s="56"/>
      <c r="PI34" s="56"/>
      <c r="PJ34" s="56"/>
      <c r="PK34" s="56"/>
      <c r="PL34" s="56"/>
      <c r="PM34" s="56"/>
      <c r="PN34" s="56"/>
      <c r="PO34" s="56"/>
      <c r="PP34" s="56"/>
      <c r="PQ34" s="56"/>
      <c r="PR34" s="56"/>
      <c r="PS34" s="56"/>
      <c r="PT34" s="56"/>
      <c r="PU34" s="56"/>
      <c r="PV34" s="56"/>
      <c r="PW34" s="56"/>
      <c r="PX34" s="56"/>
      <c r="PY34" s="56"/>
      <c r="PZ34" s="56"/>
      <c r="QA34" s="56"/>
      <c r="QB34" s="56"/>
      <c r="QC34" s="56"/>
      <c r="QD34" s="56"/>
      <c r="QE34" s="56"/>
      <c r="QF34" s="56"/>
      <c r="QG34" s="56"/>
      <c r="QH34" s="56"/>
      <c r="QI34" s="56"/>
      <c r="QJ34" s="56"/>
      <c r="QK34" s="56"/>
      <c r="QL34" s="56"/>
      <c r="QM34" s="56"/>
      <c r="QN34" s="56"/>
      <c r="QO34" s="56"/>
      <c r="QP34" s="56"/>
      <c r="QQ34" s="56"/>
      <c r="QR34" s="56"/>
      <c r="QS34" s="56"/>
      <c r="QT34" s="56"/>
      <c r="QU34" s="56"/>
      <c r="QV34" s="56"/>
      <c r="QW34" s="56"/>
      <c r="QX34" s="56"/>
      <c r="QY34" s="56"/>
      <c r="QZ34" s="56"/>
      <c r="RA34" s="56"/>
      <c r="RB34" s="56"/>
      <c r="RC34" s="56"/>
      <c r="RD34" s="56"/>
      <c r="RE34" s="56"/>
      <c r="RF34" s="56"/>
      <c r="RG34" s="56"/>
      <c r="RH34" s="56"/>
      <c r="RI34" s="56"/>
      <c r="RJ34" s="56"/>
      <c r="RK34" s="56"/>
      <c r="RL34" s="56"/>
      <c r="RM34" s="56"/>
      <c r="RN34" s="56"/>
      <c r="RO34" s="56"/>
      <c r="RP34" s="56"/>
      <c r="RQ34" s="56"/>
      <c r="RR34" s="56"/>
      <c r="RS34" s="56"/>
      <c r="RT34" s="56"/>
      <c r="RU34" s="56"/>
      <c r="RV34" s="56"/>
      <c r="RW34" s="56"/>
      <c r="RX34" s="56"/>
      <c r="RY34" s="56"/>
      <c r="RZ34" s="56"/>
      <c r="SA34" s="56"/>
      <c r="SB34" s="56"/>
      <c r="SC34" s="56"/>
      <c r="SD34" s="56"/>
      <c r="SE34" s="56"/>
      <c r="SF34" s="56"/>
      <c r="SG34" s="56"/>
      <c r="SH34" s="56"/>
      <c r="SI34" s="56"/>
      <c r="SJ34" s="56"/>
      <c r="SK34" s="56"/>
      <c r="SL34" s="56"/>
      <c r="SM34" s="56"/>
      <c r="SN34" s="56"/>
      <c r="SO34" s="56"/>
      <c r="SP34" s="56"/>
      <c r="SQ34" s="56"/>
      <c r="SR34" s="56"/>
    </row>
    <row r="35" spans="1:512" ht="15" customHeight="1" x14ac:dyDescent="0.7">
      <c r="A35" s="171">
        <v>9</v>
      </c>
      <c r="B35" s="171" t="s">
        <v>61</v>
      </c>
      <c r="C35" s="171" t="s">
        <v>344</v>
      </c>
      <c r="D35" s="171"/>
      <c r="E35" s="171" t="s">
        <v>19</v>
      </c>
      <c r="F35" s="171"/>
      <c r="G35" s="174" t="s">
        <v>373</v>
      </c>
      <c r="H35" s="88" t="s">
        <v>374</v>
      </c>
      <c r="I35" s="89" t="s">
        <v>347</v>
      </c>
      <c r="J35" s="90">
        <v>4.6999999999999993</v>
      </c>
      <c r="K35" s="168">
        <v>4.5999999999999996</v>
      </c>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c r="EJ35" s="54"/>
      <c r="EK35" s="54"/>
      <c r="EL35" s="54"/>
      <c r="EM35" s="54"/>
      <c r="EN35" s="54"/>
      <c r="EO35" s="54"/>
      <c r="EP35" s="54"/>
      <c r="EQ35" s="54"/>
      <c r="ER35" s="54"/>
      <c r="ES35" s="54"/>
      <c r="ET35" s="54"/>
      <c r="EU35" s="54"/>
      <c r="EV35" s="54"/>
      <c r="EW35" s="54"/>
      <c r="EX35" s="54"/>
      <c r="EY35" s="54"/>
      <c r="EZ35" s="54"/>
      <c r="FA35" s="54"/>
      <c r="FB35" s="54"/>
      <c r="FC35" s="54"/>
      <c r="FD35" s="54"/>
      <c r="FE35" s="54"/>
      <c r="FF35" s="54"/>
      <c r="FG35" s="54"/>
      <c r="FH35" s="54"/>
      <c r="FI35" s="54"/>
      <c r="FJ35" s="54"/>
      <c r="FK35" s="54"/>
      <c r="FL35" s="54"/>
      <c r="FM35" s="54"/>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c r="HU35" s="54"/>
      <c r="HV35" s="54"/>
      <c r="HW35" s="54"/>
      <c r="HX35" s="54"/>
      <c r="HY35" s="54"/>
      <c r="HZ35" s="54"/>
      <c r="IA35" s="54"/>
      <c r="IB35" s="54"/>
      <c r="IC35" s="54"/>
      <c r="ID35" s="54"/>
      <c r="IE35" s="54"/>
      <c r="IF35" s="54"/>
      <c r="IG35" s="54"/>
      <c r="IH35" s="54"/>
      <c r="II35" s="54"/>
      <c r="IJ35" s="54"/>
      <c r="IK35" s="54"/>
      <c r="IL35" s="54"/>
      <c r="IM35" s="54"/>
      <c r="IN35" s="54"/>
      <c r="IO35" s="54"/>
      <c r="IP35" s="54"/>
      <c r="IQ35" s="54"/>
      <c r="IR35" s="54"/>
      <c r="IS35" s="54"/>
      <c r="IT35" s="54"/>
      <c r="IU35" s="54"/>
      <c r="IV35" s="54"/>
      <c r="IW35" s="54"/>
      <c r="IX35" s="54"/>
      <c r="IY35" s="54"/>
      <c r="IZ35" s="54"/>
      <c r="JA35" s="54"/>
      <c r="JB35" s="54"/>
      <c r="JC35" s="54"/>
      <c r="JD35" s="54"/>
      <c r="JE35" s="54"/>
      <c r="JF35" s="54"/>
      <c r="JG35" s="54"/>
      <c r="JH35" s="54"/>
      <c r="JI35" s="54"/>
      <c r="JJ35" s="54"/>
      <c r="JK35" s="54"/>
      <c r="JL35" s="54"/>
      <c r="JM35" s="54"/>
      <c r="JN35" s="54"/>
      <c r="JO35" s="54"/>
      <c r="JP35" s="54"/>
      <c r="JQ35" s="54"/>
      <c r="JR35" s="54"/>
      <c r="JS35" s="54"/>
      <c r="JT35" s="54"/>
      <c r="JU35" s="54"/>
      <c r="JV35" s="54"/>
      <c r="JW35" s="54"/>
      <c r="JX35" s="54"/>
      <c r="JY35" s="54"/>
      <c r="JZ35" s="54"/>
      <c r="KA35" s="54"/>
      <c r="KB35" s="54"/>
      <c r="KC35" s="54"/>
      <c r="KD35" s="54"/>
      <c r="KE35" s="54"/>
      <c r="KF35" s="54"/>
      <c r="KG35" s="54"/>
      <c r="KH35" s="54"/>
      <c r="KI35" s="54"/>
      <c r="KJ35" s="54"/>
      <c r="KK35" s="54"/>
      <c r="KL35" s="54"/>
      <c r="KM35" s="54"/>
      <c r="KN35" s="54"/>
      <c r="KO35" s="54"/>
      <c r="KP35" s="54"/>
      <c r="KQ35" s="54"/>
      <c r="KR35" s="54"/>
      <c r="KS35" s="54"/>
      <c r="KT35" s="54"/>
      <c r="KU35" s="54"/>
      <c r="KV35" s="54"/>
      <c r="KW35" s="54"/>
      <c r="KX35" s="54"/>
      <c r="KY35" s="54"/>
      <c r="KZ35" s="54"/>
      <c r="LA35" s="54"/>
      <c r="LB35" s="54"/>
      <c r="LC35" s="54"/>
      <c r="LD35" s="54"/>
      <c r="LE35" s="54"/>
      <c r="LF35" s="54"/>
      <c r="LG35" s="54"/>
      <c r="LH35" s="54"/>
      <c r="LI35" s="54"/>
      <c r="LJ35" s="54"/>
      <c r="LK35" s="54"/>
      <c r="LL35" s="54"/>
      <c r="LM35" s="54"/>
      <c r="LN35" s="54"/>
      <c r="LO35" s="54"/>
      <c r="LP35" s="54"/>
      <c r="LQ35" s="54"/>
      <c r="LR35" s="54"/>
      <c r="LS35" s="54"/>
      <c r="LT35" s="54"/>
      <c r="LU35" s="54"/>
      <c r="LV35" s="54"/>
      <c r="LW35" s="54"/>
      <c r="LX35" s="54"/>
      <c r="LY35" s="54"/>
      <c r="LZ35" s="54"/>
      <c r="MA35" s="54"/>
      <c r="MB35" s="54"/>
      <c r="MC35" s="54"/>
      <c r="MD35" s="54"/>
      <c r="ME35" s="54"/>
      <c r="MF35" s="54"/>
      <c r="MG35" s="54"/>
      <c r="MH35" s="54"/>
      <c r="MI35" s="54"/>
      <c r="MJ35" s="54"/>
      <c r="MK35" s="54"/>
      <c r="ML35" s="54"/>
      <c r="MM35" s="54"/>
      <c r="MN35" s="54"/>
      <c r="MO35" s="54"/>
      <c r="MP35" s="54"/>
      <c r="MQ35" s="54"/>
      <c r="MR35" s="54"/>
      <c r="MS35" s="54"/>
      <c r="MT35" s="54"/>
      <c r="MU35" s="54"/>
      <c r="MV35" s="54"/>
      <c r="MW35" s="54"/>
      <c r="MX35" s="54"/>
      <c r="MY35" s="54"/>
      <c r="MZ35" s="54"/>
      <c r="NA35" s="54"/>
      <c r="NB35" s="54"/>
      <c r="NC35" s="54"/>
      <c r="ND35" s="54"/>
      <c r="NE35" s="54"/>
      <c r="NF35" s="54"/>
      <c r="NG35" s="54"/>
      <c r="NH35" s="54"/>
      <c r="NI35" s="54"/>
      <c r="NJ35" s="54"/>
      <c r="NK35" s="54"/>
      <c r="NL35" s="54"/>
      <c r="NM35" s="54"/>
      <c r="NN35" s="54"/>
      <c r="NO35" s="54"/>
      <c r="NP35" s="54"/>
      <c r="NQ35" s="54"/>
      <c r="NR35" s="54"/>
      <c r="NS35" s="54"/>
      <c r="NT35" s="54"/>
      <c r="NU35" s="54"/>
      <c r="NV35" s="54"/>
      <c r="NW35" s="54"/>
      <c r="NX35" s="54"/>
      <c r="NY35" s="54"/>
      <c r="NZ35" s="54"/>
      <c r="OA35" s="54"/>
      <c r="OB35" s="54"/>
      <c r="OC35" s="54"/>
      <c r="OD35" s="54"/>
      <c r="OE35" s="54"/>
      <c r="OF35" s="54"/>
      <c r="OG35" s="54"/>
      <c r="OH35" s="54"/>
      <c r="OI35" s="54"/>
      <c r="OJ35" s="54"/>
      <c r="OK35" s="54"/>
      <c r="OL35" s="54"/>
      <c r="OM35" s="54"/>
      <c r="ON35" s="54"/>
      <c r="OO35" s="54"/>
      <c r="OP35" s="54"/>
      <c r="OQ35" s="54"/>
      <c r="OR35" s="54"/>
      <c r="OS35" s="54"/>
      <c r="OT35" s="54"/>
      <c r="OU35" s="54"/>
      <c r="OV35" s="54"/>
      <c r="OW35" s="54"/>
      <c r="OX35" s="54"/>
      <c r="OY35" s="54"/>
      <c r="OZ35" s="54"/>
      <c r="PA35" s="54"/>
      <c r="PB35" s="54"/>
      <c r="PC35" s="54"/>
      <c r="PD35" s="54"/>
      <c r="PE35" s="54"/>
      <c r="PF35" s="54"/>
      <c r="PG35" s="54"/>
      <c r="PH35" s="54"/>
      <c r="PI35" s="54"/>
      <c r="PJ35" s="54"/>
      <c r="PK35" s="54"/>
      <c r="PL35" s="54"/>
      <c r="PM35" s="54"/>
      <c r="PN35" s="54"/>
      <c r="PO35" s="54"/>
      <c r="PP35" s="54"/>
      <c r="PQ35" s="54"/>
      <c r="PR35" s="54"/>
      <c r="PS35" s="54"/>
      <c r="PT35" s="54"/>
      <c r="PU35" s="54"/>
      <c r="PV35" s="54"/>
      <c r="PW35" s="54"/>
      <c r="PX35" s="54"/>
      <c r="PY35" s="54"/>
      <c r="PZ35" s="54"/>
      <c r="QA35" s="54"/>
      <c r="QB35" s="54"/>
      <c r="QC35" s="54"/>
      <c r="QD35" s="54"/>
      <c r="QE35" s="54"/>
      <c r="QF35" s="54"/>
      <c r="QG35" s="54"/>
      <c r="QH35" s="54"/>
      <c r="QI35" s="54"/>
      <c r="QJ35" s="54"/>
      <c r="QK35" s="54"/>
      <c r="QL35" s="54"/>
      <c r="QM35" s="54"/>
      <c r="QN35" s="54"/>
      <c r="QO35" s="54"/>
      <c r="QP35" s="54"/>
      <c r="QQ35" s="54"/>
      <c r="QR35" s="54"/>
      <c r="QS35" s="54"/>
      <c r="QT35" s="54"/>
      <c r="QU35" s="54"/>
      <c r="QV35" s="54"/>
      <c r="QW35" s="54"/>
      <c r="QX35" s="54"/>
      <c r="QY35" s="54"/>
      <c r="QZ35" s="54"/>
      <c r="RA35" s="54"/>
      <c r="RB35" s="54"/>
      <c r="RC35" s="54"/>
      <c r="RD35" s="54"/>
      <c r="RE35" s="54"/>
      <c r="RF35" s="54"/>
      <c r="RG35" s="54"/>
      <c r="RH35" s="54"/>
      <c r="RI35" s="54"/>
      <c r="RJ35" s="54"/>
      <c r="RK35" s="54"/>
      <c r="RL35" s="54"/>
      <c r="RM35" s="54"/>
      <c r="RN35" s="54"/>
      <c r="RO35" s="54"/>
      <c r="RP35" s="54"/>
      <c r="RQ35" s="54"/>
      <c r="RR35" s="54"/>
      <c r="RS35" s="54"/>
      <c r="RT35" s="54"/>
      <c r="RU35" s="54"/>
      <c r="RV35" s="54"/>
      <c r="RW35" s="54"/>
      <c r="RX35" s="54"/>
      <c r="RY35" s="54"/>
      <c r="RZ35" s="54"/>
      <c r="SA35" s="54"/>
      <c r="SB35" s="54"/>
      <c r="SC35" s="54"/>
      <c r="SD35" s="54"/>
      <c r="SE35" s="54"/>
      <c r="SF35" s="54"/>
      <c r="SG35" s="54"/>
      <c r="SH35" s="54"/>
      <c r="SI35" s="54"/>
      <c r="SJ35" s="54"/>
      <c r="SK35" s="54"/>
      <c r="SL35" s="54"/>
      <c r="SM35" s="54"/>
      <c r="SN35" s="54"/>
      <c r="SO35" s="54"/>
      <c r="SP35" s="54"/>
      <c r="SQ35" s="54"/>
      <c r="SR35" s="54"/>
    </row>
    <row r="36" spans="1:512" ht="15" customHeight="1" x14ac:dyDescent="0.7">
      <c r="A36" s="172"/>
      <c r="B36" s="172"/>
      <c r="C36" s="172"/>
      <c r="D36" s="172"/>
      <c r="E36" s="172"/>
      <c r="F36" s="172"/>
      <c r="G36" s="175"/>
      <c r="H36" s="91"/>
      <c r="I36" s="89" t="s">
        <v>348</v>
      </c>
      <c r="J36" s="90">
        <v>4.5</v>
      </c>
      <c r="K36" s="169"/>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54"/>
      <c r="EM36" s="54"/>
      <c r="EN36" s="54"/>
      <c r="EO36" s="54"/>
      <c r="EP36" s="54"/>
      <c r="EQ36" s="54"/>
      <c r="ER36" s="54"/>
      <c r="ES36" s="54"/>
      <c r="ET36" s="54"/>
      <c r="EU36" s="54"/>
      <c r="EV36" s="54"/>
      <c r="EW36" s="54"/>
      <c r="EX36" s="54"/>
      <c r="EY36" s="54"/>
      <c r="EZ36" s="54"/>
      <c r="FA36" s="54"/>
      <c r="FB36" s="54"/>
      <c r="FC36" s="54"/>
      <c r="FD36" s="54"/>
      <c r="FE36" s="54"/>
      <c r="FF36" s="54"/>
      <c r="FG36" s="54"/>
      <c r="FH36" s="54"/>
      <c r="FI36" s="54"/>
      <c r="FJ36" s="54"/>
      <c r="FK36" s="54"/>
      <c r="FL36" s="54"/>
      <c r="FM36" s="54"/>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4"/>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4"/>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4"/>
      <c r="JS36" s="54"/>
      <c r="JT36" s="54"/>
      <c r="JU36" s="54"/>
      <c r="JV36" s="54"/>
      <c r="JW36" s="54"/>
      <c r="JX36" s="54"/>
      <c r="JY36" s="54"/>
      <c r="JZ36" s="54"/>
      <c r="KA36" s="54"/>
      <c r="KB36" s="54"/>
      <c r="KC36" s="54"/>
      <c r="KD36" s="54"/>
      <c r="KE36" s="54"/>
      <c r="KF36" s="54"/>
      <c r="KG36" s="54"/>
      <c r="KH36" s="54"/>
      <c r="KI36" s="54"/>
      <c r="KJ36" s="54"/>
      <c r="KK36" s="54"/>
      <c r="KL36" s="54"/>
      <c r="KM36" s="54"/>
      <c r="KN36" s="54"/>
      <c r="KO36" s="54"/>
      <c r="KP36" s="54"/>
      <c r="KQ36" s="54"/>
      <c r="KR36" s="54"/>
      <c r="KS36" s="54"/>
      <c r="KT36" s="54"/>
      <c r="KU36" s="54"/>
      <c r="KV36" s="54"/>
      <c r="KW36" s="54"/>
      <c r="KX36" s="54"/>
      <c r="KY36" s="54"/>
      <c r="KZ36" s="54"/>
      <c r="LA36" s="54"/>
      <c r="LB36" s="54"/>
      <c r="LC36" s="54"/>
      <c r="LD36" s="54"/>
      <c r="LE36" s="54"/>
      <c r="LF36" s="54"/>
      <c r="LG36" s="54"/>
      <c r="LH36" s="54"/>
      <c r="LI36" s="54"/>
      <c r="LJ36" s="54"/>
      <c r="LK36" s="54"/>
      <c r="LL36" s="54"/>
      <c r="LM36" s="54"/>
      <c r="LN36" s="54"/>
      <c r="LO36" s="54"/>
      <c r="LP36" s="54"/>
      <c r="LQ36" s="54"/>
      <c r="LR36" s="54"/>
      <c r="LS36" s="54"/>
      <c r="LT36" s="54"/>
      <c r="LU36" s="54"/>
      <c r="LV36" s="54"/>
      <c r="LW36" s="54"/>
      <c r="LX36" s="54"/>
      <c r="LY36" s="54"/>
      <c r="LZ36" s="54"/>
      <c r="MA36" s="54"/>
      <c r="MB36" s="54"/>
      <c r="MC36" s="54"/>
      <c r="MD36" s="54"/>
      <c r="ME36" s="54"/>
      <c r="MF36" s="54"/>
      <c r="MG36" s="54"/>
      <c r="MH36" s="54"/>
      <c r="MI36" s="54"/>
      <c r="MJ36" s="54"/>
      <c r="MK36" s="54"/>
      <c r="ML36" s="54"/>
      <c r="MM36" s="54"/>
      <c r="MN36" s="54"/>
      <c r="MO36" s="54"/>
      <c r="MP36" s="54"/>
      <c r="MQ36" s="54"/>
      <c r="MR36" s="54"/>
      <c r="MS36" s="54"/>
      <c r="MT36" s="54"/>
      <c r="MU36" s="54"/>
      <c r="MV36" s="54"/>
      <c r="MW36" s="54"/>
      <c r="MX36" s="54"/>
      <c r="MY36" s="54"/>
      <c r="MZ36" s="54"/>
      <c r="NA36" s="54"/>
      <c r="NB36" s="54"/>
      <c r="NC36" s="54"/>
      <c r="ND36" s="54"/>
      <c r="NE36" s="54"/>
      <c r="NF36" s="54"/>
      <c r="NG36" s="54"/>
      <c r="NH36" s="54"/>
      <c r="NI36" s="54"/>
      <c r="NJ36" s="54"/>
      <c r="NK36" s="54"/>
      <c r="NL36" s="54"/>
      <c r="NM36" s="54"/>
      <c r="NN36" s="54"/>
      <c r="NO36" s="54"/>
      <c r="NP36" s="54"/>
      <c r="NQ36" s="54"/>
      <c r="NR36" s="54"/>
      <c r="NS36" s="54"/>
      <c r="NT36" s="54"/>
      <c r="NU36" s="54"/>
      <c r="NV36" s="54"/>
      <c r="NW36" s="54"/>
      <c r="NX36" s="54"/>
      <c r="NY36" s="54"/>
      <c r="NZ36" s="54"/>
      <c r="OA36" s="54"/>
      <c r="OB36" s="54"/>
      <c r="OC36" s="54"/>
      <c r="OD36" s="54"/>
      <c r="OE36" s="54"/>
      <c r="OF36" s="54"/>
      <c r="OG36" s="54"/>
      <c r="OH36" s="54"/>
      <c r="OI36" s="54"/>
      <c r="OJ36" s="54"/>
      <c r="OK36" s="54"/>
      <c r="OL36" s="54"/>
      <c r="OM36" s="54"/>
      <c r="ON36" s="54"/>
      <c r="OO36" s="54"/>
      <c r="OP36" s="54"/>
      <c r="OQ36" s="54"/>
      <c r="OR36" s="54"/>
      <c r="OS36" s="54"/>
      <c r="OT36" s="54"/>
      <c r="OU36" s="54"/>
      <c r="OV36" s="54"/>
      <c r="OW36" s="54"/>
      <c r="OX36" s="54"/>
      <c r="OY36" s="54"/>
      <c r="OZ36" s="54"/>
      <c r="PA36" s="54"/>
      <c r="PB36" s="54"/>
      <c r="PC36" s="54"/>
      <c r="PD36" s="54"/>
      <c r="PE36" s="54"/>
      <c r="PF36" s="54"/>
      <c r="PG36" s="54"/>
      <c r="PH36" s="54"/>
      <c r="PI36" s="54"/>
      <c r="PJ36" s="54"/>
      <c r="PK36" s="54"/>
      <c r="PL36" s="54"/>
      <c r="PM36" s="54"/>
      <c r="PN36" s="54"/>
      <c r="PO36" s="54"/>
      <c r="PP36" s="54"/>
      <c r="PQ36" s="54"/>
      <c r="PR36" s="54"/>
      <c r="PS36" s="54"/>
      <c r="PT36" s="54"/>
      <c r="PU36" s="54"/>
      <c r="PV36" s="54"/>
      <c r="PW36" s="54"/>
      <c r="PX36" s="54"/>
      <c r="PY36" s="54"/>
      <c r="PZ36" s="54"/>
      <c r="QA36" s="54"/>
      <c r="QB36" s="54"/>
      <c r="QC36" s="54"/>
      <c r="QD36" s="54"/>
      <c r="QE36" s="54"/>
      <c r="QF36" s="54"/>
      <c r="QG36" s="54"/>
      <c r="QH36" s="54"/>
      <c r="QI36" s="54"/>
      <c r="QJ36" s="54"/>
      <c r="QK36" s="54"/>
      <c r="QL36" s="54"/>
      <c r="QM36" s="54"/>
      <c r="QN36" s="54"/>
      <c r="QO36" s="54"/>
      <c r="QP36" s="54"/>
      <c r="QQ36" s="54"/>
      <c r="QR36" s="54"/>
      <c r="QS36" s="54"/>
      <c r="QT36" s="54"/>
      <c r="QU36" s="54"/>
      <c r="QV36" s="54"/>
      <c r="QW36" s="54"/>
      <c r="QX36" s="54"/>
      <c r="QY36" s="54"/>
      <c r="QZ36" s="54"/>
      <c r="RA36" s="54"/>
      <c r="RB36" s="54"/>
      <c r="RC36" s="54"/>
      <c r="RD36" s="54"/>
      <c r="RE36" s="54"/>
      <c r="RF36" s="54"/>
      <c r="RG36" s="54"/>
      <c r="RH36" s="54"/>
      <c r="RI36" s="54"/>
      <c r="RJ36" s="54"/>
      <c r="RK36" s="54"/>
      <c r="RL36" s="54"/>
      <c r="RM36" s="54"/>
      <c r="RN36" s="54"/>
      <c r="RO36" s="54"/>
      <c r="RP36" s="54"/>
      <c r="RQ36" s="54"/>
      <c r="RR36" s="54"/>
      <c r="RS36" s="54"/>
      <c r="RT36" s="54"/>
      <c r="RU36" s="54"/>
      <c r="RV36" s="54"/>
      <c r="RW36" s="54"/>
      <c r="RX36" s="54"/>
      <c r="RY36" s="54"/>
      <c r="RZ36" s="54"/>
      <c r="SA36" s="54"/>
      <c r="SB36" s="54"/>
      <c r="SC36" s="54"/>
      <c r="SD36" s="54"/>
      <c r="SE36" s="54"/>
      <c r="SF36" s="54"/>
      <c r="SG36" s="54"/>
      <c r="SH36" s="54"/>
      <c r="SI36" s="54"/>
      <c r="SJ36" s="54"/>
      <c r="SK36" s="54"/>
      <c r="SL36" s="54"/>
      <c r="SM36" s="54"/>
      <c r="SN36" s="54"/>
      <c r="SO36" s="54"/>
      <c r="SP36" s="54"/>
      <c r="SQ36" s="54"/>
      <c r="SR36" s="54"/>
    </row>
    <row r="37" spans="1:512" s="55" customFormat="1" ht="15" customHeight="1" x14ac:dyDescent="0.7">
      <c r="A37" s="173"/>
      <c r="B37" s="173"/>
      <c r="C37" s="173"/>
      <c r="D37" s="173"/>
      <c r="E37" s="173"/>
      <c r="F37" s="173"/>
      <c r="G37" s="176"/>
      <c r="H37" s="92"/>
      <c r="I37" s="93"/>
      <c r="J37" s="94"/>
      <c r="K37" s="170"/>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c r="IX37" s="56"/>
      <c r="IY37" s="56"/>
      <c r="IZ37" s="56"/>
      <c r="JA37" s="56"/>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c r="JZ37" s="56"/>
      <c r="KA37" s="56"/>
      <c r="KB37" s="56"/>
      <c r="KC37" s="56"/>
      <c r="KD37" s="56"/>
      <c r="KE37" s="56"/>
      <c r="KF37" s="56"/>
      <c r="KG37" s="56"/>
      <c r="KH37" s="56"/>
      <c r="KI37" s="56"/>
      <c r="KJ37" s="56"/>
      <c r="KK37" s="56"/>
      <c r="KL37" s="56"/>
      <c r="KM37" s="56"/>
      <c r="KN37" s="56"/>
      <c r="KO37" s="56"/>
      <c r="KP37" s="56"/>
      <c r="KQ37" s="56"/>
      <c r="KR37" s="56"/>
      <c r="KS37" s="56"/>
      <c r="KT37" s="56"/>
      <c r="KU37" s="56"/>
      <c r="KV37" s="56"/>
      <c r="KW37" s="56"/>
      <c r="KX37" s="56"/>
      <c r="KY37" s="56"/>
      <c r="KZ37" s="56"/>
      <c r="LA37" s="56"/>
      <c r="LB37" s="56"/>
      <c r="LC37" s="56"/>
      <c r="LD37" s="56"/>
      <c r="LE37" s="56"/>
      <c r="LF37" s="56"/>
      <c r="LG37" s="56"/>
      <c r="LH37" s="56"/>
      <c r="LI37" s="56"/>
      <c r="LJ37" s="56"/>
      <c r="LK37" s="56"/>
      <c r="LL37" s="56"/>
      <c r="LM37" s="56"/>
      <c r="LN37" s="56"/>
      <c r="LO37" s="56"/>
      <c r="LP37" s="56"/>
      <c r="LQ37" s="56"/>
      <c r="LR37" s="56"/>
      <c r="LS37" s="56"/>
      <c r="LT37" s="56"/>
      <c r="LU37" s="56"/>
      <c r="LV37" s="56"/>
      <c r="LW37" s="56"/>
      <c r="LX37" s="56"/>
      <c r="LY37" s="56"/>
      <c r="LZ37" s="56"/>
      <c r="MA37" s="56"/>
      <c r="MB37" s="56"/>
      <c r="MC37" s="56"/>
      <c r="MD37" s="56"/>
      <c r="ME37" s="56"/>
      <c r="MF37" s="56"/>
      <c r="MG37" s="56"/>
      <c r="MH37" s="56"/>
      <c r="MI37" s="56"/>
      <c r="MJ37" s="56"/>
      <c r="MK37" s="56"/>
      <c r="ML37" s="56"/>
      <c r="MM37" s="56"/>
      <c r="MN37" s="56"/>
      <c r="MO37" s="56"/>
      <c r="MP37" s="56"/>
      <c r="MQ37" s="56"/>
      <c r="MR37" s="56"/>
      <c r="MS37" s="56"/>
      <c r="MT37" s="56"/>
      <c r="MU37" s="56"/>
      <c r="MV37" s="56"/>
      <c r="MW37" s="56"/>
      <c r="MX37" s="56"/>
      <c r="MY37" s="56"/>
      <c r="MZ37" s="56"/>
      <c r="NA37" s="56"/>
      <c r="NB37" s="56"/>
      <c r="NC37" s="56"/>
      <c r="ND37" s="56"/>
      <c r="NE37" s="56"/>
      <c r="NF37" s="56"/>
      <c r="NG37" s="56"/>
      <c r="NH37" s="56"/>
      <c r="NI37" s="56"/>
      <c r="NJ37" s="56"/>
      <c r="NK37" s="56"/>
      <c r="NL37" s="56"/>
      <c r="NM37" s="56"/>
      <c r="NN37" s="56"/>
      <c r="NO37" s="56"/>
      <c r="NP37" s="56"/>
      <c r="NQ37" s="56"/>
      <c r="NR37" s="56"/>
      <c r="NS37" s="56"/>
      <c r="NT37" s="56"/>
      <c r="NU37" s="56"/>
      <c r="NV37" s="56"/>
      <c r="NW37" s="56"/>
      <c r="NX37" s="56"/>
      <c r="NY37" s="56"/>
      <c r="NZ37" s="56"/>
      <c r="OA37" s="56"/>
      <c r="OB37" s="56"/>
      <c r="OC37" s="56"/>
      <c r="OD37" s="56"/>
      <c r="OE37" s="56"/>
      <c r="OF37" s="56"/>
      <c r="OG37" s="56"/>
      <c r="OH37" s="56"/>
      <c r="OI37" s="56"/>
      <c r="OJ37" s="56"/>
      <c r="OK37" s="56"/>
      <c r="OL37" s="56"/>
      <c r="OM37" s="56"/>
      <c r="ON37" s="56"/>
      <c r="OO37" s="56"/>
      <c r="OP37" s="56"/>
      <c r="OQ37" s="56"/>
      <c r="OR37" s="56"/>
      <c r="OS37" s="56"/>
      <c r="OT37" s="56"/>
      <c r="OU37" s="56"/>
      <c r="OV37" s="56"/>
      <c r="OW37" s="56"/>
      <c r="OX37" s="56"/>
      <c r="OY37" s="56"/>
      <c r="OZ37" s="56"/>
      <c r="PA37" s="56"/>
      <c r="PB37" s="56"/>
      <c r="PC37" s="56"/>
      <c r="PD37" s="56"/>
      <c r="PE37" s="56"/>
      <c r="PF37" s="56"/>
      <c r="PG37" s="56"/>
      <c r="PH37" s="56"/>
      <c r="PI37" s="56"/>
      <c r="PJ37" s="56"/>
      <c r="PK37" s="56"/>
      <c r="PL37" s="56"/>
      <c r="PM37" s="56"/>
      <c r="PN37" s="56"/>
      <c r="PO37" s="56"/>
      <c r="PP37" s="56"/>
      <c r="PQ37" s="56"/>
      <c r="PR37" s="56"/>
      <c r="PS37" s="56"/>
      <c r="PT37" s="56"/>
      <c r="PU37" s="56"/>
      <c r="PV37" s="56"/>
      <c r="PW37" s="56"/>
      <c r="PX37" s="56"/>
      <c r="PY37" s="56"/>
      <c r="PZ37" s="56"/>
      <c r="QA37" s="56"/>
      <c r="QB37" s="56"/>
      <c r="QC37" s="56"/>
      <c r="QD37" s="56"/>
      <c r="QE37" s="56"/>
      <c r="QF37" s="56"/>
      <c r="QG37" s="56"/>
      <c r="QH37" s="56"/>
      <c r="QI37" s="56"/>
      <c r="QJ37" s="56"/>
      <c r="QK37" s="56"/>
      <c r="QL37" s="56"/>
      <c r="QM37" s="56"/>
      <c r="QN37" s="56"/>
      <c r="QO37" s="56"/>
      <c r="QP37" s="56"/>
      <c r="QQ37" s="56"/>
      <c r="QR37" s="56"/>
      <c r="QS37" s="56"/>
      <c r="QT37" s="56"/>
      <c r="QU37" s="56"/>
      <c r="QV37" s="56"/>
      <c r="QW37" s="56"/>
      <c r="QX37" s="56"/>
      <c r="QY37" s="56"/>
      <c r="QZ37" s="56"/>
      <c r="RA37" s="56"/>
      <c r="RB37" s="56"/>
      <c r="RC37" s="56"/>
      <c r="RD37" s="56"/>
      <c r="RE37" s="56"/>
      <c r="RF37" s="56"/>
      <c r="RG37" s="56"/>
      <c r="RH37" s="56"/>
      <c r="RI37" s="56"/>
      <c r="RJ37" s="56"/>
      <c r="RK37" s="56"/>
      <c r="RL37" s="56"/>
      <c r="RM37" s="56"/>
      <c r="RN37" s="56"/>
      <c r="RO37" s="56"/>
      <c r="RP37" s="56"/>
      <c r="RQ37" s="56"/>
      <c r="RR37" s="56"/>
      <c r="RS37" s="56"/>
      <c r="RT37" s="56"/>
      <c r="RU37" s="56"/>
      <c r="RV37" s="56"/>
      <c r="RW37" s="56"/>
      <c r="RX37" s="56"/>
      <c r="RY37" s="56"/>
      <c r="RZ37" s="56"/>
      <c r="SA37" s="56"/>
      <c r="SB37" s="56"/>
      <c r="SC37" s="56"/>
      <c r="SD37" s="56"/>
      <c r="SE37" s="56"/>
      <c r="SF37" s="56"/>
      <c r="SG37" s="56"/>
      <c r="SH37" s="56"/>
      <c r="SI37" s="56"/>
      <c r="SJ37" s="56"/>
      <c r="SK37" s="56"/>
      <c r="SL37" s="56"/>
      <c r="SM37" s="56"/>
      <c r="SN37" s="56"/>
      <c r="SO37" s="56"/>
      <c r="SP37" s="56"/>
      <c r="SQ37" s="56"/>
      <c r="SR37" s="56"/>
    </row>
    <row r="38" spans="1:512" ht="15" customHeight="1" x14ac:dyDescent="0.7">
      <c r="A38" s="171">
        <v>10</v>
      </c>
      <c r="B38" s="171" t="s">
        <v>66</v>
      </c>
      <c r="C38" s="171" t="s">
        <v>344</v>
      </c>
      <c r="D38" s="171"/>
      <c r="E38" s="171" t="s">
        <v>33</v>
      </c>
      <c r="F38" s="171"/>
      <c r="G38" s="174" t="s">
        <v>375</v>
      </c>
      <c r="H38" s="88" t="s">
        <v>376</v>
      </c>
      <c r="I38" s="89" t="s">
        <v>347</v>
      </c>
      <c r="J38" s="90">
        <v>2.6</v>
      </c>
      <c r="K38" s="168">
        <v>2.5</v>
      </c>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c r="KY38" s="54"/>
      <c r="KZ38" s="54"/>
      <c r="LA38" s="54"/>
      <c r="LB38" s="54"/>
      <c r="LC38" s="54"/>
      <c r="LD38" s="54"/>
      <c r="LE38" s="54"/>
      <c r="LF38" s="54"/>
      <c r="LG38" s="54"/>
      <c r="LH38" s="54"/>
      <c r="LI38" s="54"/>
      <c r="LJ38" s="54"/>
      <c r="LK38" s="54"/>
      <c r="LL38" s="54"/>
      <c r="LM38" s="54"/>
      <c r="LN38" s="54"/>
      <c r="LO38" s="54"/>
      <c r="LP38" s="54"/>
      <c r="LQ38" s="54"/>
      <c r="LR38" s="54"/>
      <c r="LS38" s="54"/>
      <c r="LT38" s="54"/>
      <c r="LU38" s="54"/>
      <c r="LV38" s="54"/>
      <c r="LW38" s="54"/>
      <c r="LX38" s="54"/>
      <c r="LY38" s="54"/>
      <c r="LZ38" s="54"/>
      <c r="MA38" s="54"/>
      <c r="MB38" s="54"/>
      <c r="MC38" s="54"/>
      <c r="MD38" s="54"/>
      <c r="ME38" s="54"/>
      <c r="MF38" s="54"/>
      <c r="MG38" s="54"/>
      <c r="MH38" s="54"/>
      <c r="MI38" s="54"/>
      <c r="MJ38" s="54"/>
      <c r="MK38" s="54"/>
      <c r="ML38" s="54"/>
      <c r="MM38" s="54"/>
      <c r="MN38" s="54"/>
      <c r="MO38" s="54"/>
      <c r="MP38" s="54"/>
      <c r="MQ38" s="54"/>
      <c r="MR38" s="54"/>
      <c r="MS38" s="54"/>
      <c r="MT38" s="54"/>
      <c r="MU38" s="54"/>
      <c r="MV38" s="54"/>
      <c r="MW38" s="54"/>
      <c r="MX38" s="54"/>
      <c r="MY38" s="54"/>
      <c r="MZ38" s="54"/>
      <c r="NA38" s="54"/>
      <c r="NB38" s="54"/>
      <c r="NC38" s="54"/>
      <c r="ND38" s="54"/>
      <c r="NE38" s="54"/>
      <c r="NF38" s="54"/>
      <c r="NG38" s="54"/>
      <c r="NH38" s="54"/>
      <c r="NI38" s="54"/>
      <c r="NJ38" s="54"/>
      <c r="NK38" s="54"/>
      <c r="NL38" s="54"/>
      <c r="NM38" s="54"/>
      <c r="NN38" s="54"/>
      <c r="NO38" s="54"/>
      <c r="NP38" s="54"/>
      <c r="NQ38" s="54"/>
      <c r="NR38" s="54"/>
      <c r="NS38" s="54"/>
      <c r="NT38" s="54"/>
      <c r="NU38" s="54"/>
      <c r="NV38" s="54"/>
      <c r="NW38" s="54"/>
      <c r="NX38" s="54"/>
      <c r="NY38" s="54"/>
      <c r="NZ38" s="54"/>
      <c r="OA38" s="54"/>
      <c r="OB38" s="54"/>
      <c r="OC38" s="54"/>
      <c r="OD38" s="54"/>
      <c r="OE38" s="54"/>
      <c r="OF38" s="54"/>
      <c r="OG38" s="54"/>
      <c r="OH38" s="54"/>
      <c r="OI38" s="54"/>
      <c r="OJ38" s="54"/>
      <c r="OK38" s="54"/>
      <c r="OL38" s="54"/>
      <c r="OM38" s="54"/>
      <c r="ON38" s="54"/>
      <c r="OO38" s="54"/>
      <c r="OP38" s="54"/>
      <c r="OQ38" s="54"/>
      <c r="OR38" s="54"/>
      <c r="OS38" s="54"/>
      <c r="OT38" s="54"/>
      <c r="OU38" s="54"/>
      <c r="OV38" s="54"/>
      <c r="OW38" s="54"/>
      <c r="OX38" s="54"/>
      <c r="OY38" s="54"/>
      <c r="OZ38" s="54"/>
      <c r="PA38" s="54"/>
      <c r="PB38" s="54"/>
      <c r="PC38" s="54"/>
      <c r="PD38" s="54"/>
      <c r="PE38" s="54"/>
      <c r="PF38" s="54"/>
      <c r="PG38" s="54"/>
      <c r="PH38" s="54"/>
      <c r="PI38" s="54"/>
      <c r="PJ38" s="54"/>
      <c r="PK38" s="54"/>
      <c r="PL38" s="54"/>
      <c r="PM38" s="54"/>
      <c r="PN38" s="54"/>
      <c r="PO38" s="54"/>
      <c r="PP38" s="54"/>
      <c r="PQ38" s="54"/>
      <c r="PR38" s="54"/>
      <c r="PS38" s="54"/>
      <c r="PT38" s="54"/>
      <c r="PU38" s="54"/>
      <c r="PV38" s="54"/>
      <c r="PW38" s="54"/>
      <c r="PX38" s="54"/>
      <c r="PY38" s="54"/>
      <c r="PZ38" s="54"/>
      <c r="QA38" s="54"/>
      <c r="QB38" s="54"/>
      <c r="QC38" s="54"/>
      <c r="QD38" s="54"/>
      <c r="QE38" s="54"/>
      <c r="QF38" s="54"/>
      <c r="QG38" s="54"/>
      <c r="QH38" s="54"/>
      <c r="QI38" s="54"/>
      <c r="QJ38" s="54"/>
      <c r="QK38" s="54"/>
      <c r="QL38" s="54"/>
      <c r="QM38" s="54"/>
      <c r="QN38" s="54"/>
      <c r="QO38" s="54"/>
      <c r="QP38" s="54"/>
      <c r="QQ38" s="54"/>
      <c r="QR38" s="54"/>
      <c r="QS38" s="54"/>
      <c r="QT38" s="54"/>
      <c r="QU38" s="54"/>
      <c r="QV38" s="54"/>
      <c r="QW38" s="54"/>
      <c r="QX38" s="54"/>
      <c r="QY38" s="54"/>
      <c r="QZ38" s="54"/>
      <c r="RA38" s="54"/>
      <c r="RB38" s="54"/>
      <c r="RC38" s="54"/>
      <c r="RD38" s="54"/>
      <c r="RE38" s="54"/>
      <c r="RF38" s="54"/>
      <c r="RG38" s="54"/>
      <c r="RH38" s="54"/>
      <c r="RI38" s="54"/>
      <c r="RJ38" s="54"/>
      <c r="RK38" s="54"/>
      <c r="RL38" s="54"/>
      <c r="RM38" s="54"/>
      <c r="RN38" s="54"/>
      <c r="RO38" s="54"/>
      <c r="RP38" s="54"/>
      <c r="RQ38" s="54"/>
      <c r="RR38" s="54"/>
      <c r="RS38" s="54"/>
      <c r="RT38" s="54"/>
      <c r="RU38" s="54"/>
      <c r="RV38" s="54"/>
      <c r="RW38" s="54"/>
      <c r="RX38" s="54"/>
      <c r="RY38" s="54"/>
      <c r="RZ38" s="54"/>
      <c r="SA38" s="54"/>
      <c r="SB38" s="54"/>
      <c r="SC38" s="54"/>
      <c r="SD38" s="54"/>
      <c r="SE38" s="54"/>
      <c r="SF38" s="54"/>
      <c r="SG38" s="54"/>
      <c r="SH38" s="54"/>
      <c r="SI38" s="54"/>
      <c r="SJ38" s="54"/>
      <c r="SK38" s="54"/>
      <c r="SL38" s="54"/>
      <c r="SM38" s="54"/>
      <c r="SN38" s="54"/>
      <c r="SO38" s="54"/>
      <c r="SP38" s="54"/>
      <c r="SQ38" s="54"/>
      <c r="SR38" s="54"/>
    </row>
    <row r="39" spans="1:512" ht="15" customHeight="1" x14ac:dyDescent="0.7">
      <c r="A39" s="172"/>
      <c r="B39" s="172"/>
      <c r="C39" s="172"/>
      <c r="D39" s="172"/>
      <c r="E39" s="172"/>
      <c r="F39" s="172"/>
      <c r="G39" s="175"/>
      <c r="H39" s="91"/>
      <c r="I39" s="89" t="s">
        <v>348</v>
      </c>
      <c r="J39" s="90">
        <v>2.4</v>
      </c>
      <c r="K39" s="169"/>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c r="HP39" s="54"/>
      <c r="HQ39" s="54"/>
      <c r="HR39" s="54"/>
      <c r="HS39" s="54"/>
      <c r="HT39" s="54"/>
      <c r="HU39" s="54"/>
      <c r="HV39" s="54"/>
      <c r="HW39" s="54"/>
      <c r="HX39" s="54"/>
      <c r="HY39" s="54"/>
      <c r="HZ39" s="54"/>
      <c r="IA39" s="54"/>
      <c r="IB39" s="54"/>
      <c r="IC39" s="54"/>
      <c r="ID39" s="54"/>
      <c r="IE39" s="54"/>
      <c r="IF39" s="54"/>
      <c r="IG39" s="54"/>
      <c r="IH39" s="54"/>
      <c r="II39" s="54"/>
      <c r="IJ39" s="54"/>
      <c r="IK39" s="54"/>
      <c r="IL39" s="54"/>
      <c r="IM39" s="54"/>
      <c r="IN39" s="54"/>
      <c r="IO39" s="54"/>
      <c r="IP39" s="54"/>
      <c r="IQ39" s="54"/>
      <c r="IR39" s="54"/>
      <c r="IS39" s="54"/>
      <c r="IT39" s="54"/>
      <c r="IU39" s="54"/>
      <c r="IV39" s="54"/>
      <c r="IW39" s="54"/>
      <c r="IX39" s="54"/>
      <c r="IY39" s="54"/>
      <c r="IZ39" s="54"/>
      <c r="JA39" s="54"/>
      <c r="JB39" s="54"/>
      <c r="JC39" s="54"/>
      <c r="JD39" s="54"/>
      <c r="JE39" s="54"/>
      <c r="JF39" s="54"/>
      <c r="JG39" s="54"/>
      <c r="JH39" s="54"/>
      <c r="JI39" s="54"/>
      <c r="JJ39" s="54"/>
      <c r="JK39" s="54"/>
      <c r="JL39" s="54"/>
      <c r="JM39" s="54"/>
      <c r="JN39" s="54"/>
      <c r="JO39" s="54"/>
      <c r="JP39" s="54"/>
      <c r="JQ39" s="54"/>
      <c r="JR39" s="54"/>
      <c r="JS39" s="54"/>
      <c r="JT39" s="54"/>
      <c r="JU39" s="54"/>
      <c r="JV39" s="54"/>
      <c r="JW39" s="54"/>
      <c r="JX39" s="54"/>
      <c r="JY39" s="54"/>
      <c r="JZ39" s="54"/>
      <c r="KA39" s="54"/>
      <c r="KB39" s="54"/>
      <c r="KC39" s="54"/>
      <c r="KD39" s="54"/>
      <c r="KE39" s="54"/>
      <c r="KF39" s="54"/>
      <c r="KG39" s="54"/>
      <c r="KH39" s="54"/>
      <c r="KI39" s="54"/>
      <c r="KJ39" s="54"/>
      <c r="KK39" s="54"/>
      <c r="KL39" s="54"/>
      <c r="KM39" s="54"/>
      <c r="KN39" s="54"/>
      <c r="KO39" s="54"/>
      <c r="KP39" s="54"/>
      <c r="KQ39" s="54"/>
      <c r="KR39" s="54"/>
      <c r="KS39" s="54"/>
      <c r="KT39" s="54"/>
      <c r="KU39" s="54"/>
      <c r="KV39" s="54"/>
      <c r="KW39" s="54"/>
      <c r="KX39" s="54"/>
      <c r="KY39" s="54"/>
      <c r="KZ39" s="54"/>
      <c r="LA39" s="54"/>
      <c r="LB39" s="54"/>
      <c r="LC39" s="54"/>
      <c r="LD39" s="54"/>
      <c r="LE39" s="54"/>
      <c r="LF39" s="54"/>
      <c r="LG39" s="54"/>
      <c r="LH39" s="54"/>
      <c r="LI39" s="54"/>
      <c r="LJ39" s="54"/>
      <c r="LK39" s="54"/>
      <c r="LL39" s="54"/>
      <c r="LM39" s="54"/>
      <c r="LN39" s="54"/>
      <c r="LO39" s="54"/>
      <c r="LP39" s="54"/>
      <c r="LQ39" s="54"/>
      <c r="LR39" s="54"/>
      <c r="LS39" s="54"/>
      <c r="LT39" s="54"/>
      <c r="LU39" s="54"/>
      <c r="LV39" s="54"/>
      <c r="LW39" s="54"/>
      <c r="LX39" s="54"/>
      <c r="LY39" s="54"/>
      <c r="LZ39" s="54"/>
      <c r="MA39" s="54"/>
      <c r="MB39" s="54"/>
      <c r="MC39" s="54"/>
      <c r="MD39" s="54"/>
      <c r="ME39" s="54"/>
      <c r="MF39" s="54"/>
      <c r="MG39" s="54"/>
      <c r="MH39" s="54"/>
      <c r="MI39" s="54"/>
      <c r="MJ39" s="54"/>
      <c r="MK39" s="54"/>
      <c r="ML39" s="54"/>
      <c r="MM39" s="54"/>
      <c r="MN39" s="54"/>
      <c r="MO39" s="54"/>
      <c r="MP39" s="54"/>
      <c r="MQ39" s="54"/>
      <c r="MR39" s="54"/>
      <c r="MS39" s="54"/>
      <c r="MT39" s="54"/>
      <c r="MU39" s="54"/>
      <c r="MV39" s="54"/>
      <c r="MW39" s="54"/>
      <c r="MX39" s="54"/>
      <c r="MY39" s="54"/>
      <c r="MZ39" s="54"/>
      <c r="NA39" s="54"/>
      <c r="NB39" s="54"/>
      <c r="NC39" s="54"/>
      <c r="ND39" s="54"/>
      <c r="NE39" s="54"/>
      <c r="NF39" s="54"/>
      <c r="NG39" s="54"/>
      <c r="NH39" s="54"/>
      <c r="NI39" s="54"/>
      <c r="NJ39" s="54"/>
      <c r="NK39" s="54"/>
      <c r="NL39" s="54"/>
      <c r="NM39" s="54"/>
      <c r="NN39" s="54"/>
      <c r="NO39" s="54"/>
      <c r="NP39" s="54"/>
      <c r="NQ39" s="54"/>
      <c r="NR39" s="54"/>
      <c r="NS39" s="54"/>
      <c r="NT39" s="54"/>
      <c r="NU39" s="54"/>
      <c r="NV39" s="54"/>
      <c r="NW39" s="54"/>
      <c r="NX39" s="54"/>
      <c r="NY39" s="54"/>
      <c r="NZ39" s="54"/>
      <c r="OA39" s="54"/>
      <c r="OB39" s="54"/>
      <c r="OC39" s="54"/>
      <c r="OD39" s="54"/>
      <c r="OE39" s="54"/>
      <c r="OF39" s="54"/>
      <c r="OG39" s="54"/>
      <c r="OH39" s="54"/>
      <c r="OI39" s="54"/>
      <c r="OJ39" s="54"/>
      <c r="OK39" s="54"/>
      <c r="OL39" s="54"/>
      <c r="OM39" s="54"/>
      <c r="ON39" s="54"/>
      <c r="OO39" s="54"/>
      <c r="OP39" s="54"/>
      <c r="OQ39" s="54"/>
      <c r="OR39" s="54"/>
      <c r="OS39" s="54"/>
      <c r="OT39" s="54"/>
      <c r="OU39" s="54"/>
      <c r="OV39" s="54"/>
      <c r="OW39" s="54"/>
      <c r="OX39" s="54"/>
      <c r="OY39" s="54"/>
      <c r="OZ39" s="54"/>
      <c r="PA39" s="54"/>
      <c r="PB39" s="54"/>
      <c r="PC39" s="54"/>
      <c r="PD39" s="54"/>
      <c r="PE39" s="54"/>
      <c r="PF39" s="54"/>
      <c r="PG39" s="54"/>
      <c r="PH39" s="54"/>
      <c r="PI39" s="54"/>
      <c r="PJ39" s="54"/>
      <c r="PK39" s="54"/>
      <c r="PL39" s="54"/>
      <c r="PM39" s="54"/>
      <c r="PN39" s="54"/>
      <c r="PO39" s="54"/>
      <c r="PP39" s="54"/>
      <c r="PQ39" s="54"/>
      <c r="PR39" s="54"/>
      <c r="PS39" s="54"/>
      <c r="PT39" s="54"/>
      <c r="PU39" s="54"/>
      <c r="PV39" s="54"/>
      <c r="PW39" s="54"/>
      <c r="PX39" s="54"/>
      <c r="PY39" s="54"/>
      <c r="PZ39" s="54"/>
      <c r="QA39" s="54"/>
      <c r="QB39" s="54"/>
      <c r="QC39" s="54"/>
      <c r="QD39" s="54"/>
      <c r="QE39" s="54"/>
      <c r="QF39" s="54"/>
      <c r="QG39" s="54"/>
      <c r="QH39" s="54"/>
      <c r="QI39" s="54"/>
      <c r="QJ39" s="54"/>
      <c r="QK39" s="54"/>
      <c r="QL39" s="54"/>
      <c r="QM39" s="54"/>
      <c r="QN39" s="54"/>
      <c r="QO39" s="54"/>
      <c r="QP39" s="54"/>
      <c r="QQ39" s="54"/>
      <c r="QR39" s="54"/>
      <c r="QS39" s="54"/>
      <c r="QT39" s="54"/>
      <c r="QU39" s="54"/>
      <c r="QV39" s="54"/>
      <c r="QW39" s="54"/>
      <c r="QX39" s="54"/>
      <c r="QY39" s="54"/>
      <c r="QZ39" s="54"/>
      <c r="RA39" s="54"/>
      <c r="RB39" s="54"/>
      <c r="RC39" s="54"/>
      <c r="RD39" s="54"/>
      <c r="RE39" s="54"/>
      <c r="RF39" s="54"/>
      <c r="RG39" s="54"/>
      <c r="RH39" s="54"/>
      <c r="RI39" s="54"/>
      <c r="RJ39" s="54"/>
      <c r="RK39" s="54"/>
      <c r="RL39" s="54"/>
      <c r="RM39" s="54"/>
      <c r="RN39" s="54"/>
      <c r="RO39" s="54"/>
      <c r="RP39" s="54"/>
      <c r="RQ39" s="54"/>
      <c r="RR39" s="54"/>
      <c r="RS39" s="54"/>
      <c r="RT39" s="54"/>
      <c r="RU39" s="54"/>
      <c r="RV39" s="54"/>
      <c r="RW39" s="54"/>
      <c r="RX39" s="54"/>
      <c r="RY39" s="54"/>
      <c r="RZ39" s="54"/>
      <c r="SA39" s="54"/>
      <c r="SB39" s="54"/>
      <c r="SC39" s="54"/>
      <c r="SD39" s="54"/>
      <c r="SE39" s="54"/>
      <c r="SF39" s="54"/>
      <c r="SG39" s="54"/>
      <c r="SH39" s="54"/>
      <c r="SI39" s="54"/>
      <c r="SJ39" s="54"/>
      <c r="SK39" s="54"/>
      <c r="SL39" s="54"/>
      <c r="SM39" s="54"/>
      <c r="SN39" s="54"/>
      <c r="SO39" s="54"/>
      <c r="SP39" s="54"/>
      <c r="SQ39" s="54"/>
      <c r="SR39" s="54"/>
    </row>
    <row r="40" spans="1:512" s="55" customFormat="1" ht="15" customHeight="1" x14ac:dyDescent="0.7">
      <c r="A40" s="173"/>
      <c r="B40" s="173"/>
      <c r="C40" s="173"/>
      <c r="D40" s="173"/>
      <c r="E40" s="173"/>
      <c r="F40" s="173"/>
      <c r="G40" s="176"/>
      <c r="H40" s="92"/>
      <c r="I40" s="93"/>
      <c r="J40" s="94"/>
      <c r="K40" s="170"/>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c r="IX40" s="56"/>
      <c r="IY40" s="56"/>
      <c r="IZ40" s="56"/>
      <c r="JA40" s="56"/>
      <c r="JB40" s="56"/>
      <c r="JC40" s="56"/>
      <c r="JD40" s="56"/>
      <c r="JE40" s="56"/>
      <c r="JF40" s="56"/>
      <c r="JG40" s="56"/>
      <c r="JH40" s="56"/>
      <c r="JI40" s="56"/>
      <c r="JJ40" s="56"/>
      <c r="JK40" s="56"/>
      <c r="JL40" s="56"/>
      <c r="JM40" s="56"/>
      <c r="JN40" s="56"/>
      <c r="JO40" s="56"/>
      <c r="JP40" s="56"/>
      <c r="JQ40" s="56"/>
      <c r="JR40" s="56"/>
      <c r="JS40" s="56"/>
      <c r="JT40" s="56"/>
      <c r="JU40" s="56"/>
      <c r="JV40" s="56"/>
      <c r="JW40" s="56"/>
      <c r="JX40" s="56"/>
      <c r="JY40" s="56"/>
      <c r="JZ40" s="56"/>
      <c r="KA40" s="56"/>
      <c r="KB40" s="56"/>
      <c r="KC40" s="56"/>
      <c r="KD40" s="56"/>
      <c r="KE40" s="56"/>
      <c r="KF40" s="56"/>
      <c r="KG40" s="56"/>
      <c r="KH40" s="56"/>
      <c r="KI40" s="56"/>
      <c r="KJ40" s="56"/>
      <c r="KK40" s="56"/>
      <c r="KL40" s="56"/>
      <c r="KM40" s="56"/>
      <c r="KN40" s="56"/>
      <c r="KO40" s="56"/>
      <c r="KP40" s="56"/>
      <c r="KQ40" s="56"/>
      <c r="KR40" s="56"/>
      <c r="KS40" s="56"/>
      <c r="KT40" s="56"/>
      <c r="KU40" s="56"/>
      <c r="KV40" s="56"/>
      <c r="KW40" s="56"/>
      <c r="KX40" s="56"/>
      <c r="KY40" s="56"/>
      <c r="KZ40" s="56"/>
      <c r="LA40" s="56"/>
      <c r="LB40" s="56"/>
      <c r="LC40" s="56"/>
      <c r="LD40" s="56"/>
      <c r="LE40" s="56"/>
      <c r="LF40" s="56"/>
      <c r="LG40" s="56"/>
      <c r="LH40" s="56"/>
      <c r="LI40" s="56"/>
      <c r="LJ40" s="56"/>
      <c r="LK40" s="56"/>
      <c r="LL40" s="56"/>
      <c r="LM40" s="56"/>
      <c r="LN40" s="56"/>
      <c r="LO40" s="56"/>
      <c r="LP40" s="56"/>
      <c r="LQ40" s="56"/>
      <c r="LR40" s="56"/>
      <c r="LS40" s="56"/>
      <c r="LT40" s="56"/>
      <c r="LU40" s="56"/>
      <c r="LV40" s="56"/>
      <c r="LW40" s="56"/>
      <c r="LX40" s="56"/>
      <c r="LY40" s="56"/>
      <c r="LZ40" s="56"/>
      <c r="MA40" s="56"/>
      <c r="MB40" s="56"/>
      <c r="MC40" s="56"/>
      <c r="MD40" s="56"/>
      <c r="ME40" s="56"/>
      <c r="MF40" s="56"/>
      <c r="MG40" s="56"/>
      <c r="MH40" s="56"/>
      <c r="MI40" s="56"/>
      <c r="MJ40" s="56"/>
      <c r="MK40" s="56"/>
      <c r="ML40" s="56"/>
      <c r="MM40" s="56"/>
      <c r="MN40" s="56"/>
      <c r="MO40" s="56"/>
      <c r="MP40" s="56"/>
      <c r="MQ40" s="56"/>
      <c r="MR40" s="56"/>
      <c r="MS40" s="56"/>
      <c r="MT40" s="56"/>
      <c r="MU40" s="56"/>
      <c r="MV40" s="56"/>
      <c r="MW40" s="56"/>
      <c r="MX40" s="56"/>
      <c r="MY40" s="56"/>
      <c r="MZ40" s="56"/>
      <c r="NA40" s="56"/>
      <c r="NB40" s="56"/>
      <c r="NC40" s="56"/>
      <c r="ND40" s="56"/>
      <c r="NE40" s="56"/>
      <c r="NF40" s="56"/>
      <c r="NG40" s="56"/>
      <c r="NH40" s="56"/>
      <c r="NI40" s="56"/>
      <c r="NJ40" s="56"/>
      <c r="NK40" s="56"/>
      <c r="NL40" s="56"/>
      <c r="NM40" s="56"/>
      <c r="NN40" s="56"/>
      <c r="NO40" s="56"/>
      <c r="NP40" s="56"/>
      <c r="NQ40" s="56"/>
      <c r="NR40" s="56"/>
      <c r="NS40" s="56"/>
      <c r="NT40" s="56"/>
      <c r="NU40" s="56"/>
      <c r="NV40" s="56"/>
      <c r="NW40" s="56"/>
      <c r="NX40" s="56"/>
      <c r="NY40" s="56"/>
      <c r="NZ40" s="56"/>
      <c r="OA40" s="56"/>
      <c r="OB40" s="56"/>
      <c r="OC40" s="56"/>
      <c r="OD40" s="56"/>
      <c r="OE40" s="56"/>
      <c r="OF40" s="56"/>
      <c r="OG40" s="56"/>
      <c r="OH40" s="56"/>
      <c r="OI40" s="56"/>
      <c r="OJ40" s="56"/>
      <c r="OK40" s="56"/>
      <c r="OL40" s="56"/>
      <c r="OM40" s="56"/>
      <c r="ON40" s="56"/>
      <c r="OO40" s="56"/>
      <c r="OP40" s="56"/>
      <c r="OQ40" s="56"/>
      <c r="OR40" s="56"/>
      <c r="OS40" s="56"/>
      <c r="OT40" s="56"/>
      <c r="OU40" s="56"/>
      <c r="OV40" s="56"/>
      <c r="OW40" s="56"/>
      <c r="OX40" s="56"/>
      <c r="OY40" s="56"/>
      <c r="OZ40" s="56"/>
      <c r="PA40" s="56"/>
      <c r="PB40" s="56"/>
      <c r="PC40" s="56"/>
      <c r="PD40" s="56"/>
      <c r="PE40" s="56"/>
      <c r="PF40" s="56"/>
      <c r="PG40" s="56"/>
      <c r="PH40" s="56"/>
      <c r="PI40" s="56"/>
      <c r="PJ40" s="56"/>
      <c r="PK40" s="56"/>
      <c r="PL40" s="56"/>
      <c r="PM40" s="56"/>
      <c r="PN40" s="56"/>
      <c r="PO40" s="56"/>
      <c r="PP40" s="56"/>
      <c r="PQ40" s="56"/>
      <c r="PR40" s="56"/>
      <c r="PS40" s="56"/>
      <c r="PT40" s="56"/>
      <c r="PU40" s="56"/>
      <c r="PV40" s="56"/>
      <c r="PW40" s="56"/>
      <c r="PX40" s="56"/>
      <c r="PY40" s="56"/>
      <c r="PZ40" s="56"/>
      <c r="QA40" s="56"/>
      <c r="QB40" s="56"/>
      <c r="QC40" s="56"/>
      <c r="QD40" s="56"/>
      <c r="QE40" s="56"/>
      <c r="QF40" s="56"/>
      <c r="QG40" s="56"/>
      <c r="QH40" s="56"/>
      <c r="QI40" s="56"/>
      <c r="QJ40" s="56"/>
      <c r="QK40" s="56"/>
      <c r="QL40" s="56"/>
      <c r="QM40" s="56"/>
      <c r="QN40" s="56"/>
      <c r="QO40" s="56"/>
      <c r="QP40" s="56"/>
      <c r="QQ40" s="56"/>
      <c r="QR40" s="56"/>
      <c r="QS40" s="56"/>
      <c r="QT40" s="56"/>
      <c r="QU40" s="56"/>
      <c r="QV40" s="56"/>
      <c r="QW40" s="56"/>
      <c r="QX40" s="56"/>
      <c r="QY40" s="56"/>
      <c r="QZ40" s="56"/>
      <c r="RA40" s="56"/>
      <c r="RB40" s="56"/>
      <c r="RC40" s="56"/>
      <c r="RD40" s="56"/>
      <c r="RE40" s="56"/>
      <c r="RF40" s="56"/>
      <c r="RG40" s="56"/>
      <c r="RH40" s="56"/>
      <c r="RI40" s="56"/>
      <c r="RJ40" s="56"/>
      <c r="RK40" s="56"/>
      <c r="RL40" s="56"/>
      <c r="RM40" s="56"/>
      <c r="RN40" s="56"/>
      <c r="RO40" s="56"/>
      <c r="RP40" s="56"/>
      <c r="RQ40" s="56"/>
      <c r="RR40" s="56"/>
      <c r="RS40" s="56"/>
      <c r="RT40" s="56"/>
      <c r="RU40" s="56"/>
      <c r="RV40" s="56"/>
      <c r="RW40" s="56"/>
      <c r="RX40" s="56"/>
      <c r="RY40" s="56"/>
      <c r="RZ40" s="56"/>
      <c r="SA40" s="56"/>
      <c r="SB40" s="56"/>
      <c r="SC40" s="56"/>
      <c r="SD40" s="56"/>
      <c r="SE40" s="56"/>
      <c r="SF40" s="56"/>
      <c r="SG40" s="56"/>
      <c r="SH40" s="56"/>
      <c r="SI40" s="56"/>
      <c r="SJ40" s="56"/>
      <c r="SK40" s="56"/>
      <c r="SL40" s="56"/>
      <c r="SM40" s="56"/>
      <c r="SN40" s="56"/>
      <c r="SO40" s="56"/>
      <c r="SP40" s="56"/>
      <c r="SQ40" s="56"/>
      <c r="SR40" s="56"/>
    </row>
    <row r="41" spans="1:512" ht="15" customHeight="1" x14ac:dyDescent="0.7">
      <c r="A41" s="171">
        <v>11</v>
      </c>
      <c r="B41" s="171" t="s">
        <v>70</v>
      </c>
      <c r="C41" s="171" t="s">
        <v>344</v>
      </c>
      <c r="D41" s="171"/>
      <c r="E41" s="171" t="s">
        <v>33</v>
      </c>
      <c r="F41" s="171"/>
      <c r="G41" s="174" t="s">
        <v>377</v>
      </c>
      <c r="H41" s="88" t="s">
        <v>378</v>
      </c>
      <c r="I41" s="89" t="s">
        <v>347</v>
      </c>
      <c r="J41" s="90">
        <v>2.1</v>
      </c>
      <c r="K41" s="168">
        <v>2</v>
      </c>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4"/>
      <c r="HT41" s="54"/>
      <c r="HU41" s="54"/>
      <c r="HV41" s="54"/>
      <c r="HW41" s="54"/>
      <c r="HX41" s="54"/>
      <c r="HY41" s="54"/>
      <c r="HZ41" s="54"/>
      <c r="IA41" s="54"/>
      <c r="IB41" s="54"/>
      <c r="IC41" s="54"/>
      <c r="ID41" s="54"/>
      <c r="IE41" s="54"/>
      <c r="IF41" s="54"/>
      <c r="IG41" s="54"/>
      <c r="IH41" s="54"/>
      <c r="II41" s="54"/>
      <c r="IJ41" s="54"/>
      <c r="IK41" s="54"/>
      <c r="IL41" s="54"/>
      <c r="IM41" s="54"/>
      <c r="IN41" s="54"/>
      <c r="IO41" s="54"/>
      <c r="IP41" s="54"/>
      <c r="IQ41" s="54"/>
      <c r="IR41" s="54"/>
      <c r="IS41" s="54"/>
      <c r="IT41" s="54"/>
      <c r="IU41" s="54"/>
      <c r="IV41" s="54"/>
      <c r="IW41" s="54"/>
      <c r="IX41" s="54"/>
      <c r="IY41" s="54"/>
      <c r="IZ41" s="54"/>
      <c r="JA41" s="54"/>
      <c r="JB41" s="54"/>
      <c r="JC41" s="54"/>
      <c r="JD41" s="54"/>
      <c r="JE41" s="54"/>
      <c r="JF41" s="54"/>
      <c r="JG41" s="54"/>
      <c r="JH41" s="54"/>
      <c r="JI41" s="54"/>
      <c r="JJ41" s="54"/>
      <c r="JK41" s="54"/>
      <c r="JL41" s="54"/>
      <c r="JM41" s="54"/>
      <c r="JN41" s="54"/>
      <c r="JO41" s="54"/>
      <c r="JP41" s="54"/>
      <c r="JQ41" s="54"/>
      <c r="JR41" s="54"/>
      <c r="JS41" s="54"/>
      <c r="JT41" s="54"/>
      <c r="JU41" s="54"/>
      <c r="JV41" s="54"/>
      <c r="JW41" s="54"/>
      <c r="JX41" s="54"/>
      <c r="JY41" s="54"/>
      <c r="JZ41" s="54"/>
      <c r="KA41" s="54"/>
      <c r="KB41" s="54"/>
      <c r="KC41" s="54"/>
      <c r="KD41" s="54"/>
      <c r="KE41" s="54"/>
      <c r="KF41" s="54"/>
      <c r="KG41" s="54"/>
      <c r="KH41" s="54"/>
      <c r="KI41" s="54"/>
      <c r="KJ41" s="54"/>
      <c r="KK41" s="54"/>
      <c r="KL41" s="54"/>
      <c r="KM41" s="54"/>
      <c r="KN41" s="54"/>
      <c r="KO41" s="54"/>
      <c r="KP41" s="54"/>
      <c r="KQ41" s="54"/>
      <c r="KR41" s="54"/>
      <c r="KS41" s="54"/>
      <c r="KT41" s="54"/>
      <c r="KU41" s="54"/>
      <c r="KV41" s="54"/>
      <c r="KW41" s="54"/>
      <c r="KX41" s="54"/>
      <c r="KY41" s="54"/>
      <c r="KZ41" s="54"/>
      <c r="LA41" s="54"/>
      <c r="LB41" s="54"/>
      <c r="LC41" s="54"/>
      <c r="LD41" s="54"/>
      <c r="LE41" s="54"/>
      <c r="LF41" s="54"/>
      <c r="LG41" s="54"/>
      <c r="LH41" s="54"/>
      <c r="LI41" s="54"/>
      <c r="LJ41" s="54"/>
      <c r="LK41" s="54"/>
      <c r="LL41" s="54"/>
      <c r="LM41" s="54"/>
      <c r="LN41" s="54"/>
      <c r="LO41" s="54"/>
      <c r="LP41" s="54"/>
      <c r="LQ41" s="54"/>
      <c r="LR41" s="54"/>
      <c r="LS41" s="54"/>
      <c r="LT41" s="54"/>
      <c r="LU41" s="54"/>
      <c r="LV41" s="54"/>
      <c r="LW41" s="54"/>
      <c r="LX41" s="54"/>
      <c r="LY41" s="54"/>
      <c r="LZ41" s="54"/>
      <c r="MA41" s="54"/>
      <c r="MB41" s="54"/>
      <c r="MC41" s="54"/>
      <c r="MD41" s="54"/>
      <c r="ME41" s="54"/>
      <c r="MF41" s="54"/>
      <c r="MG41" s="54"/>
      <c r="MH41" s="54"/>
      <c r="MI41" s="54"/>
      <c r="MJ41" s="54"/>
      <c r="MK41" s="54"/>
      <c r="ML41" s="54"/>
      <c r="MM41" s="54"/>
      <c r="MN41" s="54"/>
      <c r="MO41" s="54"/>
      <c r="MP41" s="54"/>
      <c r="MQ41" s="54"/>
      <c r="MR41" s="54"/>
      <c r="MS41" s="54"/>
      <c r="MT41" s="54"/>
      <c r="MU41" s="54"/>
      <c r="MV41" s="54"/>
      <c r="MW41" s="54"/>
      <c r="MX41" s="54"/>
      <c r="MY41" s="54"/>
      <c r="MZ41" s="54"/>
      <c r="NA41" s="54"/>
      <c r="NB41" s="54"/>
      <c r="NC41" s="54"/>
      <c r="ND41" s="54"/>
      <c r="NE41" s="54"/>
      <c r="NF41" s="54"/>
      <c r="NG41" s="54"/>
      <c r="NH41" s="54"/>
      <c r="NI41" s="54"/>
      <c r="NJ41" s="54"/>
      <c r="NK41" s="54"/>
      <c r="NL41" s="54"/>
      <c r="NM41" s="54"/>
      <c r="NN41" s="54"/>
      <c r="NO41" s="54"/>
      <c r="NP41" s="54"/>
      <c r="NQ41" s="54"/>
      <c r="NR41" s="54"/>
      <c r="NS41" s="54"/>
      <c r="NT41" s="54"/>
      <c r="NU41" s="54"/>
      <c r="NV41" s="54"/>
      <c r="NW41" s="54"/>
      <c r="NX41" s="54"/>
      <c r="NY41" s="54"/>
      <c r="NZ41" s="54"/>
      <c r="OA41" s="54"/>
      <c r="OB41" s="54"/>
      <c r="OC41" s="54"/>
      <c r="OD41" s="54"/>
      <c r="OE41" s="54"/>
      <c r="OF41" s="54"/>
      <c r="OG41" s="54"/>
      <c r="OH41" s="54"/>
      <c r="OI41" s="54"/>
      <c r="OJ41" s="54"/>
      <c r="OK41" s="54"/>
      <c r="OL41" s="54"/>
      <c r="OM41" s="54"/>
      <c r="ON41" s="54"/>
      <c r="OO41" s="54"/>
      <c r="OP41" s="54"/>
      <c r="OQ41" s="54"/>
      <c r="OR41" s="54"/>
      <c r="OS41" s="54"/>
      <c r="OT41" s="54"/>
      <c r="OU41" s="54"/>
      <c r="OV41" s="54"/>
      <c r="OW41" s="54"/>
      <c r="OX41" s="54"/>
      <c r="OY41" s="54"/>
      <c r="OZ41" s="54"/>
      <c r="PA41" s="54"/>
      <c r="PB41" s="54"/>
      <c r="PC41" s="54"/>
      <c r="PD41" s="54"/>
      <c r="PE41" s="54"/>
      <c r="PF41" s="54"/>
      <c r="PG41" s="54"/>
      <c r="PH41" s="54"/>
      <c r="PI41" s="54"/>
      <c r="PJ41" s="54"/>
      <c r="PK41" s="54"/>
      <c r="PL41" s="54"/>
      <c r="PM41" s="54"/>
      <c r="PN41" s="54"/>
      <c r="PO41" s="54"/>
      <c r="PP41" s="54"/>
      <c r="PQ41" s="54"/>
      <c r="PR41" s="54"/>
      <c r="PS41" s="54"/>
      <c r="PT41" s="54"/>
      <c r="PU41" s="54"/>
      <c r="PV41" s="54"/>
      <c r="PW41" s="54"/>
      <c r="PX41" s="54"/>
      <c r="PY41" s="54"/>
      <c r="PZ41" s="54"/>
      <c r="QA41" s="54"/>
      <c r="QB41" s="54"/>
      <c r="QC41" s="54"/>
      <c r="QD41" s="54"/>
      <c r="QE41" s="54"/>
      <c r="QF41" s="54"/>
      <c r="QG41" s="54"/>
      <c r="QH41" s="54"/>
      <c r="QI41" s="54"/>
      <c r="QJ41" s="54"/>
      <c r="QK41" s="54"/>
      <c r="QL41" s="54"/>
      <c r="QM41" s="54"/>
      <c r="QN41" s="54"/>
      <c r="QO41" s="54"/>
      <c r="QP41" s="54"/>
      <c r="QQ41" s="54"/>
      <c r="QR41" s="54"/>
      <c r="QS41" s="54"/>
      <c r="QT41" s="54"/>
      <c r="QU41" s="54"/>
      <c r="QV41" s="54"/>
      <c r="QW41" s="54"/>
      <c r="QX41" s="54"/>
      <c r="QY41" s="54"/>
      <c r="QZ41" s="54"/>
      <c r="RA41" s="54"/>
      <c r="RB41" s="54"/>
      <c r="RC41" s="54"/>
      <c r="RD41" s="54"/>
      <c r="RE41" s="54"/>
      <c r="RF41" s="54"/>
      <c r="RG41" s="54"/>
      <c r="RH41" s="54"/>
      <c r="RI41" s="54"/>
      <c r="RJ41" s="54"/>
      <c r="RK41" s="54"/>
      <c r="RL41" s="54"/>
      <c r="RM41" s="54"/>
      <c r="RN41" s="54"/>
      <c r="RO41" s="54"/>
      <c r="RP41" s="54"/>
      <c r="RQ41" s="54"/>
      <c r="RR41" s="54"/>
      <c r="RS41" s="54"/>
      <c r="RT41" s="54"/>
      <c r="RU41" s="54"/>
      <c r="RV41" s="54"/>
      <c r="RW41" s="54"/>
      <c r="RX41" s="54"/>
      <c r="RY41" s="54"/>
      <c r="RZ41" s="54"/>
      <c r="SA41" s="54"/>
      <c r="SB41" s="54"/>
      <c r="SC41" s="54"/>
      <c r="SD41" s="54"/>
      <c r="SE41" s="54"/>
      <c r="SF41" s="54"/>
      <c r="SG41" s="54"/>
      <c r="SH41" s="54"/>
      <c r="SI41" s="54"/>
      <c r="SJ41" s="54"/>
      <c r="SK41" s="54"/>
      <c r="SL41" s="54"/>
      <c r="SM41" s="54"/>
      <c r="SN41" s="54"/>
      <c r="SO41" s="54"/>
      <c r="SP41" s="54"/>
      <c r="SQ41" s="54"/>
      <c r="SR41" s="54"/>
    </row>
    <row r="42" spans="1:512" ht="15" customHeight="1" x14ac:dyDescent="0.7">
      <c r="A42" s="172"/>
      <c r="B42" s="172"/>
      <c r="C42" s="172"/>
      <c r="D42" s="172"/>
      <c r="E42" s="172"/>
      <c r="F42" s="172"/>
      <c r="G42" s="175"/>
      <c r="H42" s="91"/>
      <c r="I42" s="89" t="s">
        <v>348</v>
      </c>
      <c r="J42" s="90">
        <v>1.9</v>
      </c>
      <c r="K42" s="169"/>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K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N42" s="54"/>
      <c r="JO42" s="54"/>
      <c r="JP42" s="54"/>
      <c r="JQ42" s="54"/>
      <c r="JR42" s="54"/>
      <c r="JS42" s="54"/>
      <c r="JT42" s="54"/>
      <c r="JU42" s="54"/>
      <c r="JV42" s="54"/>
      <c r="JW42" s="54"/>
      <c r="JX42" s="54"/>
      <c r="JY42" s="54"/>
      <c r="JZ42" s="54"/>
      <c r="KA42" s="54"/>
      <c r="KB42" s="54"/>
      <c r="KC42" s="54"/>
      <c r="KD42" s="54"/>
      <c r="KE42" s="54"/>
      <c r="KF42" s="54"/>
      <c r="KG42" s="54"/>
      <c r="KH42" s="54"/>
      <c r="KI42" s="54"/>
      <c r="KJ42" s="54"/>
      <c r="KK42" s="54"/>
      <c r="KL42" s="54"/>
      <c r="KM42" s="54"/>
      <c r="KN42" s="54"/>
      <c r="KO42" s="54"/>
      <c r="KP42" s="54"/>
      <c r="KQ42" s="54"/>
      <c r="KR42" s="54"/>
      <c r="KS42" s="54"/>
      <c r="KT42" s="54"/>
      <c r="KU42" s="54"/>
      <c r="KV42" s="54"/>
      <c r="KW42" s="54"/>
      <c r="KX42" s="54"/>
      <c r="KY42" s="54"/>
      <c r="KZ42" s="54"/>
      <c r="LA42" s="54"/>
      <c r="LB42" s="54"/>
      <c r="LC42" s="54"/>
      <c r="LD42" s="54"/>
      <c r="LE42" s="54"/>
      <c r="LF42" s="54"/>
      <c r="LG42" s="54"/>
      <c r="LH42" s="54"/>
      <c r="LI42" s="54"/>
      <c r="LJ42" s="54"/>
      <c r="LK42" s="54"/>
      <c r="LL42" s="54"/>
      <c r="LM42" s="54"/>
      <c r="LN42" s="54"/>
      <c r="LO42" s="54"/>
      <c r="LP42" s="54"/>
      <c r="LQ42" s="54"/>
      <c r="LR42" s="54"/>
      <c r="LS42" s="54"/>
      <c r="LT42" s="54"/>
      <c r="LU42" s="54"/>
      <c r="LV42" s="54"/>
      <c r="LW42" s="54"/>
      <c r="LX42" s="54"/>
      <c r="LY42" s="54"/>
      <c r="LZ42" s="54"/>
      <c r="MA42" s="54"/>
      <c r="MB42" s="54"/>
      <c r="MC42" s="54"/>
      <c r="MD42" s="54"/>
      <c r="ME42" s="54"/>
      <c r="MF42" s="54"/>
      <c r="MG42" s="54"/>
      <c r="MH42" s="54"/>
      <c r="MI42" s="54"/>
      <c r="MJ42" s="54"/>
      <c r="MK42" s="54"/>
      <c r="ML42" s="54"/>
      <c r="MM42" s="54"/>
      <c r="MN42" s="54"/>
      <c r="MO42" s="54"/>
      <c r="MP42" s="54"/>
      <c r="MQ42" s="54"/>
      <c r="MR42" s="54"/>
      <c r="MS42" s="54"/>
      <c r="MT42" s="54"/>
      <c r="MU42" s="54"/>
      <c r="MV42" s="54"/>
      <c r="MW42" s="54"/>
      <c r="MX42" s="54"/>
      <c r="MY42" s="54"/>
      <c r="MZ42" s="54"/>
      <c r="NA42" s="54"/>
      <c r="NB42" s="54"/>
      <c r="NC42" s="54"/>
      <c r="ND42" s="54"/>
      <c r="NE42" s="54"/>
      <c r="NF42" s="54"/>
      <c r="NG42" s="54"/>
      <c r="NH42" s="54"/>
      <c r="NI42" s="54"/>
      <c r="NJ42" s="54"/>
      <c r="NK42" s="54"/>
      <c r="NL42" s="54"/>
      <c r="NM42" s="54"/>
      <c r="NN42" s="54"/>
      <c r="NO42" s="54"/>
      <c r="NP42" s="54"/>
      <c r="NQ42" s="54"/>
      <c r="NR42" s="54"/>
      <c r="NS42" s="54"/>
      <c r="NT42" s="54"/>
      <c r="NU42" s="54"/>
      <c r="NV42" s="54"/>
      <c r="NW42" s="54"/>
      <c r="NX42" s="54"/>
      <c r="NY42" s="54"/>
      <c r="NZ42" s="54"/>
      <c r="OA42" s="54"/>
      <c r="OB42" s="54"/>
      <c r="OC42" s="54"/>
      <c r="OD42" s="54"/>
      <c r="OE42" s="54"/>
      <c r="OF42" s="54"/>
      <c r="OG42" s="54"/>
      <c r="OH42" s="54"/>
      <c r="OI42" s="54"/>
      <c r="OJ42" s="54"/>
      <c r="OK42" s="54"/>
      <c r="OL42" s="54"/>
      <c r="OM42" s="54"/>
      <c r="ON42" s="54"/>
      <c r="OO42" s="54"/>
      <c r="OP42" s="54"/>
      <c r="OQ42" s="54"/>
      <c r="OR42" s="54"/>
      <c r="OS42" s="54"/>
      <c r="OT42" s="54"/>
      <c r="OU42" s="54"/>
      <c r="OV42" s="54"/>
      <c r="OW42" s="54"/>
      <c r="OX42" s="54"/>
      <c r="OY42" s="54"/>
      <c r="OZ42" s="54"/>
      <c r="PA42" s="54"/>
      <c r="PB42" s="54"/>
      <c r="PC42" s="54"/>
      <c r="PD42" s="54"/>
      <c r="PE42" s="54"/>
      <c r="PF42" s="54"/>
      <c r="PG42" s="54"/>
      <c r="PH42" s="54"/>
      <c r="PI42" s="54"/>
      <c r="PJ42" s="54"/>
      <c r="PK42" s="54"/>
      <c r="PL42" s="54"/>
      <c r="PM42" s="54"/>
      <c r="PN42" s="54"/>
      <c r="PO42" s="54"/>
      <c r="PP42" s="54"/>
      <c r="PQ42" s="54"/>
      <c r="PR42" s="54"/>
      <c r="PS42" s="54"/>
      <c r="PT42" s="54"/>
      <c r="PU42" s="54"/>
      <c r="PV42" s="54"/>
      <c r="PW42" s="54"/>
      <c r="PX42" s="54"/>
      <c r="PY42" s="54"/>
      <c r="PZ42" s="54"/>
      <c r="QA42" s="54"/>
      <c r="QB42" s="54"/>
      <c r="QC42" s="54"/>
      <c r="QD42" s="54"/>
      <c r="QE42" s="54"/>
      <c r="QF42" s="54"/>
      <c r="QG42" s="54"/>
      <c r="QH42" s="54"/>
      <c r="QI42" s="54"/>
      <c r="QJ42" s="54"/>
      <c r="QK42" s="54"/>
      <c r="QL42" s="54"/>
      <c r="QM42" s="54"/>
      <c r="QN42" s="54"/>
      <c r="QO42" s="54"/>
      <c r="QP42" s="54"/>
      <c r="QQ42" s="54"/>
      <c r="QR42" s="54"/>
      <c r="QS42" s="54"/>
      <c r="QT42" s="54"/>
      <c r="QU42" s="54"/>
      <c r="QV42" s="54"/>
      <c r="QW42" s="54"/>
      <c r="QX42" s="54"/>
      <c r="QY42" s="54"/>
      <c r="QZ42" s="54"/>
      <c r="RA42" s="54"/>
      <c r="RB42" s="54"/>
      <c r="RC42" s="54"/>
      <c r="RD42" s="54"/>
      <c r="RE42" s="54"/>
      <c r="RF42" s="54"/>
      <c r="RG42" s="54"/>
      <c r="RH42" s="54"/>
      <c r="RI42" s="54"/>
      <c r="RJ42" s="54"/>
      <c r="RK42" s="54"/>
      <c r="RL42" s="54"/>
      <c r="RM42" s="54"/>
      <c r="RN42" s="54"/>
      <c r="RO42" s="54"/>
      <c r="RP42" s="54"/>
      <c r="RQ42" s="54"/>
      <c r="RR42" s="54"/>
      <c r="RS42" s="54"/>
      <c r="RT42" s="54"/>
      <c r="RU42" s="54"/>
      <c r="RV42" s="54"/>
      <c r="RW42" s="54"/>
      <c r="RX42" s="54"/>
      <c r="RY42" s="54"/>
      <c r="RZ42" s="54"/>
      <c r="SA42" s="54"/>
      <c r="SB42" s="54"/>
      <c r="SC42" s="54"/>
      <c r="SD42" s="54"/>
      <c r="SE42" s="54"/>
      <c r="SF42" s="54"/>
      <c r="SG42" s="54"/>
      <c r="SH42" s="54"/>
      <c r="SI42" s="54"/>
      <c r="SJ42" s="54"/>
      <c r="SK42" s="54"/>
      <c r="SL42" s="54"/>
      <c r="SM42" s="54"/>
      <c r="SN42" s="54"/>
      <c r="SO42" s="54"/>
      <c r="SP42" s="54"/>
      <c r="SQ42" s="54"/>
      <c r="SR42" s="54"/>
    </row>
    <row r="43" spans="1:512" s="55" customFormat="1" ht="15" customHeight="1" x14ac:dyDescent="0.7">
      <c r="A43" s="173"/>
      <c r="B43" s="173"/>
      <c r="C43" s="173"/>
      <c r="D43" s="173"/>
      <c r="E43" s="173"/>
      <c r="F43" s="173"/>
      <c r="G43" s="176"/>
      <c r="H43" s="92"/>
      <c r="I43" s="93"/>
      <c r="J43" s="94"/>
      <c r="K43" s="170"/>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c r="IX43" s="56"/>
      <c r="IY43" s="56"/>
      <c r="IZ43" s="56"/>
      <c r="JA43" s="56"/>
      <c r="JB43" s="56"/>
      <c r="JC43" s="56"/>
      <c r="JD43" s="56"/>
      <c r="JE43" s="56"/>
      <c r="JF43" s="56"/>
      <c r="JG43" s="56"/>
      <c r="JH43" s="56"/>
      <c r="JI43" s="56"/>
      <c r="JJ43" s="56"/>
      <c r="JK43" s="56"/>
      <c r="JL43" s="56"/>
      <c r="JM43" s="56"/>
      <c r="JN43" s="56"/>
      <c r="JO43" s="56"/>
      <c r="JP43" s="56"/>
      <c r="JQ43" s="56"/>
      <c r="JR43" s="56"/>
      <c r="JS43" s="56"/>
      <c r="JT43" s="56"/>
      <c r="JU43" s="56"/>
      <c r="JV43" s="56"/>
      <c r="JW43" s="56"/>
      <c r="JX43" s="56"/>
      <c r="JY43" s="56"/>
      <c r="JZ43" s="56"/>
      <c r="KA43" s="56"/>
      <c r="KB43" s="56"/>
      <c r="KC43" s="56"/>
      <c r="KD43" s="56"/>
      <c r="KE43" s="56"/>
      <c r="KF43" s="56"/>
      <c r="KG43" s="56"/>
      <c r="KH43" s="56"/>
      <c r="KI43" s="56"/>
      <c r="KJ43" s="56"/>
      <c r="KK43" s="56"/>
      <c r="KL43" s="56"/>
      <c r="KM43" s="56"/>
      <c r="KN43" s="56"/>
      <c r="KO43" s="56"/>
      <c r="KP43" s="56"/>
      <c r="KQ43" s="56"/>
      <c r="KR43" s="56"/>
      <c r="KS43" s="56"/>
      <c r="KT43" s="56"/>
      <c r="KU43" s="56"/>
      <c r="KV43" s="56"/>
      <c r="KW43" s="56"/>
      <c r="KX43" s="56"/>
      <c r="KY43" s="56"/>
      <c r="KZ43" s="56"/>
      <c r="LA43" s="56"/>
      <c r="LB43" s="56"/>
      <c r="LC43" s="56"/>
      <c r="LD43" s="56"/>
      <c r="LE43" s="56"/>
      <c r="LF43" s="56"/>
      <c r="LG43" s="56"/>
      <c r="LH43" s="56"/>
      <c r="LI43" s="56"/>
      <c r="LJ43" s="56"/>
      <c r="LK43" s="56"/>
      <c r="LL43" s="56"/>
      <c r="LM43" s="56"/>
      <c r="LN43" s="56"/>
      <c r="LO43" s="56"/>
      <c r="LP43" s="56"/>
      <c r="LQ43" s="56"/>
      <c r="LR43" s="56"/>
      <c r="LS43" s="56"/>
      <c r="LT43" s="56"/>
      <c r="LU43" s="56"/>
      <c r="LV43" s="56"/>
      <c r="LW43" s="56"/>
      <c r="LX43" s="56"/>
      <c r="LY43" s="56"/>
      <c r="LZ43" s="56"/>
      <c r="MA43" s="56"/>
      <c r="MB43" s="56"/>
      <c r="MC43" s="56"/>
      <c r="MD43" s="56"/>
      <c r="ME43" s="56"/>
      <c r="MF43" s="56"/>
      <c r="MG43" s="56"/>
      <c r="MH43" s="56"/>
      <c r="MI43" s="56"/>
      <c r="MJ43" s="56"/>
      <c r="MK43" s="56"/>
      <c r="ML43" s="56"/>
      <c r="MM43" s="56"/>
      <c r="MN43" s="56"/>
      <c r="MO43" s="56"/>
      <c r="MP43" s="56"/>
      <c r="MQ43" s="56"/>
      <c r="MR43" s="56"/>
      <c r="MS43" s="56"/>
      <c r="MT43" s="56"/>
      <c r="MU43" s="56"/>
      <c r="MV43" s="56"/>
      <c r="MW43" s="56"/>
      <c r="MX43" s="56"/>
      <c r="MY43" s="56"/>
      <c r="MZ43" s="56"/>
      <c r="NA43" s="56"/>
      <c r="NB43" s="56"/>
      <c r="NC43" s="56"/>
      <c r="ND43" s="56"/>
      <c r="NE43" s="56"/>
      <c r="NF43" s="56"/>
      <c r="NG43" s="56"/>
      <c r="NH43" s="56"/>
      <c r="NI43" s="56"/>
      <c r="NJ43" s="56"/>
      <c r="NK43" s="56"/>
      <c r="NL43" s="56"/>
      <c r="NM43" s="56"/>
      <c r="NN43" s="56"/>
      <c r="NO43" s="56"/>
      <c r="NP43" s="56"/>
      <c r="NQ43" s="56"/>
      <c r="NR43" s="56"/>
      <c r="NS43" s="56"/>
      <c r="NT43" s="56"/>
      <c r="NU43" s="56"/>
      <c r="NV43" s="56"/>
      <c r="NW43" s="56"/>
      <c r="NX43" s="56"/>
      <c r="NY43" s="56"/>
      <c r="NZ43" s="56"/>
      <c r="OA43" s="56"/>
      <c r="OB43" s="56"/>
      <c r="OC43" s="56"/>
      <c r="OD43" s="56"/>
      <c r="OE43" s="56"/>
      <c r="OF43" s="56"/>
      <c r="OG43" s="56"/>
      <c r="OH43" s="56"/>
      <c r="OI43" s="56"/>
      <c r="OJ43" s="56"/>
      <c r="OK43" s="56"/>
      <c r="OL43" s="56"/>
      <c r="OM43" s="56"/>
      <c r="ON43" s="56"/>
      <c r="OO43" s="56"/>
      <c r="OP43" s="56"/>
      <c r="OQ43" s="56"/>
      <c r="OR43" s="56"/>
      <c r="OS43" s="56"/>
      <c r="OT43" s="56"/>
      <c r="OU43" s="56"/>
      <c r="OV43" s="56"/>
      <c r="OW43" s="56"/>
      <c r="OX43" s="56"/>
      <c r="OY43" s="56"/>
      <c r="OZ43" s="56"/>
      <c r="PA43" s="56"/>
      <c r="PB43" s="56"/>
      <c r="PC43" s="56"/>
      <c r="PD43" s="56"/>
      <c r="PE43" s="56"/>
      <c r="PF43" s="56"/>
      <c r="PG43" s="56"/>
      <c r="PH43" s="56"/>
      <c r="PI43" s="56"/>
      <c r="PJ43" s="56"/>
      <c r="PK43" s="56"/>
      <c r="PL43" s="56"/>
      <c r="PM43" s="56"/>
      <c r="PN43" s="56"/>
      <c r="PO43" s="56"/>
      <c r="PP43" s="56"/>
      <c r="PQ43" s="56"/>
      <c r="PR43" s="56"/>
      <c r="PS43" s="56"/>
      <c r="PT43" s="56"/>
      <c r="PU43" s="56"/>
      <c r="PV43" s="56"/>
      <c r="PW43" s="56"/>
      <c r="PX43" s="56"/>
      <c r="PY43" s="56"/>
      <c r="PZ43" s="56"/>
      <c r="QA43" s="56"/>
      <c r="QB43" s="56"/>
      <c r="QC43" s="56"/>
      <c r="QD43" s="56"/>
      <c r="QE43" s="56"/>
      <c r="QF43" s="56"/>
      <c r="QG43" s="56"/>
      <c r="QH43" s="56"/>
      <c r="QI43" s="56"/>
      <c r="QJ43" s="56"/>
      <c r="QK43" s="56"/>
      <c r="QL43" s="56"/>
      <c r="QM43" s="56"/>
      <c r="QN43" s="56"/>
      <c r="QO43" s="56"/>
      <c r="QP43" s="56"/>
      <c r="QQ43" s="56"/>
      <c r="QR43" s="56"/>
      <c r="QS43" s="56"/>
      <c r="QT43" s="56"/>
      <c r="QU43" s="56"/>
      <c r="QV43" s="56"/>
      <c r="QW43" s="56"/>
      <c r="QX43" s="56"/>
      <c r="QY43" s="56"/>
      <c r="QZ43" s="56"/>
      <c r="RA43" s="56"/>
      <c r="RB43" s="56"/>
      <c r="RC43" s="56"/>
      <c r="RD43" s="56"/>
      <c r="RE43" s="56"/>
      <c r="RF43" s="56"/>
      <c r="RG43" s="56"/>
      <c r="RH43" s="56"/>
      <c r="RI43" s="56"/>
      <c r="RJ43" s="56"/>
      <c r="RK43" s="56"/>
      <c r="RL43" s="56"/>
      <c r="RM43" s="56"/>
      <c r="RN43" s="56"/>
      <c r="RO43" s="56"/>
      <c r="RP43" s="56"/>
      <c r="RQ43" s="56"/>
      <c r="RR43" s="56"/>
      <c r="RS43" s="56"/>
      <c r="RT43" s="56"/>
      <c r="RU43" s="56"/>
      <c r="RV43" s="56"/>
      <c r="RW43" s="56"/>
      <c r="RX43" s="56"/>
      <c r="RY43" s="56"/>
      <c r="RZ43" s="56"/>
      <c r="SA43" s="56"/>
      <c r="SB43" s="56"/>
      <c r="SC43" s="56"/>
      <c r="SD43" s="56"/>
      <c r="SE43" s="56"/>
      <c r="SF43" s="56"/>
      <c r="SG43" s="56"/>
      <c r="SH43" s="56"/>
      <c r="SI43" s="56"/>
      <c r="SJ43" s="56"/>
      <c r="SK43" s="56"/>
      <c r="SL43" s="56"/>
      <c r="SM43" s="56"/>
      <c r="SN43" s="56"/>
      <c r="SO43" s="56"/>
      <c r="SP43" s="56"/>
      <c r="SQ43" s="56"/>
      <c r="SR43" s="56"/>
    </row>
    <row r="44" spans="1:512" ht="15" customHeight="1" x14ac:dyDescent="0.7">
      <c r="A44" s="171">
        <v>12</v>
      </c>
      <c r="B44" s="171" t="s">
        <v>64</v>
      </c>
      <c r="C44" s="171" t="s">
        <v>344</v>
      </c>
      <c r="D44" s="171"/>
      <c r="E44" s="171" t="s">
        <v>33</v>
      </c>
      <c r="F44" s="171"/>
      <c r="G44" s="174" t="s">
        <v>371</v>
      </c>
      <c r="H44" s="88" t="s">
        <v>372</v>
      </c>
      <c r="I44" s="89" t="s">
        <v>347</v>
      </c>
      <c r="J44" s="90">
        <v>1.1000000000000001</v>
      </c>
      <c r="K44" s="168">
        <v>1</v>
      </c>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4"/>
      <c r="EF44" s="54"/>
      <c r="EG44" s="54"/>
      <c r="EH44" s="54"/>
      <c r="EI44" s="54"/>
      <c r="EJ44" s="54"/>
      <c r="EK44" s="54"/>
      <c r="EL44" s="54"/>
      <c r="EM44" s="54"/>
      <c r="EN44" s="54"/>
      <c r="EO44" s="54"/>
      <c r="EP44" s="54"/>
      <c r="EQ44" s="54"/>
      <c r="ER44" s="54"/>
      <c r="ES44" s="54"/>
      <c r="ET44" s="54"/>
      <c r="EU44" s="54"/>
      <c r="EV44" s="54"/>
      <c r="EW44" s="54"/>
      <c r="EX44" s="54"/>
      <c r="EY44" s="54"/>
      <c r="EZ44" s="54"/>
      <c r="FA44" s="54"/>
      <c r="FB44" s="54"/>
      <c r="FC44" s="54"/>
      <c r="FD44" s="54"/>
      <c r="FE44" s="54"/>
      <c r="FF44" s="54"/>
      <c r="FG44" s="54"/>
      <c r="FH44" s="54"/>
      <c r="FI44" s="54"/>
      <c r="FJ44" s="54"/>
      <c r="FK44" s="54"/>
      <c r="FL44" s="54"/>
      <c r="FM44" s="54"/>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c r="GW44" s="54"/>
      <c r="GX44" s="54"/>
      <c r="GY44" s="54"/>
      <c r="GZ44" s="54"/>
      <c r="HA44" s="54"/>
      <c r="HB44" s="54"/>
      <c r="HC44" s="54"/>
      <c r="HD44" s="54"/>
      <c r="HE44" s="54"/>
      <c r="HF44" s="54"/>
      <c r="HG44" s="54"/>
      <c r="HH44" s="54"/>
      <c r="HI44" s="54"/>
      <c r="HJ44" s="54"/>
      <c r="HK44" s="54"/>
      <c r="HL44" s="54"/>
      <c r="HM44" s="54"/>
      <c r="HN44" s="54"/>
      <c r="HO44" s="54"/>
      <c r="HP44" s="54"/>
      <c r="HQ44" s="54"/>
      <c r="HR44" s="54"/>
      <c r="HS44" s="54"/>
      <c r="HT44" s="54"/>
      <c r="HU44" s="54"/>
      <c r="HV44" s="54"/>
      <c r="HW44" s="54"/>
      <c r="HX44" s="54"/>
      <c r="HY44" s="54"/>
      <c r="HZ44" s="54"/>
      <c r="IA44" s="54"/>
      <c r="IB44" s="54"/>
      <c r="IC44" s="54"/>
      <c r="ID44" s="54"/>
      <c r="IE44" s="54"/>
      <c r="IF44" s="54"/>
      <c r="IG44" s="54"/>
      <c r="IH44" s="54"/>
      <c r="II44" s="54"/>
      <c r="IJ44" s="54"/>
      <c r="IK44" s="54"/>
      <c r="IL44" s="54"/>
      <c r="IM44" s="54"/>
      <c r="IN44" s="54"/>
      <c r="IO44" s="54"/>
      <c r="IP44" s="54"/>
      <c r="IQ44" s="54"/>
      <c r="IR44" s="54"/>
      <c r="IS44" s="54"/>
      <c r="IT44" s="54"/>
      <c r="IU44" s="54"/>
      <c r="IV44" s="54"/>
      <c r="IW44" s="54"/>
      <c r="IX44" s="54"/>
      <c r="IY44" s="54"/>
      <c r="IZ44" s="54"/>
      <c r="JA44" s="54"/>
      <c r="JB44" s="54"/>
      <c r="JC44" s="54"/>
      <c r="JD44" s="54"/>
      <c r="JE44" s="54"/>
      <c r="JF44" s="54"/>
      <c r="JG44" s="54"/>
      <c r="JH44" s="54"/>
      <c r="JI44" s="54"/>
      <c r="JJ44" s="54"/>
      <c r="JK44" s="54"/>
      <c r="JL44" s="54"/>
      <c r="JM44" s="54"/>
      <c r="JN44" s="54"/>
      <c r="JO44" s="54"/>
      <c r="JP44" s="54"/>
      <c r="JQ44" s="54"/>
      <c r="JR44" s="54"/>
      <c r="JS44" s="54"/>
      <c r="JT44" s="54"/>
      <c r="JU44" s="54"/>
      <c r="JV44" s="54"/>
      <c r="JW44" s="54"/>
      <c r="JX44" s="54"/>
      <c r="JY44" s="54"/>
      <c r="JZ44" s="54"/>
      <c r="KA44" s="54"/>
      <c r="KB44" s="54"/>
      <c r="KC44" s="54"/>
      <c r="KD44" s="54"/>
      <c r="KE44" s="54"/>
      <c r="KF44" s="54"/>
      <c r="KG44" s="54"/>
      <c r="KH44" s="54"/>
      <c r="KI44" s="54"/>
      <c r="KJ44" s="54"/>
      <c r="KK44" s="54"/>
      <c r="KL44" s="54"/>
      <c r="KM44" s="54"/>
      <c r="KN44" s="54"/>
      <c r="KO44" s="54"/>
      <c r="KP44" s="54"/>
      <c r="KQ44" s="54"/>
      <c r="KR44" s="54"/>
      <c r="KS44" s="54"/>
      <c r="KT44" s="54"/>
      <c r="KU44" s="54"/>
      <c r="KV44" s="54"/>
      <c r="KW44" s="54"/>
      <c r="KX44" s="54"/>
      <c r="KY44" s="54"/>
      <c r="KZ44" s="54"/>
      <c r="LA44" s="54"/>
      <c r="LB44" s="54"/>
      <c r="LC44" s="54"/>
      <c r="LD44" s="54"/>
      <c r="LE44" s="54"/>
      <c r="LF44" s="54"/>
      <c r="LG44" s="54"/>
      <c r="LH44" s="54"/>
      <c r="LI44" s="54"/>
      <c r="LJ44" s="54"/>
      <c r="LK44" s="54"/>
      <c r="LL44" s="54"/>
      <c r="LM44" s="54"/>
      <c r="LN44" s="54"/>
      <c r="LO44" s="54"/>
      <c r="LP44" s="54"/>
      <c r="LQ44" s="54"/>
      <c r="LR44" s="54"/>
      <c r="LS44" s="54"/>
      <c r="LT44" s="54"/>
      <c r="LU44" s="54"/>
      <c r="LV44" s="54"/>
      <c r="LW44" s="54"/>
      <c r="LX44" s="54"/>
      <c r="LY44" s="54"/>
      <c r="LZ44" s="54"/>
      <c r="MA44" s="54"/>
      <c r="MB44" s="54"/>
      <c r="MC44" s="54"/>
      <c r="MD44" s="54"/>
      <c r="ME44" s="54"/>
      <c r="MF44" s="54"/>
      <c r="MG44" s="54"/>
      <c r="MH44" s="54"/>
      <c r="MI44" s="54"/>
      <c r="MJ44" s="54"/>
      <c r="MK44" s="54"/>
      <c r="ML44" s="54"/>
      <c r="MM44" s="54"/>
      <c r="MN44" s="54"/>
      <c r="MO44" s="54"/>
      <c r="MP44" s="54"/>
      <c r="MQ44" s="54"/>
      <c r="MR44" s="54"/>
      <c r="MS44" s="54"/>
      <c r="MT44" s="54"/>
      <c r="MU44" s="54"/>
      <c r="MV44" s="54"/>
      <c r="MW44" s="54"/>
      <c r="MX44" s="54"/>
      <c r="MY44" s="54"/>
      <c r="MZ44" s="54"/>
      <c r="NA44" s="54"/>
      <c r="NB44" s="54"/>
      <c r="NC44" s="54"/>
      <c r="ND44" s="54"/>
      <c r="NE44" s="54"/>
      <c r="NF44" s="54"/>
      <c r="NG44" s="54"/>
      <c r="NH44" s="54"/>
      <c r="NI44" s="54"/>
      <c r="NJ44" s="54"/>
      <c r="NK44" s="54"/>
      <c r="NL44" s="54"/>
      <c r="NM44" s="54"/>
      <c r="NN44" s="54"/>
      <c r="NO44" s="54"/>
      <c r="NP44" s="54"/>
      <c r="NQ44" s="54"/>
      <c r="NR44" s="54"/>
      <c r="NS44" s="54"/>
      <c r="NT44" s="54"/>
      <c r="NU44" s="54"/>
      <c r="NV44" s="54"/>
      <c r="NW44" s="54"/>
      <c r="NX44" s="54"/>
      <c r="NY44" s="54"/>
      <c r="NZ44" s="54"/>
      <c r="OA44" s="54"/>
      <c r="OB44" s="54"/>
      <c r="OC44" s="54"/>
      <c r="OD44" s="54"/>
      <c r="OE44" s="54"/>
      <c r="OF44" s="54"/>
      <c r="OG44" s="54"/>
      <c r="OH44" s="54"/>
      <c r="OI44" s="54"/>
      <c r="OJ44" s="54"/>
      <c r="OK44" s="54"/>
      <c r="OL44" s="54"/>
      <c r="OM44" s="54"/>
      <c r="ON44" s="54"/>
      <c r="OO44" s="54"/>
      <c r="OP44" s="54"/>
      <c r="OQ44" s="54"/>
      <c r="OR44" s="54"/>
      <c r="OS44" s="54"/>
      <c r="OT44" s="54"/>
      <c r="OU44" s="54"/>
      <c r="OV44" s="54"/>
      <c r="OW44" s="54"/>
      <c r="OX44" s="54"/>
      <c r="OY44" s="54"/>
      <c r="OZ44" s="54"/>
      <c r="PA44" s="54"/>
      <c r="PB44" s="54"/>
      <c r="PC44" s="54"/>
      <c r="PD44" s="54"/>
      <c r="PE44" s="54"/>
      <c r="PF44" s="54"/>
      <c r="PG44" s="54"/>
      <c r="PH44" s="54"/>
      <c r="PI44" s="54"/>
      <c r="PJ44" s="54"/>
      <c r="PK44" s="54"/>
      <c r="PL44" s="54"/>
      <c r="PM44" s="54"/>
      <c r="PN44" s="54"/>
      <c r="PO44" s="54"/>
      <c r="PP44" s="54"/>
      <c r="PQ44" s="54"/>
      <c r="PR44" s="54"/>
      <c r="PS44" s="54"/>
      <c r="PT44" s="54"/>
      <c r="PU44" s="54"/>
      <c r="PV44" s="54"/>
      <c r="PW44" s="54"/>
      <c r="PX44" s="54"/>
      <c r="PY44" s="54"/>
      <c r="PZ44" s="54"/>
      <c r="QA44" s="54"/>
      <c r="QB44" s="54"/>
      <c r="QC44" s="54"/>
      <c r="QD44" s="54"/>
      <c r="QE44" s="54"/>
      <c r="QF44" s="54"/>
      <c r="QG44" s="54"/>
      <c r="QH44" s="54"/>
      <c r="QI44" s="54"/>
      <c r="QJ44" s="54"/>
      <c r="QK44" s="54"/>
      <c r="QL44" s="54"/>
      <c r="QM44" s="54"/>
      <c r="QN44" s="54"/>
      <c r="QO44" s="54"/>
      <c r="QP44" s="54"/>
      <c r="QQ44" s="54"/>
      <c r="QR44" s="54"/>
      <c r="QS44" s="54"/>
      <c r="QT44" s="54"/>
      <c r="QU44" s="54"/>
      <c r="QV44" s="54"/>
      <c r="QW44" s="54"/>
      <c r="QX44" s="54"/>
      <c r="QY44" s="54"/>
      <c r="QZ44" s="54"/>
      <c r="RA44" s="54"/>
      <c r="RB44" s="54"/>
      <c r="RC44" s="54"/>
      <c r="RD44" s="54"/>
      <c r="RE44" s="54"/>
      <c r="RF44" s="54"/>
      <c r="RG44" s="54"/>
      <c r="RH44" s="54"/>
      <c r="RI44" s="54"/>
      <c r="RJ44" s="54"/>
      <c r="RK44" s="54"/>
      <c r="RL44" s="54"/>
      <c r="RM44" s="54"/>
      <c r="RN44" s="54"/>
      <c r="RO44" s="54"/>
      <c r="RP44" s="54"/>
      <c r="RQ44" s="54"/>
      <c r="RR44" s="54"/>
      <c r="RS44" s="54"/>
      <c r="RT44" s="54"/>
      <c r="RU44" s="54"/>
      <c r="RV44" s="54"/>
      <c r="RW44" s="54"/>
      <c r="RX44" s="54"/>
      <c r="RY44" s="54"/>
      <c r="RZ44" s="54"/>
      <c r="SA44" s="54"/>
      <c r="SB44" s="54"/>
      <c r="SC44" s="54"/>
      <c r="SD44" s="54"/>
      <c r="SE44" s="54"/>
      <c r="SF44" s="54"/>
      <c r="SG44" s="54"/>
      <c r="SH44" s="54"/>
      <c r="SI44" s="54"/>
      <c r="SJ44" s="54"/>
      <c r="SK44" s="54"/>
      <c r="SL44" s="54"/>
      <c r="SM44" s="54"/>
      <c r="SN44" s="54"/>
      <c r="SO44" s="54"/>
      <c r="SP44" s="54"/>
      <c r="SQ44" s="54"/>
      <c r="SR44" s="54"/>
    </row>
    <row r="45" spans="1:512" ht="15" customHeight="1" x14ac:dyDescent="0.7">
      <c r="A45" s="172"/>
      <c r="B45" s="172"/>
      <c r="C45" s="172"/>
      <c r="D45" s="172"/>
      <c r="E45" s="172"/>
      <c r="F45" s="172"/>
      <c r="G45" s="175"/>
      <c r="H45" s="91"/>
      <c r="I45" s="89" t="s">
        <v>348</v>
      </c>
      <c r="J45" s="90">
        <v>0.9</v>
      </c>
      <c r="K45" s="169"/>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4"/>
      <c r="EF45" s="54"/>
      <c r="EG45" s="54"/>
      <c r="EH45" s="54"/>
      <c r="EI45" s="54"/>
      <c r="EJ45" s="54"/>
      <c r="EK45" s="54"/>
      <c r="EL45" s="54"/>
      <c r="EM45" s="54"/>
      <c r="EN45" s="54"/>
      <c r="EO45" s="54"/>
      <c r="EP45" s="54"/>
      <c r="EQ45" s="54"/>
      <c r="ER45" s="54"/>
      <c r="ES45" s="54"/>
      <c r="ET45" s="54"/>
      <c r="EU45" s="54"/>
      <c r="EV45" s="54"/>
      <c r="EW45" s="54"/>
      <c r="EX45" s="54"/>
      <c r="EY45" s="54"/>
      <c r="EZ45" s="54"/>
      <c r="FA45" s="54"/>
      <c r="FB45" s="54"/>
      <c r="FC45" s="54"/>
      <c r="FD45" s="54"/>
      <c r="FE45" s="54"/>
      <c r="FF45" s="54"/>
      <c r="FG45" s="54"/>
      <c r="FH45" s="54"/>
      <c r="FI45" s="54"/>
      <c r="FJ45" s="54"/>
      <c r="FK45" s="54"/>
      <c r="FL45" s="54"/>
      <c r="FM45" s="54"/>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c r="GW45" s="54"/>
      <c r="GX45" s="54"/>
      <c r="GY45" s="54"/>
      <c r="GZ45" s="54"/>
      <c r="HA45" s="54"/>
      <c r="HB45" s="54"/>
      <c r="HC45" s="54"/>
      <c r="HD45" s="54"/>
      <c r="HE45" s="54"/>
      <c r="HF45" s="54"/>
      <c r="HG45" s="54"/>
      <c r="HH45" s="54"/>
      <c r="HI45" s="54"/>
      <c r="HJ45" s="54"/>
      <c r="HK45" s="54"/>
      <c r="HL45" s="54"/>
      <c r="HM45" s="54"/>
      <c r="HN45" s="54"/>
      <c r="HO45" s="54"/>
      <c r="HP45" s="54"/>
      <c r="HQ45" s="54"/>
      <c r="HR45" s="54"/>
      <c r="HS45" s="54"/>
      <c r="HT45" s="54"/>
      <c r="HU45" s="54"/>
      <c r="HV45" s="54"/>
      <c r="HW45" s="54"/>
      <c r="HX45" s="54"/>
      <c r="HY45" s="54"/>
      <c r="HZ45" s="54"/>
      <c r="IA45" s="54"/>
      <c r="IB45" s="54"/>
      <c r="IC45" s="54"/>
      <c r="ID45" s="54"/>
      <c r="IE45" s="54"/>
      <c r="IF45" s="54"/>
      <c r="IG45" s="54"/>
      <c r="IH45" s="54"/>
      <c r="II45" s="54"/>
      <c r="IJ45" s="54"/>
      <c r="IK45" s="54"/>
      <c r="IL45" s="54"/>
      <c r="IM45" s="54"/>
      <c r="IN45" s="54"/>
      <c r="IO45" s="54"/>
      <c r="IP45" s="54"/>
      <c r="IQ45" s="54"/>
      <c r="IR45" s="54"/>
      <c r="IS45" s="54"/>
      <c r="IT45" s="54"/>
      <c r="IU45" s="54"/>
      <c r="IV45" s="54"/>
      <c r="IW45" s="54"/>
      <c r="IX45" s="54"/>
      <c r="IY45" s="54"/>
      <c r="IZ45" s="54"/>
      <c r="JA45" s="54"/>
      <c r="JB45" s="54"/>
      <c r="JC45" s="54"/>
      <c r="JD45" s="54"/>
      <c r="JE45" s="54"/>
      <c r="JF45" s="54"/>
      <c r="JG45" s="54"/>
      <c r="JH45" s="54"/>
      <c r="JI45" s="54"/>
      <c r="JJ45" s="54"/>
      <c r="JK45" s="54"/>
      <c r="JL45" s="54"/>
      <c r="JM45" s="54"/>
      <c r="JN45" s="54"/>
      <c r="JO45" s="54"/>
      <c r="JP45" s="54"/>
      <c r="JQ45" s="54"/>
      <c r="JR45" s="54"/>
      <c r="JS45" s="54"/>
      <c r="JT45" s="54"/>
      <c r="JU45" s="54"/>
      <c r="JV45" s="54"/>
      <c r="JW45" s="54"/>
      <c r="JX45" s="54"/>
      <c r="JY45" s="54"/>
      <c r="JZ45" s="54"/>
      <c r="KA45" s="54"/>
      <c r="KB45" s="54"/>
      <c r="KC45" s="54"/>
      <c r="KD45" s="54"/>
      <c r="KE45" s="54"/>
      <c r="KF45" s="54"/>
      <c r="KG45" s="54"/>
      <c r="KH45" s="54"/>
      <c r="KI45" s="54"/>
      <c r="KJ45" s="54"/>
      <c r="KK45" s="54"/>
      <c r="KL45" s="54"/>
      <c r="KM45" s="54"/>
      <c r="KN45" s="54"/>
      <c r="KO45" s="54"/>
      <c r="KP45" s="54"/>
      <c r="KQ45" s="54"/>
      <c r="KR45" s="54"/>
      <c r="KS45" s="54"/>
      <c r="KT45" s="54"/>
      <c r="KU45" s="54"/>
      <c r="KV45" s="54"/>
      <c r="KW45" s="54"/>
      <c r="KX45" s="54"/>
      <c r="KY45" s="54"/>
      <c r="KZ45" s="54"/>
      <c r="LA45" s="54"/>
      <c r="LB45" s="54"/>
      <c r="LC45" s="54"/>
      <c r="LD45" s="54"/>
      <c r="LE45" s="54"/>
      <c r="LF45" s="54"/>
      <c r="LG45" s="54"/>
      <c r="LH45" s="54"/>
      <c r="LI45" s="54"/>
      <c r="LJ45" s="54"/>
      <c r="LK45" s="54"/>
      <c r="LL45" s="54"/>
      <c r="LM45" s="54"/>
      <c r="LN45" s="54"/>
      <c r="LO45" s="54"/>
      <c r="LP45" s="54"/>
      <c r="LQ45" s="54"/>
      <c r="LR45" s="54"/>
      <c r="LS45" s="54"/>
      <c r="LT45" s="54"/>
      <c r="LU45" s="54"/>
      <c r="LV45" s="54"/>
      <c r="LW45" s="54"/>
      <c r="LX45" s="54"/>
      <c r="LY45" s="54"/>
      <c r="LZ45" s="54"/>
      <c r="MA45" s="54"/>
      <c r="MB45" s="54"/>
      <c r="MC45" s="54"/>
      <c r="MD45" s="54"/>
      <c r="ME45" s="54"/>
      <c r="MF45" s="54"/>
      <c r="MG45" s="54"/>
      <c r="MH45" s="54"/>
      <c r="MI45" s="54"/>
      <c r="MJ45" s="54"/>
      <c r="MK45" s="54"/>
      <c r="ML45" s="54"/>
      <c r="MM45" s="54"/>
      <c r="MN45" s="54"/>
      <c r="MO45" s="54"/>
      <c r="MP45" s="54"/>
      <c r="MQ45" s="54"/>
      <c r="MR45" s="54"/>
      <c r="MS45" s="54"/>
      <c r="MT45" s="54"/>
      <c r="MU45" s="54"/>
      <c r="MV45" s="54"/>
      <c r="MW45" s="54"/>
      <c r="MX45" s="54"/>
      <c r="MY45" s="54"/>
      <c r="MZ45" s="54"/>
      <c r="NA45" s="54"/>
      <c r="NB45" s="54"/>
      <c r="NC45" s="54"/>
      <c r="ND45" s="54"/>
      <c r="NE45" s="54"/>
      <c r="NF45" s="54"/>
      <c r="NG45" s="54"/>
      <c r="NH45" s="54"/>
      <c r="NI45" s="54"/>
      <c r="NJ45" s="54"/>
      <c r="NK45" s="54"/>
      <c r="NL45" s="54"/>
      <c r="NM45" s="54"/>
      <c r="NN45" s="54"/>
      <c r="NO45" s="54"/>
      <c r="NP45" s="54"/>
      <c r="NQ45" s="54"/>
      <c r="NR45" s="54"/>
      <c r="NS45" s="54"/>
      <c r="NT45" s="54"/>
      <c r="NU45" s="54"/>
      <c r="NV45" s="54"/>
      <c r="NW45" s="54"/>
      <c r="NX45" s="54"/>
      <c r="NY45" s="54"/>
      <c r="NZ45" s="54"/>
      <c r="OA45" s="54"/>
      <c r="OB45" s="54"/>
      <c r="OC45" s="54"/>
      <c r="OD45" s="54"/>
      <c r="OE45" s="54"/>
      <c r="OF45" s="54"/>
      <c r="OG45" s="54"/>
      <c r="OH45" s="54"/>
      <c r="OI45" s="54"/>
      <c r="OJ45" s="54"/>
      <c r="OK45" s="54"/>
      <c r="OL45" s="54"/>
      <c r="OM45" s="54"/>
      <c r="ON45" s="54"/>
      <c r="OO45" s="54"/>
      <c r="OP45" s="54"/>
      <c r="OQ45" s="54"/>
      <c r="OR45" s="54"/>
      <c r="OS45" s="54"/>
      <c r="OT45" s="54"/>
      <c r="OU45" s="54"/>
      <c r="OV45" s="54"/>
      <c r="OW45" s="54"/>
      <c r="OX45" s="54"/>
      <c r="OY45" s="54"/>
      <c r="OZ45" s="54"/>
      <c r="PA45" s="54"/>
      <c r="PB45" s="54"/>
      <c r="PC45" s="54"/>
      <c r="PD45" s="54"/>
      <c r="PE45" s="54"/>
      <c r="PF45" s="54"/>
      <c r="PG45" s="54"/>
      <c r="PH45" s="54"/>
      <c r="PI45" s="54"/>
      <c r="PJ45" s="54"/>
      <c r="PK45" s="54"/>
      <c r="PL45" s="54"/>
      <c r="PM45" s="54"/>
      <c r="PN45" s="54"/>
      <c r="PO45" s="54"/>
      <c r="PP45" s="54"/>
      <c r="PQ45" s="54"/>
      <c r="PR45" s="54"/>
      <c r="PS45" s="54"/>
      <c r="PT45" s="54"/>
      <c r="PU45" s="54"/>
      <c r="PV45" s="54"/>
      <c r="PW45" s="54"/>
      <c r="PX45" s="54"/>
      <c r="PY45" s="54"/>
      <c r="PZ45" s="54"/>
      <c r="QA45" s="54"/>
      <c r="QB45" s="54"/>
      <c r="QC45" s="54"/>
      <c r="QD45" s="54"/>
      <c r="QE45" s="54"/>
      <c r="QF45" s="54"/>
      <c r="QG45" s="54"/>
      <c r="QH45" s="54"/>
      <c r="QI45" s="54"/>
      <c r="QJ45" s="54"/>
      <c r="QK45" s="54"/>
      <c r="QL45" s="54"/>
      <c r="QM45" s="54"/>
      <c r="QN45" s="54"/>
      <c r="QO45" s="54"/>
      <c r="QP45" s="54"/>
      <c r="QQ45" s="54"/>
      <c r="QR45" s="54"/>
      <c r="QS45" s="54"/>
      <c r="QT45" s="54"/>
      <c r="QU45" s="54"/>
      <c r="QV45" s="54"/>
      <c r="QW45" s="54"/>
      <c r="QX45" s="54"/>
      <c r="QY45" s="54"/>
      <c r="QZ45" s="54"/>
      <c r="RA45" s="54"/>
      <c r="RB45" s="54"/>
      <c r="RC45" s="54"/>
      <c r="RD45" s="54"/>
      <c r="RE45" s="54"/>
      <c r="RF45" s="54"/>
      <c r="RG45" s="54"/>
      <c r="RH45" s="54"/>
      <c r="RI45" s="54"/>
      <c r="RJ45" s="54"/>
      <c r="RK45" s="54"/>
      <c r="RL45" s="54"/>
      <c r="RM45" s="54"/>
      <c r="RN45" s="54"/>
      <c r="RO45" s="54"/>
      <c r="RP45" s="54"/>
      <c r="RQ45" s="54"/>
      <c r="RR45" s="54"/>
      <c r="RS45" s="54"/>
      <c r="RT45" s="54"/>
      <c r="RU45" s="54"/>
      <c r="RV45" s="54"/>
      <c r="RW45" s="54"/>
      <c r="RX45" s="54"/>
      <c r="RY45" s="54"/>
      <c r="RZ45" s="54"/>
      <c r="SA45" s="54"/>
      <c r="SB45" s="54"/>
      <c r="SC45" s="54"/>
      <c r="SD45" s="54"/>
      <c r="SE45" s="54"/>
      <c r="SF45" s="54"/>
      <c r="SG45" s="54"/>
      <c r="SH45" s="54"/>
      <c r="SI45" s="54"/>
      <c r="SJ45" s="54"/>
      <c r="SK45" s="54"/>
      <c r="SL45" s="54"/>
      <c r="SM45" s="54"/>
      <c r="SN45" s="54"/>
      <c r="SO45" s="54"/>
      <c r="SP45" s="54"/>
      <c r="SQ45" s="54"/>
      <c r="SR45" s="54"/>
    </row>
    <row r="46" spans="1:512" s="55" customFormat="1" ht="15" customHeight="1" x14ac:dyDescent="0.7">
      <c r="A46" s="173"/>
      <c r="B46" s="173"/>
      <c r="C46" s="173"/>
      <c r="D46" s="173"/>
      <c r="E46" s="173"/>
      <c r="F46" s="173"/>
      <c r="G46" s="176"/>
      <c r="H46" s="92"/>
      <c r="I46" s="93"/>
      <c r="J46" s="94"/>
      <c r="K46" s="170"/>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c r="IX46" s="56"/>
      <c r="IY46" s="56"/>
      <c r="IZ46" s="56"/>
      <c r="JA46" s="56"/>
      <c r="JB46" s="56"/>
      <c r="JC46" s="56"/>
      <c r="JD46" s="56"/>
      <c r="JE46" s="56"/>
      <c r="JF46" s="56"/>
      <c r="JG46" s="56"/>
      <c r="JH46" s="56"/>
      <c r="JI46" s="56"/>
      <c r="JJ46" s="56"/>
      <c r="JK46" s="56"/>
      <c r="JL46" s="56"/>
      <c r="JM46" s="56"/>
      <c r="JN46" s="56"/>
      <c r="JO46" s="56"/>
      <c r="JP46" s="56"/>
      <c r="JQ46" s="56"/>
      <c r="JR46" s="56"/>
      <c r="JS46" s="56"/>
      <c r="JT46" s="56"/>
      <c r="JU46" s="56"/>
      <c r="JV46" s="56"/>
      <c r="JW46" s="56"/>
      <c r="JX46" s="56"/>
      <c r="JY46" s="56"/>
      <c r="JZ46" s="56"/>
      <c r="KA46" s="56"/>
      <c r="KB46" s="56"/>
      <c r="KC46" s="56"/>
      <c r="KD46" s="56"/>
      <c r="KE46" s="56"/>
      <c r="KF46" s="56"/>
      <c r="KG46" s="56"/>
      <c r="KH46" s="56"/>
      <c r="KI46" s="56"/>
      <c r="KJ46" s="56"/>
      <c r="KK46" s="56"/>
      <c r="KL46" s="56"/>
      <c r="KM46" s="56"/>
      <c r="KN46" s="56"/>
      <c r="KO46" s="56"/>
      <c r="KP46" s="56"/>
      <c r="KQ46" s="56"/>
      <c r="KR46" s="56"/>
      <c r="KS46" s="56"/>
      <c r="KT46" s="56"/>
      <c r="KU46" s="56"/>
      <c r="KV46" s="56"/>
      <c r="KW46" s="56"/>
      <c r="KX46" s="56"/>
      <c r="KY46" s="56"/>
      <c r="KZ46" s="56"/>
      <c r="LA46" s="56"/>
      <c r="LB46" s="56"/>
      <c r="LC46" s="56"/>
      <c r="LD46" s="56"/>
      <c r="LE46" s="56"/>
      <c r="LF46" s="56"/>
      <c r="LG46" s="56"/>
      <c r="LH46" s="56"/>
      <c r="LI46" s="56"/>
      <c r="LJ46" s="56"/>
      <c r="LK46" s="56"/>
      <c r="LL46" s="56"/>
      <c r="LM46" s="56"/>
      <c r="LN46" s="56"/>
      <c r="LO46" s="56"/>
      <c r="LP46" s="56"/>
      <c r="LQ46" s="56"/>
      <c r="LR46" s="56"/>
      <c r="LS46" s="56"/>
      <c r="LT46" s="56"/>
      <c r="LU46" s="56"/>
      <c r="LV46" s="56"/>
      <c r="LW46" s="56"/>
      <c r="LX46" s="56"/>
      <c r="LY46" s="56"/>
      <c r="LZ46" s="56"/>
      <c r="MA46" s="56"/>
      <c r="MB46" s="56"/>
      <c r="MC46" s="56"/>
      <c r="MD46" s="56"/>
      <c r="ME46" s="56"/>
      <c r="MF46" s="56"/>
      <c r="MG46" s="56"/>
      <c r="MH46" s="56"/>
      <c r="MI46" s="56"/>
      <c r="MJ46" s="56"/>
      <c r="MK46" s="56"/>
      <c r="ML46" s="56"/>
      <c r="MM46" s="56"/>
      <c r="MN46" s="56"/>
      <c r="MO46" s="56"/>
      <c r="MP46" s="56"/>
      <c r="MQ46" s="56"/>
      <c r="MR46" s="56"/>
      <c r="MS46" s="56"/>
      <c r="MT46" s="56"/>
      <c r="MU46" s="56"/>
      <c r="MV46" s="56"/>
      <c r="MW46" s="56"/>
      <c r="MX46" s="56"/>
      <c r="MY46" s="56"/>
      <c r="MZ46" s="56"/>
      <c r="NA46" s="56"/>
      <c r="NB46" s="56"/>
      <c r="NC46" s="56"/>
      <c r="ND46" s="56"/>
      <c r="NE46" s="56"/>
      <c r="NF46" s="56"/>
      <c r="NG46" s="56"/>
      <c r="NH46" s="56"/>
      <c r="NI46" s="56"/>
      <c r="NJ46" s="56"/>
      <c r="NK46" s="56"/>
      <c r="NL46" s="56"/>
      <c r="NM46" s="56"/>
      <c r="NN46" s="56"/>
      <c r="NO46" s="56"/>
      <c r="NP46" s="56"/>
      <c r="NQ46" s="56"/>
      <c r="NR46" s="56"/>
      <c r="NS46" s="56"/>
      <c r="NT46" s="56"/>
      <c r="NU46" s="56"/>
      <c r="NV46" s="56"/>
      <c r="NW46" s="56"/>
      <c r="NX46" s="56"/>
      <c r="NY46" s="56"/>
      <c r="NZ46" s="56"/>
      <c r="OA46" s="56"/>
      <c r="OB46" s="56"/>
      <c r="OC46" s="56"/>
      <c r="OD46" s="56"/>
      <c r="OE46" s="56"/>
      <c r="OF46" s="56"/>
      <c r="OG46" s="56"/>
      <c r="OH46" s="56"/>
      <c r="OI46" s="56"/>
      <c r="OJ46" s="56"/>
      <c r="OK46" s="56"/>
      <c r="OL46" s="56"/>
      <c r="OM46" s="56"/>
      <c r="ON46" s="56"/>
      <c r="OO46" s="56"/>
      <c r="OP46" s="56"/>
      <c r="OQ46" s="56"/>
      <c r="OR46" s="56"/>
      <c r="OS46" s="56"/>
      <c r="OT46" s="56"/>
      <c r="OU46" s="56"/>
      <c r="OV46" s="56"/>
      <c r="OW46" s="56"/>
      <c r="OX46" s="56"/>
      <c r="OY46" s="56"/>
      <c r="OZ46" s="56"/>
      <c r="PA46" s="56"/>
      <c r="PB46" s="56"/>
      <c r="PC46" s="56"/>
      <c r="PD46" s="56"/>
      <c r="PE46" s="56"/>
      <c r="PF46" s="56"/>
      <c r="PG46" s="56"/>
      <c r="PH46" s="56"/>
      <c r="PI46" s="56"/>
      <c r="PJ46" s="56"/>
      <c r="PK46" s="56"/>
      <c r="PL46" s="56"/>
      <c r="PM46" s="56"/>
      <c r="PN46" s="56"/>
      <c r="PO46" s="56"/>
      <c r="PP46" s="56"/>
      <c r="PQ46" s="56"/>
      <c r="PR46" s="56"/>
      <c r="PS46" s="56"/>
      <c r="PT46" s="56"/>
      <c r="PU46" s="56"/>
      <c r="PV46" s="56"/>
      <c r="PW46" s="56"/>
      <c r="PX46" s="56"/>
      <c r="PY46" s="56"/>
      <c r="PZ46" s="56"/>
      <c r="QA46" s="56"/>
      <c r="QB46" s="56"/>
      <c r="QC46" s="56"/>
      <c r="QD46" s="56"/>
      <c r="QE46" s="56"/>
      <c r="QF46" s="56"/>
      <c r="QG46" s="56"/>
      <c r="QH46" s="56"/>
      <c r="QI46" s="56"/>
      <c r="QJ46" s="56"/>
      <c r="QK46" s="56"/>
      <c r="QL46" s="56"/>
      <c r="QM46" s="56"/>
      <c r="QN46" s="56"/>
      <c r="QO46" s="56"/>
      <c r="QP46" s="56"/>
      <c r="QQ46" s="56"/>
      <c r="QR46" s="56"/>
      <c r="QS46" s="56"/>
      <c r="QT46" s="56"/>
      <c r="QU46" s="56"/>
      <c r="QV46" s="56"/>
      <c r="QW46" s="56"/>
      <c r="QX46" s="56"/>
      <c r="QY46" s="56"/>
      <c r="QZ46" s="56"/>
      <c r="RA46" s="56"/>
      <c r="RB46" s="56"/>
      <c r="RC46" s="56"/>
      <c r="RD46" s="56"/>
      <c r="RE46" s="56"/>
      <c r="RF46" s="56"/>
      <c r="RG46" s="56"/>
      <c r="RH46" s="56"/>
      <c r="RI46" s="56"/>
      <c r="RJ46" s="56"/>
      <c r="RK46" s="56"/>
      <c r="RL46" s="56"/>
      <c r="RM46" s="56"/>
      <c r="RN46" s="56"/>
      <c r="RO46" s="56"/>
      <c r="RP46" s="56"/>
      <c r="RQ46" s="56"/>
      <c r="RR46" s="56"/>
      <c r="RS46" s="56"/>
      <c r="RT46" s="56"/>
      <c r="RU46" s="56"/>
      <c r="RV46" s="56"/>
      <c r="RW46" s="56"/>
      <c r="RX46" s="56"/>
      <c r="RY46" s="56"/>
      <c r="RZ46" s="56"/>
      <c r="SA46" s="56"/>
      <c r="SB46" s="56"/>
      <c r="SC46" s="56"/>
      <c r="SD46" s="56"/>
      <c r="SE46" s="56"/>
      <c r="SF46" s="56"/>
      <c r="SG46" s="56"/>
      <c r="SH46" s="56"/>
      <c r="SI46" s="56"/>
      <c r="SJ46" s="56"/>
      <c r="SK46" s="56"/>
      <c r="SL46" s="56"/>
      <c r="SM46" s="56"/>
      <c r="SN46" s="56"/>
      <c r="SO46" s="56"/>
      <c r="SP46" s="56"/>
      <c r="SQ46" s="56"/>
      <c r="SR46" s="56"/>
    </row>
    <row r="47" spans="1:512" ht="15" customHeight="1" x14ac:dyDescent="0.7">
      <c r="A47" s="171">
        <v>13</v>
      </c>
      <c r="B47" s="171" t="s">
        <v>379</v>
      </c>
      <c r="C47" s="171" t="s">
        <v>344</v>
      </c>
      <c r="D47" s="171"/>
      <c r="E47" s="171" t="s">
        <v>33</v>
      </c>
      <c r="F47" s="171"/>
      <c r="G47" s="174" t="s">
        <v>380</v>
      </c>
      <c r="H47" s="88" t="s">
        <v>381</v>
      </c>
      <c r="I47" s="89" t="s">
        <v>369</v>
      </c>
      <c r="J47" s="90">
        <v>61</v>
      </c>
      <c r="K47" s="168">
        <v>60</v>
      </c>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54"/>
      <c r="EM47" s="54"/>
      <c r="EN47" s="54"/>
      <c r="EO47" s="54"/>
      <c r="EP47" s="54"/>
      <c r="EQ47" s="54"/>
      <c r="ER47" s="54"/>
      <c r="ES47" s="54"/>
      <c r="ET47" s="54"/>
      <c r="EU47" s="54"/>
      <c r="EV47" s="54"/>
      <c r="EW47" s="54"/>
      <c r="EX47" s="54"/>
      <c r="EY47" s="54"/>
      <c r="EZ47" s="54"/>
      <c r="FA47" s="54"/>
      <c r="FB47" s="54"/>
      <c r="FC47" s="54"/>
      <c r="FD47" s="54"/>
      <c r="FE47" s="54"/>
      <c r="FF47" s="54"/>
      <c r="FG47" s="54"/>
      <c r="FH47" s="54"/>
      <c r="FI47" s="54"/>
      <c r="FJ47" s="54"/>
      <c r="FK47" s="54"/>
      <c r="FL47" s="54"/>
      <c r="FM47" s="54"/>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4"/>
      <c r="HT47" s="54"/>
      <c r="HU47" s="54"/>
      <c r="HV47" s="54"/>
      <c r="HW47" s="54"/>
      <c r="HX47" s="54"/>
      <c r="HY47" s="54"/>
      <c r="HZ47" s="54"/>
      <c r="IA47" s="54"/>
      <c r="IB47" s="54"/>
      <c r="IC47" s="54"/>
      <c r="ID47" s="54"/>
      <c r="IE47" s="54"/>
      <c r="IF47" s="54"/>
      <c r="IG47" s="54"/>
      <c r="IH47" s="54"/>
      <c r="II47" s="54"/>
      <c r="IJ47" s="54"/>
      <c r="IK47" s="54"/>
      <c r="IL47" s="54"/>
      <c r="IM47" s="54"/>
      <c r="IN47" s="54"/>
      <c r="IO47" s="54"/>
      <c r="IP47" s="54"/>
      <c r="IQ47" s="54"/>
      <c r="IR47" s="54"/>
      <c r="IS47" s="54"/>
      <c r="IT47" s="54"/>
      <c r="IU47" s="54"/>
      <c r="IV47" s="54"/>
      <c r="IW47" s="54"/>
      <c r="IX47" s="54"/>
      <c r="IY47" s="54"/>
      <c r="IZ47" s="54"/>
      <c r="JA47" s="54"/>
      <c r="JB47" s="54"/>
      <c r="JC47" s="54"/>
      <c r="JD47" s="54"/>
      <c r="JE47" s="54"/>
      <c r="JF47" s="54"/>
      <c r="JG47" s="54"/>
      <c r="JH47" s="54"/>
      <c r="JI47" s="54"/>
      <c r="JJ47" s="54"/>
      <c r="JK47" s="54"/>
      <c r="JL47" s="54"/>
      <c r="JM47" s="54"/>
      <c r="JN47" s="54"/>
      <c r="JO47" s="54"/>
      <c r="JP47" s="54"/>
      <c r="JQ47" s="54"/>
      <c r="JR47" s="54"/>
      <c r="JS47" s="54"/>
      <c r="JT47" s="54"/>
      <c r="JU47" s="54"/>
      <c r="JV47" s="54"/>
      <c r="JW47" s="54"/>
      <c r="JX47" s="54"/>
      <c r="JY47" s="54"/>
      <c r="JZ47" s="54"/>
      <c r="KA47" s="54"/>
      <c r="KB47" s="54"/>
      <c r="KC47" s="54"/>
      <c r="KD47" s="54"/>
      <c r="KE47" s="54"/>
      <c r="KF47" s="54"/>
      <c r="KG47" s="54"/>
      <c r="KH47" s="54"/>
      <c r="KI47" s="54"/>
      <c r="KJ47" s="54"/>
      <c r="KK47" s="54"/>
      <c r="KL47" s="54"/>
      <c r="KM47" s="54"/>
      <c r="KN47" s="54"/>
      <c r="KO47" s="54"/>
      <c r="KP47" s="54"/>
      <c r="KQ47" s="54"/>
      <c r="KR47" s="54"/>
      <c r="KS47" s="54"/>
      <c r="KT47" s="54"/>
      <c r="KU47" s="54"/>
      <c r="KV47" s="54"/>
      <c r="KW47" s="54"/>
      <c r="KX47" s="54"/>
      <c r="KY47" s="54"/>
      <c r="KZ47" s="54"/>
      <c r="LA47" s="54"/>
      <c r="LB47" s="54"/>
      <c r="LC47" s="54"/>
      <c r="LD47" s="54"/>
      <c r="LE47" s="54"/>
      <c r="LF47" s="54"/>
      <c r="LG47" s="54"/>
      <c r="LH47" s="54"/>
      <c r="LI47" s="54"/>
      <c r="LJ47" s="54"/>
      <c r="LK47" s="54"/>
      <c r="LL47" s="54"/>
      <c r="LM47" s="54"/>
      <c r="LN47" s="54"/>
      <c r="LO47" s="54"/>
      <c r="LP47" s="54"/>
      <c r="LQ47" s="54"/>
      <c r="LR47" s="54"/>
      <c r="LS47" s="54"/>
      <c r="LT47" s="54"/>
      <c r="LU47" s="54"/>
      <c r="LV47" s="54"/>
      <c r="LW47" s="54"/>
      <c r="LX47" s="54"/>
      <c r="LY47" s="54"/>
      <c r="LZ47" s="54"/>
      <c r="MA47" s="54"/>
      <c r="MB47" s="54"/>
      <c r="MC47" s="54"/>
      <c r="MD47" s="54"/>
      <c r="ME47" s="54"/>
      <c r="MF47" s="54"/>
      <c r="MG47" s="54"/>
      <c r="MH47" s="54"/>
      <c r="MI47" s="54"/>
      <c r="MJ47" s="54"/>
      <c r="MK47" s="54"/>
      <c r="ML47" s="54"/>
      <c r="MM47" s="54"/>
      <c r="MN47" s="54"/>
      <c r="MO47" s="54"/>
      <c r="MP47" s="54"/>
      <c r="MQ47" s="54"/>
      <c r="MR47" s="54"/>
      <c r="MS47" s="54"/>
      <c r="MT47" s="54"/>
      <c r="MU47" s="54"/>
      <c r="MV47" s="54"/>
      <c r="MW47" s="54"/>
      <c r="MX47" s="54"/>
      <c r="MY47" s="54"/>
      <c r="MZ47" s="54"/>
      <c r="NA47" s="54"/>
      <c r="NB47" s="54"/>
      <c r="NC47" s="54"/>
      <c r="ND47" s="54"/>
      <c r="NE47" s="54"/>
      <c r="NF47" s="54"/>
      <c r="NG47" s="54"/>
      <c r="NH47" s="54"/>
      <c r="NI47" s="54"/>
      <c r="NJ47" s="54"/>
      <c r="NK47" s="54"/>
      <c r="NL47" s="54"/>
      <c r="NM47" s="54"/>
      <c r="NN47" s="54"/>
      <c r="NO47" s="54"/>
      <c r="NP47" s="54"/>
      <c r="NQ47" s="54"/>
      <c r="NR47" s="54"/>
      <c r="NS47" s="54"/>
      <c r="NT47" s="54"/>
      <c r="NU47" s="54"/>
      <c r="NV47" s="54"/>
      <c r="NW47" s="54"/>
      <c r="NX47" s="54"/>
      <c r="NY47" s="54"/>
      <c r="NZ47" s="54"/>
      <c r="OA47" s="54"/>
      <c r="OB47" s="54"/>
      <c r="OC47" s="54"/>
      <c r="OD47" s="54"/>
      <c r="OE47" s="54"/>
      <c r="OF47" s="54"/>
      <c r="OG47" s="54"/>
      <c r="OH47" s="54"/>
      <c r="OI47" s="54"/>
      <c r="OJ47" s="54"/>
      <c r="OK47" s="54"/>
      <c r="OL47" s="54"/>
      <c r="OM47" s="54"/>
      <c r="ON47" s="54"/>
      <c r="OO47" s="54"/>
      <c r="OP47" s="54"/>
      <c r="OQ47" s="54"/>
      <c r="OR47" s="54"/>
      <c r="OS47" s="54"/>
      <c r="OT47" s="54"/>
      <c r="OU47" s="54"/>
      <c r="OV47" s="54"/>
      <c r="OW47" s="54"/>
      <c r="OX47" s="54"/>
      <c r="OY47" s="54"/>
      <c r="OZ47" s="54"/>
      <c r="PA47" s="54"/>
      <c r="PB47" s="54"/>
      <c r="PC47" s="54"/>
      <c r="PD47" s="54"/>
      <c r="PE47" s="54"/>
      <c r="PF47" s="54"/>
      <c r="PG47" s="54"/>
      <c r="PH47" s="54"/>
      <c r="PI47" s="54"/>
      <c r="PJ47" s="54"/>
      <c r="PK47" s="54"/>
      <c r="PL47" s="54"/>
      <c r="PM47" s="54"/>
      <c r="PN47" s="54"/>
      <c r="PO47" s="54"/>
      <c r="PP47" s="54"/>
      <c r="PQ47" s="54"/>
      <c r="PR47" s="54"/>
      <c r="PS47" s="54"/>
      <c r="PT47" s="54"/>
      <c r="PU47" s="54"/>
      <c r="PV47" s="54"/>
      <c r="PW47" s="54"/>
      <c r="PX47" s="54"/>
      <c r="PY47" s="54"/>
      <c r="PZ47" s="54"/>
      <c r="QA47" s="54"/>
      <c r="QB47" s="54"/>
      <c r="QC47" s="54"/>
      <c r="QD47" s="54"/>
      <c r="QE47" s="54"/>
      <c r="QF47" s="54"/>
      <c r="QG47" s="54"/>
      <c r="QH47" s="54"/>
      <c r="QI47" s="54"/>
      <c r="QJ47" s="54"/>
      <c r="QK47" s="54"/>
      <c r="QL47" s="54"/>
      <c r="QM47" s="54"/>
      <c r="QN47" s="54"/>
      <c r="QO47" s="54"/>
      <c r="QP47" s="54"/>
      <c r="QQ47" s="54"/>
      <c r="QR47" s="54"/>
      <c r="QS47" s="54"/>
      <c r="QT47" s="54"/>
      <c r="QU47" s="54"/>
      <c r="QV47" s="54"/>
      <c r="QW47" s="54"/>
      <c r="QX47" s="54"/>
      <c r="QY47" s="54"/>
      <c r="QZ47" s="54"/>
      <c r="RA47" s="54"/>
      <c r="RB47" s="54"/>
      <c r="RC47" s="54"/>
      <c r="RD47" s="54"/>
      <c r="RE47" s="54"/>
      <c r="RF47" s="54"/>
      <c r="RG47" s="54"/>
      <c r="RH47" s="54"/>
      <c r="RI47" s="54"/>
      <c r="RJ47" s="54"/>
      <c r="RK47" s="54"/>
      <c r="RL47" s="54"/>
      <c r="RM47" s="54"/>
      <c r="RN47" s="54"/>
      <c r="RO47" s="54"/>
      <c r="RP47" s="54"/>
      <c r="RQ47" s="54"/>
      <c r="RR47" s="54"/>
      <c r="RS47" s="54"/>
      <c r="RT47" s="54"/>
      <c r="RU47" s="54"/>
      <c r="RV47" s="54"/>
      <c r="RW47" s="54"/>
      <c r="RX47" s="54"/>
      <c r="RY47" s="54"/>
      <c r="RZ47" s="54"/>
      <c r="SA47" s="54"/>
      <c r="SB47" s="54"/>
      <c r="SC47" s="54"/>
      <c r="SD47" s="54"/>
      <c r="SE47" s="54"/>
      <c r="SF47" s="54"/>
      <c r="SG47" s="54"/>
      <c r="SH47" s="54"/>
      <c r="SI47" s="54"/>
      <c r="SJ47" s="54"/>
      <c r="SK47" s="54"/>
      <c r="SL47" s="54"/>
      <c r="SM47" s="54"/>
      <c r="SN47" s="54"/>
      <c r="SO47" s="54"/>
      <c r="SP47" s="54"/>
      <c r="SQ47" s="54"/>
      <c r="SR47" s="54"/>
    </row>
    <row r="48" spans="1:512" ht="15" customHeight="1" x14ac:dyDescent="0.7">
      <c r="A48" s="172"/>
      <c r="B48" s="172"/>
      <c r="C48" s="172"/>
      <c r="D48" s="172"/>
      <c r="E48" s="172"/>
      <c r="F48" s="172"/>
      <c r="G48" s="175"/>
      <c r="H48" s="91"/>
      <c r="I48" s="89" t="s">
        <v>370</v>
      </c>
      <c r="J48" s="90">
        <v>59</v>
      </c>
      <c r="K48" s="169"/>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4"/>
      <c r="EF48" s="54"/>
      <c r="EG48" s="54"/>
      <c r="EH48" s="54"/>
      <c r="EI48" s="54"/>
      <c r="EJ48" s="54"/>
      <c r="EK48" s="54"/>
      <c r="EL48" s="54"/>
      <c r="EM48" s="54"/>
      <c r="EN48" s="54"/>
      <c r="EO48" s="54"/>
      <c r="EP48" s="54"/>
      <c r="EQ48" s="54"/>
      <c r="ER48" s="54"/>
      <c r="ES48" s="54"/>
      <c r="ET48" s="54"/>
      <c r="EU48" s="54"/>
      <c r="EV48" s="54"/>
      <c r="EW48" s="54"/>
      <c r="EX48" s="54"/>
      <c r="EY48" s="54"/>
      <c r="EZ48" s="54"/>
      <c r="FA48" s="54"/>
      <c r="FB48" s="54"/>
      <c r="FC48" s="54"/>
      <c r="FD48" s="54"/>
      <c r="FE48" s="54"/>
      <c r="FF48" s="54"/>
      <c r="FG48" s="54"/>
      <c r="FH48" s="54"/>
      <c r="FI48" s="54"/>
      <c r="FJ48" s="54"/>
      <c r="FK48" s="54"/>
      <c r="FL48" s="54"/>
      <c r="FM48" s="54"/>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c r="GW48" s="54"/>
      <c r="GX48" s="54"/>
      <c r="GY48" s="54"/>
      <c r="GZ48" s="54"/>
      <c r="HA48" s="54"/>
      <c r="HB48" s="54"/>
      <c r="HC48" s="54"/>
      <c r="HD48" s="54"/>
      <c r="HE48" s="54"/>
      <c r="HF48" s="54"/>
      <c r="HG48" s="54"/>
      <c r="HH48" s="54"/>
      <c r="HI48" s="54"/>
      <c r="HJ48" s="54"/>
      <c r="HK48" s="54"/>
      <c r="HL48" s="54"/>
      <c r="HM48" s="54"/>
      <c r="HN48" s="54"/>
      <c r="HO48" s="54"/>
      <c r="HP48" s="54"/>
      <c r="HQ48" s="54"/>
      <c r="HR48" s="54"/>
      <c r="HS48" s="54"/>
      <c r="HT48" s="54"/>
      <c r="HU48" s="54"/>
      <c r="HV48" s="54"/>
      <c r="HW48" s="54"/>
      <c r="HX48" s="54"/>
      <c r="HY48" s="54"/>
      <c r="HZ48" s="54"/>
      <c r="IA48" s="54"/>
      <c r="IB48" s="54"/>
      <c r="IC48" s="54"/>
      <c r="ID48" s="54"/>
      <c r="IE48" s="54"/>
      <c r="IF48" s="54"/>
      <c r="IG48" s="54"/>
      <c r="IH48" s="54"/>
      <c r="II48" s="54"/>
      <c r="IJ48" s="54"/>
      <c r="IK48" s="54"/>
      <c r="IL48" s="54"/>
      <c r="IM48" s="54"/>
      <c r="IN48" s="54"/>
      <c r="IO48" s="54"/>
      <c r="IP48" s="54"/>
      <c r="IQ48" s="54"/>
      <c r="IR48" s="54"/>
      <c r="IS48" s="54"/>
      <c r="IT48" s="54"/>
      <c r="IU48" s="54"/>
      <c r="IV48" s="54"/>
      <c r="IW48" s="54"/>
      <c r="IX48" s="54"/>
      <c r="IY48" s="54"/>
      <c r="IZ48" s="54"/>
      <c r="JA48" s="54"/>
      <c r="JB48" s="54"/>
      <c r="JC48" s="54"/>
      <c r="JD48" s="54"/>
      <c r="JE48" s="54"/>
      <c r="JF48" s="54"/>
      <c r="JG48" s="54"/>
      <c r="JH48" s="54"/>
      <c r="JI48" s="54"/>
      <c r="JJ48" s="54"/>
      <c r="JK48" s="54"/>
      <c r="JL48" s="54"/>
      <c r="JM48" s="54"/>
      <c r="JN48" s="54"/>
      <c r="JO48" s="54"/>
      <c r="JP48" s="54"/>
      <c r="JQ48" s="54"/>
      <c r="JR48" s="54"/>
      <c r="JS48" s="54"/>
      <c r="JT48" s="54"/>
      <c r="JU48" s="54"/>
      <c r="JV48" s="54"/>
      <c r="JW48" s="54"/>
      <c r="JX48" s="54"/>
      <c r="JY48" s="54"/>
      <c r="JZ48" s="54"/>
      <c r="KA48" s="54"/>
      <c r="KB48" s="54"/>
      <c r="KC48" s="54"/>
      <c r="KD48" s="54"/>
      <c r="KE48" s="54"/>
      <c r="KF48" s="54"/>
      <c r="KG48" s="54"/>
      <c r="KH48" s="54"/>
      <c r="KI48" s="54"/>
      <c r="KJ48" s="54"/>
      <c r="KK48" s="54"/>
      <c r="KL48" s="54"/>
      <c r="KM48" s="54"/>
      <c r="KN48" s="54"/>
      <c r="KO48" s="54"/>
      <c r="KP48" s="54"/>
      <c r="KQ48" s="54"/>
      <c r="KR48" s="54"/>
      <c r="KS48" s="54"/>
      <c r="KT48" s="54"/>
      <c r="KU48" s="54"/>
      <c r="KV48" s="54"/>
      <c r="KW48" s="54"/>
      <c r="KX48" s="54"/>
      <c r="KY48" s="54"/>
      <c r="KZ48" s="54"/>
      <c r="LA48" s="54"/>
      <c r="LB48" s="54"/>
      <c r="LC48" s="54"/>
      <c r="LD48" s="54"/>
      <c r="LE48" s="54"/>
      <c r="LF48" s="54"/>
      <c r="LG48" s="54"/>
      <c r="LH48" s="54"/>
      <c r="LI48" s="54"/>
      <c r="LJ48" s="54"/>
      <c r="LK48" s="54"/>
      <c r="LL48" s="54"/>
      <c r="LM48" s="54"/>
      <c r="LN48" s="54"/>
      <c r="LO48" s="54"/>
      <c r="LP48" s="54"/>
      <c r="LQ48" s="54"/>
      <c r="LR48" s="54"/>
      <c r="LS48" s="54"/>
      <c r="LT48" s="54"/>
      <c r="LU48" s="54"/>
      <c r="LV48" s="54"/>
      <c r="LW48" s="54"/>
      <c r="LX48" s="54"/>
      <c r="LY48" s="54"/>
      <c r="LZ48" s="54"/>
      <c r="MA48" s="54"/>
      <c r="MB48" s="54"/>
      <c r="MC48" s="54"/>
      <c r="MD48" s="54"/>
      <c r="ME48" s="54"/>
      <c r="MF48" s="54"/>
      <c r="MG48" s="54"/>
      <c r="MH48" s="54"/>
      <c r="MI48" s="54"/>
      <c r="MJ48" s="54"/>
      <c r="MK48" s="54"/>
      <c r="ML48" s="54"/>
      <c r="MM48" s="54"/>
      <c r="MN48" s="54"/>
      <c r="MO48" s="54"/>
      <c r="MP48" s="54"/>
      <c r="MQ48" s="54"/>
      <c r="MR48" s="54"/>
      <c r="MS48" s="54"/>
      <c r="MT48" s="54"/>
      <c r="MU48" s="54"/>
      <c r="MV48" s="54"/>
      <c r="MW48" s="54"/>
      <c r="MX48" s="54"/>
      <c r="MY48" s="54"/>
      <c r="MZ48" s="54"/>
      <c r="NA48" s="54"/>
      <c r="NB48" s="54"/>
      <c r="NC48" s="54"/>
      <c r="ND48" s="54"/>
      <c r="NE48" s="54"/>
      <c r="NF48" s="54"/>
      <c r="NG48" s="54"/>
      <c r="NH48" s="54"/>
      <c r="NI48" s="54"/>
      <c r="NJ48" s="54"/>
      <c r="NK48" s="54"/>
      <c r="NL48" s="54"/>
      <c r="NM48" s="54"/>
      <c r="NN48" s="54"/>
      <c r="NO48" s="54"/>
      <c r="NP48" s="54"/>
      <c r="NQ48" s="54"/>
      <c r="NR48" s="54"/>
      <c r="NS48" s="54"/>
      <c r="NT48" s="54"/>
      <c r="NU48" s="54"/>
      <c r="NV48" s="54"/>
      <c r="NW48" s="54"/>
      <c r="NX48" s="54"/>
      <c r="NY48" s="54"/>
      <c r="NZ48" s="54"/>
      <c r="OA48" s="54"/>
      <c r="OB48" s="54"/>
      <c r="OC48" s="54"/>
      <c r="OD48" s="54"/>
      <c r="OE48" s="54"/>
      <c r="OF48" s="54"/>
      <c r="OG48" s="54"/>
      <c r="OH48" s="54"/>
      <c r="OI48" s="54"/>
      <c r="OJ48" s="54"/>
      <c r="OK48" s="54"/>
      <c r="OL48" s="54"/>
      <c r="OM48" s="54"/>
      <c r="ON48" s="54"/>
      <c r="OO48" s="54"/>
      <c r="OP48" s="54"/>
      <c r="OQ48" s="54"/>
      <c r="OR48" s="54"/>
      <c r="OS48" s="54"/>
      <c r="OT48" s="54"/>
      <c r="OU48" s="54"/>
      <c r="OV48" s="54"/>
      <c r="OW48" s="54"/>
      <c r="OX48" s="54"/>
      <c r="OY48" s="54"/>
      <c r="OZ48" s="54"/>
      <c r="PA48" s="54"/>
      <c r="PB48" s="54"/>
      <c r="PC48" s="54"/>
      <c r="PD48" s="54"/>
      <c r="PE48" s="54"/>
      <c r="PF48" s="54"/>
      <c r="PG48" s="54"/>
      <c r="PH48" s="54"/>
      <c r="PI48" s="54"/>
      <c r="PJ48" s="54"/>
      <c r="PK48" s="54"/>
      <c r="PL48" s="54"/>
      <c r="PM48" s="54"/>
      <c r="PN48" s="54"/>
      <c r="PO48" s="54"/>
      <c r="PP48" s="54"/>
      <c r="PQ48" s="54"/>
      <c r="PR48" s="54"/>
      <c r="PS48" s="54"/>
      <c r="PT48" s="54"/>
      <c r="PU48" s="54"/>
      <c r="PV48" s="54"/>
      <c r="PW48" s="54"/>
      <c r="PX48" s="54"/>
      <c r="PY48" s="54"/>
      <c r="PZ48" s="54"/>
      <c r="QA48" s="54"/>
      <c r="QB48" s="54"/>
      <c r="QC48" s="54"/>
      <c r="QD48" s="54"/>
      <c r="QE48" s="54"/>
      <c r="QF48" s="54"/>
      <c r="QG48" s="54"/>
      <c r="QH48" s="54"/>
      <c r="QI48" s="54"/>
      <c r="QJ48" s="54"/>
      <c r="QK48" s="54"/>
      <c r="QL48" s="54"/>
      <c r="QM48" s="54"/>
      <c r="QN48" s="54"/>
      <c r="QO48" s="54"/>
      <c r="QP48" s="54"/>
      <c r="QQ48" s="54"/>
      <c r="QR48" s="54"/>
      <c r="QS48" s="54"/>
      <c r="QT48" s="54"/>
      <c r="QU48" s="54"/>
      <c r="QV48" s="54"/>
      <c r="QW48" s="54"/>
      <c r="QX48" s="54"/>
      <c r="QY48" s="54"/>
      <c r="QZ48" s="54"/>
      <c r="RA48" s="54"/>
      <c r="RB48" s="54"/>
      <c r="RC48" s="54"/>
      <c r="RD48" s="54"/>
      <c r="RE48" s="54"/>
      <c r="RF48" s="54"/>
      <c r="RG48" s="54"/>
      <c r="RH48" s="54"/>
      <c r="RI48" s="54"/>
      <c r="RJ48" s="54"/>
      <c r="RK48" s="54"/>
      <c r="RL48" s="54"/>
      <c r="RM48" s="54"/>
      <c r="RN48" s="54"/>
      <c r="RO48" s="54"/>
      <c r="RP48" s="54"/>
      <c r="RQ48" s="54"/>
      <c r="RR48" s="54"/>
      <c r="RS48" s="54"/>
      <c r="RT48" s="54"/>
      <c r="RU48" s="54"/>
      <c r="RV48" s="54"/>
      <c r="RW48" s="54"/>
      <c r="RX48" s="54"/>
      <c r="RY48" s="54"/>
      <c r="RZ48" s="54"/>
      <c r="SA48" s="54"/>
      <c r="SB48" s="54"/>
      <c r="SC48" s="54"/>
      <c r="SD48" s="54"/>
      <c r="SE48" s="54"/>
      <c r="SF48" s="54"/>
      <c r="SG48" s="54"/>
      <c r="SH48" s="54"/>
      <c r="SI48" s="54"/>
      <c r="SJ48" s="54"/>
      <c r="SK48" s="54"/>
      <c r="SL48" s="54"/>
      <c r="SM48" s="54"/>
      <c r="SN48" s="54"/>
      <c r="SO48" s="54"/>
      <c r="SP48" s="54"/>
      <c r="SQ48" s="54"/>
      <c r="SR48" s="54"/>
    </row>
    <row r="49" spans="1:512" s="55" customFormat="1" ht="15" customHeight="1" x14ac:dyDescent="0.7">
      <c r="A49" s="173"/>
      <c r="B49" s="173"/>
      <c r="C49" s="173"/>
      <c r="D49" s="173"/>
      <c r="E49" s="173"/>
      <c r="F49" s="173"/>
      <c r="G49" s="176"/>
      <c r="H49" s="92"/>
      <c r="I49" s="93"/>
      <c r="J49" s="94"/>
      <c r="K49" s="170"/>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c r="IX49" s="56"/>
      <c r="IY49" s="56"/>
      <c r="IZ49" s="56"/>
      <c r="JA49" s="56"/>
      <c r="JB49" s="56"/>
      <c r="JC49" s="56"/>
      <c r="JD49" s="56"/>
      <c r="JE49" s="56"/>
      <c r="JF49" s="56"/>
      <c r="JG49" s="56"/>
      <c r="JH49" s="56"/>
      <c r="JI49" s="56"/>
      <c r="JJ49" s="56"/>
      <c r="JK49" s="56"/>
      <c r="JL49" s="56"/>
      <c r="JM49" s="56"/>
      <c r="JN49" s="56"/>
      <c r="JO49" s="56"/>
      <c r="JP49" s="56"/>
      <c r="JQ49" s="56"/>
      <c r="JR49" s="56"/>
      <c r="JS49" s="56"/>
      <c r="JT49" s="56"/>
      <c r="JU49" s="56"/>
      <c r="JV49" s="56"/>
      <c r="JW49" s="56"/>
      <c r="JX49" s="56"/>
      <c r="JY49" s="56"/>
      <c r="JZ49" s="56"/>
      <c r="KA49" s="56"/>
      <c r="KB49" s="56"/>
      <c r="KC49" s="56"/>
      <c r="KD49" s="56"/>
      <c r="KE49" s="56"/>
      <c r="KF49" s="56"/>
      <c r="KG49" s="56"/>
      <c r="KH49" s="56"/>
      <c r="KI49" s="56"/>
      <c r="KJ49" s="56"/>
      <c r="KK49" s="56"/>
      <c r="KL49" s="56"/>
      <c r="KM49" s="56"/>
      <c r="KN49" s="56"/>
      <c r="KO49" s="56"/>
      <c r="KP49" s="56"/>
      <c r="KQ49" s="56"/>
      <c r="KR49" s="56"/>
      <c r="KS49" s="56"/>
      <c r="KT49" s="56"/>
      <c r="KU49" s="56"/>
      <c r="KV49" s="56"/>
      <c r="KW49" s="56"/>
      <c r="KX49" s="56"/>
      <c r="KY49" s="56"/>
      <c r="KZ49" s="56"/>
      <c r="LA49" s="56"/>
      <c r="LB49" s="56"/>
      <c r="LC49" s="56"/>
      <c r="LD49" s="56"/>
      <c r="LE49" s="56"/>
      <c r="LF49" s="56"/>
      <c r="LG49" s="56"/>
      <c r="LH49" s="56"/>
      <c r="LI49" s="56"/>
      <c r="LJ49" s="56"/>
      <c r="LK49" s="56"/>
      <c r="LL49" s="56"/>
      <c r="LM49" s="56"/>
      <c r="LN49" s="56"/>
      <c r="LO49" s="56"/>
      <c r="LP49" s="56"/>
      <c r="LQ49" s="56"/>
      <c r="LR49" s="56"/>
      <c r="LS49" s="56"/>
      <c r="LT49" s="56"/>
      <c r="LU49" s="56"/>
      <c r="LV49" s="56"/>
      <c r="LW49" s="56"/>
      <c r="LX49" s="56"/>
      <c r="LY49" s="56"/>
      <c r="LZ49" s="56"/>
      <c r="MA49" s="56"/>
      <c r="MB49" s="56"/>
      <c r="MC49" s="56"/>
      <c r="MD49" s="56"/>
      <c r="ME49" s="56"/>
      <c r="MF49" s="56"/>
      <c r="MG49" s="56"/>
      <c r="MH49" s="56"/>
      <c r="MI49" s="56"/>
      <c r="MJ49" s="56"/>
      <c r="MK49" s="56"/>
      <c r="ML49" s="56"/>
      <c r="MM49" s="56"/>
      <c r="MN49" s="56"/>
      <c r="MO49" s="56"/>
      <c r="MP49" s="56"/>
      <c r="MQ49" s="56"/>
      <c r="MR49" s="56"/>
      <c r="MS49" s="56"/>
      <c r="MT49" s="56"/>
      <c r="MU49" s="56"/>
      <c r="MV49" s="56"/>
      <c r="MW49" s="56"/>
      <c r="MX49" s="56"/>
      <c r="MY49" s="56"/>
      <c r="MZ49" s="56"/>
      <c r="NA49" s="56"/>
      <c r="NB49" s="56"/>
      <c r="NC49" s="56"/>
      <c r="ND49" s="56"/>
      <c r="NE49" s="56"/>
      <c r="NF49" s="56"/>
      <c r="NG49" s="56"/>
      <c r="NH49" s="56"/>
      <c r="NI49" s="56"/>
      <c r="NJ49" s="56"/>
      <c r="NK49" s="56"/>
      <c r="NL49" s="56"/>
      <c r="NM49" s="56"/>
      <c r="NN49" s="56"/>
      <c r="NO49" s="56"/>
      <c r="NP49" s="56"/>
      <c r="NQ49" s="56"/>
      <c r="NR49" s="56"/>
      <c r="NS49" s="56"/>
      <c r="NT49" s="56"/>
      <c r="NU49" s="56"/>
      <c r="NV49" s="56"/>
      <c r="NW49" s="56"/>
      <c r="NX49" s="56"/>
      <c r="NY49" s="56"/>
      <c r="NZ49" s="56"/>
      <c r="OA49" s="56"/>
      <c r="OB49" s="56"/>
      <c r="OC49" s="56"/>
      <c r="OD49" s="56"/>
      <c r="OE49" s="56"/>
      <c r="OF49" s="56"/>
      <c r="OG49" s="56"/>
      <c r="OH49" s="56"/>
      <c r="OI49" s="56"/>
      <c r="OJ49" s="56"/>
      <c r="OK49" s="56"/>
      <c r="OL49" s="56"/>
      <c r="OM49" s="56"/>
      <c r="ON49" s="56"/>
      <c r="OO49" s="56"/>
      <c r="OP49" s="56"/>
      <c r="OQ49" s="56"/>
      <c r="OR49" s="56"/>
      <c r="OS49" s="56"/>
      <c r="OT49" s="56"/>
      <c r="OU49" s="56"/>
      <c r="OV49" s="56"/>
      <c r="OW49" s="56"/>
      <c r="OX49" s="56"/>
      <c r="OY49" s="56"/>
      <c r="OZ49" s="56"/>
      <c r="PA49" s="56"/>
      <c r="PB49" s="56"/>
      <c r="PC49" s="56"/>
      <c r="PD49" s="56"/>
      <c r="PE49" s="56"/>
      <c r="PF49" s="56"/>
      <c r="PG49" s="56"/>
      <c r="PH49" s="56"/>
      <c r="PI49" s="56"/>
      <c r="PJ49" s="56"/>
      <c r="PK49" s="56"/>
      <c r="PL49" s="56"/>
      <c r="PM49" s="56"/>
      <c r="PN49" s="56"/>
      <c r="PO49" s="56"/>
      <c r="PP49" s="56"/>
      <c r="PQ49" s="56"/>
      <c r="PR49" s="56"/>
      <c r="PS49" s="56"/>
      <c r="PT49" s="56"/>
      <c r="PU49" s="56"/>
      <c r="PV49" s="56"/>
      <c r="PW49" s="56"/>
      <c r="PX49" s="56"/>
      <c r="PY49" s="56"/>
      <c r="PZ49" s="56"/>
      <c r="QA49" s="56"/>
      <c r="QB49" s="56"/>
      <c r="QC49" s="56"/>
      <c r="QD49" s="56"/>
      <c r="QE49" s="56"/>
      <c r="QF49" s="56"/>
      <c r="QG49" s="56"/>
      <c r="QH49" s="56"/>
      <c r="QI49" s="56"/>
      <c r="QJ49" s="56"/>
      <c r="QK49" s="56"/>
      <c r="QL49" s="56"/>
      <c r="QM49" s="56"/>
      <c r="QN49" s="56"/>
      <c r="QO49" s="56"/>
      <c r="QP49" s="56"/>
      <c r="QQ49" s="56"/>
      <c r="QR49" s="56"/>
      <c r="QS49" s="56"/>
      <c r="QT49" s="56"/>
      <c r="QU49" s="56"/>
      <c r="QV49" s="56"/>
      <c r="QW49" s="56"/>
      <c r="QX49" s="56"/>
      <c r="QY49" s="56"/>
      <c r="QZ49" s="56"/>
      <c r="RA49" s="56"/>
      <c r="RB49" s="56"/>
      <c r="RC49" s="56"/>
      <c r="RD49" s="56"/>
      <c r="RE49" s="56"/>
      <c r="RF49" s="56"/>
      <c r="RG49" s="56"/>
      <c r="RH49" s="56"/>
      <c r="RI49" s="56"/>
      <c r="RJ49" s="56"/>
      <c r="RK49" s="56"/>
      <c r="RL49" s="56"/>
      <c r="RM49" s="56"/>
      <c r="RN49" s="56"/>
      <c r="RO49" s="56"/>
      <c r="RP49" s="56"/>
      <c r="RQ49" s="56"/>
      <c r="RR49" s="56"/>
      <c r="RS49" s="56"/>
      <c r="RT49" s="56"/>
      <c r="RU49" s="56"/>
      <c r="RV49" s="56"/>
      <c r="RW49" s="56"/>
      <c r="RX49" s="56"/>
      <c r="RY49" s="56"/>
      <c r="RZ49" s="56"/>
      <c r="SA49" s="56"/>
      <c r="SB49" s="56"/>
      <c r="SC49" s="56"/>
      <c r="SD49" s="56"/>
      <c r="SE49" s="56"/>
      <c r="SF49" s="56"/>
      <c r="SG49" s="56"/>
      <c r="SH49" s="56"/>
      <c r="SI49" s="56"/>
      <c r="SJ49" s="56"/>
      <c r="SK49" s="56"/>
      <c r="SL49" s="56"/>
      <c r="SM49" s="56"/>
      <c r="SN49" s="56"/>
      <c r="SO49" s="56"/>
      <c r="SP49" s="56"/>
      <c r="SQ49" s="56"/>
      <c r="SR49" s="56"/>
    </row>
    <row r="50" spans="1:512" ht="15" customHeight="1" x14ac:dyDescent="0.7">
      <c r="A50" s="171">
        <v>14</v>
      </c>
      <c r="B50" s="171" t="s">
        <v>304</v>
      </c>
      <c r="C50" s="171" t="s">
        <v>344</v>
      </c>
      <c r="D50" s="171"/>
      <c r="E50" s="171" t="s">
        <v>33</v>
      </c>
      <c r="F50" s="171"/>
      <c r="G50" s="174" t="s">
        <v>382</v>
      </c>
      <c r="H50" s="88" t="s">
        <v>383</v>
      </c>
      <c r="I50" s="89" t="s">
        <v>369</v>
      </c>
      <c r="J50" s="90">
        <v>34</v>
      </c>
      <c r="K50" s="168">
        <v>33</v>
      </c>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54"/>
      <c r="EM50" s="54"/>
      <c r="EN50" s="54"/>
      <c r="EO50" s="54"/>
      <c r="EP50" s="54"/>
      <c r="EQ50" s="54"/>
      <c r="ER50" s="54"/>
      <c r="ES50" s="54"/>
      <c r="ET50" s="54"/>
      <c r="EU50" s="54"/>
      <c r="EV50" s="54"/>
      <c r="EW50" s="54"/>
      <c r="EX50" s="54"/>
      <c r="EY50" s="54"/>
      <c r="EZ50" s="54"/>
      <c r="FA50" s="54"/>
      <c r="FB50" s="54"/>
      <c r="FC50" s="54"/>
      <c r="FD50" s="54"/>
      <c r="FE50" s="54"/>
      <c r="FF50" s="54"/>
      <c r="FG50" s="54"/>
      <c r="FH50" s="54"/>
      <c r="FI50" s="54"/>
      <c r="FJ50" s="54"/>
      <c r="FK50" s="54"/>
      <c r="FL50" s="54"/>
      <c r="FM50" s="54"/>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4"/>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4"/>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4"/>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4"/>
      <c r="KR50" s="54"/>
      <c r="KS50" s="54"/>
      <c r="KT50" s="54"/>
      <c r="KU50" s="54"/>
      <c r="KV50" s="54"/>
      <c r="KW50" s="54"/>
      <c r="KX50" s="54"/>
      <c r="KY50" s="54"/>
      <c r="KZ50" s="54"/>
      <c r="LA50" s="54"/>
      <c r="LB50" s="54"/>
      <c r="LC50" s="54"/>
      <c r="LD50" s="54"/>
      <c r="LE50" s="54"/>
      <c r="LF50" s="54"/>
      <c r="LG50" s="54"/>
      <c r="LH50" s="54"/>
      <c r="LI50" s="54"/>
      <c r="LJ50" s="54"/>
      <c r="LK50" s="54"/>
      <c r="LL50" s="54"/>
      <c r="LM50" s="54"/>
      <c r="LN50" s="54"/>
      <c r="LO50" s="54"/>
      <c r="LP50" s="54"/>
      <c r="LQ50" s="54"/>
      <c r="LR50" s="54"/>
      <c r="LS50" s="54"/>
      <c r="LT50" s="54"/>
      <c r="LU50" s="54"/>
      <c r="LV50" s="54"/>
      <c r="LW50" s="54"/>
      <c r="LX50" s="54"/>
      <c r="LY50" s="54"/>
      <c r="LZ50" s="54"/>
      <c r="MA50" s="54"/>
      <c r="MB50" s="54"/>
      <c r="MC50" s="54"/>
      <c r="MD50" s="54"/>
      <c r="ME50" s="54"/>
      <c r="MF50" s="54"/>
      <c r="MG50" s="54"/>
      <c r="MH50" s="54"/>
      <c r="MI50" s="54"/>
      <c r="MJ50" s="54"/>
      <c r="MK50" s="54"/>
      <c r="ML50" s="54"/>
      <c r="MM50" s="54"/>
      <c r="MN50" s="54"/>
      <c r="MO50" s="54"/>
      <c r="MP50" s="54"/>
      <c r="MQ50" s="54"/>
      <c r="MR50" s="54"/>
      <c r="MS50" s="54"/>
      <c r="MT50" s="54"/>
      <c r="MU50" s="54"/>
      <c r="MV50" s="54"/>
      <c r="MW50" s="54"/>
      <c r="MX50" s="54"/>
      <c r="MY50" s="54"/>
      <c r="MZ50" s="54"/>
      <c r="NA50" s="54"/>
      <c r="NB50" s="54"/>
      <c r="NC50" s="54"/>
      <c r="ND50" s="54"/>
      <c r="NE50" s="54"/>
      <c r="NF50" s="54"/>
      <c r="NG50" s="54"/>
      <c r="NH50" s="54"/>
      <c r="NI50" s="54"/>
      <c r="NJ50" s="54"/>
      <c r="NK50" s="54"/>
      <c r="NL50" s="54"/>
      <c r="NM50" s="54"/>
      <c r="NN50" s="54"/>
      <c r="NO50" s="54"/>
      <c r="NP50" s="54"/>
      <c r="NQ50" s="54"/>
      <c r="NR50" s="54"/>
      <c r="NS50" s="54"/>
      <c r="NT50" s="54"/>
      <c r="NU50" s="54"/>
      <c r="NV50" s="54"/>
      <c r="NW50" s="54"/>
      <c r="NX50" s="54"/>
      <c r="NY50" s="54"/>
      <c r="NZ50" s="54"/>
      <c r="OA50" s="54"/>
      <c r="OB50" s="54"/>
      <c r="OC50" s="54"/>
      <c r="OD50" s="54"/>
      <c r="OE50" s="54"/>
      <c r="OF50" s="54"/>
      <c r="OG50" s="54"/>
      <c r="OH50" s="54"/>
      <c r="OI50" s="54"/>
      <c r="OJ50" s="54"/>
      <c r="OK50" s="54"/>
      <c r="OL50" s="54"/>
      <c r="OM50" s="54"/>
      <c r="ON50" s="54"/>
      <c r="OO50" s="54"/>
      <c r="OP50" s="54"/>
      <c r="OQ50" s="54"/>
      <c r="OR50" s="54"/>
      <c r="OS50" s="54"/>
      <c r="OT50" s="54"/>
      <c r="OU50" s="54"/>
      <c r="OV50" s="54"/>
      <c r="OW50" s="54"/>
      <c r="OX50" s="54"/>
      <c r="OY50" s="54"/>
      <c r="OZ50" s="54"/>
      <c r="PA50" s="54"/>
      <c r="PB50" s="54"/>
      <c r="PC50" s="54"/>
      <c r="PD50" s="54"/>
      <c r="PE50" s="54"/>
      <c r="PF50" s="54"/>
      <c r="PG50" s="54"/>
      <c r="PH50" s="54"/>
      <c r="PI50" s="54"/>
      <c r="PJ50" s="54"/>
      <c r="PK50" s="54"/>
      <c r="PL50" s="54"/>
      <c r="PM50" s="54"/>
      <c r="PN50" s="54"/>
      <c r="PO50" s="54"/>
      <c r="PP50" s="54"/>
      <c r="PQ50" s="54"/>
      <c r="PR50" s="54"/>
      <c r="PS50" s="54"/>
      <c r="PT50" s="54"/>
      <c r="PU50" s="54"/>
      <c r="PV50" s="54"/>
      <c r="PW50" s="54"/>
      <c r="PX50" s="54"/>
      <c r="PY50" s="54"/>
      <c r="PZ50" s="54"/>
      <c r="QA50" s="54"/>
      <c r="QB50" s="54"/>
      <c r="QC50" s="54"/>
      <c r="QD50" s="54"/>
      <c r="QE50" s="54"/>
      <c r="QF50" s="54"/>
      <c r="QG50" s="54"/>
      <c r="QH50" s="54"/>
      <c r="QI50" s="54"/>
      <c r="QJ50" s="54"/>
      <c r="QK50" s="54"/>
      <c r="QL50" s="54"/>
      <c r="QM50" s="54"/>
      <c r="QN50" s="54"/>
      <c r="QO50" s="54"/>
      <c r="QP50" s="54"/>
      <c r="QQ50" s="54"/>
      <c r="QR50" s="54"/>
      <c r="QS50" s="54"/>
      <c r="QT50" s="54"/>
      <c r="QU50" s="54"/>
      <c r="QV50" s="54"/>
      <c r="QW50" s="54"/>
      <c r="QX50" s="54"/>
      <c r="QY50" s="54"/>
      <c r="QZ50" s="54"/>
      <c r="RA50" s="54"/>
      <c r="RB50" s="54"/>
      <c r="RC50" s="54"/>
      <c r="RD50" s="54"/>
      <c r="RE50" s="54"/>
      <c r="RF50" s="54"/>
      <c r="RG50" s="54"/>
      <c r="RH50" s="54"/>
      <c r="RI50" s="54"/>
      <c r="RJ50" s="54"/>
      <c r="RK50" s="54"/>
      <c r="RL50" s="54"/>
      <c r="RM50" s="54"/>
      <c r="RN50" s="54"/>
      <c r="RO50" s="54"/>
      <c r="RP50" s="54"/>
      <c r="RQ50" s="54"/>
      <c r="RR50" s="54"/>
      <c r="RS50" s="54"/>
      <c r="RT50" s="54"/>
      <c r="RU50" s="54"/>
      <c r="RV50" s="54"/>
      <c r="RW50" s="54"/>
      <c r="RX50" s="54"/>
      <c r="RY50" s="54"/>
      <c r="RZ50" s="54"/>
      <c r="SA50" s="54"/>
      <c r="SB50" s="54"/>
      <c r="SC50" s="54"/>
      <c r="SD50" s="54"/>
      <c r="SE50" s="54"/>
      <c r="SF50" s="54"/>
      <c r="SG50" s="54"/>
      <c r="SH50" s="54"/>
      <c r="SI50" s="54"/>
      <c r="SJ50" s="54"/>
      <c r="SK50" s="54"/>
      <c r="SL50" s="54"/>
      <c r="SM50" s="54"/>
      <c r="SN50" s="54"/>
      <c r="SO50" s="54"/>
      <c r="SP50" s="54"/>
      <c r="SQ50" s="54"/>
      <c r="SR50" s="54"/>
    </row>
    <row r="51" spans="1:512" ht="15" customHeight="1" x14ac:dyDescent="0.7">
      <c r="A51" s="172"/>
      <c r="B51" s="172"/>
      <c r="C51" s="172"/>
      <c r="D51" s="172"/>
      <c r="E51" s="172"/>
      <c r="F51" s="172"/>
      <c r="G51" s="175"/>
      <c r="H51" s="91"/>
      <c r="I51" s="89" t="s">
        <v>370</v>
      </c>
      <c r="J51" s="90">
        <v>32</v>
      </c>
      <c r="K51" s="169"/>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4"/>
      <c r="EF51" s="54"/>
      <c r="EG51" s="54"/>
      <c r="EH51" s="54"/>
      <c r="EI51" s="54"/>
      <c r="EJ51" s="54"/>
      <c r="EK51" s="54"/>
      <c r="EL51" s="54"/>
      <c r="EM51" s="54"/>
      <c r="EN51" s="54"/>
      <c r="EO51" s="54"/>
      <c r="EP51" s="54"/>
      <c r="EQ51" s="54"/>
      <c r="ER51" s="54"/>
      <c r="ES51" s="54"/>
      <c r="ET51" s="54"/>
      <c r="EU51" s="54"/>
      <c r="EV51" s="54"/>
      <c r="EW51" s="54"/>
      <c r="EX51" s="54"/>
      <c r="EY51" s="54"/>
      <c r="EZ51" s="54"/>
      <c r="FA51" s="54"/>
      <c r="FB51" s="54"/>
      <c r="FC51" s="54"/>
      <c r="FD51" s="54"/>
      <c r="FE51" s="54"/>
      <c r="FF51" s="54"/>
      <c r="FG51" s="54"/>
      <c r="FH51" s="54"/>
      <c r="FI51" s="54"/>
      <c r="FJ51" s="54"/>
      <c r="FK51" s="54"/>
      <c r="FL51" s="54"/>
      <c r="FM51" s="54"/>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c r="HU51" s="54"/>
      <c r="HV51" s="54"/>
      <c r="HW51" s="54"/>
      <c r="HX51" s="54"/>
      <c r="HY51" s="54"/>
      <c r="HZ51" s="54"/>
      <c r="IA51" s="54"/>
      <c r="IB51" s="54"/>
      <c r="IC51" s="54"/>
      <c r="ID51" s="54"/>
      <c r="IE51" s="54"/>
      <c r="IF51" s="54"/>
      <c r="IG51" s="54"/>
      <c r="IH51" s="54"/>
      <c r="II51" s="54"/>
      <c r="IJ51" s="54"/>
      <c r="IK51" s="54"/>
      <c r="IL51" s="54"/>
      <c r="IM51" s="54"/>
      <c r="IN51" s="54"/>
      <c r="IO51" s="54"/>
      <c r="IP51" s="54"/>
      <c r="IQ51" s="54"/>
      <c r="IR51" s="54"/>
      <c r="IS51" s="54"/>
      <c r="IT51" s="54"/>
      <c r="IU51" s="54"/>
      <c r="IV51" s="54"/>
      <c r="IW51" s="54"/>
      <c r="IX51" s="54"/>
      <c r="IY51" s="54"/>
      <c r="IZ51" s="54"/>
      <c r="JA51" s="54"/>
      <c r="JB51" s="54"/>
      <c r="JC51" s="54"/>
      <c r="JD51" s="54"/>
      <c r="JE51" s="54"/>
      <c r="JF51" s="54"/>
      <c r="JG51" s="54"/>
      <c r="JH51" s="54"/>
      <c r="JI51" s="54"/>
      <c r="JJ51" s="54"/>
      <c r="JK51" s="54"/>
      <c r="JL51" s="54"/>
      <c r="JM51" s="54"/>
      <c r="JN51" s="54"/>
      <c r="JO51" s="54"/>
      <c r="JP51" s="54"/>
      <c r="JQ51" s="54"/>
      <c r="JR51" s="54"/>
      <c r="JS51" s="54"/>
      <c r="JT51" s="54"/>
      <c r="JU51" s="54"/>
      <c r="JV51" s="54"/>
      <c r="JW51" s="54"/>
      <c r="JX51" s="54"/>
      <c r="JY51" s="54"/>
      <c r="JZ51" s="54"/>
      <c r="KA51" s="54"/>
      <c r="KB51" s="54"/>
      <c r="KC51" s="54"/>
      <c r="KD51" s="54"/>
      <c r="KE51" s="54"/>
      <c r="KF51" s="54"/>
      <c r="KG51" s="54"/>
      <c r="KH51" s="54"/>
      <c r="KI51" s="54"/>
      <c r="KJ51" s="54"/>
      <c r="KK51" s="54"/>
      <c r="KL51" s="54"/>
      <c r="KM51" s="54"/>
      <c r="KN51" s="54"/>
      <c r="KO51" s="54"/>
      <c r="KP51" s="54"/>
      <c r="KQ51" s="54"/>
      <c r="KR51" s="54"/>
      <c r="KS51" s="54"/>
      <c r="KT51" s="54"/>
      <c r="KU51" s="54"/>
      <c r="KV51" s="54"/>
      <c r="KW51" s="54"/>
      <c r="KX51" s="54"/>
      <c r="KY51" s="54"/>
      <c r="KZ51" s="54"/>
      <c r="LA51" s="54"/>
      <c r="LB51" s="54"/>
      <c r="LC51" s="54"/>
      <c r="LD51" s="54"/>
      <c r="LE51" s="54"/>
      <c r="LF51" s="54"/>
      <c r="LG51" s="54"/>
      <c r="LH51" s="54"/>
      <c r="LI51" s="54"/>
      <c r="LJ51" s="54"/>
      <c r="LK51" s="54"/>
      <c r="LL51" s="54"/>
      <c r="LM51" s="54"/>
      <c r="LN51" s="54"/>
      <c r="LO51" s="54"/>
      <c r="LP51" s="54"/>
      <c r="LQ51" s="54"/>
      <c r="LR51" s="54"/>
      <c r="LS51" s="54"/>
      <c r="LT51" s="54"/>
      <c r="LU51" s="54"/>
      <c r="LV51" s="54"/>
      <c r="LW51" s="54"/>
      <c r="LX51" s="54"/>
      <c r="LY51" s="54"/>
      <c r="LZ51" s="54"/>
      <c r="MA51" s="54"/>
      <c r="MB51" s="54"/>
      <c r="MC51" s="54"/>
      <c r="MD51" s="54"/>
      <c r="ME51" s="54"/>
      <c r="MF51" s="54"/>
      <c r="MG51" s="54"/>
      <c r="MH51" s="54"/>
      <c r="MI51" s="54"/>
      <c r="MJ51" s="54"/>
      <c r="MK51" s="54"/>
      <c r="ML51" s="54"/>
      <c r="MM51" s="54"/>
      <c r="MN51" s="54"/>
      <c r="MO51" s="54"/>
      <c r="MP51" s="54"/>
      <c r="MQ51" s="54"/>
      <c r="MR51" s="54"/>
      <c r="MS51" s="54"/>
      <c r="MT51" s="54"/>
      <c r="MU51" s="54"/>
      <c r="MV51" s="54"/>
      <c r="MW51" s="54"/>
      <c r="MX51" s="54"/>
      <c r="MY51" s="54"/>
      <c r="MZ51" s="54"/>
      <c r="NA51" s="54"/>
      <c r="NB51" s="54"/>
      <c r="NC51" s="54"/>
      <c r="ND51" s="54"/>
      <c r="NE51" s="54"/>
      <c r="NF51" s="54"/>
      <c r="NG51" s="54"/>
      <c r="NH51" s="54"/>
      <c r="NI51" s="54"/>
      <c r="NJ51" s="54"/>
      <c r="NK51" s="54"/>
      <c r="NL51" s="54"/>
      <c r="NM51" s="54"/>
      <c r="NN51" s="54"/>
      <c r="NO51" s="54"/>
      <c r="NP51" s="54"/>
      <c r="NQ51" s="54"/>
      <c r="NR51" s="54"/>
      <c r="NS51" s="54"/>
      <c r="NT51" s="54"/>
      <c r="NU51" s="54"/>
      <c r="NV51" s="54"/>
      <c r="NW51" s="54"/>
      <c r="NX51" s="54"/>
      <c r="NY51" s="54"/>
      <c r="NZ51" s="54"/>
      <c r="OA51" s="54"/>
      <c r="OB51" s="54"/>
      <c r="OC51" s="54"/>
      <c r="OD51" s="54"/>
      <c r="OE51" s="54"/>
      <c r="OF51" s="54"/>
      <c r="OG51" s="54"/>
      <c r="OH51" s="54"/>
      <c r="OI51" s="54"/>
      <c r="OJ51" s="54"/>
      <c r="OK51" s="54"/>
      <c r="OL51" s="54"/>
      <c r="OM51" s="54"/>
      <c r="ON51" s="54"/>
      <c r="OO51" s="54"/>
      <c r="OP51" s="54"/>
      <c r="OQ51" s="54"/>
      <c r="OR51" s="54"/>
      <c r="OS51" s="54"/>
      <c r="OT51" s="54"/>
      <c r="OU51" s="54"/>
      <c r="OV51" s="54"/>
      <c r="OW51" s="54"/>
      <c r="OX51" s="54"/>
      <c r="OY51" s="54"/>
      <c r="OZ51" s="54"/>
      <c r="PA51" s="54"/>
      <c r="PB51" s="54"/>
      <c r="PC51" s="54"/>
      <c r="PD51" s="54"/>
      <c r="PE51" s="54"/>
      <c r="PF51" s="54"/>
      <c r="PG51" s="54"/>
      <c r="PH51" s="54"/>
      <c r="PI51" s="54"/>
      <c r="PJ51" s="54"/>
      <c r="PK51" s="54"/>
      <c r="PL51" s="54"/>
      <c r="PM51" s="54"/>
      <c r="PN51" s="54"/>
      <c r="PO51" s="54"/>
      <c r="PP51" s="54"/>
      <c r="PQ51" s="54"/>
      <c r="PR51" s="54"/>
      <c r="PS51" s="54"/>
      <c r="PT51" s="54"/>
      <c r="PU51" s="54"/>
      <c r="PV51" s="54"/>
      <c r="PW51" s="54"/>
      <c r="PX51" s="54"/>
      <c r="PY51" s="54"/>
      <c r="PZ51" s="54"/>
      <c r="QA51" s="54"/>
      <c r="QB51" s="54"/>
      <c r="QC51" s="54"/>
      <c r="QD51" s="54"/>
      <c r="QE51" s="54"/>
      <c r="QF51" s="54"/>
      <c r="QG51" s="54"/>
      <c r="QH51" s="54"/>
      <c r="QI51" s="54"/>
      <c r="QJ51" s="54"/>
      <c r="QK51" s="54"/>
      <c r="QL51" s="54"/>
      <c r="QM51" s="54"/>
      <c r="QN51" s="54"/>
      <c r="QO51" s="54"/>
      <c r="QP51" s="54"/>
      <c r="QQ51" s="54"/>
      <c r="QR51" s="54"/>
      <c r="QS51" s="54"/>
      <c r="QT51" s="54"/>
      <c r="QU51" s="54"/>
      <c r="QV51" s="54"/>
      <c r="QW51" s="54"/>
      <c r="QX51" s="54"/>
      <c r="QY51" s="54"/>
      <c r="QZ51" s="54"/>
      <c r="RA51" s="54"/>
      <c r="RB51" s="54"/>
      <c r="RC51" s="54"/>
      <c r="RD51" s="54"/>
      <c r="RE51" s="54"/>
      <c r="RF51" s="54"/>
      <c r="RG51" s="54"/>
      <c r="RH51" s="54"/>
      <c r="RI51" s="54"/>
      <c r="RJ51" s="54"/>
      <c r="RK51" s="54"/>
      <c r="RL51" s="54"/>
      <c r="RM51" s="54"/>
      <c r="RN51" s="54"/>
      <c r="RO51" s="54"/>
      <c r="RP51" s="54"/>
      <c r="RQ51" s="54"/>
      <c r="RR51" s="54"/>
      <c r="RS51" s="54"/>
      <c r="RT51" s="54"/>
      <c r="RU51" s="54"/>
      <c r="RV51" s="54"/>
      <c r="RW51" s="54"/>
      <c r="RX51" s="54"/>
      <c r="RY51" s="54"/>
      <c r="RZ51" s="54"/>
      <c r="SA51" s="54"/>
      <c r="SB51" s="54"/>
      <c r="SC51" s="54"/>
      <c r="SD51" s="54"/>
      <c r="SE51" s="54"/>
      <c r="SF51" s="54"/>
      <c r="SG51" s="54"/>
      <c r="SH51" s="54"/>
      <c r="SI51" s="54"/>
      <c r="SJ51" s="54"/>
      <c r="SK51" s="54"/>
      <c r="SL51" s="54"/>
      <c r="SM51" s="54"/>
      <c r="SN51" s="54"/>
      <c r="SO51" s="54"/>
      <c r="SP51" s="54"/>
      <c r="SQ51" s="54"/>
      <c r="SR51" s="54"/>
    </row>
    <row r="52" spans="1:512" s="55" customFormat="1" ht="15" customHeight="1" x14ac:dyDescent="0.7">
      <c r="A52" s="173"/>
      <c r="B52" s="173"/>
      <c r="C52" s="173"/>
      <c r="D52" s="173"/>
      <c r="E52" s="173"/>
      <c r="F52" s="173"/>
      <c r="G52" s="176"/>
      <c r="H52" s="92"/>
      <c r="I52" s="93"/>
      <c r="J52" s="94"/>
      <c r="K52" s="170"/>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c r="IX52" s="56"/>
      <c r="IY52" s="56"/>
      <c r="IZ52" s="56"/>
      <c r="JA52" s="56"/>
      <c r="JB52" s="56"/>
      <c r="JC52" s="56"/>
      <c r="JD52" s="56"/>
      <c r="JE52" s="56"/>
      <c r="JF52" s="56"/>
      <c r="JG52" s="56"/>
      <c r="JH52" s="56"/>
      <c r="JI52" s="56"/>
      <c r="JJ52" s="56"/>
      <c r="JK52" s="56"/>
      <c r="JL52" s="56"/>
      <c r="JM52" s="56"/>
      <c r="JN52" s="56"/>
      <c r="JO52" s="56"/>
      <c r="JP52" s="56"/>
      <c r="JQ52" s="56"/>
      <c r="JR52" s="56"/>
      <c r="JS52" s="56"/>
      <c r="JT52" s="56"/>
      <c r="JU52" s="56"/>
      <c r="JV52" s="56"/>
      <c r="JW52" s="56"/>
      <c r="JX52" s="56"/>
      <c r="JY52" s="56"/>
      <c r="JZ52" s="56"/>
      <c r="KA52" s="56"/>
      <c r="KB52" s="56"/>
      <c r="KC52" s="56"/>
      <c r="KD52" s="56"/>
      <c r="KE52" s="56"/>
      <c r="KF52" s="56"/>
      <c r="KG52" s="56"/>
      <c r="KH52" s="56"/>
      <c r="KI52" s="56"/>
      <c r="KJ52" s="56"/>
      <c r="KK52" s="56"/>
      <c r="KL52" s="56"/>
      <c r="KM52" s="56"/>
      <c r="KN52" s="56"/>
      <c r="KO52" s="56"/>
      <c r="KP52" s="56"/>
      <c r="KQ52" s="56"/>
      <c r="KR52" s="56"/>
      <c r="KS52" s="56"/>
      <c r="KT52" s="56"/>
      <c r="KU52" s="56"/>
      <c r="KV52" s="56"/>
      <c r="KW52" s="56"/>
      <c r="KX52" s="56"/>
      <c r="KY52" s="56"/>
      <c r="KZ52" s="56"/>
      <c r="LA52" s="56"/>
      <c r="LB52" s="56"/>
      <c r="LC52" s="56"/>
      <c r="LD52" s="56"/>
      <c r="LE52" s="56"/>
      <c r="LF52" s="56"/>
      <c r="LG52" s="56"/>
      <c r="LH52" s="56"/>
      <c r="LI52" s="56"/>
      <c r="LJ52" s="56"/>
      <c r="LK52" s="56"/>
      <c r="LL52" s="56"/>
      <c r="LM52" s="56"/>
      <c r="LN52" s="56"/>
      <c r="LO52" s="56"/>
      <c r="LP52" s="56"/>
      <c r="LQ52" s="56"/>
      <c r="LR52" s="56"/>
      <c r="LS52" s="56"/>
      <c r="LT52" s="56"/>
      <c r="LU52" s="56"/>
      <c r="LV52" s="56"/>
      <c r="LW52" s="56"/>
      <c r="LX52" s="56"/>
      <c r="LY52" s="56"/>
      <c r="LZ52" s="56"/>
      <c r="MA52" s="56"/>
      <c r="MB52" s="56"/>
      <c r="MC52" s="56"/>
      <c r="MD52" s="56"/>
      <c r="ME52" s="56"/>
      <c r="MF52" s="56"/>
      <c r="MG52" s="56"/>
      <c r="MH52" s="56"/>
      <c r="MI52" s="56"/>
      <c r="MJ52" s="56"/>
      <c r="MK52" s="56"/>
      <c r="ML52" s="56"/>
      <c r="MM52" s="56"/>
      <c r="MN52" s="56"/>
      <c r="MO52" s="56"/>
      <c r="MP52" s="56"/>
      <c r="MQ52" s="56"/>
      <c r="MR52" s="56"/>
      <c r="MS52" s="56"/>
      <c r="MT52" s="56"/>
      <c r="MU52" s="56"/>
      <c r="MV52" s="56"/>
      <c r="MW52" s="56"/>
      <c r="MX52" s="56"/>
      <c r="MY52" s="56"/>
      <c r="MZ52" s="56"/>
      <c r="NA52" s="56"/>
      <c r="NB52" s="56"/>
      <c r="NC52" s="56"/>
      <c r="ND52" s="56"/>
      <c r="NE52" s="56"/>
      <c r="NF52" s="56"/>
      <c r="NG52" s="56"/>
      <c r="NH52" s="56"/>
      <c r="NI52" s="56"/>
      <c r="NJ52" s="56"/>
      <c r="NK52" s="56"/>
      <c r="NL52" s="56"/>
      <c r="NM52" s="56"/>
      <c r="NN52" s="56"/>
      <c r="NO52" s="56"/>
      <c r="NP52" s="56"/>
      <c r="NQ52" s="56"/>
      <c r="NR52" s="56"/>
      <c r="NS52" s="56"/>
      <c r="NT52" s="56"/>
      <c r="NU52" s="56"/>
      <c r="NV52" s="56"/>
      <c r="NW52" s="56"/>
      <c r="NX52" s="56"/>
      <c r="NY52" s="56"/>
      <c r="NZ52" s="56"/>
      <c r="OA52" s="56"/>
      <c r="OB52" s="56"/>
      <c r="OC52" s="56"/>
      <c r="OD52" s="56"/>
      <c r="OE52" s="56"/>
      <c r="OF52" s="56"/>
      <c r="OG52" s="56"/>
      <c r="OH52" s="56"/>
      <c r="OI52" s="56"/>
      <c r="OJ52" s="56"/>
      <c r="OK52" s="56"/>
      <c r="OL52" s="56"/>
      <c r="OM52" s="56"/>
      <c r="ON52" s="56"/>
      <c r="OO52" s="56"/>
      <c r="OP52" s="56"/>
      <c r="OQ52" s="56"/>
      <c r="OR52" s="56"/>
      <c r="OS52" s="56"/>
      <c r="OT52" s="56"/>
      <c r="OU52" s="56"/>
      <c r="OV52" s="56"/>
      <c r="OW52" s="56"/>
      <c r="OX52" s="56"/>
      <c r="OY52" s="56"/>
      <c r="OZ52" s="56"/>
      <c r="PA52" s="56"/>
      <c r="PB52" s="56"/>
      <c r="PC52" s="56"/>
      <c r="PD52" s="56"/>
      <c r="PE52" s="56"/>
      <c r="PF52" s="56"/>
      <c r="PG52" s="56"/>
      <c r="PH52" s="56"/>
      <c r="PI52" s="56"/>
      <c r="PJ52" s="56"/>
      <c r="PK52" s="56"/>
      <c r="PL52" s="56"/>
      <c r="PM52" s="56"/>
      <c r="PN52" s="56"/>
      <c r="PO52" s="56"/>
      <c r="PP52" s="56"/>
      <c r="PQ52" s="56"/>
      <c r="PR52" s="56"/>
      <c r="PS52" s="56"/>
      <c r="PT52" s="56"/>
      <c r="PU52" s="56"/>
      <c r="PV52" s="56"/>
      <c r="PW52" s="56"/>
      <c r="PX52" s="56"/>
      <c r="PY52" s="56"/>
      <c r="PZ52" s="56"/>
      <c r="QA52" s="56"/>
      <c r="QB52" s="56"/>
      <c r="QC52" s="56"/>
      <c r="QD52" s="56"/>
      <c r="QE52" s="56"/>
      <c r="QF52" s="56"/>
      <c r="QG52" s="56"/>
      <c r="QH52" s="56"/>
      <c r="QI52" s="56"/>
      <c r="QJ52" s="56"/>
      <c r="QK52" s="56"/>
      <c r="QL52" s="56"/>
      <c r="QM52" s="56"/>
      <c r="QN52" s="56"/>
      <c r="QO52" s="56"/>
      <c r="QP52" s="56"/>
      <c r="QQ52" s="56"/>
      <c r="QR52" s="56"/>
      <c r="QS52" s="56"/>
      <c r="QT52" s="56"/>
      <c r="QU52" s="56"/>
      <c r="QV52" s="56"/>
      <c r="QW52" s="56"/>
      <c r="QX52" s="56"/>
      <c r="QY52" s="56"/>
      <c r="QZ52" s="56"/>
      <c r="RA52" s="56"/>
      <c r="RB52" s="56"/>
      <c r="RC52" s="56"/>
      <c r="RD52" s="56"/>
      <c r="RE52" s="56"/>
      <c r="RF52" s="56"/>
      <c r="RG52" s="56"/>
      <c r="RH52" s="56"/>
      <c r="RI52" s="56"/>
      <c r="RJ52" s="56"/>
      <c r="RK52" s="56"/>
      <c r="RL52" s="56"/>
      <c r="RM52" s="56"/>
      <c r="RN52" s="56"/>
      <c r="RO52" s="56"/>
      <c r="RP52" s="56"/>
      <c r="RQ52" s="56"/>
      <c r="RR52" s="56"/>
      <c r="RS52" s="56"/>
      <c r="RT52" s="56"/>
      <c r="RU52" s="56"/>
      <c r="RV52" s="56"/>
      <c r="RW52" s="56"/>
      <c r="RX52" s="56"/>
      <c r="RY52" s="56"/>
      <c r="RZ52" s="56"/>
      <c r="SA52" s="56"/>
      <c r="SB52" s="56"/>
      <c r="SC52" s="56"/>
      <c r="SD52" s="56"/>
      <c r="SE52" s="56"/>
      <c r="SF52" s="56"/>
      <c r="SG52" s="56"/>
      <c r="SH52" s="56"/>
      <c r="SI52" s="56"/>
      <c r="SJ52" s="56"/>
      <c r="SK52" s="56"/>
      <c r="SL52" s="56"/>
      <c r="SM52" s="56"/>
      <c r="SN52" s="56"/>
      <c r="SO52" s="56"/>
      <c r="SP52" s="56"/>
      <c r="SQ52" s="56"/>
      <c r="SR52" s="56"/>
    </row>
    <row r="53" spans="1:512" ht="15" customHeight="1" x14ac:dyDescent="0.7">
      <c r="A53" s="171">
        <v>15</v>
      </c>
      <c r="B53" s="171" t="s">
        <v>71</v>
      </c>
      <c r="C53" s="171" t="s">
        <v>384</v>
      </c>
      <c r="D53" s="171"/>
      <c r="E53" s="171" t="s">
        <v>33</v>
      </c>
      <c r="F53" s="171"/>
      <c r="G53" s="174" t="s">
        <v>385</v>
      </c>
      <c r="H53" s="88" t="s">
        <v>386</v>
      </c>
      <c r="I53" s="89" t="s">
        <v>347</v>
      </c>
      <c r="J53" s="90">
        <v>0.2</v>
      </c>
      <c r="K53" s="168">
        <v>0.1</v>
      </c>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4"/>
      <c r="EX53" s="54"/>
      <c r="EY53" s="54"/>
      <c r="EZ53" s="54"/>
      <c r="FA53" s="54"/>
      <c r="FB53" s="54"/>
      <c r="FC53" s="54"/>
      <c r="FD53" s="54"/>
      <c r="FE53" s="54"/>
      <c r="FF53" s="54"/>
      <c r="FG53" s="54"/>
      <c r="FH53" s="54"/>
      <c r="FI53" s="54"/>
      <c r="FJ53" s="54"/>
      <c r="FK53" s="54"/>
      <c r="FL53" s="54"/>
      <c r="FM53" s="54"/>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c r="HU53" s="54"/>
      <c r="HV53" s="54"/>
      <c r="HW53" s="54"/>
      <c r="HX53" s="54"/>
      <c r="HY53" s="54"/>
      <c r="HZ53" s="54"/>
      <c r="IA53" s="54"/>
      <c r="IB53" s="54"/>
      <c r="IC53" s="54"/>
      <c r="ID53" s="54"/>
      <c r="IE53" s="54"/>
      <c r="IF53" s="54"/>
      <c r="IG53" s="54"/>
      <c r="IH53" s="54"/>
      <c r="II53" s="54"/>
      <c r="IJ53" s="54"/>
      <c r="IK53" s="54"/>
      <c r="IL53" s="54"/>
      <c r="IM53" s="54"/>
      <c r="IN53" s="54"/>
      <c r="IO53" s="54"/>
      <c r="IP53" s="54"/>
      <c r="IQ53" s="54"/>
      <c r="IR53" s="54"/>
      <c r="IS53" s="54"/>
      <c r="IT53" s="54"/>
      <c r="IU53" s="54"/>
      <c r="IV53" s="54"/>
      <c r="IW53" s="54"/>
      <c r="IX53" s="54"/>
      <c r="IY53" s="54"/>
      <c r="IZ53" s="54"/>
      <c r="JA53" s="54"/>
      <c r="JB53" s="54"/>
      <c r="JC53" s="54"/>
      <c r="JD53" s="54"/>
      <c r="JE53" s="54"/>
      <c r="JF53" s="54"/>
      <c r="JG53" s="54"/>
      <c r="JH53" s="54"/>
      <c r="JI53" s="54"/>
      <c r="JJ53" s="54"/>
      <c r="JK53" s="54"/>
      <c r="JL53" s="54"/>
      <c r="JM53" s="54"/>
      <c r="JN53" s="54"/>
      <c r="JO53" s="54"/>
      <c r="JP53" s="54"/>
      <c r="JQ53" s="54"/>
      <c r="JR53" s="54"/>
      <c r="JS53" s="54"/>
      <c r="JT53" s="54"/>
      <c r="JU53" s="54"/>
      <c r="JV53" s="54"/>
      <c r="JW53" s="54"/>
      <c r="JX53" s="54"/>
      <c r="JY53" s="54"/>
      <c r="JZ53" s="54"/>
      <c r="KA53" s="54"/>
      <c r="KB53" s="54"/>
      <c r="KC53" s="54"/>
      <c r="KD53" s="54"/>
      <c r="KE53" s="54"/>
      <c r="KF53" s="54"/>
      <c r="KG53" s="54"/>
      <c r="KH53" s="54"/>
      <c r="KI53" s="54"/>
      <c r="KJ53" s="54"/>
      <c r="KK53" s="54"/>
      <c r="KL53" s="54"/>
      <c r="KM53" s="54"/>
      <c r="KN53" s="54"/>
      <c r="KO53" s="54"/>
      <c r="KP53" s="54"/>
      <c r="KQ53" s="54"/>
      <c r="KR53" s="54"/>
      <c r="KS53" s="54"/>
      <c r="KT53" s="54"/>
      <c r="KU53" s="54"/>
      <c r="KV53" s="54"/>
      <c r="KW53" s="54"/>
      <c r="KX53" s="54"/>
      <c r="KY53" s="54"/>
      <c r="KZ53" s="54"/>
      <c r="LA53" s="54"/>
      <c r="LB53" s="54"/>
      <c r="LC53" s="54"/>
      <c r="LD53" s="54"/>
      <c r="LE53" s="54"/>
      <c r="LF53" s="54"/>
      <c r="LG53" s="54"/>
      <c r="LH53" s="54"/>
      <c r="LI53" s="54"/>
      <c r="LJ53" s="54"/>
      <c r="LK53" s="54"/>
      <c r="LL53" s="54"/>
      <c r="LM53" s="54"/>
      <c r="LN53" s="54"/>
      <c r="LO53" s="54"/>
      <c r="LP53" s="54"/>
      <c r="LQ53" s="54"/>
      <c r="LR53" s="54"/>
      <c r="LS53" s="54"/>
      <c r="LT53" s="54"/>
      <c r="LU53" s="54"/>
      <c r="LV53" s="54"/>
      <c r="LW53" s="54"/>
      <c r="LX53" s="54"/>
      <c r="LY53" s="54"/>
      <c r="LZ53" s="54"/>
      <c r="MA53" s="54"/>
      <c r="MB53" s="54"/>
      <c r="MC53" s="54"/>
      <c r="MD53" s="54"/>
      <c r="ME53" s="54"/>
      <c r="MF53" s="54"/>
      <c r="MG53" s="54"/>
      <c r="MH53" s="54"/>
      <c r="MI53" s="54"/>
      <c r="MJ53" s="54"/>
      <c r="MK53" s="54"/>
      <c r="ML53" s="54"/>
      <c r="MM53" s="54"/>
      <c r="MN53" s="54"/>
      <c r="MO53" s="54"/>
      <c r="MP53" s="54"/>
      <c r="MQ53" s="54"/>
      <c r="MR53" s="54"/>
      <c r="MS53" s="54"/>
      <c r="MT53" s="54"/>
      <c r="MU53" s="54"/>
      <c r="MV53" s="54"/>
      <c r="MW53" s="54"/>
      <c r="MX53" s="54"/>
      <c r="MY53" s="54"/>
      <c r="MZ53" s="54"/>
      <c r="NA53" s="54"/>
      <c r="NB53" s="54"/>
      <c r="NC53" s="54"/>
      <c r="ND53" s="54"/>
      <c r="NE53" s="54"/>
      <c r="NF53" s="54"/>
      <c r="NG53" s="54"/>
      <c r="NH53" s="54"/>
      <c r="NI53" s="54"/>
      <c r="NJ53" s="54"/>
      <c r="NK53" s="54"/>
      <c r="NL53" s="54"/>
      <c r="NM53" s="54"/>
      <c r="NN53" s="54"/>
      <c r="NO53" s="54"/>
      <c r="NP53" s="54"/>
      <c r="NQ53" s="54"/>
      <c r="NR53" s="54"/>
      <c r="NS53" s="54"/>
      <c r="NT53" s="54"/>
      <c r="NU53" s="54"/>
      <c r="NV53" s="54"/>
      <c r="NW53" s="54"/>
      <c r="NX53" s="54"/>
      <c r="NY53" s="54"/>
      <c r="NZ53" s="54"/>
      <c r="OA53" s="54"/>
      <c r="OB53" s="54"/>
      <c r="OC53" s="54"/>
      <c r="OD53" s="54"/>
      <c r="OE53" s="54"/>
      <c r="OF53" s="54"/>
      <c r="OG53" s="54"/>
      <c r="OH53" s="54"/>
      <c r="OI53" s="54"/>
      <c r="OJ53" s="54"/>
      <c r="OK53" s="54"/>
      <c r="OL53" s="54"/>
      <c r="OM53" s="54"/>
      <c r="ON53" s="54"/>
      <c r="OO53" s="54"/>
      <c r="OP53" s="54"/>
      <c r="OQ53" s="54"/>
      <c r="OR53" s="54"/>
      <c r="OS53" s="54"/>
      <c r="OT53" s="54"/>
      <c r="OU53" s="54"/>
      <c r="OV53" s="54"/>
      <c r="OW53" s="54"/>
      <c r="OX53" s="54"/>
      <c r="OY53" s="54"/>
      <c r="OZ53" s="54"/>
      <c r="PA53" s="54"/>
      <c r="PB53" s="54"/>
      <c r="PC53" s="54"/>
      <c r="PD53" s="54"/>
      <c r="PE53" s="54"/>
      <c r="PF53" s="54"/>
      <c r="PG53" s="54"/>
      <c r="PH53" s="54"/>
      <c r="PI53" s="54"/>
      <c r="PJ53" s="54"/>
      <c r="PK53" s="54"/>
      <c r="PL53" s="54"/>
      <c r="PM53" s="54"/>
      <c r="PN53" s="54"/>
      <c r="PO53" s="54"/>
      <c r="PP53" s="54"/>
      <c r="PQ53" s="54"/>
      <c r="PR53" s="54"/>
      <c r="PS53" s="54"/>
      <c r="PT53" s="54"/>
      <c r="PU53" s="54"/>
      <c r="PV53" s="54"/>
      <c r="PW53" s="54"/>
      <c r="PX53" s="54"/>
      <c r="PY53" s="54"/>
      <c r="PZ53" s="54"/>
      <c r="QA53" s="54"/>
      <c r="QB53" s="54"/>
      <c r="QC53" s="54"/>
      <c r="QD53" s="54"/>
      <c r="QE53" s="54"/>
      <c r="QF53" s="54"/>
      <c r="QG53" s="54"/>
      <c r="QH53" s="54"/>
      <c r="QI53" s="54"/>
      <c r="QJ53" s="54"/>
      <c r="QK53" s="54"/>
      <c r="QL53" s="54"/>
      <c r="QM53" s="54"/>
      <c r="QN53" s="54"/>
      <c r="QO53" s="54"/>
      <c r="QP53" s="54"/>
      <c r="QQ53" s="54"/>
      <c r="QR53" s="54"/>
      <c r="QS53" s="54"/>
      <c r="QT53" s="54"/>
      <c r="QU53" s="54"/>
      <c r="QV53" s="54"/>
      <c r="QW53" s="54"/>
      <c r="QX53" s="54"/>
      <c r="QY53" s="54"/>
      <c r="QZ53" s="54"/>
      <c r="RA53" s="54"/>
      <c r="RB53" s="54"/>
      <c r="RC53" s="54"/>
      <c r="RD53" s="54"/>
      <c r="RE53" s="54"/>
      <c r="RF53" s="54"/>
      <c r="RG53" s="54"/>
      <c r="RH53" s="54"/>
      <c r="RI53" s="54"/>
      <c r="RJ53" s="54"/>
      <c r="RK53" s="54"/>
      <c r="RL53" s="54"/>
      <c r="RM53" s="54"/>
      <c r="RN53" s="54"/>
      <c r="RO53" s="54"/>
      <c r="RP53" s="54"/>
      <c r="RQ53" s="54"/>
      <c r="RR53" s="54"/>
      <c r="RS53" s="54"/>
      <c r="RT53" s="54"/>
      <c r="RU53" s="54"/>
      <c r="RV53" s="54"/>
      <c r="RW53" s="54"/>
      <c r="RX53" s="54"/>
      <c r="RY53" s="54"/>
      <c r="RZ53" s="54"/>
      <c r="SA53" s="54"/>
      <c r="SB53" s="54"/>
      <c r="SC53" s="54"/>
      <c r="SD53" s="54"/>
      <c r="SE53" s="54"/>
      <c r="SF53" s="54"/>
      <c r="SG53" s="54"/>
      <c r="SH53" s="54"/>
      <c r="SI53" s="54"/>
      <c r="SJ53" s="54"/>
      <c r="SK53" s="54"/>
      <c r="SL53" s="54"/>
      <c r="SM53" s="54"/>
      <c r="SN53" s="54"/>
      <c r="SO53" s="54"/>
      <c r="SP53" s="54"/>
      <c r="SQ53" s="54"/>
      <c r="SR53" s="54"/>
    </row>
    <row r="54" spans="1:512" ht="15" customHeight="1" x14ac:dyDescent="0.7">
      <c r="A54" s="172"/>
      <c r="B54" s="172"/>
      <c r="C54" s="172"/>
      <c r="D54" s="172"/>
      <c r="E54" s="172"/>
      <c r="F54" s="172"/>
      <c r="G54" s="175"/>
      <c r="H54" s="91"/>
      <c r="I54" s="89" t="s">
        <v>348</v>
      </c>
      <c r="J54" s="90">
        <v>0</v>
      </c>
      <c r="K54" s="169"/>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54"/>
      <c r="EM54" s="54"/>
      <c r="EN54" s="54"/>
      <c r="EO54" s="54"/>
      <c r="EP54" s="54"/>
      <c r="EQ54" s="54"/>
      <c r="ER54" s="54"/>
      <c r="ES54" s="54"/>
      <c r="ET54" s="54"/>
      <c r="EU54" s="54"/>
      <c r="EV54" s="54"/>
      <c r="EW54" s="54"/>
      <c r="EX54" s="54"/>
      <c r="EY54" s="54"/>
      <c r="EZ54" s="54"/>
      <c r="FA54" s="54"/>
      <c r="FB54" s="54"/>
      <c r="FC54" s="54"/>
      <c r="FD54" s="54"/>
      <c r="FE54" s="54"/>
      <c r="FF54" s="54"/>
      <c r="FG54" s="54"/>
      <c r="FH54" s="54"/>
      <c r="FI54" s="54"/>
      <c r="FJ54" s="54"/>
      <c r="FK54" s="54"/>
      <c r="FL54" s="54"/>
      <c r="FM54" s="54"/>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4"/>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4"/>
      <c r="JS54" s="54"/>
      <c r="JT54" s="54"/>
      <c r="JU54" s="54"/>
      <c r="JV54" s="54"/>
      <c r="JW54" s="54"/>
      <c r="JX54" s="54"/>
      <c r="JY54" s="54"/>
      <c r="JZ54" s="54"/>
      <c r="KA54" s="54"/>
      <c r="KB54" s="54"/>
      <c r="KC54" s="54"/>
      <c r="KD54" s="54"/>
      <c r="KE54" s="54"/>
      <c r="KF54" s="54"/>
      <c r="KG54" s="54"/>
      <c r="KH54" s="54"/>
      <c r="KI54" s="54"/>
      <c r="KJ54" s="54"/>
      <c r="KK54" s="54"/>
      <c r="KL54" s="54"/>
      <c r="KM54" s="54"/>
      <c r="KN54" s="54"/>
      <c r="KO54" s="54"/>
      <c r="KP54" s="54"/>
      <c r="KQ54" s="54"/>
      <c r="KR54" s="54"/>
      <c r="KS54" s="54"/>
      <c r="KT54" s="54"/>
      <c r="KU54" s="54"/>
      <c r="KV54" s="54"/>
      <c r="KW54" s="54"/>
      <c r="KX54" s="54"/>
      <c r="KY54" s="54"/>
      <c r="KZ54" s="54"/>
      <c r="LA54" s="54"/>
      <c r="LB54" s="54"/>
      <c r="LC54" s="54"/>
      <c r="LD54" s="54"/>
      <c r="LE54" s="54"/>
      <c r="LF54" s="54"/>
      <c r="LG54" s="54"/>
      <c r="LH54" s="54"/>
      <c r="LI54" s="54"/>
      <c r="LJ54" s="54"/>
      <c r="LK54" s="54"/>
      <c r="LL54" s="54"/>
      <c r="LM54" s="54"/>
      <c r="LN54" s="54"/>
      <c r="LO54" s="54"/>
      <c r="LP54" s="54"/>
      <c r="LQ54" s="54"/>
      <c r="LR54" s="54"/>
      <c r="LS54" s="54"/>
      <c r="LT54" s="54"/>
      <c r="LU54" s="54"/>
      <c r="LV54" s="54"/>
      <c r="LW54" s="54"/>
      <c r="LX54" s="54"/>
      <c r="LY54" s="54"/>
      <c r="LZ54" s="54"/>
      <c r="MA54" s="54"/>
      <c r="MB54" s="54"/>
      <c r="MC54" s="54"/>
      <c r="MD54" s="54"/>
      <c r="ME54" s="54"/>
      <c r="MF54" s="54"/>
      <c r="MG54" s="54"/>
      <c r="MH54" s="54"/>
      <c r="MI54" s="54"/>
      <c r="MJ54" s="54"/>
      <c r="MK54" s="54"/>
      <c r="ML54" s="54"/>
      <c r="MM54" s="54"/>
      <c r="MN54" s="54"/>
      <c r="MO54" s="54"/>
      <c r="MP54" s="54"/>
      <c r="MQ54" s="54"/>
      <c r="MR54" s="54"/>
      <c r="MS54" s="54"/>
      <c r="MT54" s="54"/>
      <c r="MU54" s="54"/>
      <c r="MV54" s="54"/>
      <c r="MW54" s="54"/>
      <c r="MX54" s="54"/>
      <c r="MY54" s="54"/>
      <c r="MZ54" s="54"/>
      <c r="NA54" s="54"/>
      <c r="NB54" s="54"/>
      <c r="NC54" s="54"/>
      <c r="ND54" s="54"/>
      <c r="NE54" s="54"/>
      <c r="NF54" s="54"/>
      <c r="NG54" s="54"/>
      <c r="NH54" s="54"/>
      <c r="NI54" s="54"/>
      <c r="NJ54" s="54"/>
      <c r="NK54" s="54"/>
      <c r="NL54" s="54"/>
      <c r="NM54" s="54"/>
      <c r="NN54" s="54"/>
      <c r="NO54" s="54"/>
      <c r="NP54" s="54"/>
      <c r="NQ54" s="54"/>
      <c r="NR54" s="54"/>
      <c r="NS54" s="54"/>
      <c r="NT54" s="54"/>
      <c r="NU54" s="54"/>
      <c r="NV54" s="54"/>
      <c r="NW54" s="54"/>
      <c r="NX54" s="54"/>
      <c r="NY54" s="54"/>
      <c r="NZ54" s="54"/>
      <c r="OA54" s="54"/>
      <c r="OB54" s="54"/>
      <c r="OC54" s="54"/>
      <c r="OD54" s="54"/>
      <c r="OE54" s="54"/>
      <c r="OF54" s="54"/>
      <c r="OG54" s="54"/>
      <c r="OH54" s="54"/>
      <c r="OI54" s="54"/>
      <c r="OJ54" s="54"/>
      <c r="OK54" s="54"/>
      <c r="OL54" s="54"/>
      <c r="OM54" s="54"/>
      <c r="ON54" s="54"/>
      <c r="OO54" s="54"/>
      <c r="OP54" s="54"/>
      <c r="OQ54" s="54"/>
      <c r="OR54" s="54"/>
      <c r="OS54" s="54"/>
      <c r="OT54" s="54"/>
      <c r="OU54" s="54"/>
      <c r="OV54" s="54"/>
      <c r="OW54" s="54"/>
      <c r="OX54" s="54"/>
      <c r="OY54" s="54"/>
      <c r="OZ54" s="54"/>
      <c r="PA54" s="54"/>
      <c r="PB54" s="54"/>
      <c r="PC54" s="54"/>
      <c r="PD54" s="54"/>
      <c r="PE54" s="54"/>
      <c r="PF54" s="54"/>
      <c r="PG54" s="54"/>
      <c r="PH54" s="54"/>
      <c r="PI54" s="54"/>
      <c r="PJ54" s="54"/>
      <c r="PK54" s="54"/>
      <c r="PL54" s="54"/>
      <c r="PM54" s="54"/>
      <c r="PN54" s="54"/>
      <c r="PO54" s="54"/>
      <c r="PP54" s="54"/>
      <c r="PQ54" s="54"/>
      <c r="PR54" s="54"/>
      <c r="PS54" s="54"/>
      <c r="PT54" s="54"/>
      <c r="PU54" s="54"/>
      <c r="PV54" s="54"/>
      <c r="PW54" s="54"/>
      <c r="PX54" s="54"/>
      <c r="PY54" s="54"/>
      <c r="PZ54" s="54"/>
      <c r="QA54" s="54"/>
      <c r="QB54" s="54"/>
      <c r="QC54" s="54"/>
      <c r="QD54" s="54"/>
      <c r="QE54" s="54"/>
      <c r="QF54" s="54"/>
      <c r="QG54" s="54"/>
      <c r="QH54" s="54"/>
      <c r="QI54" s="54"/>
      <c r="QJ54" s="54"/>
      <c r="QK54" s="54"/>
      <c r="QL54" s="54"/>
      <c r="QM54" s="54"/>
      <c r="QN54" s="54"/>
      <c r="QO54" s="54"/>
      <c r="QP54" s="54"/>
      <c r="QQ54" s="54"/>
      <c r="QR54" s="54"/>
      <c r="QS54" s="54"/>
      <c r="QT54" s="54"/>
      <c r="QU54" s="54"/>
      <c r="QV54" s="54"/>
      <c r="QW54" s="54"/>
      <c r="QX54" s="54"/>
      <c r="QY54" s="54"/>
      <c r="QZ54" s="54"/>
      <c r="RA54" s="54"/>
      <c r="RB54" s="54"/>
      <c r="RC54" s="54"/>
      <c r="RD54" s="54"/>
      <c r="RE54" s="54"/>
      <c r="RF54" s="54"/>
      <c r="RG54" s="54"/>
      <c r="RH54" s="54"/>
      <c r="RI54" s="54"/>
      <c r="RJ54" s="54"/>
      <c r="RK54" s="54"/>
      <c r="RL54" s="54"/>
      <c r="RM54" s="54"/>
      <c r="RN54" s="54"/>
      <c r="RO54" s="54"/>
      <c r="RP54" s="54"/>
      <c r="RQ54" s="54"/>
      <c r="RR54" s="54"/>
      <c r="RS54" s="54"/>
      <c r="RT54" s="54"/>
      <c r="RU54" s="54"/>
      <c r="RV54" s="54"/>
      <c r="RW54" s="54"/>
      <c r="RX54" s="54"/>
      <c r="RY54" s="54"/>
      <c r="RZ54" s="54"/>
      <c r="SA54" s="54"/>
      <c r="SB54" s="54"/>
      <c r="SC54" s="54"/>
      <c r="SD54" s="54"/>
      <c r="SE54" s="54"/>
      <c r="SF54" s="54"/>
      <c r="SG54" s="54"/>
      <c r="SH54" s="54"/>
      <c r="SI54" s="54"/>
      <c r="SJ54" s="54"/>
      <c r="SK54" s="54"/>
      <c r="SL54" s="54"/>
      <c r="SM54" s="54"/>
      <c r="SN54" s="54"/>
      <c r="SO54" s="54"/>
      <c r="SP54" s="54"/>
      <c r="SQ54" s="54"/>
      <c r="SR54" s="54"/>
    </row>
    <row r="55" spans="1:512" s="55" customFormat="1" ht="15" customHeight="1" x14ac:dyDescent="0.7">
      <c r="A55" s="173"/>
      <c r="B55" s="173"/>
      <c r="C55" s="173"/>
      <c r="D55" s="173"/>
      <c r="E55" s="173"/>
      <c r="F55" s="173"/>
      <c r="G55" s="176"/>
      <c r="H55" s="92"/>
      <c r="I55" s="93"/>
      <c r="J55" s="94"/>
      <c r="K55" s="170"/>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c r="IX55" s="56"/>
      <c r="IY55" s="56"/>
      <c r="IZ55" s="56"/>
      <c r="JA55" s="56"/>
      <c r="JB55" s="56"/>
      <c r="JC55" s="56"/>
      <c r="JD55" s="56"/>
      <c r="JE55" s="56"/>
      <c r="JF55" s="56"/>
      <c r="JG55" s="56"/>
      <c r="JH55" s="56"/>
      <c r="JI55" s="56"/>
      <c r="JJ55" s="56"/>
      <c r="JK55" s="56"/>
      <c r="JL55" s="56"/>
      <c r="JM55" s="56"/>
      <c r="JN55" s="56"/>
      <c r="JO55" s="56"/>
      <c r="JP55" s="56"/>
      <c r="JQ55" s="56"/>
      <c r="JR55" s="56"/>
      <c r="JS55" s="56"/>
      <c r="JT55" s="56"/>
      <c r="JU55" s="56"/>
      <c r="JV55" s="56"/>
      <c r="JW55" s="56"/>
      <c r="JX55" s="56"/>
      <c r="JY55" s="56"/>
      <c r="JZ55" s="56"/>
      <c r="KA55" s="56"/>
      <c r="KB55" s="56"/>
      <c r="KC55" s="56"/>
      <c r="KD55" s="56"/>
      <c r="KE55" s="56"/>
      <c r="KF55" s="56"/>
      <c r="KG55" s="56"/>
      <c r="KH55" s="56"/>
      <c r="KI55" s="56"/>
      <c r="KJ55" s="56"/>
      <c r="KK55" s="56"/>
      <c r="KL55" s="56"/>
      <c r="KM55" s="56"/>
      <c r="KN55" s="56"/>
      <c r="KO55" s="56"/>
      <c r="KP55" s="56"/>
      <c r="KQ55" s="56"/>
      <c r="KR55" s="56"/>
      <c r="KS55" s="56"/>
      <c r="KT55" s="56"/>
      <c r="KU55" s="56"/>
      <c r="KV55" s="56"/>
      <c r="KW55" s="56"/>
      <c r="KX55" s="56"/>
      <c r="KY55" s="56"/>
      <c r="KZ55" s="56"/>
      <c r="LA55" s="56"/>
      <c r="LB55" s="56"/>
      <c r="LC55" s="56"/>
      <c r="LD55" s="56"/>
      <c r="LE55" s="56"/>
      <c r="LF55" s="56"/>
      <c r="LG55" s="56"/>
      <c r="LH55" s="56"/>
      <c r="LI55" s="56"/>
      <c r="LJ55" s="56"/>
      <c r="LK55" s="56"/>
      <c r="LL55" s="56"/>
      <c r="LM55" s="56"/>
      <c r="LN55" s="56"/>
      <c r="LO55" s="56"/>
      <c r="LP55" s="56"/>
      <c r="LQ55" s="56"/>
      <c r="LR55" s="56"/>
      <c r="LS55" s="56"/>
      <c r="LT55" s="56"/>
      <c r="LU55" s="56"/>
      <c r="LV55" s="56"/>
      <c r="LW55" s="56"/>
      <c r="LX55" s="56"/>
      <c r="LY55" s="56"/>
      <c r="LZ55" s="56"/>
      <c r="MA55" s="56"/>
      <c r="MB55" s="56"/>
      <c r="MC55" s="56"/>
      <c r="MD55" s="56"/>
      <c r="ME55" s="56"/>
      <c r="MF55" s="56"/>
      <c r="MG55" s="56"/>
      <c r="MH55" s="56"/>
      <c r="MI55" s="56"/>
      <c r="MJ55" s="56"/>
      <c r="MK55" s="56"/>
      <c r="ML55" s="56"/>
      <c r="MM55" s="56"/>
      <c r="MN55" s="56"/>
      <c r="MO55" s="56"/>
      <c r="MP55" s="56"/>
      <c r="MQ55" s="56"/>
      <c r="MR55" s="56"/>
      <c r="MS55" s="56"/>
      <c r="MT55" s="56"/>
      <c r="MU55" s="56"/>
      <c r="MV55" s="56"/>
      <c r="MW55" s="56"/>
      <c r="MX55" s="56"/>
      <c r="MY55" s="56"/>
      <c r="MZ55" s="56"/>
      <c r="NA55" s="56"/>
      <c r="NB55" s="56"/>
      <c r="NC55" s="56"/>
      <c r="ND55" s="56"/>
      <c r="NE55" s="56"/>
      <c r="NF55" s="56"/>
      <c r="NG55" s="56"/>
      <c r="NH55" s="56"/>
      <c r="NI55" s="56"/>
      <c r="NJ55" s="56"/>
      <c r="NK55" s="56"/>
      <c r="NL55" s="56"/>
      <c r="NM55" s="56"/>
      <c r="NN55" s="56"/>
      <c r="NO55" s="56"/>
      <c r="NP55" s="56"/>
      <c r="NQ55" s="56"/>
      <c r="NR55" s="56"/>
      <c r="NS55" s="56"/>
      <c r="NT55" s="56"/>
      <c r="NU55" s="56"/>
      <c r="NV55" s="56"/>
      <c r="NW55" s="56"/>
      <c r="NX55" s="56"/>
      <c r="NY55" s="56"/>
      <c r="NZ55" s="56"/>
      <c r="OA55" s="56"/>
      <c r="OB55" s="56"/>
      <c r="OC55" s="56"/>
      <c r="OD55" s="56"/>
      <c r="OE55" s="56"/>
      <c r="OF55" s="56"/>
      <c r="OG55" s="56"/>
      <c r="OH55" s="56"/>
      <c r="OI55" s="56"/>
      <c r="OJ55" s="56"/>
      <c r="OK55" s="56"/>
      <c r="OL55" s="56"/>
      <c r="OM55" s="56"/>
      <c r="ON55" s="56"/>
      <c r="OO55" s="56"/>
      <c r="OP55" s="56"/>
      <c r="OQ55" s="56"/>
      <c r="OR55" s="56"/>
      <c r="OS55" s="56"/>
      <c r="OT55" s="56"/>
      <c r="OU55" s="56"/>
      <c r="OV55" s="56"/>
      <c r="OW55" s="56"/>
      <c r="OX55" s="56"/>
      <c r="OY55" s="56"/>
      <c r="OZ55" s="56"/>
      <c r="PA55" s="56"/>
      <c r="PB55" s="56"/>
      <c r="PC55" s="56"/>
      <c r="PD55" s="56"/>
      <c r="PE55" s="56"/>
      <c r="PF55" s="56"/>
      <c r="PG55" s="56"/>
      <c r="PH55" s="56"/>
      <c r="PI55" s="56"/>
      <c r="PJ55" s="56"/>
      <c r="PK55" s="56"/>
      <c r="PL55" s="56"/>
      <c r="PM55" s="56"/>
      <c r="PN55" s="56"/>
      <c r="PO55" s="56"/>
      <c r="PP55" s="56"/>
      <c r="PQ55" s="56"/>
      <c r="PR55" s="56"/>
      <c r="PS55" s="56"/>
      <c r="PT55" s="56"/>
      <c r="PU55" s="56"/>
      <c r="PV55" s="56"/>
      <c r="PW55" s="56"/>
      <c r="PX55" s="56"/>
      <c r="PY55" s="56"/>
      <c r="PZ55" s="56"/>
      <c r="QA55" s="56"/>
      <c r="QB55" s="56"/>
      <c r="QC55" s="56"/>
      <c r="QD55" s="56"/>
      <c r="QE55" s="56"/>
      <c r="QF55" s="56"/>
      <c r="QG55" s="56"/>
      <c r="QH55" s="56"/>
      <c r="QI55" s="56"/>
      <c r="QJ55" s="56"/>
      <c r="QK55" s="56"/>
      <c r="QL55" s="56"/>
      <c r="QM55" s="56"/>
      <c r="QN55" s="56"/>
      <c r="QO55" s="56"/>
      <c r="QP55" s="56"/>
      <c r="QQ55" s="56"/>
      <c r="QR55" s="56"/>
      <c r="QS55" s="56"/>
      <c r="QT55" s="56"/>
      <c r="QU55" s="56"/>
      <c r="QV55" s="56"/>
      <c r="QW55" s="56"/>
      <c r="QX55" s="56"/>
      <c r="QY55" s="56"/>
      <c r="QZ55" s="56"/>
      <c r="RA55" s="56"/>
      <c r="RB55" s="56"/>
      <c r="RC55" s="56"/>
      <c r="RD55" s="56"/>
      <c r="RE55" s="56"/>
      <c r="RF55" s="56"/>
      <c r="RG55" s="56"/>
      <c r="RH55" s="56"/>
      <c r="RI55" s="56"/>
      <c r="RJ55" s="56"/>
      <c r="RK55" s="56"/>
      <c r="RL55" s="56"/>
      <c r="RM55" s="56"/>
      <c r="RN55" s="56"/>
      <c r="RO55" s="56"/>
      <c r="RP55" s="56"/>
      <c r="RQ55" s="56"/>
      <c r="RR55" s="56"/>
      <c r="RS55" s="56"/>
      <c r="RT55" s="56"/>
      <c r="RU55" s="56"/>
      <c r="RV55" s="56"/>
      <c r="RW55" s="56"/>
      <c r="RX55" s="56"/>
      <c r="RY55" s="56"/>
      <c r="RZ55" s="56"/>
      <c r="SA55" s="56"/>
      <c r="SB55" s="56"/>
      <c r="SC55" s="56"/>
      <c r="SD55" s="56"/>
      <c r="SE55" s="56"/>
      <c r="SF55" s="56"/>
      <c r="SG55" s="56"/>
      <c r="SH55" s="56"/>
      <c r="SI55" s="56"/>
      <c r="SJ55" s="56"/>
      <c r="SK55" s="56"/>
      <c r="SL55" s="56"/>
      <c r="SM55" s="56"/>
      <c r="SN55" s="56"/>
      <c r="SO55" s="56"/>
      <c r="SP55" s="56"/>
      <c r="SQ55" s="56"/>
      <c r="SR55" s="56"/>
    </row>
    <row r="56" spans="1:512" ht="15" customHeight="1" x14ac:dyDescent="0.7">
      <c r="A56" s="171">
        <v>16</v>
      </c>
      <c r="B56" s="171" t="s">
        <v>307</v>
      </c>
      <c r="C56" s="171" t="s">
        <v>387</v>
      </c>
      <c r="D56" s="171"/>
      <c r="E56" s="171" t="s">
        <v>33</v>
      </c>
      <c r="F56" s="171"/>
      <c r="G56" s="174" t="s">
        <v>385</v>
      </c>
      <c r="H56" s="88" t="s">
        <v>386</v>
      </c>
      <c r="I56" s="89" t="s">
        <v>347</v>
      </c>
      <c r="J56" s="90">
        <v>0.2</v>
      </c>
      <c r="K56" s="168">
        <v>0.1</v>
      </c>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4"/>
      <c r="EF56" s="54"/>
      <c r="EG56" s="54"/>
      <c r="EH56" s="54"/>
      <c r="EI56" s="54"/>
      <c r="EJ56" s="54"/>
      <c r="EK56" s="54"/>
      <c r="EL56" s="54"/>
      <c r="EM56" s="54"/>
      <c r="EN56" s="54"/>
      <c r="EO56" s="54"/>
      <c r="EP56" s="54"/>
      <c r="EQ56" s="54"/>
      <c r="ER56" s="54"/>
      <c r="ES56" s="54"/>
      <c r="ET56" s="54"/>
      <c r="EU56" s="54"/>
      <c r="EV56" s="54"/>
      <c r="EW56" s="54"/>
      <c r="EX56" s="54"/>
      <c r="EY56" s="54"/>
      <c r="EZ56" s="54"/>
      <c r="FA56" s="54"/>
      <c r="FB56" s="54"/>
      <c r="FC56" s="54"/>
      <c r="FD56" s="54"/>
      <c r="FE56" s="54"/>
      <c r="FF56" s="54"/>
      <c r="FG56" s="54"/>
      <c r="FH56" s="54"/>
      <c r="FI56" s="54"/>
      <c r="FJ56" s="54"/>
      <c r="FK56" s="54"/>
      <c r="FL56" s="54"/>
      <c r="FM56" s="54"/>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4"/>
      <c r="HT56" s="54"/>
      <c r="HU56" s="54"/>
      <c r="HV56" s="54"/>
      <c r="HW56" s="54"/>
      <c r="HX56" s="54"/>
      <c r="HY56" s="54"/>
      <c r="HZ56" s="54"/>
      <c r="IA56" s="54"/>
      <c r="IB56" s="54"/>
      <c r="IC56" s="54"/>
      <c r="ID56" s="54"/>
      <c r="IE56" s="54"/>
      <c r="IF56" s="54"/>
      <c r="IG56" s="54"/>
      <c r="IH56" s="54"/>
      <c r="II56" s="54"/>
      <c r="IJ56" s="54"/>
      <c r="IK56" s="54"/>
      <c r="IL56" s="54"/>
      <c r="IM56" s="54"/>
      <c r="IN56" s="54"/>
      <c r="IO56" s="54"/>
      <c r="IP56" s="54"/>
      <c r="IQ56" s="54"/>
      <c r="IR56" s="54"/>
      <c r="IS56" s="54"/>
      <c r="IT56" s="54"/>
      <c r="IU56" s="54"/>
      <c r="IV56" s="54"/>
      <c r="IW56" s="54"/>
      <c r="IX56" s="54"/>
      <c r="IY56" s="54"/>
      <c r="IZ56" s="54"/>
      <c r="JA56" s="54"/>
      <c r="JB56" s="54"/>
      <c r="JC56" s="54"/>
      <c r="JD56" s="54"/>
      <c r="JE56" s="54"/>
      <c r="JF56" s="54"/>
      <c r="JG56" s="54"/>
      <c r="JH56" s="54"/>
      <c r="JI56" s="54"/>
      <c r="JJ56" s="54"/>
      <c r="JK56" s="54"/>
      <c r="JL56" s="54"/>
      <c r="JM56" s="54"/>
      <c r="JN56" s="54"/>
      <c r="JO56" s="54"/>
      <c r="JP56" s="54"/>
      <c r="JQ56" s="54"/>
      <c r="JR56" s="54"/>
      <c r="JS56" s="54"/>
      <c r="JT56" s="54"/>
      <c r="JU56" s="54"/>
      <c r="JV56" s="54"/>
      <c r="JW56" s="54"/>
      <c r="JX56" s="54"/>
      <c r="JY56" s="54"/>
      <c r="JZ56" s="54"/>
      <c r="KA56" s="54"/>
      <c r="KB56" s="54"/>
      <c r="KC56" s="54"/>
      <c r="KD56" s="54"/>
      <c r="KE56" s="54"/>
      <c r="KF56" s="54"/>
      <c r="KG56" s="54"/>
      <c r="KH56" s="54"/>
      <c r="KI56" s="54"/>
      <c r="KJ56" s="54"/>
      <c r="KK56" s="54"/>
      <c r="KL56" s="54"/>
      <c r="KM56" s="54"/>
      <c r="KN56" s="54"/>
      <c r="KO56" s="54"/>
      <c r="KP56" s="54"/>
      <c r="KQ56" s="54"/>
      <c r="KR56" s="54"/>
      <c r="KS56" s="54"/>
      <c r="KT56" s="54"/>
      <c r="KU56" s="54"/>
      <c r="KV56" s="54"/>
      <c r="KW56" s="54"/>
      <c r="KX56" s="54"/>
      <c r="KY56" s="54"/>
      <c r="KZ56" s="54"/>
      <c r="LA56" s="54"/>
      <c r="LB56" s="54"/>
      <c r="LC56" s="54"/>
      <c r="LD56" s="54"/>
      <c r="LE56" s="54"/>
      <c r="LF56" s="54"/>
      <c r="LG56" s="54"/>
      <c r="LH56" s="54"/>
      <c r="LI56" s="54"/>
      <c r="LJ56" s="54"/>
      <c r="LK56" s="54"/>
      <c r="LL56" s="54"/>
      <c r="LM56" s="54"/>
      <c r="LN56" s="54"/>
      <c r="LO56" s="54"/>
      <c r="LP56" s="54"/>
      <c r="LQ56" s="54"/>
      <c r="LR56" s="54"/>
      <c r="LS56" s="54"/>
      <c r="LT56" s="54"/>
      <c r="LU56" s="54"/>
      <c r="LV56" s="54"/>
      <c r="LW56" s="54"/>
      <c r="LX56" s="54"/>
      <c r="LY56" s="54"/>
      <c r="LZ56" s="54"/>
      <c r="MA56" s="54"/>
      <c r="MB56" s="54"/>
      <c r="MC56" s="54"/>
      <c r="MD56" s="54"/>
      <c r="ME56" s="54"/>
      <c r="MF56" s="54"/>
      <c r="MG56" s="54"/>
      <c r="MH56" s="54"/>
      <c r="MI56" s="54"/>
      <c r="MJ56" s="54"/>
      <c r="MK56" s="54"/>
      <c r="ML56" s="54"/>
      <c r="MM56" s="54"/>
      <c r="MN56" s="54"/>
      <c r="MO56" s="54"/>
      <c r="MP56" s="54"/>
      <c r="MQ56" s="54"/>
      <c r="MR56" s="54"/>
      <c r="MS56" s="54"/>
      <c r="MT56" s="54"/>
      <c r="MU56" s="54"/>
      <c r="MV56" s="54"/>
      <c r="MW56" s="54"/>
      <c r="MX56" s="54"/>
      <c r="MY56" s="54"/>
      <c r="MZ56" s="54"/>
      <c r="NA56" s="54"/>
      <c r="NB56" s="54"/>
      <c r="NC56" s="54"/>
      <c r="ND56" s="54"/>
      <c r="NE56" s="54"/>
      <c r="NF56" s="54"/>
      <c r="NG56" s="54"/>
      <c r="NH56" s="54"/>
      <c r="NI56" s="54"/>
      <c r="NJ56" s="54"/>
      <c r="NK56" s="54"/>
      <c r="NL56" s="54"/>
      <c r="NM56" s="54"/>
      <c r="NN56" s="54"/>
      <c r="NO56" s="54"/>
      <c r="NP56" s="54"/>
      <c r="NQ56" s="54"/>
      <c r="NR56" s="54"/>
      <c r="NS56" s="54"/>
      <c r="NT56" s="54"/>
      <c r="NU56" s="54"/>
      <c r="NV56" s="54"/>
      <c r="NW56" s="54"/>
      <c r="NX56" s="54"/>
      <c r="NY56" s="54"/>
      <c r="NZ56" s="54"/>
      <c r="OA56" s="54"/>
      <c r="OB56" s="54"/>
      <c r="OC56" s="54"/>
      <c r="OD56" s="54"/>
      <c r="OE56" s="54"/>
      <c r="OF56" s="54"/>
      <c r="OG56" s="54"/>
      <c r="OH56" s="54"/>
      <c r="OI56" s="54"/>
      <c r="OJ56" s="54"/>
      <c r="OK56" s="54"/>
      <c r="OL56" s="54"/>
      <c r="OM56" s="54"/>
      <c r="ON56" s="54"/>
      <c r="OO56" s="54"/>
      <c r="OP56" s="54"/>
      <c r="OQ56" s="54"/>
      <c r="OR56" s="54"/>
      <c r="OS56" s="54"/>
      <c r="OT56" s="54"/>
      <c r="OU56" s="54"/>
      <c r="OV56" s="54"/>
      <c r="OW56" s="54"/>
      <c r="OX56" s="54"/>
      <c r="OY56" s="54"/>
      <c r="OZ56" s="54"/>
      <c r="PA56" s="54"/>
      <c r="PB56" s="54"/>
      <c r="PC56" s="54"/>
      <c r="PD56" s="54"/>
      <c r="PE56" s="54"/>
      <c r="PF56" s="54"/>
      <c r="PG56" s="54"/>
      <c r="PH56" s="54"/>
      <c r="PI56" s="54"/>
      <c r="PJ56" s="54"/>
      <c r="PK56" s="54"/>
      <c r="PL56" s="54"/>
      <c r="PM56" s="54"/>
      <c r="PN56" s="54"/>
      <c r="PO56" s="54"/>
      <c r="PP56" s="54"/>
      <c r="PQ56" s="54"/>
      <c r="PR56" s="54"/>
      <c r="PS56" s="54"/>
      <c r="PT56" s="54"/>
      <c r="PU56" s="54"/>
      <c r="PV56" s="54"/>
      <c r="PW56" s="54"/>
      <c r="PX56" s="54"/>
      <c r="PY56" s="54"/>
      <c r="PZ56" s="54"/>
      <c r="QA56" s="54"/>
      <c r="QB56" s="54"/>
      <c r="QC56" s="54"/>
      <c r="QD56" s="54"/>
      <c r="QE56" s="54"/>
      <c r="QF56" s="54"/>
      <c r="QG56" s="54"/>
      <c r="QH56" s="54"/>
      <c r="QI56" s="54"/>
      <c r="QJ56" s="54"/>
      <c r="QK56" s="54"/>
      <c r="QL56" s="54"/>
      <c r="QM56" s="54"/>
      <c r="QN56" s="54"/>
      <c r="QO56" s="54"/>
      <c r="QP56" s="54"/>
      <c r="QQ56" s="54"/>
      <c r="QR56" s="54"/>
      <c r="QS56" s="54"/>
      <c r="QT56" s="54"/>
      <c r="QU56" s="54"/>
      <c r="QV56" s="54"/>
      <c r="QW56" s="54"/>
      <c r="QX56" s="54"/>
      <c r="QY56" s="54"/>
      <c r="QZ56" s="54"/>
      <c r="RA56" s="54"/>
      <c r="RB56" s="54"/>
      <c r="RC56" s="54"/>
      <c r="RD56" s="54"/>
      <c r="RE56" s="54"/>
      <c r="RF56" s="54"/>
      <c r="RG56" s="54"/>
      <c r="RH56" s="54"/>
      <c r="RI56" s="54"/>
      <c r="RJ56" s="54"/>
      <c r="RK56" s="54"/>
      <c r="RL56" s="54"/>
      <c r="RM56" s="54"/>
      <c r="RN56" s="54"/>
      <c r="RO56" s="54"/>
      <c r="RP56" s="54"/>
      <c r="RQ56" s="54"/>
      <c r="RR56" s="54"/>
      <c r="RS56" s="54"/>
      <c r="RT56" s="54"/>
      <c r="RU56" s="54"/>
      <c r="RV56" s="54"/>
      <c r="RW56" s="54"/>
      <c r="RX56" s="54"/>
      <c r="RY56" s="54"/>
      <c r="RZ56" s="54"/>
      <c r="SA56" s="54"/>
      <c r="SB56" s="54"/>
      <c r="SC56" s="54"/>
      <c r="SD56" s="54"/>
      <c r="SE56" s="54"/>
      <c r="SF56" s="54"/>
      <c r="SG56" s="54"/>
      <c r="SH56" s="54"/>
      <c r="SI56" s="54"/>
      <c r="SJ56" s="54"/>
      <c r="SK56" s="54"/>
      <c r="SL56" s="54"/>
      <c r="SM56" s="54"/>
      <c r="SN56" s="54"/>
      <c r="SO56" s="54"/>
      <c r="SP56" s="54"/>
      <c r="SQ56" s="54"/>
      <c r="SR56" s="54"/>
    </row>
    <row r="57" spans="1:512" ht="15" customHeight="1" x14ac:dyDescent="0.7">
      <c r="A57" s="172"/>
      <c r="B57" s="172"/>
      <c r="C57" s="172"/>
      <c r="D57" s="172"/>
      <c r="E57" s="172"/>
      <c r="F57" s="172"/>
      <c r="G57" s="175"/>
      <c r="H57" s="91"/>
      <c r="I57" s="89" t="s">
        <v>348</v>
      </c>
      <c r="J57" s="90">
        <v>0</v>
      </c>
      <c r="K57" s="169"/>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4"/>
      <c r="EX57" s="54"/>
      <c r="EY57" s="54"/>
      <c r="EZ57" s="54"/>
      <c r="FA57" s="54"/>
      <c r="FB57" s="54"/>
      <c r="FC57" s="54"/>
      <c r="FD57" s="54"/>
      <c r="FE57" s="54"/>
      <c r="FF57" s="54"/>
      <c r="FG57" s="54"/>
      <c r="FH57" s="54"/>
      <c r="FI57" s="54"/>
      <c r="FJ57" s="54"/>
      <c r="FK57" s="54"/>
      <c r="FL57" s="54"/>
      <c r="FM57" s="54"/>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c r="GW57" s="54"/>
      <c r="GX57" s="54"/>
      <c r="GY57" s="54"/>
      <c r="GZ57" s="54"/>
      <c r="HA57" s="54"/>
      <c r="HB57" s="54"/>
      <c r="HC57" s="54"/>
      <c r="HD57" s="54"/>
      <c r="HE57" s="54"/>
      <c r="HF57" s="54"/>
      <c r="HG57" s="54"/>
      <c r="HH57" s="54"/>
      <c r="HI57" s="54"/>
      <c r="HJ57" s="54"/>
      <c r="HK57" s="54"/>
      <c r="HL57" s="54"/>
      <c r="HM57" s="54"/>
      <c r="HN57" s="54"/>
      <c r="HO57" s="54"/>
      <c r="HP57" s="54"/>
      <c r="HQ57" s="54"/>
      <c r="HR57" s="54"/>
      <c r="HS57" s="54"/>
      <c r="HT57" s="54"/>
      <c r="HU57" s="54"/>
      <c r="HV57" s="54"/>
      <c r="HW57" s="54"/>
      <c r="HX57" s="54"/>
      <c r="HY57" s="54"/>
      <c r="HZ57" s="54"/>
      <c r="IA57" s="54"/>
      <c r="IB57" s="54"/>
      <c r="IC57" s="54"/>
      <c r="ID57" s="54"/>
      <c r="IE57" s="54"/>
      <c r="IF57" s="54"/>
      <c r="IG57" s="54"/>
      <c r="IH57" s="54"/>
      <c r="II57" s="54"/>
      <c r="IJ57" s="54"/>
      <c r="IK57" s="54"/>
      <c r="IL57" s="54"/>
      <c r="IM57" s="54"/>
      <c r="IN57" s="54"/>
      <c r="IO57" s="54"/>
      <c r="IP57" s="54"/>
      <c r="IQ57" s="54"/>
      <c r="IR57" s="54"/>
      <c r="IS57" s="54"/>
      <c r="IT57" s="54"/>
      <c r="IU57" s="54"/>
      <c r="IV57" s="54"/>
      <c r="IW57" s="54"/>
      <c r="IX57" s="54"/>
      <c r="IY57" s="54"/>
      <c r="IZ57" s="54"/>
      <c r="JA57" s="54"/>
      <c r="JB57" s="54"/>
      <c r="JC57" s="54"/>
      <c r="JD57" s="54"/>
      <c r="JE57" s="54"/>
      <c r="JF57" s="54"/>
      <c r="JG57" s="54"/>
      <c r="JH57" s="54"/>
      <c r="JI57" s="54"/>
      <c r="JJ57" s="54"/>
      <c r="JK57" s="54"/>
      <c r="JL57" s="54"/>
      <c r="JM57" s="54"/>
      <c r="JN57" s="54"/>
      <c r="JO57" s="54"/>
      <c r="JP57" s="54"/>
      <c r="JQ57" s="54"/>
      <c r="JR57" s="54"/>
      <c r="JS57" s="54"/>
      <c r="JT57" s="54"/>
      <c r="JU57" s="54"/>
      <c r="JV57" s="54"/>
      <c r="JW57" s="54"/>
      <c r="JX57" s="54"/>
      <c r="JY57" s="54"/>
      <c r="JZ57" s="54"/>
      <c r="KA57" s="54"/>
      <c r="KB57" s="54"/>
      <c r="KC57" s="54"/>
      <c r="KD57" s="54"/>
      <c r="KE57" s="54"/>
      <c r="KF57" s="54"/>
      <c r="KG57" s="54"/>
      <c r="KH57" s="54"/>
      <c r="KI57" s="54"/>
      <c r="KJ57" s="54"/>
      <c r="KK57" s="54"/>
      <c r="KL57" s="54"/>
      <c r="KM57" s="54"/>
      <c r="KN57" s="54"/>
      <c r="KO57" s="54"/>
      <c r="KP57" s="54"/>
      <c r="KQ57" s="54"/>
      <c r="KR57" s="54"/>
      <c r="KS57" s="54"/>
      <c r="KT57" s="54"/>
      <c r="KU57" s="54"/>
      <c r="KV57" s="54"/>
      <c r="KW57" s="54"/>
      <c r="KX57" s="54"/>
      <c r="KY57" s="54"/>
      <c r="KZ57" s="54"/>
      <c r="LA57" s="54"/>
      <c r="LB57" s="54"/>
      <c r="LC57" s="54"/>
      <c r="LD57" s="54"/>
      <c r="LE57" s="54"/>
      <c r="LF57" s="54"/>
      <c r="LG57" s="54"/>
      <c r="LH57" s="54"/>
      <c r="LI57" s="54"/>
      <c r="LJ57" s="54"/>
      <c r="LK57" s="54"/>
      <c r="LL57" s="54"/>
      <c r="LM57" s="54"/>
      <c r="LN57" s="54"/>
      <c r="LO57" s="54"/>
      <c r="LP57" s="54"/>
      <c r="LQ57" s="54"/>
      <c r="LR57" s="54"/>
      <c r="LS57" s="54"/>
      <c r="LT57" s="54"/>
      <c r="LU57" s="54"/>
      <c r="LV57" s="54"/>
      <c r="LW57" s="54"/>
      <c r="LX57" s="54"/>
      <c r="LY57" s="54"/>
      <c r="LZ57" s="54"/>
      <c r="MA57" s="54"/>
      <c r="MB57" s="54"/>
      <c r="MC57" s="54"/>
      <c r="MD57" s="54"/>
      <c r="ME57" s="54"/>
      <c r="MF57" s="54"/>
      <c r="MG57" s="54"/>
      <c r="MH57" s="54"/>
      <c r="MI57" s="54"/>
      <c r="MJ57" s="54"/>
      <c r="MK57" s="54"/>
      <c r="ML57" s="54"/>
      <c r="MM57" s="54"/>
      <c r="MN57" s="54"/>
      <c r="MO57" s="54"/>
      <c r="MP57" s="54"/>
      <c r="MQ57" s="54"/>
      <c r="MR57" s="54"/>
      <c r="MS57" s="54"/>
      <c r="MT57" s="54"/>
      <c r="MU57" s="54"/>
      <c r="MV57" s="54"/>
      <c r="MW57" s="54"/>
      <c r="MX57" s="54"/>
      <c r="MY57" s="54"/>
      <c r="MZ57" s="54"/>
      <c r="NA57" s="54"/>
      <c r="NB57" s="54"/>
      <c r="NC57" s="54"/>
      <c r="ND57" s="54"/>
      <c r="NE57" s="54"/>
      <c r="NF57" s="54"/>
      <c r="NG57" s="54"/>
      <c r="NH57" s="54"/>
      <c r="NI57" s="54"/>
      <c r="NJ57" s="54"/>
      <c r="NK57" s="54"/>
      <c r="NL57" s="54"/>
      <c r="NM57" s="54"/>
      <c r="NN57" s="54"/>
      <c r="NO57" s="54"/>
      <c r="NP57" s="54"/>
      <c r="NQ57" s="54"/>
      <c r="NR57" s="54"/>
      <c r="NS57" s="54"/>
      <c r="NT57" s="54"/>
      <c r="NU57" s="54"/>
      <c r="NV57" s="54"/>
      <c r="NW57" s="54"/>
      <c r="NX57" s="54"/>
      <c r="NY57" s="54"/>
      <c r="NZ57" s="54"/>
      <c r="OA57" s="54"/>
      <c r="OB57" s="54"/>
      <c r="OC57" s="54"/>
      <c r="OD57" s="54"/>
      <c r="OE57" s="54"/>
      <c r="OF57" s="54"/>
      <c r="OG57" s="54"/>
      <c r="OH57" s="54"/>
      <c r="OI57" s="54"/>
      <c r="OJ57" s="54"/>
      <c r="OK57" s="54"/>
      <c r="OL57" s="54"/>
      <c r="OM57" s="54"/>
      <c r="ON57" s="54"/>
      <c r="OO57" s="54"/>
      <c r="OP57" s="54"/>
      <c r="OQ57" s="54"/>
      <c r="OR57" s="54"/>
      <c r="OS57" s="54"/>
      <c r="OT57" s="54"/>
      <c r="OU57" s="54"/>
      <c r="OV57" s="54"/>
      <c r="OW57" s="54"/>
      <c r="OX57" s="54"/>
      <c r="OY57" s="54"/>
      <c r="OZ57" s="54"/>
      <c r="PA57" s="54"/>
      <c r="PB57" s="54"/>
      <c r="PC57" s="54"/>
      <c r="PD57" s="54"/>
      <c r="PE57" s="54"/>
      <c r="PF57" s="54"/>
      <c r="PG57" s="54"/>
      <c r="PH57" s="54"/>
      <c r="PI57" s="54"/>
      <c r="PJ57" s="54"/>
      <c r="PK57" s="54"/>
      <c r="PL57" s="54"/>
      <c r="PM57" s="54"/>
      <c r="PN57" s="54"/>
      <c r="PO57" s="54"/>
      <c r="PP57" s="54"/>
      <c r="PQ57" s="54"/>
      <c r="PR57" s="54"/>
      <c r="PS57" s="54"/>
      <c r="PT57" s="54"/>
      <c r="PU57" s="54"/>
      <c r="PV57" s="54"/>
      <c r="PW57" s="54"/>
      <c r="PX57" s="54"/>
      <c r="PY57" s="54"/>
      <c r="PZ57" s="54"/>
      <c r="QA57" s="54"/>
      <c r="QB57" s="54"/>
      <c r="QC57" s="54"/>
      <c r="QD57" s="54"/>
      <c r="QE57" s="54"/>
      <c r="QF57" s="54"/>
      <c r="QG57" s="54"/>
      <c r="QH57" s="54"/>
      <c r="QI57" s="54"/>
      <c r="QJ57" s="54"/>
      <c r="QK57" s="54"/>
      <c r="QL57" s="54"/>
      <c r="QM57" s="54"/>
      <c r="QN57" s="54"/>
      <c r="QO57" s="54"/>
      <c r="QP57" s="54"/>
      <c r="QQ57" s="54"/>
      <c r="QR57" s="54"/>
      <c r="QS57" s="54"/>
      <c r="QT57" s="54"/>
      <c r="QU57" s="54"/>
      <c r="QV57" s="54"/>
      <c r="QW57" s="54"/>
      <c r="QX57" s="54"/>
      <c r="QY57" s="54"/>
      <c r="QZ57" s="54"/>
      <c r="RA57" s="54"/>
      <c r="RB57" s="54"/>
      <c r="RC57" s="54"/>
      <c r="RD57" s="54"/>
      <c r="RE57" s="54"/>
      <c r="RF57" s="54"/>
      <c r="RG57" s="54"/>
      <c r="RH57" s="54"/>
      <c r="RI57" s="54"/>
      <c r="RJ57" s="54"/>
      <c r="RK57" s="54"/>
      <c r="RL57" s="54"/>
      <c r="RM57" s="54"/>
      <c r="RN57" s="54"/>
      <c r="RO57" s="54"/>
      <c r="RP57" s="54"/>
      <c r="RQ57" s="54"/>
      <c r="RR57" s="54"/>
      <c r="RS57" s="54"/>
      <c r="RT57" s="54"/>
      <c r="RU57" s="54"/>
      <c r="RV57" s="54"/>
      <c r="RW57" s="54"/>
      <c r="RX57" s="54"/>
      <c r="RY57" s="54"/>
      <c r="RZ57" s="54"/>
      <c r="SA57" s="54"/>
      <c r="SB57" s="54"/>
      <c r="SC57" s="54"/>
      <c r="SD57" s="54"/>
      <c r="SE57" s="54"/>
      <c r="SF57" s="54"/>
      <c r="SG57" s="54"/>
      <c r="SH57" s="54"/>
      <c r="SI57" s="54"/>
      <c r="SJ57" s="54"/>
      <c r="SK57" s="54"/>
      <c r="SL57" s="54"/>
      <c r="SM57" s="54"/>
      <c r="SN57" s="54"/>
      <c r="SO57" s="54"/>
      <c r="SP57" s="54"/>
      <c r="SQ57" s="54"/>
      <c r="SR57" s="54"/>
    </row>
    <row r="58" spans="1:512" s="55" customFormat="1" ht="15" customHeight="1" x14ac:dyDescent="0.7">
      <c r="A58" s="173"/>
      <c r="B58" s="173"/>
      <c r="C58" s="173"/>
      <c r="D58" s="173"/>
      <c r="E58" s="173"/>
      <c r="F58" s="173"/>
      <c r="G58" s="176"/>
      <c r="H58" s="92"/>
      <c r="I58" s="93"/>
      <c r="J58" s="94"/>
      <c r="K58" s="170"/>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c r="GV58" s="56"/>
      <c r="GW58" s="56"/>
      <c r="GX58" s="56"/>
      <c r="GY58" s="56"/>
      <c r="GZ58" s="56"/>
      <c r="HA58" s="56"/>
      <c r="HB58" s="56"/>
      <c r="HC58" s="56"/>
      <c r="HD58" s="56"/>
      <c r="HE58" s="56"/>
      <c r="HF58" s="56"/>
      <c r="HG58" s="56"/>
      <c r="HH58" s="56"/>
      <c r="HI58" s="56"/>
      <c r="HJ58" s="56"/>
      <c r="HK58" s="56"/>
      <c r="HL58" s="56"/>
      <c r="HM58" s="56"/>
      <c r="HN58" s="56"/>
      <c r="HO58" s="56"/>
      <c r="HP58" s="56"/>
      <c r="HQ58" s="56"/>
      <c r="HR58" s="56"/>
      <c r="HS58" s="56"/>
      <c r="HT58" s="56"/>
      <c r="HU58" s="56"/>
      <c r="HV58" s="56"/>
      <c r="HW58" s="56"/>
      <c r="HX58" s="56"/>
      <c r="HY58" s="56"/>
      <c r="HZ58" s="56"/>
      <c r="IA58" s="56"/>
      <c r="IB58" s="56"/>
      <c r="IC58" s="56"/>
      <c r="ID58" s="56"/>
      <c r="IE58" s="56"/>
      <c r="IF58" s="56"/>
      <c r="IG58" s="56"/>
      <c r="IH58" s="56"/>
      <c r="II58" s="56"/>
      <c r="IJ58" s="56"/>
      <c r="IK58" s="56"/>
      <c r="IL58" s="56"/>
      <c r="IM58" s="56"/>
      <c r="IN58" s="56"/>
      <c r="IO58" s="56"/>
      <c r="IP58" s="56"/>
      <c r="IQ58" s="56"/>
      <c r="IR58" s="56"/>
      <c r="IS58" s="56"/>
      <c r="IT58" s="56"/>
      <c r="IU58" s="56"/>
      <c r="IV58" s="56"/>
      <c r="IW58" s="56"/>
      <c r="IX58" s="56"/>
      <c r="IY58" s="56"/>
      <c r="IZ58" s="56"/>
      <c r="JA58" s="56"/>
      <c r="JB58" s="56"/>
      <c r="JC58" s="56"/>
      <c r="JD58" s="56"/>
      <c r="JE58" s="56"/>
      <c r="JF58" s="56"/>
      <c r="JG58" s="56"/>
      <c r="JH58" s="56"/>
      <c r="JI58" s="56"/>
      <c r="JJ58" s="56"/>
      <c r="JK58" s="56"/>
      <c r="JL58" s="56"/>
      <c r="JM58" s="56"/>
      <c r="JN58" s="56"/>
      <c r="JO58" s="56"/>
      <c r="JP58" s="56"/>
      <c r="JQ58" s="56"/>
      <c r="JR58" s="56"/>
      <c r="JS58" s="56"/>
      <c r="JT58" s="56"/>
      <c r="JU58" s="56"/>
      <c r="JV58" s="56"/>
      <c r="JW58" s="56"/>
      <c r="JX58" s="56"/>
      <c r="JY58" s="56"/>
      <c r="JZ58" s="56"/>
      <c r="KA58" s="56"/>
      <c r="KB58" s="56"/>
      <c r="KC58" s="56"/>
      <c r="KD58" s="56"/>
      <c r="KE58" s="56"/>
      <c r="KF58" s="56"/>
      <c r="KG58" s="56"/>
      <c r="KH58" s="56"/>
      <c r="KI58" s="56"/>
      <c r="KJ58" s="56"/>
      <c r="KK58" s="56"/>
      <c r="KL58" s="56"/>
      <c r="KM58" s="56"/>
      <c r="KN58" s="56"/>
      <c r="KO58" s="56"/>
      <c r="KP58" s="56"/>
      <c r="KQ58" s="56"/>
      <c r="KR58" s="56"/>
      <c r="KS58" s="56"/>
      <c r="KT58" s="56"/>
      <c r="KU58" s="56"/>
      <c r="KV58" s="56"/>
      <c r="KW58" s="56"/>
      <c r="KX58" s="56"/>
      <c r="KY58" s="56"/>
      <c r="KZ58" s="56"/>
      <c r="LA58" s="56"/>
      <c r="LB58" s="56"/>
      <c r="LC58" s="56"/>
      <c r="LD58" s="56"/>
      <c r="LE58" s="56"/>
      <c r="LF58" s="56"/>
      <c r="LG58" s="56"/>
      <c r="LH58" s="56"/>
      <c r="LI58" s="56"/>
      <c r="LJ58" s="56"/>
      <c r="LK58" s="56"/>
      <c r="LL58" s="56"/>
      <c r="LM58" s="56"/>
      <c r="LN58" s="56"/>
      <c r="LO58" s="56"/>
      <c r="LP58" s="56"/>
      <c r="LQ58" s="56"/>
      <c r="LR58" s="56"/>
      <c r="LS58" s="56"/>
      <c r="LT58" s="56"/>
      <c r="LU58" s="56"/>
      <c r="LV58" s="56"/>
      <c r="LW58" s="56"/>
      <c r="LX58" s="56"/>
      <c r="LY58" s="56"/>
      <c r="LZ58" s="56"/>
      <c r="MA58" s="56"/>
      <c r="MB58" s="56"/>
      <c r="MC58" s="56"/>
      <c r="MD58" s="56"/>
      <c r="ME58" s="56"/>
      <c r="MF58" s="56"/>
      <c r="MG58" s="56"/>
      <c r="MH58" s="56"/>
      <c r="MI58" s="56"/>
      <c r="MJ58" s="56"/>
      <c r="MK58" s="56"/>
      <c r="ML58" s="56"/>
      <c r="MM58" s="56"/>
      <c r="MN58" s="56"/>
      <c r="MO58" s="56"/>
      <c r="MP58" s="56"/>
      <c r="MQ58" s="56"/>
      <c r="MR58" s="56"/>
      <c r="MS58" s="56"/>
      <c r="MT58" s="56"/>
      <c r="MU58" s="56"/>
      <c r="MV58" s="56"/>
      <c r="MW58" s="56"/>
      <c r="MX58" s="56"/>
      <c r="MY58" s="56"/>
      <c r="MZ58" s="56"/>
      <c r="NA58" s="56"/>
      <c r="NB58" s="56"/>
      <c r="NC58" s="56"/>
      <c r="ND58" s="56"/>
      <c r="NE58" s="56"/>
      <c r="NF58" s="56"/>
      <c r="NG58" s="56"/>
      <c r="NH58" s="56"/>
      <c r="NI58" s="56"/>
      <c r="NJ58" s="56"/>
      <c r="NK58" s="56"/>
      <c r="NL58" s="56"/>
      <c r="NM58" s="56"/>
      <c r="NN58" s="56"/>
      <c r="NO58" s="56"/>
      <c r="NP58" s="56"/>
      <c r="NQ58" s="56"/>
      <c r="NR58" s="56"/>
      <c r="NS58" s="56"/>
      <c r="NT58" s="56"/>
      <c r="NU58" s="56"/>
      <c r="NV58" s="56"/>
      <c r="NW58" s="56"/>
      <c r="NX58" s="56"/>
      <c r="NY58" s="56"/>
      <c r="NZ58" s="56"/>
      <c r="OA58" s="56"/>
      <c r="OB58" s="56"/>
      <c r="OC58" s="56"/>
      <c r="OD58" s="56"/>
      <c r="OE58" s="56"/>
      <c r="OF58" s="56"/>
      <c r="OG58" s="56"/>
      <c r="OH58" s="56"/>
      <c r="OI58" s="56"/>
      <c r="OJ58" s="56"/>
      <c r="OK58" s="56"/>
      <c r="OL58" s="56"/>
      <c r="OM58" s="56"/>
      <c r="ON58" s="56"/>
      <c r="OO58" s="56"/>
      <c r="OP58" s="56"/>
      <c r="OQ58" s="56"/>
      <c r="OR58" s="56"/>
      <c r="OS58" s="56"/>
      <c r="OT58" s="56"/>
      <c r="OU58" s="56"/>
      <c r="OV58" s="56"/>
      <c r="OW58" s="56"/>
      <c r="OX58" s="56"/>
      <c r="OY58" s="56"/>
      <c r="OZ58" s="56"/>
      <c r="PA58" s="56"/>
      <c r="PB58" s="56"/>
      <c r="PC58" s="56"/>
      <c r="PD58" s="56"/>
      <c r="PE58" s="56"/>
      <c r="PF58" s="56"/>
      <c r="PG58" s="56"/>
      <c r="PH58" s="56"/>
      <c r="PI58" s="56"/>
      <c r="PJ58" s="56"/>
      <c r="PK58" s="56"/>
      <c r="PL58" s="56"/>
      <c r="PM58" s="56"/>
      <c r="PN58" s="56"/>
      <c r="PO58" s="56"/>
      <c r="PP58" s="56"/>
      <c r="PQ58" s="56"/>
      <c r="PR58" s="56"/>
      <c r="PS58" s="56"/>
      <c r="PT58" s="56"/>
      <c r="PU58" s="56"/>
      <c r="PV58" s="56"/>
      <c r="PW58" s="56"/>
      <c r="PX58" s="56"/>
      <c r="PY58" s="56"/>
      <c r="PZ58" s="56"/>
      <c r="QA58" s="56"/>
      <c r="QB58" s="56"/>
      <c r="QC58" s="56"/>
      <c r="QD58" s="56"/>
      <c r="QE58" s="56"/>
      <c r="QF58" s="56"/>
      <c r="QG58" s="56"/>
      <c r="QH58" s="56"/>
      <c r="QI58" s="56"/>
      <c r="QJ58" s="56"/>
      <c r="QK58" s="56"/>
      <c r="QL58" s="56"/>
      <c r="QM58" s="56"/>
      <c r="QN58" s="56"/>
      <c r="QO58" s="56"/>
      <c r="QP58" s="56"/>
      <c r="QQ58" s="56"/>
      <c r="QR58" s="56"/>
      <c r="QS58" s="56"/>
      <c r="QT58" s="56"/>
      <c r="QU58" s="56"/>
      <c r="QV58" s="56"/>
      <c r="QW58" s="56"/>
      <c r="QX58" s="56"/>
      <c r="QY58" s="56"/>
      <c r="QZ58" s="56"/>
      <c r="RA58" s="56"/>
      <c r="RB58" s="56"/>
      <c r="RC58" s="56"/>
      <c r="RD58" s="56"/>
      <c r="RE58" s="56"/>
      <c r="RF58" s="56"/>
      <c r="RG58" s="56"/>
      <c r="RH58" s="56"/>
      <c r="RI58" s="56"/>
      <c r="RJ58" s="56"/>
      <c r="RK58" s="56"/>
      <c r="RL58" s="56"/>
      <c r="RM58" s="56"/>
      <c r="RN58" s="56"/>
      <c r="RO58" s="56"/>
      <c r="RP58" s="56"/>
      <c r="RQ58" s="56"/>
      <c r="RR58" s="56"/>
      <c r="RS58" s="56"/>
      <c r="RT58" s="56"/>
      <c r="RU58" s="56"/>
      <c r="RV58" s="56"/>
      <c r="RW58" s="56"/>
      <c r="RX58" s="56"/>
      <c r="RY58" s="56"/>
      <c r="RZ58" s="56"/>
      <c r="SA58" s="56"/>
      <c r="SB58" s="56"/>
      <c r="SC58" s="56"/>
      <c r="SD58" s="56"/>
      <c r="SE58" s="56"/>
      <c r="SF58" s="56"/>
      <c r="SG58" s="56"/>
      <c r="SH58" s="56"/>
      <c r="SI58" s="56"/>
      <c r="SJ58" s="56"/>
      <c r="SK58" s="56"/>
      <c r="SL58" s="56"/>
      <c r="SM58" s="56"/>
      <c r="SN58" s="56"/>
      <c r="SO58" s="56"/>
      <c r="SP58" s="56"/>
      <c r="SQ58" s="56"/>
      <c r="SR58" s="56"/>
    </row>
    <row r="59" spans="1:512" ht="15" customHeight="1" x14ac:dyDescent="0.7">
      <c r="A59" s="171">
        <v>17</v>
      </c>
      <c r="B59" s="171" t="s">
        <v>76</v>
      </c>
      <c r="C59" s="171" t="s">
        <v>344</v>
      </c>
      <c r="D59" s="171"/>
      <c r="E59" s="171" t="s">
        <v>33</v>
      </c>
      <c r="F59" s="171"/>
      <c r="G59" s="174" t="s">
        <v>388</v>
      </c>
      <c r="H59" s="88" t="s">
        <v>389</v>
      </c>
      <c r="I59" s="89" t="s">
        <v>347</v>
      </c>
      <c r="J59" s="90">
        <v>0.30000000000000004</v>
      </c>
      <c r="K59" s="168">
        <v>0.2</v>
      </c>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4"/>
      <c r="HT59" s="54"/>
      <c r="HU59" s="54"/>
      <c r="HV59" s="54"/>
      <c r="HW59" s="54"/>
      <c r="HX59" s="54"/>
      <c r="HY59" s="54"/>
      <c r="HZ59" s="54"/>
      <c r="IA59" s="54"/>
      <c r="IB59" s="54"/>
      <c r="IC59" s="54"/>
      <c r="ID59" s="54"/>
      <c r="IE59" s="54"/>
      <c r="IF59" s="54"/>
      <c r="IG59" s="54"/>
      <c r="IH59" s="54"/>
      <c r="II59" s="54"/>
      <c r="IJ59" s="54"/>
      <c r="IK59" s="54"/>
      <c r="IL59" s="54"/>
      <c r="IM59" s="54"/>
      <c r="IN59" s="54"/>
      <c r="IO59" s="54"/>
      <c r="IP59" s="54"/>
      <c r="IQ59" s="54"/>
      <c r="IR59" s="54"/>
      <c r="IS59" s="54"/>
      <c r="IT59" s="54"/>
      <c r="IU59" s="54"/>
      <c r="IV59" s="54"/>
      <c r="IW59" s="54"/>
      <c r="IX59" s="54"/>
      <c r="IY59" s="54"/>
      <c r="IZ59" s="54"/>
      <c r="JA59" s="54"/>
      <c r="JB59" s="54"/>
      <c r="JC59" s="54"/>
      <c r="JD59" s="54"/>
      <c r="JE59" s="54"/>
      <c r="JF59" s="54"/>
      <c r="JG59" s="54"/>
      <c r="JH59" s="54"/>
      <c r="JI59" s="54"/>
      <c r="JJ59" s="54"/>
      <c r="JK59" s="54"/>
      <c r="JL59" s="54"/>
      <c r="JM59" s="54"/>
      <c r="JN59" s="54"/>
      <c r="JO59" s="54"/>
      <c r="JP59" s="54"/>
      <c r="JQ59" s="54"/>
      <c r="JR59" s="54"/>
      <c r="JS59" s="54"/>
      <c r="JT59" s="54"/>
      <c r="JU59" s="54"/>
      <c r="JV59" s="54"/>
      <c r="JW59" s="54"/>
      <c r="JX59" s="54"/>
      <c r="JY59" s="54"/>
      <c r="JZ59" s="54"/>
      <c r="KA59" s="54"/>
      <c r="KB59" s="54"/>
      <c r="KC59" s="54"/>
      <c r="KD59" s="54"/>
      <c r="KE59" s="54"/>
      <c r="KF59" s="54"/>
      <c r="KG59" s="54"/>
      <c r="KH59" s="54"/>
      <c r="KI59" s="54"/>
      <c r="KJ59" s="54"/>
      <c r="KK59" s="54"/>
      <c r="KL59" s="54"/>
      <c r="KM59" s="54"/>
      <c r="KN59" s="54"/>
      <c r="KO59" s="54"/>
      <c r="KP59" s="54"/>
      <c r="KQ59" s="54"/>
      <c r="KR59" s="54"/>
      <c r="KS59" s="54"/>
      <c r="KT59" s="54"/>
      <c r="KU59" s="54"/>
      <c r="KV59" s="54"/>
      <c r="KW59" s="54"/>
      <c r="KX59" s="54"/>
      <c r="KY59" s="54"/>
      <c r="KZ59" s="54"/>
      <c r="LA59" s="54"/>
      <c r="LB59" s="54"/>
      <c r="LC59" s="54"/>
      <c r="LD59" s="54"/>
      <c r="LE59" s="54"/>
      <c r="LF59" s="54"/>
      <c r="LG59" s="54"/>
      <c r="LH59" s="54"/>
      <c r="LI59" s="54"/>
      <c r="LJ59" s="54"/>
      <c r="LK59" s="54"/>
      <c r="LL59" s="54"/>
      <c r="LM59" s="54"/>
      <c r="LN59" s="54"/>
      <c r="LO59" s="54"/>
      <c r="LP59" s="54"/>
      <c r="LQ59" s="54"/>
      <c r="LR59" s="54"/>
      <c r="LS59" s="54"/>
      <c r="LT59" s="54"/>
      <c r="LU59" s="54"/>
      <c r="LV59" s="54"/>
      <c r="LW59" s="54"/>
      <c r="LX59" s="54"/>
      <c r="LY59" s="54"/>
      <c r="LZ59" s="54"/>
      <c r="MA59" s="54"/>
      <c r="MB59" s="54"/>
      <c r="MC59" s="54"/>
      <c r="MD59" s="54"/>
      <c r="ME59" s="54"/>
      <c r="MF59" s="54"/>
      <c r="MG59" s="54"/>
      <c r="MH59" s="54"/>
      <c r="MI59" s="54"/>
      <c r="MJ59" s="54"/>
      <c r="MK59" s="54"/>
      <c r="ML59" s="54"/>
      <c r="MM59" s="54"/>
      <c r="MN59" s="54"/>
      <c r="MO59" s="54"/>
      <c r="MP59" s="54"/>
      <c r="MQ59" s="54"/>
      <c r="MR59" s="54"/>
      <c r="MS59" s="54"/>
      <c r="MT59" s="54"/>
      <c r="MU59" s="54"/>
      <c r="MV59" s="54"/>
      <c r="MW59" s="54"/>
      <c r="MX59" s="54"/>
      <c r="MY59" s="54"/>
      <c r="MZ59" s="54"/>
      <c r="NA59" s="54"/>
      <c r="NB59" s="54"/>
      <c r="NC59" s="54"/>
      <c r="ND59" s="54"/>
      <c r="NE59" s="54"/>
      <c r="NF59" s="54"/>
      <c r="NG59" s="54"/>
      <c r="NH59" s="54"/>
      <c r="NI59" s="54"/>
      <c r="NJ59" s="54"/>
      <c r="NK59" s="54"/>
      <c r="NL59" s="54"/>
      <c r="NM59" s="54"/>
      <c r="NN59" s="54"/>
      <c r="NO59" s="54"/>
      <c r="NP59" s="54"/>
      <c r="NQ59" s="54"/>
      <c r="NR59" s="54"/>
      <c r="NS59" s="54"/>
      <c r="NT59" s="54"/>
      <c r="NU59" s="54"/>
      <c r="NV59" s="54"/>
      <c r="NW59" s="54"/>
      <c r="NX59" s="54"/>
      <c r="NY59" s="54"/>
      <c r="NZ59" s="54"/>
      <c r="OA59" s="54"/>
      <c r="OB59" s="54"/>
      <c r="OC59" s="54"/>
      <c r="OD59" s="54"/>
      <c r="OE59" s="54"/>
      <c r="OF59" s="54"/>
      <c r="OG59" s="54"/>
      <c r="OH59" s="54"/>
      <c r="OI59" s="54"/>
      <c r="OJ59" s="54"/>
      <c r="OK59" s="54"/>
      <c r="OL59" s="54"/>
      <c r="OM59" s="54"/>
      <c r="ON59" s="54"/>
      <c r="OO59" s="54"/>
      <c r="OP59" s="54"/>
      <c r="OQ59" s="54"/>
      <c r="OR59" s="54"/>
      <c r="OS59" s="54"/>
      <c r="OT59" s="54"/>
      <c r="OU59" s="54"/>
      <c r="OV59" s="54"/>
      <c r="OW59" s="54"/>
      <c r="OX59" s="54"/>
      <c r="OY59" s="54"/>
      <c r="OZ59" s="54"/>
      <c r="PA59" s="54"/>
      <c r="PB59" s="54"/>
      <c r="PC59" s="54"/>
      <c r="PD59" s="54"/>
      <c r="PE59" s="54"/>
      <c r="PF59" s="54"/>
      <c r="PG59" s="54"/>
      <c r="PH59" s="54"/>
      <c r="PI59" s="54"/>
      <c r="PJ59" s="54"/>
      <c r="PK59" s="54"/>
      <c r="PL59" s="54"/>
      <c r="PM59" s="54"/>
      <c r="PN59" s="54"/>
      <c r="PO59" s="54"/>
      <c r="PP59" s="54"/>
      <c r="PQ59" s="54"/>
      <c r="PR59" s="54"/>
      <c r="PS59" s="54"/>
      <c r="PT59" s="54"/>
      <c r="PU59" s="54"/>
      <c r="PV59" s="54"/>
      <c r="PW59" s="54"/>
      <c r="PX59" s="54"/>
      <c r="PY59" s="54"/>
      <c r="PZ59" s="54"/>
      <c r="QA59" s="54"/>
      <c r="QB59" s="54"/>
      <c r="QC59" s="54"/>
      <c r="QD59" s="54"/>
      <c r="QE59" s="54"/>
      <c r="QF59" s="54"/>
      <c r="QG59" s="54"/>
      <c r="QH59" s="54"/>
      <c r="QI59" s="54"/>
      <c r="QJ59" s="54"/>
      <c r="QK59" s="54"/>
      <c r="QL59" s="54"/>
      <c r="QM59" s="54"/>
      <c r="QN59" s="54"/>
      <c r="QO59" s="54"/>
      <c r="QP59" s="54"/>
      <c r="QQ59" s="54"/>
      <c r="QR59" s="54"/>
      <c r="QS59" s="54"/>
      <c r="QT59" s="54"/>
      <c r="QU59" s="54"/>
      <c r="QV59" s="54"/>
      <c r="QW59" s="54"/>
      <c r="QX59" s="54"/>
      <c r="QY59" s="54"/>
      <c r="QZ59" s="54"/>
      <c r="RA59" s="54"/>
      <c r="RB59" s="54"/>
      <c r="RC59" s="54"/>
      <c r="RD59" s="54"/>
      <c r="RE59" s="54"/>
      <c r="RF59" s="54"/>
      <c r="RG59" s="54"/>
      <c r="RH59" s="54"/>
      <c r="RI59" s="54"/>
      <c r="RJ59" s="54"/>
      <c r="RK59" s="54"/>
      <c r="RL59" s="54"/>
      <c r="RM59" s="54"/>
      <c r="RN59" s="54"/>
      <c r="RO59" s="54"/>
      <c r="RP59" s="54"/>
      <c r="RQ59" s="54"/>
      <c r="RR59" s="54"/>
      <c r="RS59" s="54"/>
      <c r="RT59" s="54"/>
      <c r="RU59" s="54"/>
      <c r="RV59" s="54"/>
      <c r="RW59" s="54"/>
      <c r="RX59" s="54"/>
      <c r="RY59" s="54"/>
      <c r="RZ59" s="54"/>
      <c r="SA59" s="54"/>
      <c r="SB59" s="54"/>
      <c r="SC59" s="54"/>
      <c r="SD59" s="54"/>
      <c r="SE59" s="54"/>
      <c r="SF59" s="54"/>
      <c r="SG59" s="54"/>
      <c r="SH59" s="54"/>
      <c r="SI59" s="54"/>
      <c r="SJ59" s="54"/>
      <c r="SK59" s="54"/>
      <c r="SL59" s="54"/>
      <c r="SM59" s="54"/>
      <c r="SN59" s="54"/>
      <c r="SO59" s="54"/>
      <c r="SP59" s="54"/>
      <c r="SQ59" s="54"/>
      <c r="SR59" s="54"/>
    </row>
    <row r="60" spans="1:512" ht="15" customHeight="1" x14ac:dyDescent="0.7">
      <c r="A60" s="172"/>
      <c r="B60" s="172"/>
      <c r="C60" s="172"/>
      <c r="D60" s="172"/>
      <c r="E60" s="172"/>
      <c r="F60" s="172"/>
      <c r="G60" s="175"/>
      <c r="H60" s="91"/>
      <c r="I60" s="89" t="s">
        <v>348</v>
      </c>
      <c r="J60" s="90">
        <v>0.1</v>
      </c>
      <c r="K60" s="169"/>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4"/>
      <c r="EX60" s="54"/>
      <c r="EY60" s="54"/>
      <c r="EZ60" s="54"/>
      <c r="FA60" s="5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c r="HU60" s="54"/>
      <c r="HV60" s="54"/>
      <c r="HW60" s="54"/>
      <c r="HX60" s="54"/>
      <c r="HY60" s="54"/>
      <c r="HZ60" s="54"/>
      <c r="IA60" s="54"/>
      <c r="IB60" s="54"/>
      <c r="IC60" s="54"/>
      <c r="ID60" s="54"/>
      <c r="IE60" s="54"/>
      <c r="IF60" s="54"/>
      <c r="IG60" s="54"/>
      <c r="IH60" s="54"/>
      <c r="II60" s="54"/>
      <c r="IJ60" s="54"/>
      <c r="IK60" s="54"/>
      <c r="IL60" s="54"/>
      <c r="IM60" s="54"/>
      <c r="IN60" s="54"/>
      <c r="IO60" s="54"/>
      <c r="IP60" s="54"/>
      <c r="IQ60" s="54"/>
      <c r="IR60" s="54"/>
      <c r="IS60" s="54"/>
      <c r="IT60" s="54"/>
      <c r="IU60" s="54"/>
      <c r="IV60" s="54"/>
      <c r="IW60" s="54"/>
      <c r="IX60" s="54"/>
      <c r="IY60" s="54"/>
      <c r="IZ60" s="54"/>
      <c r="JA60" s="54"/>
      <c r="JB60" s="54"/>
      <c r="JC60" s="54"/>
      <c r="JD60" s="54"/>
      <c r="JE60" s="54"/>
      <c r="JF60" s="54"/>
      <c r="JG60" s="54"/>
      <c r="JH60" s="54"/>
      <c r="JI60" s="54"/>
      <c r="JJ60" s="54"/>
      <c r="JK60" s="54"/>
      <c r="JL60" s="54"/>
      <c r="JM60" s="54"/>
      <c r="JN60" s="54"/>
      <c r="JO60" s="54"/>
      <c r="JP60" s="54"/>
      <c r="JQ60" s="54"/>
      <c r="JR60" s="54"/>
      <c r="JS60" s="54"/>
      <c r="JT60" s="54"/>
      <c r="JU60" s="54"/>
      <c r="JV60" s="54"/>
      <c r="JW60" s="54"/>
      <c r="JX60" s="54"/>
      <c r="JY60" s="54"/>
      <c r="JZ60" s="54"/>
      <c r="KA60" s="54"/>
      <c r="KB60" s="54"/>
      <c r="KC60" s="54"/>
      <c r="KD60" s="54"/>
      <c r="KE60" s="54"/>
      <c r="KF60" s="54"/>
      <c r="KG60" s="54"/>
      <c r="KH60" s="54"/>
      <c r="KI60" s="54"/>
      <c r="KJ60" s="54"/>
      <c r="KK60" s="54"/>
      <c r="KL60" s="54"/>
      <c r="KM60" s="54"/>
      <c r="KN60" s="54"/>
      <c r="KO60" s="54"/>
      <c r="KP60" s="54"/>
      <c r="KQ60" s="54"/>
      <c r="KR60" s="54"/>
      <c r="KS60" s="54"/>
      <c r="KT60" s="54"/>
      <c r="KU60" s="54"/>
      <c r="KV60" s="54"/>
      <c r="KW60" s="54"/>
      <c r="KX60" s="54"/>
      <c r="KY60" s="54"/>
      <c r="KZ60" s="54"/>
      <c r="LA60" s="54"/>
      <c r="LB60" s="54"/>
      <c r="LC60" s="54"/>
      <c r="LD60" s="54"/>
      <c r="LE60" s="54"/>
      <c r="LF60" s="54"/>
      <c r="LG60" s="54"/>
      <c r="LH60" s="54"/>
      <c r="LI60" s="54"/>
      <c r="LJ60" s="54"/>
      <c r="LK60" s="54"/>
      <c r="LL60" s="54"/>
      <c r="LM60" s="54"/>
      <c r="LN60" s="54"/>
      <c r="LO60" s="54"/>
      <c r="LP60" s="54"/>
      <c r="LQ60" s="54"/>
      <c r="LR60" s="54"/>
      <c r="LS60" s="54"/>
      <c r="LT60" s="54"/>
      <c r="LU60" s="54"/>
      <c r="LV60" s="54"/>
      <c r="LW60" s="54"/>
      <c r="LX60" s="54"/>
      <c r="LY60" s="54"/>
      <c r="LZ60" s="54"/>
      <c r="MA60" s="54"/>
      <c r="MB60" s="54"/>
      <c r="MC60" s="54"/>
      <c r="MD60" s="54"/>
      <c r="ME60" s="54"/>
      <c r="MF60" s="54"/>
      <c r="MG60" s="54"/>
      <c r="MH60" s="54"/>
      <c r="MI60" s="54"/>
      <c r="MJ60" s="54"/>
      <c r="MK60" s="54"/>
      <c r="ML60" s="54"/>
      <c r="MM60" s="54"/>
      <c r="MN60" s="54"/>
      <c r="MO60" s="54"/>
      <c r="MP60" s="54"/>
      <c r="MQ60" s="54"/>
      <c r="MR60" s="54"/>
      <c r="MS60" s="54"/>
      <c r="MT60" s="54"/>
      <c r="MU60" s="54"/>
      <c r="MV60" s="54"/>
      <c r="MW60" s="54"/>
      <c r="MX60" s="54"/>
      <c r="MY60" s="54"/>
      <c r="MZ60" s="54"/>
      <c r="NA60" s="54"/>
      <c r="NB60" s="54"/>
      <c r="NC60" s="54"/>
      <c r="ND60" s="54"/>
      <c r="NE60" s="54"/>
      <c r="NF60" s="54"/>
      <c r="NG60" s="54"/>
      <c r="NH60" s="54"/>
      <c r="NI60" s="54"/>
      <c r="NJ60" s="54"/>
      <c r="NK60" s="54"/>
      <c r="NL60" s="54"/>
      <c r="NM60" s="54"/>
      <c r="NN60" s="54"/>
      <c r="NO60" s="54"/>
      <c r="NP60" s="54"/>
      <c r="NQ60" s="54"/>
      <c r="NR60" s="54"/>
      <c r="NS60" s="54"/>
      <c r="NT60" s="54"/>
      <c r="NU60" s="54"/>
      <c r="NV60" s="54"/>
      <c r="NW60" s="54"/>
      <c r="NX60" s="54"/>
      <c r="NY60" s="54"/>
      <c r="NZ60" s="54"/>
      <c r="OA60" s="54"/>
      <c r="OB60" s="54"/>
      <c r="OC60" s="54"/>
      <c r="OD60" s="54"/>
      <c r="OE60" s="54"/>
      <c r="OF60" s="54"/>
      <c r="OG60" s="54"/>
      <c r="OH60" s="54"/>
      <c r="OI60" s="54"/>
      <c r="OJ60" s="54"/>
      <c r="OK60" s="54"/>
      <c r="OL60" s="54"/>
      <c r="OM60" s="54"/>
      <c r="ON60" s="54"/>
      <c r="OO60" s="54"/>
      <c r="OP60" s="54"/>
      <c r="OQ60" s="54"/>
      <c r="OR60" s="54"/>
      <c r="OS60" s="54"/>
      <c r="OT60" s="54"/>
      <c r="OU60" s="54"/>
      <c r="OV60" s="54"/>
      <c r="OW60" s="54"/>
      <c r="OX60" s="54"/>
      <c r="OY60" s="54"/>
      <c r="OZ60" s="54"/>
      <c r="PA60" s="54"/>
      <c r="PB60" s="54"/>
      <c r="PC60" s="54"/>
      <c r="PD60" s="54"/>
      <c r="PE60" s="54"/>
      <c r="PF60" s="54"/>
      <c r="PG60" s="54"/>
      <c r="PH60" s="54"/>
      <c r="PI60" s="54"/>
      <c r="PJ60" s="54"/>
      <c r="PK60" s="54"/>
      <c r="PL60" s="54"/>
      <c r="PM60" s="54"/>
      <c r="PN60" s="54"/>
      <c r="PO60" s="54"/>
      <c r="PP60" s="54"/>
      <c r="PQ60" s="54"/>
      <c r="PR60" s="54"/>
      <c r="PS60" s="54"/>
      <c r="PT60" s="54"/>
      <c r="PU60" s="54"/>
      <c r="PV60" s="54"/>
      <c r="PW60" s="54"/>
      <c r="PX60" s="54"/>
      <c r="PY60" s="54"/>
      <c r="PZ60" s="54"/>
      <c r="QA60" s="54"/>
      <c r="QB60" s="54"/>
      <c r="QC60" s="54"/>
      <c r="QD60" s="54"/>
      <c r="QE60" s="54"/>
      <c r="QF60" s="54"/>
      <c r="QG60" s="54"/>
      <c r="QH60" s="54"/>
      <c r="QI60" s="54"/>
      <c r="QJ60" s="54"/>
      <c r="QK60" s="54"/>
      <c r="QL60" s="54"/>
      <c r="QM60" s="54"/>
      <c r="QN60" s="54"/>
      <c r="QO60" s="54"/>
      <c r="QP60" s="54"/>
      <c r="QQ60" s="54"/>
      <c r="QR60" s="54"/>
      <c r="QS60" s="54"/>
      <c r="QT60" s="54"/>
      <c r="QU60" s="54"/>
      <c r="QV60" s="54"/>
      <c r="QW60" s="54"/>
      <c r="QX60" s="54"/>
      <c r="QY60" s="54"/>
      <c r="QZ60" s="54"/>
      <c r="RA60" s="54"/>
      <c r="RB60" s="54"/>
      <c r="RC60" s="54"/>
      <c r="RD60" s="54"/>
      <c r="RE60" s="54"/>
      <c r="RF60" s="54"/>
      <c r="RG60" s="54"/>
      <c r="RH60" s="54"/>
      <c r="RI60" s="54"/>
      <c r="RJ60" s="54"/>
      <c r="RK60" s="54"/>
      <c r="RL60" s="54"/>
      <c r="RM60" s="54"/>
      <c r="RN60" s="54"/>
      <c r="RO60" s="54"/>
      <c r="RP60" s="54"/>
      <c r="RQ60" s="54"/>
      <c r="RR60" s="54"/>
      <c r="RS60" s="54"/>
      <c r="RT60" s="54"/>
      <c r="RU60" s="54"/>
      <c r="RV60" s="54"/>
      <c r="RW60" s="54"/>
      <c r="RX60" s="54"/>
      <c r="RY60" s="54"/>
      <c r="RZ60" s="54"/>
      <c r="SA60" s="54"/>
      <c r="SB60" s="54"/>
      <c r="SC60" s="54"/>
      <c r="SD60" s="54"/>
      <c r="SE60" s="54"/>
      <c r="SF60" s="54"/>
      <c r="SG60" s="54"/>
      <c r="SH60" s="54"/>
      <c r="SI60" s="54"/>
      <c r="SJ60" s="54"/>
      <c r="SK60" s="54"/>
      <c r="SL60" s="54"/>
      <c r="SM60" s="54"/>
      <c r="SN60" s="54"/>
      <c r="SO60" s="54"/>
      <c r="SP60" s="54"/>
      <c r="SQ60" s="54"/>
      <c r="SR60" s="54"/>
    </row>
    <row r="61" spans="1:512" s="55" customFormat="1" ht="15" customHeight="1" x14ac:dyDescent="0.7">
      <c r="A61" s="173"/>
      <c r="B61" s="173"/>
      <c r="C61" s="173"/>
      <c r="D61" s="173"/>
      <c r="E61" s="173"/>
      <c r="F61" s="173"/>
      <c r="G61" s="176"/>
      <c r="H61" s="92"/>
      <c r="I61" s="93"/>
      <c r="J61" s="94"/>
      <c r="K61" s="170"/>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c r="IX61" s="56"/>
      <c r="IY61" s="56"/>
      <c r="IZ61" s="56"/>
      <c r="JA61" s="56"/>
      <c r="JB61" s="56"/>
      <c r="JC61" s="56"/>
      <c r="JD61" s="56"/>
      <c r="JE61" s="56"/>
      <c r="JF61" s="56"/>
      <c r="JG61" s="56"/>
      <c r="JH61" s="56"/>
      <c r="JI61" s="56"/>
      <c r="JJ61" s="56"/>
      <c r="JK61" s="56"/>
      <c r="JL61" s="56"/>
      <c r="JM61" s="56"/>
      <c r="JN61" s="56"/>
      <c r="JO61" s="56"/>
      <c r="JP61" s="56"/>
      <c r="JQ61" s="56"/>
      <c r="JR61" s="56"/>
      <c r="JS61" s="56"/>
      <c r="JT61" s="56"/>
      <c r="JU61" s="56"/>
      <c r="JV61" s="56"/>
      <c r="JW61" s="56"/>
      <c r="JX61" s="56"/>
      <c r="JY61" s="56"/>
      <c r="JZ61" s="56"/>
      <c r="KA61" s="56"/>
      <c r="KB61" s="56"/>
      <c r="KC61" s="56"/>
      <c r="KD61" s="56"/>
      <c r="KE61" s="56"/>
      <c r="KF61" s="56"/>
      <c r="KG61" s="56"/>
      <c r="KH61" s="56"/>
      <c r="KI61" s="56"/>
      <c r="KJ61" s="56"/>
      <c r="KK61" s="56"/>
      <c r="KL61" s="56"/>
      <c r="KM61" s="56"/>
      <c r="KN61" s="56"/>
      <c r="KO61" s="56"/>
      <c r="KP61" s="56"/>
      <c r="KQ61" s="56"/>
      <c r="KR61" s="56"/>
      <c r="KS61" s="56"/>
      <c r="KT61" s="56"/>
      <c r="KU61" s="56"/>
      <c r="KV61" s="56"/>
      <c r="KW61" s="56"/>
      <c r="KX61" s="56"/>
      <c r="KY61" s="56"/>
      <c r="KZ61" s="56"/>
      <c r="LA61" s="56"/>
      <c r="LB61" s="56"/>
      <c r="LC61" s="56"/>
      <c r="LD61" s="56"/>
      <c r="LE61" s="56"/>
      <c r="LF61" s="56"/>
      <c r="LG61" s="56"/>
      <c r="LH61" s="56"/>
      <c r="LI61" s="56"/>
      <c r="LJ61" s="56"/>
      <c r="LK61" s="56"/>
      <c r="LL61" s="56"/>
      <c r="LM61" s="56"/>
      <c r="LN61" s="56"/>
      <c r="LO61" s="56"/>
      <c r="LP61" s="56"/>
      <c r="LQ61" s="56"/>
      <c r="LR61" s="56"/>
      <c r="LS61" s="56"/>
      <c r="LT61" s="56"/>
      <c r="LU61" s="56"/>
      <c r="LV61" s="56"/>
      <c r="LW61" s="56"/>
      <c r="LX61" s="56"/>
      <c r="LY61" s="56"/>
      <c r="LZ61" s="56"/>
      <c r="MA61" s="56"/>
      <c r="MB61" s="56"/>
      <c r="MC61" s="56"/>
      <c r="MD61" s="56"/>
      <c r="ME61" s="56"/>
      <c r="MF61" s="56"/>
      <c r="MG61" s="56"/>
      <c r="MH61" s="56"/>
      <c r="MI61" s="56"/>
      <c r="MJ61" s="56"/>
      <c r="MK61" s="56"/>
      <c r="ML61" s="56"/>
      <c r="MM61" s="56"/>
      <c r="MN61" s="56"/>
      <c r="MO61" s="56"/>
      <c r="MP61" s="56"/>
      <c r="MQ61" s="56"/>
      <c r="MR61" s="56"/>
      <c r="MS61" s="56"/>
      <c r="MT61" s="56"/>
      <c r="MU61" s="56"/>
      <c r="MV61" s="56"/>
      <c r="MW61" s="56"/>
      <c r="MX61" s="56"/>
      <c r="MY61" s="56"/>
      <c r="MZ61" s="56"/>
      <c r="NA61" s="56"/>
      <c r="NB61" s="56"/>
      <c r="NC61" s="56"/>
      <c r="ND61" s="56"/>
      <c r="NE61" s="56"/>
      <c r="NF61" s="56"/>
      <c r="NG61" s="56"/>
      <c r="NH61" s="56"/>
      <c r="NI61" s="56"/>
      <c r="NJ61" s="56"/>
      <c r="NK61" s="56"/>
      <c r="NL61" s="56"/>
      <c r="NM61" s="56"/>
      <c r="NN61" s="56"/>
      <c r="NO61" s="56"/>
      <c r="NP61" s="56"/>
      <c r="NQ61" s="56"/>
      <c r="NR61" s="56"/>
      <c r="NS61" s="56"/>
      <c r="NT61" s="56"/>
      <c r="NU61" s="56"/>
      <c r="NV61" s="56"/>
      <c r="NW61" s="56"/>
      <c r="NX61" s="56"/>
      <c r="NY61" s="56"/>
      <c r="NZ61" s="56"/>
      <c r="OA61" s="56"/>
      <c r="OB61" s="56"/>
      <c r="OC61" s="56"/>
      <c r="OD61" s="56"/>
      <c r="OE61" s="56"/>
      <c r="OF61" s="56"/>
      <c r="OG61" s="56"/>
      <c r="OH61" s="56"/>
      <c r="OI61" s="56"/>
      <c r="OJ61" s="56"/>
      <c r="OK61" s="56"/>
      <c r="OL61" s="56"/>
      <c r="OM61" s="56"/>
      <c r="ON61" s="56"/>
      <c r="OO61" s="56"/>
      <c r="OP61" s="56"/>
      <c r="OQ61" s="56"/>
      <c r="OR61" s="56"/>
      <c r="OS61" s="56"/>
      <c r="OT61" s="56"/>
      <c r="OU61" s="56"/>
      <c r="OV61" s="56"/>
      <c r="OW61" s="56"/>
      <c r="OX61" s="56"/>
      <c r="OY61" s="56"/>
      <c r="OZ61" s="56"/>
      <c r="PA61" s="56"/>
      <c r="PB61" s="56"/>
      <c r="PC61" s="56"/>
      <c r="PD61" s="56"/>
      <c r="PE61" s="56"/>
      <c r="PF61" s="56"/>
      <c r="PG61" s="56"/>
      <c r="PH61" s="56"/>
      <c r="PI61" s="56"/>
      <c r="PJ61" s="56"/>
      <c r="PK61" s="56"/>
      <c r="PL61" s="56"/>
      <c r="PM61" s="56"/>
      <c r="PN61" s="56"/>
      <c r="PO61" s="56"/>
      <c r="PP61" s="56"/>
      <c r="PQ61" s="56"/>
      <c r="PR61" s="56"/>
      <c r="PS61" s="56"/>
      <c r="PT61" s="56"/>
      <c r="PU61" s="56"/>
      <c r="PV61" s="56"/>
      <c r="PW61" s="56"/>
      <c r="PX61" s="56"/>
      <c r="PY61" s="56"/>
      <c r="PZ61" s="56"/>
      <c r="QA61" s="56"/>
      <c r="QB61" s="56"/>
      <c r="QC61" s="56"/>
      <c r="QD61" s="56"/>
      <c r="QE61" s="56"/>
      <c r="QF61" s="56"/>
      <c r="QG61" s="56"/>
      <c r="QH61" s="56"/>
      <c r="QI61" s="56"/>
      <c r="QJ61" s="56"/>
      <c r="QK61" s="56"/>
      <c r="QL61" s="56"/>
      <c r="QM61" s="56"/>
      <c r="QN61" s="56"/>
      <c r="QO61" s="56"/>
      <c r="QP61" s="56"/>
      <c r="QQ61" s="56"/>
      <c r="QR61" s="56"/>
      <c r="QS61" s="56"/>
      <c r="QT61" s="56"/>
      <c r="QU61" s="56"/>
      <c r="QV61" s="56"/>
      <c r="QW61" s="56"/>
      <c r="QX61" s="56"/>
      <c r="QY61" s="56"/>
      <c r="QZ61" s="56"/>
      <c r="RA61" s="56"/>
      <c r="RB61" s="56"/>
      <c r="RC61" s="56"/>
      <c r="RD61" s="56"/>
      <c r="RE61" s="56"/>
      <c r="RF61" s="56"/>
      <c r="RG61" s="56"/>
      <c r="RH61" s="56"/>
      <c r="RI61" s="56"/>
      <c r="RJ61" s="56"/>
      <c r="RK61" s="56"/>
      <c r="RL61" s="56"/>
      <c r="RM61" s="56"/>
      <c r="RN61" s="56"/>
      <c r="RO61" s="56"/>
      <c r="RP61" s="56"/>
      <c r="RQ61" s="56"/>
      <c r="RR61" s="56"/>
      <c r="RS61" s="56"/>
      <c r="RT61" s="56"/>
      <c r="RU61" s="56"/>
      <c r="RV61" s="56"/>
      <c r="RW61" s="56"/>
      <c r="RX61" s="56"/>
      <c r="RY61" s="56"/>
      <c r="RZ61" s="56"/>
      <c r="SA61" s="56"/>
      <c r="SB61" s="56"/>
      <c r="SC61" s="56"/>
      <c r="SD61" s="56"/>
      <c r="SE61" s="56"/>
      <c r="SF61" s="56"/>
      <c r="SG61" s="56"/>
      <c r="SH61" s="56"/>
      <c r="SI61" s="56"/>
      <c r="SJ61" s="56"/>
      <c r="SK61" s="56"/>
      <c r="SL61" s="56"/>
      <c r="SM61" s="56"/>
      <c r="SN61" s="56"/>
      <c r="SO61" s="56"/>
      <c r="SP61" s="56"/>
      <c r="SQ61" s="56"/>
      <c r="SR61" s="56"/>
    </row>
    <row r="62" spans="1:512" ht="15" customHeight="1" x14ac:dyDescent="0.7">
      <c r="A62" s="171">
        <v>18</v>
      </c>
      <c r="B62" s="171" t="s">
        <v>73</v>
      </c>
      <c r="C62" s="171" t="s">
        <v>384</v>
      </c>
      <c r="D62" s="171"/>
      <c r="E62" s="171" t="s">
        <v>37</v>
      </c>
      <c r="F62" s="171"/>
      <c r="G62" s="174" t="s">
        <v>390</v>
      </c>
      <c r="H62" s="88" t="s">
        <v>389</v>
      </c>
      <c r="I62" s="160" t="s">
        <v>391</v>
      </c>
      <c r="J62" s="161">
        <v>0.2</v>
      </c>
      <c r="K62" s="185">
        <v>0.1</v>
      </c>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4"/>
      <c r="EX62" s="54"/>
      <c r="EY62" s="54"/>
      <c r="EZ62" s="54"/>
      <c r="FA62" s="54"/>
      <c r="FB62" s="54"/>
      <c r="FC62" s="54"/>
      <c r="FD62" s="54"/>
      <c r="FE62" s="54"/>
      <c r="FF62" s="54"/>
      <c r="FG62" s="54"/>
      <c r="FH62" s="54"/>
      <c r="FI62" s="54"/>
      <c r="FJ62" s="54"/>
      <c r="FK62" s="54"/>
      <c r="FL62" s="54"/>
      <c r="FM62" s="54"/>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4"/>
      <c r="HT62" s="54"/>
      <c r="HU62" s="54"/>
      <c r="HV62" s="54"/>
      <c r="HW62" s="54"/>
      <c r="HX62" s="54"/>
      <c r="HY62" s="54"/>
      <c r="HZ62" s="54"/>
      <c r="IA62" s="54"/>
      <c r="IB62" s="54"/>
      <c r="IC62" s="54"/>
      <c r="ID62" s="54"/>
      <c r="IE62" s="54"/>
      <c r="IF62" s="54"/>
      <c r="IG62" s="54"/>
      <c r="IH62" s="54"/>
      <c r="II62" s="54"/>
      <c r="IJ62" s="54"/>
      <c r="IK62" s="54"/>
      <c r="IL62" s="54"/>
      <c r="IM62" s="54"/>
      <c r="IN62" s="54"/>
      <c r="IO62" s="54"/>
      <c r="IP62" s="54"/>
      <c r="IQ62" s="54"/>
      <c r="IR62" s="54"/>
      <c r="IS62" s="54"/>
      <c r="IT62" s="54"/>
      <c r="IU62" s="54"/>
      <c r="IV62" s="54"/>
      <c r="IW62" s="54"/>
      <c r="IX62" s="54"/>
      <c r="IY62" s="54"/>
      <c r="IZ62" s="54"/>
      <c r="JA62" s="54"/>
      <c r="JB62" s="54"/>
      <c r="JC62" s="54"/>
      <c r="JD62" s="54"/>
      <c r="JE62" s="54"/>
      <c r="JF62" s="54"/>
      <c r="JG62" s="54"/>
      <c r="JH62" s="54"/>
      <c r="JI62" s="54"/>
      <c r="JJ62" s="54"/>
      <c r="JK62" s="54"/>
      <c r="JL62" s="54"/>
      <c r="JM62" s="54"/>
      <c r="JN62" s="54"/>
      <c r="JO62" s="54"/>
      <c r="JP62" s="54"/>
      <c r="JQ62" s="54"/>
      <c r="JR62" s="54"/>
      <c r="JS62" s="54"/>
      <c r="JT62" s="54"/>
      <c r="JU62" s="54"/>
      <c r="JV62" s="54"/>
      <c r="JW62" s="54"/>
      <c r="JX62" s="54"/>
      <c r="JY62" s="54"/>
      <c r="JZ62" s="54"/>
      <c r="KA62" s="54"/>
      <c r="KB62" s="54"/>
      <c r="KC62" s="54"/>
      <c r="KD62" s="54"/>
      <c r="KE62" s="54"/>
      <c r="KF62" s="54"/>
      <c r="KG62" s="54"/>
      <c r="KH62" s="54"/>
      <c r="KI62" s="54"/>
      <c r="KJ62" s="54"/>
      <c r="KK62" s="54"/>
      <c r="KL62" s="54"/>
      <c r="KM62" s="54"/>
      <c r="KN62" s="54"/>
      <c r="KO62" s="54"/>
      <c r="KP62" s="54"/>
      <c r="KQ62" s="54"/>
      <c r="KR62" s="54"/>
      <c r="KS62" s="54"/>
      <c r="KT62" s="54"/>
      <c r="KU62" s="54"/>
      <c r="KV62" s="54"/>
      <c r="KW62" s="54"/>
      <c r="KX62" s="54"/>
      <c r="KY62" s="54"/>
      <c r="KZ62" s="54"/>
      <c r="LA62" s="54"/>
      <c r="LB62" s="54"/>
      <c r="LC62" s="54"/>
      <c r="LD62" s="54"/>
      <c r="LE62" s="54"/>
      <c r="LF62" s="54"/>
      <c r="LG62" s="54"/>
      <c r="LH62" s="54"/>
      <c r="LI62" s="54"/>
      <c r="LJ62" s="54"/>
      <c r="LK62" s="54"/>
      <c r="LL62" s="54"/>
      <c r="LM62" s="54"/>
      <c r="LN62" s="54"/>
      <c r="LO62" s="54"/>
      <c r="LP62" s="54"/>
      <c r="LQ62" s="54"/>
      <c r="LR62" s="54"/>
      <c r="LS62" s="54"/>
      <c r="LT62" s="54"/>
      <c r="LU62" s="54"/>
      <c r="LV62" s="54"/>
      <c r="LW62" s="54"/>
      <c r="LX62" s="54"/>
      <c r="LY62" s="54"/>
      <c r="LZ62" s="54"/>
      <c r="MA62" s="54"/>
      <c r="MB62" s="54"/>
      <c r="MC62" s="54"/>
      <c r="MD62" s="54"/>
      <c r="ME62" s="54"/>
      <c r="MF62" s="54"/>
      <c r="MG62" s="54"/>
      <c r="MH62" s="54"/>
      <c r="MI62" s="54"/>
      <c r="MJ62" s="54"/>
      <c r="MK62" s="54"/>
      <c r="ML62" s="54"/>
      <c r="MM62" s="54"/>
      <c r="MN62" s="54"/>
      <c r="MO62" s="54"/>
      <c r="MP62" s="54"/>
      <c r="MQ62" s="54"/>
      <c r="MR62" s="54"/>
      <c r="MS62" s="54"/>
      <c r="MT62" s="54"/>
      <c r="MU62" s="54"/>
      <c r="MV62" s="54"/>
      <c r="MW62" s="54"/>
      <c r="MX62" s="54"/>
      <c r="MY62" s="54"/>
      <c r="MZ62" s="54"/>
      <c r="NA62" s="54"/>
      <c r="NB62" s="54"/>
      <c r="NC62" s="54"/>
      <c r="ND62" s="54"/>
      <c r="NE62" s="54"/>
      <c r="NF62" s="54"/>
      <c r="NG62" s="54"/>
      <c r="NH62" s="54"/>
      <c r="NI62" s="54"/>
      <c r="NJ62" s="54"/>
      <c r="NK62" s="54"/>
      <c r="NL62" s="54"/>
      <c r="NM62" s="54"/>
      <c r="NN62" s="54"/>
      <c r="NO62" s="54"/>
      <c r="NP62" s="54"/>
      <c r="NQ62" s="54"/>
      <c r="NR62" s="54"/>
      <c r="NS62" s="54"/>
      <c r="NT62" s="54"/>
      <c r="NU62" s="54"/>
      <c r="NV62" s="54"/>
      <c r="NW62" s="54"/>
      <c r="NX62" s="54"/>
      <c r="NY62" s="54"/>
      <c r="NZ62" s="54"/>
      <c r="OA62" s="54"/>
      <c r="OB62" s="54"/>
      <c r="OC62" s="54"/>
      <c r="OD62" s="54"/>
      <c r="OE62" s="54"/>
      <c r="OF62" s="54"/>
      <c r="OG62" s="54"/>
      <c r="OH62" s="54"/>
      <c r="OI62" s="54"/>
      <c r="OJ62" s="54"/>
      <c r="OK62" s="54"/>
      <c r="OL62" s="54"/>
      <c r="OM62" s="54"/>
      <c r="ON62" s="54"/>
      <c r="OO62" s="54"/>
      <c r="OP62" s="54"/>
      <c r="OQ62" s="54"/>
      <c r="OR62" s="54"/>
      <c r="OS62" s="54"/>
      <c r="OT62" s="54"/>
      <c r="OU62" s="54"/>
      <c r="OV62" s="54"/>
      <c r="OW62" s="54"/>
      <c r="OX62" s="54"/>
      <c r="OY62" s="54"/>
      <c r="OZ62" s="54"/>
      <c r="PA62" s="54"/>
      <c r="PB62" s="54"/>
      <c r="PC62" s="54"/>
      <c r="PD62" s="54"/>
      <c r="PE62" s="54"/>
      <c r="PF62" s="54"/>
      <c r="PG62" s="54"/>
      <c r="PH62" s="54"/>
      <c r="PI62" s="54"/>
      <c r="PJ62" s="54"/>
      <c r="PK62" s="54"/>
      <c r="PL62" s="54"/>
      <c r="PM62" s="54"/>
      <c r="PN62" s="54"/>
      <c r="PO62" s="54"/>
      <c r="PP62" s="54"/>
      <c r="PQ62" s="54"/>
      <c r="PR62" s="54"/>
      <c r="PS62" s="54"/>
      <c r="PT62" s="54"/>
      <c r="PU62" s="54"/>
      <c r="PV62" s="54"/>
      <c r="PW62" s="54"/>
      <c r="PX62" s="54"/>
      <c r="PY62" s="54"/>
      <c r="PZ62" s="54"/>
      <c r="QA62" s="54"/>
      <c r="QB62" s="54"/>
      <c r="QC62" s="54"/>
      <c r="QD62" s="54"/>
      <c r="QE62" s="54"/>
      <c r="QF62" s="54"/>
      <c r="QG62" s="54"/>
      <c r="QH62" s="54"/>
      <c r="QI62" s="54"/>
      <c r="QJ62" s="54"/>
      <c r="QK62" s="54"/>
      <c r="QL62" s="54"/>
      <c r="QM62" s="54"/>
      <c r="QN62" s="54"/>
      <c r="QO62" s="54"/>
      <c r="QP62" s="54"/>
      <c r="QQ62" s="54"/>
      <c r="QR62" s="54"/>
      <c r="QS62" s="54"/>
      <c r="QT62" s="54"/>
      <c r="QU62" s="54"/>
      <c r="QV62" s="54"/>
      <c r="QW62" s="54"/>
      <c r="QX62" s="54"/>
      <c r="QY62" s="54"/>
      <c r="QZ62" s="54"/>
      <c r="RA62" s="54"/>
      <c r="RB62" s="54"/>
      <c r="RC62" s="54"/>
      <c r="RD62" s="54"/>
      <c r="RE62" s="54"/>
      <c r="RF62" s="54"/>
      <c r="RG62" s="54"/>
      <c r="RH62" s="54"/>
      <c r="RI62" s="54"/>
      <c r="RJ62" s="54"/>
      <c r="RK62" s="54"/>
      <c r="RL62" s="54"/>
      <c r="RM62" s="54"/>
      <c r="RN62" s="54"/>
      <c r="RO62" s="54"/>
      <c r="RP62" s="54"/>
      <c r="RQ62" s="54"/>
      <c r="RR62" s="54"/>
      <c r="RS62" s="54"/>
      <c r="RT62" s="54"/>
      <c r="RU62" s="54"/>
      <c r="RV62" s="54"/>
      <c r="RW62" s="54"/>
      <c r="RX62" s="54"/>
      <c r="RY62" s="54"/>
      <c r="RZ62" s="54"/>
      <c r="SA62" s="54"/>
      <c r="SB62" s="54"/>
      <c r="SC62" s="54"/>
      <c r="SD62" s="54"/>
      <c r="SE62" s="54"/>
      <c r="SF62" s="54"/>
      <c r="SG62" s="54"/>
      <c r="SH62" s="54"/>
      <c r="SI62" s="54"/>
      <c r="SJ62" s="54"/>
      <c r="SK62" s="54"/>
      <c r="SL62" s="54"/>
      <c r="SM62" s="54"/>
      <c r="SN62" s="54"/>
      <c r="SO62" s="54"/>
      <c r="SP62" s="54"/>
      <c r="SQ62" s="54"/>
      <c r="SR62" s="54"/>
    </row>
    <row r="63" spans="1:512" ht="15" customHeight="1" x14ac:dyDescent="0.7">
      <c r="A63" s="172"/>
      <c r="B63" s="172"/>
      <c r="C63" s="172"/>
      <c r="D63" s="172"/>
      <c r="E63" s="172"/>
      <c r="F63" s="172"/>
      <c r="G63" s="175"/>
      <c r="H63" s="91"/>
      <c r="I63" s="160" t="s">
        <v>356</v>
      </c>
      <c r="J63" s="161">
        <v>0</v>
      </c>
      <c r="K63" s="186"/>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4"/>
      <c r="EX63" s="54"/>
      <c r="EY63" s="54"/>
      <c r="EZ63" s="54"/>
      <c r="FA63" s="54"/>
      <c r="FB63" s="54"/>
      <c r="FC63" s="54"/>
      <c r="FD63" s="54"/>
      <c r="FE63" s="54"/>
      <c r="FF63" s="54"/>
      <c r="FG63" s="54"/>
      <c r="FH63" s="54"/>
      <c r="FI63" s="54"/>
      <c r="FJ63" s="54"/>
      <c r="FK63" s="54"/>
      <c r="FL63" s="54"/>
      <c r="FM63" s="54"/>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c r="GW63" s="54"/>
      <c r="GX63" s="54"/>
      <c r="GY63" s="54"/>
      <c r="GZ63" s="54"/>
      <c r="HA63" s="54"/>
      <c r="HB63" s="54"/>
      <c r="HC63" s="54"/>
      <c r="HD63" s="54"/>
      <c r="HE63" s="54"/>
      <c r="HF63" s="54"/>
      <c r="HG63" s="54"/>
      <c r="HH63" s="54"/>
      <c r="HI63" s="54"/>
      <c r="HJ63" s="54"/>
      <c r="HK63" s="54"/>
      <c r="HL63" s="54"/>
      <c r="HM63" s="54"/>
      <c r="HN63" s="54"/>
      <c r="HO63" s="54"/>
      <c r="HP63" s="54"/>
      <c r="HQ63" s="54"/>
      <c r="HR63" s="54"/>
      <c r="HS63" s="54"/>
      <c r="HT63" s="54"/>
      <c r="HU63" s="54"/>
      <c r="HV63" s="54"/>
      <c r="HW63" s="54"/>
      <c r="HX63" s="54"/>
      <c r="HY63" s="54"/>
      <c r="HZ63" s="54"/>
      <c r="IA63" s="54"/>
      <c r="IB63" s="54"/>
      <c r="IC63" s="54"/>
      <c r="ID63" s="54"/>
      <c r="IE63" s="54"/>
      <c r="IF63" s="54"/>
      <c r="IG63" s="54"/>
      <c r="IH63" s="54"/>
      <c r="II63" s="54"/>
      <c r="IJ63" s="54"/>
      <c r="IK63" s="54"/>
      <c r="IL63" s="54"/>
      <c r="IM63" s="54"/>
      <c r="IN63" s="54"/>
      <c r="IO63" s="54"/>
      <c r="IP63" s="54"/>
      <c r="IQ63" s="54"/>
      <c r="IR63" s="54"/>
      <c r="IS63" s="54"/>
      <c r="IT63" s="54"/>
      <c r="IU63" s="54"/>
      <c r="IV63" s="54"/>
      <c r="IW63" s="54"/>
      <c r="IX63" s="54"/>
      <c r="IY63" s="54"/>
      <c r="IZ63" s="54"/>
      <c r="JA63" s="54"/>
      <c r="JB63" s="54"/>
      <c r="JC63" s="54"/>
      <c r="JD63" s="54"/>
      <c r="JE63" s="54"/>
      <c r="JF63" s="54"/>
      <c r="JG63" s="54"/>
      <c r="JH63" s="54"/>
      <c r="JI63" s="54"/>
      <c r="JJ63" s="54"/>
      <c r="JK63" s="54"/>
      <c r="JL63" s="54"/>
      <c r="JM63" s="54"/>
      <c r="JN63" s="54"/>
      <c r="JO63" s="54"/>
      <c r="JP63" s="54"/>
      <c r="JQ63" s="54"/>
      <c r="JR63" s="54"/>
      <c r="JS63" s="54"/>
      <c r="JT63" s="54"/>
      <c r="JU63" s="54"/>
      <c r="JV63" s="54"/>
      <c r="JW63" s="54"/>
      <c r="JX63" s="54"/>
      <c r="JY63" s="54"/>
      <c r="JZ63" s="54"/>
      <c r="KA63" s="54"/>
      <c r="KB63" s="54"/>
      <c r="KC63" s="54"/>
      <c r="KD63" s="54"/>
      <c r="KE63" s="54"/>
      <c r="KF63" s="54"/>
      <c r="KG63" s="54"/>
      <c r="KH63" s="54"/>
      <c r="KI63" s="54"/>
      <c r="KJ63" s="54"/>
      <c r="KK63" s="54"/>
      <c r="KL63" s="54"/>
      <c r="KM63" s="54"/>
      <c r="KN63" s="54"/>
      <c r="KO63" s="54"/>
      <c r="KP63" s="54"/>
      <c r="KQ63" s="54"/>
      <c r="KR63" s="54"/>
      <c r="KS63" s="54"/>
      <c r="KT63" s="54"/>
      <c r="KU63" s="54"/>
      <c r="KV63" s="54"/>
      <c r="KW63" s="54"/>
      <c r="KX63" s="54"/>
      <c r="KY63" s="54"/>
      <c r="KZ63" s="54"/>
      <c r="LA63" s="54"/>
      <c r="LB63" s="54"/>
      <c r="LC63" s="54"/>
      <c r="LD63" s="54"/>
      <c r="LE63" s="54"/>
      <c r="LF63" s="54"/>
      <c r="LG63" s="54"/>
      <c r="LH63" s="54"/>
      <c r="LI63" s="54"/>
      <c r="LJ63" s="54"/>
      <c r="LK63" s="54"/>
      <c r="LL63" s="54"/>
      <c r="LM63" s="54"/>
      <c r="LN63" s="54"/>
      <c r="LO63" s="54"/>
      <c r="LP63" s="54"/>
      <c r="LQ63" s="54"/>
      <c r="LR63" s="54"/>
      <c r="LS63" s="54"/>
      <c r="LT63" s="54"/>
      <c r="LU63" s="54"/>
      <c r="LV63" s="54"/>
      <c r="LW63" s="54"/>
      <c r="LX63" s="54"/>
      <c r="LY63" s="54"/>
      <c r="LZ63" s="54"/>
      <c r="MA63" s="54"/>
      <c r="MB63" s="54"/>
      <c r="MC63" s="54"/>
      <c r="MD63" s="54"/>
      <c r="ME63" s="54"/>
      <c r="MF63" s="54"/>
      <c r="MG63" s="54"/>
      <c r="MH63" s="54"/>
      <c r="MI63" s="54"/>
      <c r="MJ63" s="54"/>
      <c r="MK63" s="54"/>
      <c r="ML63" s="54"/>
      <c r="MM63" s="54"/>
      <c r="MN63" s="54"/>
      <c r="MO63" s="54"/>
      <c r="MP63" s="54"/>
      <c r="MQ63" s="54"/>
      <c r="MR63" s="54"/>
      <c r="MS63" s="54"/>
      <c r="MT63" s="54"/>
      <c r="MU63" s="54"/>
      <c r="MV63" s="54"/>
      <c r="MW63" s="54"/>
      <c r="MX63" s="54"/>
      <c r="MY63" s="54"/>
      <c r="MZ63" s="54"/>
      <c r="NA63" s="54"/>
      <c r="NB63" s="54"/>
      <c r="NC63" s="54"/>
      <c r="ND63" s="54"/>
      <c r="NE63" s="54"/>
      <c r="NF63" s="54"/>
      <c r="NG63" s="54"/>
      <c r="NH63" s="54"/>
      <c r="NI63" s="54"/>
      <c r="NJ63" s="54"/>
      <c r="NK63" s="54"/>
      <c r="NL63" s="54"/>
      <c r="NM63" s="54"/>
      <c r="NN63" s="54"/>
      <c r="NO63" s="54"/>
      <c r="NP63" s="54"/>
      <c r="NQ63" s="54"/>
      <c r="NR63" s="54"/>
      <c r="NS63" s="54"/>
      <c r="NT63" s="54"/>
      <c r="NU63" s="54"/>
      <c r="NV63" s="54"/>
      <c r="NW63" s="54"/>
      <c r="NX63" s="54"/>
      <c r="NY63" s="54"/>
      <c r="NZ63" s="54"/>
      <c r="OA63" s="54"/>
      <c r="OB63" s="54"/>
      <c r="OC63" s="54"/>
      <c r="OD63" s="54"/>
      <c r="OE63" s="54"/>
      <c r="OF63" s="54"/>
      <c r="OG63" s="54"/>
      <c r="OH63" s="54"/>
      <c r="OI63" s="54"/>
      <c r="OJ63" s="54"/>
      <c r="OK63" s="54"/>
      <c r="OL63" s="54"/>
      <c r="OM63" s="54"/>
      <c r="ON63" s="54"/>
      <c r="OO63" s="54"/>
      <c r="OP63" s="54"/>
      <c r="OQ63" s="54"/>
      <c r="OR63" s="54"/>
      <c r="OS63" s="54"/>
      <c r="OT63" s="54"/>
      <c r="OU63" s="54"/>
      <c r="OV63" s="54"/>
      <c r="OW63" s="54"/>
      <c r="OX63" s="54"/>
      <c r="OY63" s="54"/>
      <c r="OZ63" s="54"/>
      <c r="PA63" s="54"/>
      <c r="PB63" s="54"/>
      <c r="PC63" s="54"/>
      <c r="PD63" s="54"/>
      <c r="PE63" s="54"/>
      <c r="PF63" s="54"/>
      <c r="PG63" s="54"/>
      <c r="PH63" s="54"/>
      <c r="PI63" s="54"/>
      <c r="PJ63" s="54"/>
      <c r="PK63" s="54"/>
      <c r="PL63" s="54"/>
      <c r="PM63" s="54"/>
      <c r="PN63" s="54"/>
      <c r="PO63" s="54"/>
      <c r="PP63" s="54"/>
      <c r="PQ63" s="54"/>
      <c r="PR63" s="54"/>
      <c r="PS63" s="54"/>
      <c r="PT63" s="54"/>
      <c r="PU63" s="54"/>
      <c r="PV63" s="54"/>
      <c r="PW63" s="54"/>
      <c r="PX63" s="54"/>
      <c r="PY63" s="54"/>
      <c r="PZ63" s="54"/>
      <c r="QA63" s="54"/>
      <c r="QB63" s="54"/>
      <c r="QC63" s="54"/>
      <c r="QD63" s="54"/>
      <c r="QE63" s="54"/>
      <c r="QF63" s="54"/>
      <c r="QG63" s="54"/>
      <c r="QH63" s="54"/>
      <c r="QI63" s="54"/>
      <c r="QJ63" s="54"/>
      <c r="QK63" s="54"/>
      <c r="QL63" s="54"/>
      <c r="QM63" s="54"/>
      <c r="QN63" s="54"/>
      <c r="QO63" s="54"/>
      <c r="QP63" s="54"/>
      <c r="QQ63" s="54"/>
      <c r="QR63" s="54"/>
      <c r="QS63" s="54"/>
      <c r="QT63" s="54"/>
      <c r="QU63" s="54"/>
      <c r="QV63" s="54"/>
      <c r="QW63" s="54"/>
      <c r="QX63" s="54"/>
      <c r="QY63" s="54"/>
      <c r="QZ63" s="54"/>
      <c r="RA63" s="54"/>
      <c r="RB63" s="54"/>
      <c r="RC63" s="54"/>
      <c r="RD63" s="54"/>
      <c r="RE63" s="54"/>
      <c r="RF63" s="54"/>
      <c r="RG63" s="54"/>
      <c r="RH63" s="54"/>
      <c r="RI63" s="54"/>
      <c r="RJ63" s="54"/>
      <c r="RK63" s="54"/>
      <c r="RL63" s="54"/>
      <c r="RM63" s="54"/>
      <c r="RN63" s="54"/>
      <c r="RO63" s="54"/>
      <c r="RP63" s="54"/>
      <c r="RQ63" s="54"/>
      <c r="RR63" s="54"/>
      <c r="RS63" s="54"/>
      <c r="RT63" s="54"/>
      <c r="RU63" s="54"/>
      <c r="RV63" s="54"/>
      <c r="RW63" s="54"/>
      <c r="RX63" s="54"/>
      <c r="RY63" s="54"/>
      <c r="RZ63" s="54"/>
      <c r="SA63" s="54"/>
      <c r="SB63" s="54"/>
      <c r="SC63" s="54"/>
      <c r="SD63" s="54"/>
      <c r="SE63" s="54"/>
      <c r="SF63" s="54"/>
      <c r="SG63" s="54"/>
      <c r="SH63" s="54"/>
      <c r="SI63" s="54"/>
      <c r="SJ63" s="54"/>
      <c r="SK63" s="54"/>
      <c r="SL63" s="54"/>
      <c r="SM63" s="54"/>
      <c r="SN63" s="54"/>
      <c r="SO63" s="54"/>
      <c r="SP63" s="54"/>
      <c r="SQ63" s="54"/>
      <c r="SR63" s="54"/>
    </row>
    <row r="64" spans="1:512" s="55" customFormat="1" ht="15" customHeight="1" x14ac:dyDescent="0.7">
      <c r="A64" s="173"/>
      <c r="B64" s="173"/>
      <c r="C64" s="173"/>
      <c r="D64" s="173"/>
      <c r="E64" s="173"/>
      <c r="F64" s="173"/>
      <c r="G64" s="176"/>
      <c r="H64" s="92"/>
      <c r="I64" s="162"/>
      <c r="J64" s="163"/>
      <c r="K64" s="187"/>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c r="IX64" s="56"/>
      <c r="IY64" s="56"/>
      <c r="IZ64" s="56"/>
      <c r="JA64" s="56"/>
      <c r="JB64" s="56"/>
      <c r="JC64" s="56"/>
      <c r="JD64" s="56"/>
      <c r="JE64" s="56"/>
      <c r="JF64" s="56"/>
      <c r="JG64" s="56"/>
      <c r="JH64" s="56"/>
      <c r="JI64" s="56"/>
      <c r="JJ64" s="56"/>
      <c r="JK64" s="56"/>
      <c r="JL64" s="56"/>
      <c r="JM64" s="56"/>
      <c r="JN64" s="56"/>
      <c r="JO64" s="56"/>
      <c r="JP64" s="56"/>
      <c r="JQ64" s="56"/>
      <c r="JR64" s="56"/>
      <c r="JS64" s="56"/>
      <c r="JT64" s="56"/>
      <c r="JU64" s="56"/>
      <c r="JV64" s="56"/>
      <c r="JW64" s="56"/>
      <c r="JX64" s="56"/>
      <c r="JY64" s="56"/>
      <c r="JZ64" s="56"/>
      <c r="KA64" s="56"/>
      <c r="KB64" s="56"/>
      <c r="KC64" s="56"/>
      <c r="KD64" s="56"/>
      <c r="KE64" s="56"/>
      <c r="KF64" s="56"/>
      <c r="KG64" s="56"/>
      <c r="KH64" s="56"/>
      <c r="KI64" s="56"/>
      <c r="KJ64" s="56"/>
      <c r="KK64" s="56"/>
      <c r="KL64" s="56"/>
      <c r="KM64" s="56"/>
      <c r="KN64" s="56"/>
      <c r="KO64" s="56"/>
      <c r="KP64" s="56"/>
      <c r="KQ64" s="56"/>
      <c r="KR64" s="56"/>
      <c r="KS64" s="56"/>
      <c r="KT64" s="56"/>
      <c r="KU64" s="56"/>
      <c r="KV64" s="56"/>
      <c r="KW64" s="56"/>
      <c r="KX64" s="56"/>
      <c r="KY64" s="56"/>
      <c r="KZ64" s="56"/>
      <c r="LA64" s="56"/>
      <c r="LB64" s="56"/>
      <c r="LC64" s="56"/>
      <c r="LD64" s="56"/>
      <c r="LE64" s="56"/>
      <c r="LF64" s="56"/>
      <c r="LG64" s="56"/>
      <c r="LH64" s="56"/>
      <c r="LI64" s="56"/>
      <c r="LJ64" s="56"/>
      <c r="LK64" s="56"/>
      <c r="LL64" s="56"/>
      <c r="LM64" s="56"/>
      <c r="LN64" s="56"/>
      <c r="LO64" s="56"/>
      <c r="LP64" s="56"/>
      <c r="LQ64" s="56"/>
      <c r="LR64" s="56"/>
      <c r="LS64" s="56"/>
      <c r="LT64" s="56"/>
      <c r="LU64" s="56"/>
      <c r="LV64" s="56"/>
      <c r="LW64" s="56"/>
      <c r="LX64" s="56"/>
      <c r="LY64" s="56"/>
      <c r="LZ64" s="56"/>
      <c r="MA64" s="56"/>
      <c r="MB64" s="56"/>
      <c r="MC64" s="56"/>
      <c r="MD64" s="56"/>
      <c r="ME64" s="56"/>
      <c r="MF64" s="56"/>
      <c r="MG64" s="56"/>
      <c r="MH64" s="56"/>
      <c r="MI64" s="56"/>
      <c r="MJ64" s="56"/>
      <c r="MK64" s="56"/>
      <c r="ML64" s="56"/>
      <c r="MM64" s="56"/>
      <c r="MN64" s="56"/>
      <c r="MO64" s="56"/>
      <c r="MP64" s="56"/>
      <c r="MQ64" s="56"/>
      <c r="MR64" s="56"/>
      <c r="MS64" s="56"/>
      <c r="MT64" s="56"/>
      <c r="MU64" s="56"/>
      <c r="MV64" s="56"/>
      <c r="MW64" s="56"/>
      <c r="MX64" s="56"/>
      <c r="MY64" s="56"/>
      <c r="MZ64" s="56"/>
      <c r="NA64" s="56"/>
      <c r="NB64" s="56"/>
      <c r="NC64" s="56"/>
      <c r="ND64" s="56"/>
      <c r="NE64" s="56"/>
      <c r="NF64" s="56"/>
      <c r="NG64" s="56"/>
      <c r="NH64" s="56"/>
      <c r="NI64" s="56"/>
      <c r="NJ64" s="56"/>
      <c r="NK64" s="56"/>
      <c r="NL64" s="56"/>
      <c r="NM64" s="56"/>
      <c r="NN64" s="56"/>
      <c r="NO64" s="56"/>
      <c r="NP64" s="56"/>
      <c r="NQ64" s="56"/>
      <c r="NR64" s="56"/>
      <c r="NS64" s="56"/>
      <c r="NT64" s="56"/>
      <c r="NU64" s="56"/>
      <c r="NV64" s="56"/>
      <c r="NW64" s="56"/>
      <c r="NX64" s="56"/>
      <c r="NY64" s="56"/>
      <c r="NZ64" s="56"/>
      <c r="OA64" s="56"/>
      <c r="OB64" s="56"/>
      <c r="OC64" s="56"/>
      <c r="OD64" s="56"/>
      <c r="OE64" s="56"/>
      <c r="OF64" s="56"/>
      <c r="OG64" s="56"/>
      <c r="OH64" s="56"/>
      <c r="OI64" s="56"/>
      <c r="OJ64" s="56"/>
      <c r="OK64" s="56"/>
      <c r="OL64" s="56"/>
      <c r="OM64" s="56"/>
      <c r="ON64" s="56"/>
      <c r="OO64" s="56"/>
      <c r="OP64" s="56"/>
      <c r="OQ64" s="56"/>
      <c r="OR64" s="56"/>
      <c r="OS64" s="56"/>
      <c r="OT64" s="56"/>
      <c r="OU64" s="56"/>
      <c r="OV64" s="56"/>
      <c r="OW64" s="56"/>
      <c r="OX64" s="56"/>
      <c r="OY64" s="56"/>
      <c r="OZ64" s="56"/>
      <c r="PA64" s="56"/>
      <c r="PB64" s="56"/>
      <c r="PC64" s="56"/>
      <c r="PD64" s="56"/>
      <c r="PE64" s="56"/>
      <c r="PF64" s="56"/>
      <c r="PG64" s="56"/>
      <c r="PH64" s="56"/>
      <c r="PI64" s="56"/>
      <c r="PJ64" s="56"/>
      <c r="PK64" s="56"/>
      <c r="PL64" s="56"/>
      <c r="PM64" s="56"/>
      <c r="PN64" s="56"/>
      <c r="PO64" s="56"/>
      <c r="PP64" s="56"/>
      <c r="PQ64" s="56"/>
      <c r="PR64" s="56"/>
      <c r="PS64" s="56"/>
      <c r="PT64" s="56"/>
      <c r="PU64" s="56"/>
      <c r="PV64" s="56"/>
      <c r="PW64" s="56"/>
      <c r="PX64" s="56"/>
      <c r="PY64" s="56"/>
      <c r="PZ64" s="56"/>
      <c r="QA64" s="56"/>
      <c r="QB64" s="56"/>
      <c r="QC64" s="56"/>
      <c r="QD64" s="56"/>
      <c r="QE64" s="56"/>
      <c r="QF64" s="56"/>
      <c r="QG64" s="56"/>
      <c r="QH64" s="56"/>
      <c r="QI64" s="56"/>
      <c r="QJ64" s="56"/>
      <c r="QK64" s="56"/>
      <c r="QL64" s="56"/>
      <c r="QM64" s="56"/>
      <c r="QN64" s="56"/>
      <c r="QO64" s="56"/>
      <c r="QP64" s="56"/>
      <c r="QQ64" s="56"/>
      <c r="QR64" s="56"/>
      <c r="QS64" s="56"/>
      <c r="QT64" s="56"/>
      <c r="QU64" s="56"/>
      <c r="QV64" s="56"/>
      <c r="QW64" s="56"/>
      <c r="QX64" s="56"/>
      <c r="QY64" s="56"/>
      <c r="QZ64" s="56"/>
      <c r="RA64" s="56"/>
      <c r="RB64" s="56"/>
      <c r="RC64" s="56"/>
      <c r="RD64" s="56"/>
      <c r="RE64" s="56"/>
      <c r="RF64" s="56"/>
      <c r="RG64" s="56"/>
      <c r="RH64" s="56"/>
      <c r="RI64" s="56"/>
      <c r="RJ64" s="56"/>
      <c r="RK64" s="56"/>
      <c r="RL64" s="56"/>
      <c r="RM64" s="56"/>
      <c r="RN64" s="56"/>
      <c r="RO64" s="56"/>
      <c r="RP64" s="56"/>
      <c r="RQ64" s="56"/>
      <c r="RR64" s="56"/>
      <c r="RS64" s="56"/>
      <c r="RT64" s="56"/>
      <c r="RU64" s="56"/>
      <c r="RV64" s="56"/>
      <c r="RW64" s="56"/>
      <c r="RX64" s="56"/>
      <c r="RY64" s="56"/>
      <c r="RZ64" s="56"/>
      <c r="SA64" s="56"/>
      <c r="SB64" s="56"/>
      <c r="SC64" s="56"/>
      <c r="SD64" s="56"/>
      <c r="SE64" s="56"/>
      <c r="SF64" s="56"/>
      <c r="SG64" s="56"/>
      <c r="SH64" s="56"/>
      <c r="SI64" s="56"/>
      <c r="SJ64" s="56"/>
      <c r="SK64" s="56"/>
      <c r="SL64" s="56"/>
      <c r="SM64" s="56"/>
      <c r="SN64" s="56"/>
      <c r="SO64" s="56"/>
      <c r="SP64" s="56"/>
      <c r="SQ64" s="56"/>
      <c r="SR64" s="56"/>
    </row>
    <row r="65" spans="1:512" ht="15" customHeight="1" x14ac:dyDescent="0.7">
      <c r="A65" s="171">
        <v>19</v>
      </c>
      <c r="B65" s="171" t="s">
        <v>74</v>
      </c>
      <c r="C65" s="171" t="s">
        <v>392</v>
      </c>
      <c r="D65" s="171"/>
      <c r="E65" s="171" t="s">
        <v>37</v>
      </c>
      <c r="F65" s="171"/>
      <c r="G65" s="174" t="s">
        <v>393</v>
      </c>
      <c r="H65" s="88" t="s">
        <v>372</v>
      </c>
      <c r="I65" s="89" t="s">
        <v>347</v>
      </c>
      <c r="J65" s="90">
        <v>1.1000000000000001</v>
      </c>
      <c r="K65" s="168">
        <v>1</v>
      </c>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4"/>
      <c r="MW65" s="54"/>
      <c r="MX65" s="54"/>
      <c r="MY65" s="54"/>
      <c r="MZ65" s="54"/>
      <c r="NA65" s="54"/>
      <c r="NB65" s="54"/>
      <c r="NC65" s="54"/>
      <c r="ND65" s="54"/>
      <c r="NE65" s="54"/>
      <c r="NF65" s="54"/>
      <c r="NG65" s="54"/>
      <c r="NH65" s="54"/>
      <c r="NI65" s="54"/>
      <c r="NJ65" s="54"/>
      <c r="NK65" s="54"/>
      <c r="NL65" s="54"/>
      <c r="NM65" s="54"/>
      <c r="NN65" s="54"/>
      <c r="NO65" s="54"/>
      <c r="NP65" s="54"/>
      <c r="NQ65" s="54"/>
      <c r="NR65" s="54"/>
      <c r="NS65" s="54"/>
      <c r="NT65" s="54"/>
      <c r="NU65" s="54"/>
      <c r="NV65" s="54"/>
      <c r="NW65" s="54"/>
      <c r="NX65" s="54"/>
      <c r="NY65" s="54"/>
      <c r="NZ65" s="54"/>
      <c r="OA65" s="54"/>
      <c r="OB65" s="54"/>
      <c r="OC65" s="54"/>
      <c r="OD65" s="54"/>
      <c r="OE65" s="54"/>
      <c r="OF65" s="54"/>
      <c r="OG65" s="54"/>
      <c r="OH65" s="54"/>
      <c r="OI65" s="54"/>
      <c r="OJ65" s="54"/>
      <c r="OK65" s="54"/>
      <c r="OL65" s="54"/>
      <c r="OM65" s="54"/>
      <c r="ON65" s="54"/>
      <c r="OO65" s="54"/>
      <c r="OP65" s="54"/>
      <c r="OQ65" s="54"/>
      <c r="OR65" s="54"/>
      <c r="OS65" s="54"/>
      <c r="OT65" s="54"/>
      <c r="OU65" s="54"/>
      <c r="OV65" s="54"/>
      <c r="OW65" s="54"/>
      <c r="OX65" s="54"/>
      <c r="OY65" s="54"/>
      <c r="OZ65" s="54"/>
      <c r="PA65" s="54"/>
      <c r="PB65" s="54"/>
      <c r="PC65" s="54"/>
      <c r="PD65" s="54"/>
      <c r="PE65" s="54"/>
      <c r="PF65" s="54"/>
      <c r="PG65" s="54"/>
      <c r="PH65" s="54"/>
      <c r="PI65" s="54"/>
      <c r="PJ65" s="54"/>
      <c r="PK65" s="54"/>
      <c r="PL65" s="54"/>
      <c r="PM65" s="54"/>
      <c r="PN65" s="54"/>
      <c r="PO65" s="54"/>
      <c r="PP65" s="54"/>
      <c r="PQ65" s="54"/>
      <c r="PR65" s="54"/>
      <c r="PS65" s="54"/>
      <c r="PT65" s="54"/>
      <c r="PU65" s="54"/>
      <c r="PV65" s="54"/>
      <c r="PW65" s="54"/>
      <c r="PX65" s="54"/>
      <c r="PY65" s="54"/>
      <c r="PZ65" s="54"/>
      <c r="QA65" s="54"/>
      <c r="QB65" s="54"/>
      <c r="QC65" s="54"/>
      <c r="QD65" s="54"/>
      <c r="QE65" s="54"/>
      <c r="QF65" s="54"/>
      <c r="QG65" s="54"/>
      <c r="QH65" s="54"/>
      <c r="QI65" s="54"/>
      <c r="QJ65" s="54"/>
      <c r="QK65" s="54"/>
      <c r="QL65" s="54"/>
      <c r="QM65" s="54"/>
      <c r="QN65" s="54"/>
      <c r="QO65" s="54"/>
      <c r="QP65" s="54"/>
      <c r="QQ65" s="54"/>
      <c r="QR65" s="54"/>
      <c r="QS65" s="54"/>
      <c r="QT65" s="54"/>
      <c r="QU65" s="54"/>
      <c r="QV65" s="54"/>
      <c r="QW65" s="54"/>
      <c r="QX65" s="54"/>
      <c r="QY65" s="54"/>
      <c r="QZ65" s="54"/>
      <c r="RA65" s="54"/>
      <c r="RB65" s="54"/>
      <c r="RC65" s="54"/>
      <c r="RD65" s="54"/>
      <c r="RE65" s="54"/>
      <c r="RF65" s="54"/>
      <c r="RG65" s="54"/>
      <c r="RH65" s="54"/>
      <c r="RI65" s="54"/>
      <c r="RJ65" s="54"/>
      <c r="RK65" s="54"/>
      <c r="RL65" s="54"/>
      <c r="RM65" s="54"/>
      <c r="RN65" s="54"/>
      <c r="RO65" s="54"/>
      <c r="RP65" s="54"/>
      <c r="RQ65" s="54"/>
      <c r="RR65" s="54"/>
      <c r="RS65" s="54"/>
      <c r="RT65" s="54"/>
      <c r="RU65" s="54"/>
      <c r="RV65" s="54"/>
      <c r="RW65" s="54"/>
      <c r="RX65" s="54"/>
      <c r="RY65" s="54"/>
      <c r="RZ65" s="54"/>
      <c r="SA65" s="54"/>
      <c r="SB65" s="54"/>
      <c r="SC65" s="54"/>
      <c r="SD65" s="54"/>
      <c r="SE65" s="54"/>
      <c r="SF65" s="54"/>
      <c r="SG65" s="54"/>
      <c r="SH65" s="54"/>
      <c r="SI65" s="54"/>
      <c r="SJ65" s="54"/>
      <c r="SK65" s="54"/>
      <c r="SL65" s="54"/>
      <c r="SM65" s="54"/>
      <c r="SN65" s="54"/>
      <c r="SO65" s="54"/>
      <c r="SP65" s="54"/>
      <c r="SQ65" s="54"/>
      <c r="SR65" s="54"/>
    </row>
    <row r="66" spans="1:512" ht="15" customHeight="1" x14ac:dyDescent="0.7">
      <c r="A66" s="172"/>
      <c r="B66" s="172"/>
      <c r="C66" s="172"/>
      <c r="D66" s="172"/>
      <c r="E66" s="172"/>
      <c r="F66" s="172"/>
      <c r="G66" s="175"/>
      <c r="H66" s="91"/>
      <c r="I66" s="89" t="s">
        <v>348</v>
      </c>
      <c r="J66" s="90">
        <v>0.9</v>
      </c>
      <c r="K66" s="169"/>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N66" s="54"/>
      <c r="JO66" s="54"/>
      <c r="JP66" s="54"/>
      <c r="JQ66" s="54"/>
      <c r="JR66" s="54"/>
      <c r="JS66" s="54"/>
      <c r="JT66" s="54"/>
      <c r="JU66" s="54"/>
      <c r="JV66" s="54"/>
      <c r="JW66" s="54"/>
      <c r="JX66" s="54"/>
      <c r="JY66" s="54"/>
      <c r="JZ66" s="54"/>
      <c r="KA66" s="54"/>
      <c r="KB66" s="54"/>
      <c r="KC66" s="54"/>
      <c r="KD66" s="54"/>
      <c r="KE66" s="54"/>
      <c r="KF66" s="54"/>
      <c r="KG66" s="54"/>
      <c r="KH66" s="54"/>
      <c r="KI66" s="54"/>
      <c r="KJ66" s="54"/>
      <c r="KK66" s="54"/>
      <c r="KL66" s="54"/>
      <c r="KM66" s="54"/>
      <c r="KN66" s="54"/>
      <c r="KO66" s="54"/>
      <c r="KP66" s="54"/>
      <c r="KQ66" s="54"/>
      <c r="KR66" s="54"/>
      <c r="KS66" s="54"/>
      <c r="KT66" s="54"/>
      <c r="KU66" s="54"/>
      <c r="KV66" s="54"/>
      <c r="KW66" s="54"/>
      <c r="KX66" s="54"/>
      <c r="KY66" s="54"/>
      <c r="KZ66" s="54"/>
      <c r="LA66" s="54"/>
      <c r="LB66" s="54"/>
      <c r="LC66" s="54"/>
      <c r="LD66" s="54"/>
      <c r="LE66" s="54"/>
      <c r="LF66" s="54"/>
      <c r="LG66" s="54"/>
      <c r="LH66" s="54"/>
      <c r="LI66" s="54"/>
      <c r="LJ66" s="54"/>
      <c r="LK66" s="54"/>
      <c r="LL66" s="54"/>
      <c r="LM66" s="54"/>
      <c r="LN66" s="54"/>
      <c r="LO66" s="54"/>
      <c r="LP66" s="54"/>
      <c r="LQ66" s="54"/>
      <c r="LR66" s="54"/>
      <c r="LS66" s="54"/>
      <c r="LT66" s="54"/>
      <c r="LU66" s="54"/>
      <c r="LV66" s="54"/>
      <c r="LW66" s="54"/>
      <c r="LX66" s="54"/>
      <c r="LY66" s="54"/>
      <c r="LZ66" s="54"/>
      <c r="MA66" s="54"/>
      <c r="MB66" s="54"/>
      <c r="MC66" s="54"/>
      <c r="MD66" s="54"/>
      <c r="ME66" s="54"/>
      <c r="MF66" s="54"/>
      <c r="MG66" s="54"/>
      <c r="MH66" s="54"/>
      <c r="MI66" s="54"/>
      <c r="MJ66" s="54"/>
      <c r="MK66" s="54"/>
      <c r="ML66" s="54"/>
      <c r="MM66" s="54"/>
      <c r="MN66" s="54"/>
      <c r="MO66" s="54"/>
      <c r="MP66" s="54"/>
      <c r="MQ66" s="54"/>
      <c r="MR66" s="54"/>
      <c r="MS66" s="54"/>
      <c r="MT66" s="54"/>
      <c r="MU66" s="54"/>
      <c r="MV66" s="54"/>
      <c r="MW66" s="54"/>
      <c r="MX66" s="54"/>
      <c r="MY66" s="54"/>
      <c r="MZ66" s="54"/>
      <c r="NA66" s="54"/>
      <c r="NB66" s="54"/>
      <c r="NC66" s="54"/>
      <c r="ND66" s="54"/>
      <c r="NE66" s="54"/>
      <c r="NF66" s="54"/>
      <c r="NG66" s="54"/>
      <c r="NH66" s="54"/>
      <c r="NI66" s="54"/>
      <c r="NJ66" s="54"/>
      <c r="NK66" s="54"/>
      <c r="NL66" s="54"/>
      <c r="NM66" s="54"/>
      <c r="NN66" s="54"/>
      <c r="NO66" s="54"/>
      <c r="NP66" s="54"/>
      <c r="NQ66" s="54"/>
      <c r="NR66" s="54"/>
      <c r="NS66" s="54"/>
      <c r="NT66" s="54"/>
      <c r="NU66" s="54"/>
      <c r="NV66" s="54"/>
      <c r="NW66" s="54"/>
      <c r="NX66" s="54"/>
      <c r="NY66" s="54"/>
      <c r="NZ66" s="54"/>
      <c r="OA66" s="54"/>
      <c r="OB66" s="54"/>
      <c r="OC66" s="54"/>
      <c r="OD66" s="54"/>
      <c r="OE66" s="54"/>
      <c r="OF66" s="54"/>
      <c r="OG66" s="54"/>
      <c r="OH66" s="54"/>
      <c r="OI66" s="54"/>
      <c r="OJ66" s="54"/>
      <c r="OK66" s="54"/>
      <c r="OL66" s="54"/>
      <c r="OM66" s="54"/>
      <c r="ON66" s="54"/>
      <c r="OO66" s="54"/>
      <c r="OP66" s="54"/>
      <c r="OQ66" s="54"/>
      <c r="OR66" s="54"/>
      <c r="OS66" s="54"/>
      <c r="OT66" s="54"/>
      <c r="OU66" s="54"/>
      <c r="OV66" s="54"/>
      <c r="OW66" s="54"/>
      <c r="OX66" s="54"/>
      <c r="OY66" s="54"/>
      <c r="OZ66" s="54"/>
      <c r="PA66" s="54"/>
      <c r="PB66" s="54"/>
      <c r="PC66" s="54"/>
      <c r="PD66" s="54"/>
      <c r="PE66" s="54"/>
      <c r="PF66" s="54"/>
      <c r="PG66" s="54"/>
      <c r="PH66" s="54"/>
      <c r="PI66" s="54"/>
      <c r="PJ66" s="54"/>
      <c r="PK66" s="54"/>
      <c r="PL66" s="54"/>
      <c r="PM66" s="54"/>
      <c r="PN66" s="54"/>
      <c r="PO66" s="54"/>
      <c r="PP66" s="54"/>
      <c r="PQ66" s="54"/>
      <c r="PR66" s="54"/>
      <c r="PS66" s="54"/>
      <c r="PT66" s="54"/>
      <c r="PU66" s="54"/>
      <c r="PV66" s="54"/>
      <c r="PW66" s="54"/>
      <c r="PX66" s="54"/>
      <c r="PY66" s="54"/>
      <c r="PZ66" s="54"/>
      <c r="QA66" s="54"/>
      <c r="QB66" s="54"/>
      <c r="QC66" s="54"/>
      <c r="QD66" s="54"/>
      <c r="QE66" s="54"/>
      <c r="QF66" s="54"/>
      <c r="QG66" s="54"/>
      <c r="QH66" s="54"/>
      <c r="QI66" s="54"/>
      <c r="QJ66" s="54"/>
      <c r="QK66" s="54"/>
      <c r="QL66" s="54"/>
      <c r="QM66" s="54"/>
      <c r="QN66" s="54"/>
      <c r="QO66" s="54"/>
      <c r="QP66" s="54"/>
      <c r="QQ66" s="54"/>
      <c r="QR66" s="54"/>
      <c r="QS66" s="54"/>
      <c r="QT66" s="54"/>
      <c r="QU66" s="54"/>
      <c r="QV66" s="54"/>
      <c r="QW66" s="54"/>
      <c r="QX66" s="54"/>
      <c r="QY66" s="54"/>
      <c r="QZ66" s="54"/>
      <c r="RA66" s="54"/>
      <c r="RB66" s="54"/>
      <c r="RC66" s="54"/>
      <c r="RD66" s="54"/>
      <c r="RE66" s="54"/>
      <c r="RF66" s="54"/>
      <c r="RG66" s="54"/>
      <c r="RH66" s="54"/>
      <c r="RI66" s="54"/>
      <c r="RJ66" s="54"/>
      <c r="RK66" s="54"/>
      <c r="RL66" s="54"/>
      <c r="RM66" s="54"/>
      <c r="RN66" s="54"/>
      <c r="RO66" s="54"/>
      <c r="RP66" s="54"/>
      <c r="RQ66" s="54"/>
      <c r="RR66" s="54"/>
      <c r="RS66" s="54"/>
      <c r="RT66" s="54"/>
      <c r="RU66" s="54"/>
      <c r="RV66" s="54"/>
      <c r="RW66" s="54"/>
      <c r="RX66" s="54"/>
      <c r="RY66" s="54"/>
      <c r="RZ66" s="54"/>
      <c r="SA66" s="54"/>
      <c r="SB66" s="54"/>
      <c r="SC66" s="54"/>
      <c r="SD66" s="54"/>
      <c r="SE66" s="54"/>
      <c r="SF66" s="54"/>
      <c r="SG66" s="54"/>
      <c r="SH66" s="54"/>
      <c r="SI66" s="54"/>
      <c r="SJ66" s="54"/>
      <c r="SK66" s="54"/>
      <c r="SL66" s="54"/>
      <c r="SM66" s="54"/>
      <c r="SN66" s="54"/>
      <c r="SO66" s="54"/>
      <c r="SP66" s="54"/>
      <c r="SQ66" s="54"/>
      <c r="SR66" s="54"/>
    </row>
    <row r="67" spans="1:512" s="55" customFormat="1" ht="15" customHeight="1" x14ac:dyDescent="0.7">
      <c r="A67" s="173"/>
      <c r="B67" s="173"/>
      <c r="C67" s="173"/>
      <c r="D67" s="173"/>
      <c r="E67" s="173"/>
      <c r="F67" s="173"/>
      <c r="G67" s="176"/>
      <c r="H67" s="92"/>
      <c r="I67" s="93"/>
      <c r="J67" s="94"/>
      <c r="K67" s="170"/>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c r="FU67" s="56"/>
      <c r="FV67" s="56"/>
      <c r="FW67" s="56"/>
      <c r="FX67" s="56"/>
      <c r="FY67" s="56"/>
      <c r="FZ67" s="56"/>
      <c r="GA67" s="56"/>
      <c r="GB67" s="56"/>
      <c r="GC67" s="56"/>
      <c r="GD67" s="56"/>
      <c r="GE67" s="56"/>
      <c r="GF67" s="56"/>
      <c r="GG67" s="56"/>
      <c r="GH67" s="56"/>
      <c r="GI67" s="56"/>
      <c r="GJ67" s="56"/>
      <c r="GK67" s="56"/>
      <c r="GL67" s="56"/>
      <c r="GM67" s="56"/>
      <c r="GN67" s="56"/>
      <c r="GO67" s="56"/>
      <c r="GP67" s="56"/>
      <c r="GQ67" s="56"/>
      <c r="GR67" s="56"/>
      <c r="GS67" s="56"/>
      <c r="GT67" s="56"/>
      <c r="GU67" s="56"/>
      <c r="GV67" s="56"/>
      <c r="GW67" s="56"/>
      <c r="GX67" s="56"/>
      <c r="GY67" s="56"/>
      <c r="GZ67" s="56"/>
      <c r="HA67" s="56"/>
      <c r="HB67" s="56"/>
      <c r="HC67" s="56"/>
      <c r="HD67" s="56"/>
      <c r="HE67" s="56"/>
      <c r="HF67" s="56"/>
      <c r="HG67" s="56"/>
      <c r="HH67" s="56"/>
      <c r="HI67" s="56"/>
      <c r="HJ67" s="56"/>
      <c r="HK67" s="56"/>
      <c r="HL67" s="56"/>
      <c r="HM67" s="56"/>
      <c r="HN67" s="56"/>
      <c r="HO67" s="56"/>
      <c r="HP67" s="56"/>
      <c r="HQ67" s="56"/>
      <c r="HR67" s="56"/>
      <c r="HS67" s="56"/>
      <c r="HT67" s="56"/>
      <c r="HU67" s="56"/>
      <c r="HV67" s="56"/>
      <c r="HW67" s="56"/>
      <c r="HX67" s="56"/>
      <c r="HY67" s="56"/>
      <c r="HZ67" s="56"/>
      <c r="IA67" s="56"/>
      <c r="IB67" s="56"/>
      <c r="IC67" s="56"/>
      <c r="ID67" s="56"/>
      <c r="IE67" s="56"/>
      <c r="IF67" s="56"/>
      <c r="IG67" s="56"/>
      <c r="IH67" s="56"/>
      <c r="II67" s="56"/>
      <c r="IJ67" s="56"/>
      <c r="IK67" s="56"/>
      <c r="IL67" s="56"/>
      <c r="IM67" s="56"/>
      <c r="IN67" s="56"/>
      <c r="IO67" s="56"/>
      <c r="IP67" s="56"/>
      <c r="IQ67" s="56"/>
      <c r="IR67" s="56"/>
      <c r="IS67" s="56"/>
      <c r="IT67" s="56"/>
      <c r="IU67" s="56"/>
      <c r="IV67" s="56"/>
      <c r="IW67" s="56"/>
      <c r="IX67" s="56"/>
      <c r="IY67" s="56"/>
      <c r="IZ67" s="56"/>
      <c r="JA67" s="56"/>
      <c r="JB67" s="56"/>
      <c r="JC67" s="56"/>
      <c r="JD67" s="56"/>
      <c r="JE67" s="56"/>
      <c r="JF67" s="56"/>
      <c r="JG67" s="56"/>
      <c r="JH67" s="56"/>
      <c r="JI67" s="56"/>
      <c r="JJ67" s="56"/>
      <c r="JK67" s="56"/>
      <c r="JL67" s="56"/>
      <c r="JM67" s="56"/>
      <c r="JN67" s="56"/>
      <c r="JO67" s="56"/>
      <c r="JP67" s="56"/>
      <c r="JQ67" s="56"/>
      <c r="JR67" s="56"/>
      <c r="JS67" s="56"/>
      <c r="JT67" s="56"/>
      <c r="JU67" s="56"/>
      <c r="JV67" s="56"/>
      <c r="JW67" s="56"/>
      <c r="JX67" s="56"/>
      <c r="JY67" s="56"/>
      <c r="JZ67" s="56"/>
      <c r="KA67" s="56"/>
      <c r="KB67" s="56"/>
      <c r="KC67" s="56"/>
      <c r="KD67" s="56"/>
      <c r="KE67" s="56"/>
      <c r="KF67" s="56"/>
      <c r="KG67" s="56"/>
      <c r="KH67" s="56"/>
      <c r="KI67" s="56"/>
      <c r="KJ67" s="56"/>
      <c r="KK67" s="56"/>
      <c r="KL67" s="56"/>
      <c r="KM67" s="56"/>
      <c r="KN67" s="56"/>
      <c r="KO67" s="56"/>
      <c r="KP67" s="56"/>
      <c r="KQ67" s="56"/>
      <c r="KR67" s="56"/>
      <c r="KS67" s="56"/>
      <c r="KT67" s="56"/>
      <c r="KU67" s="56"/>
      <c r="KV67" s="56"/>
      <c r="KW67" s="56"/>
      <c r="KX67" s="56"/>
      <c r="KY67" s="56"/>
      <c r="KZ67" s="56"/>
      <c r="LA67" s="56"/>
      <c r="LB67" s="56"/>
      <c r="LC67" s="56"/>
      <c r="LD67" s="56"/>
      <c r="LE67" s="56"/>
      <c r="LF67" s="56"/>
      <c r="LG67" s="56"/>
      <c r="LH67" s="56"/>
      <c r="LI67" s="56"/>
      <c r="LJ67" s="56"/>
      <c r="LK67" s="56"/>
      <c r="LL67" s="56"/>
      <c r="LM67" s="56"/>
      <c r="LN67" s="56"/>
      <c r="LO67" s="56"/>
      <c r="LP67" s="56"/>
      <c r="LQ67" s="56"/>
      <c r="LR67" s="56"/>
      <c r="LS67" s="56"/>
      <c r="LT67" s="56"/>
      <c r="LU67" s="56"/>
      <c r="LV67" s="56"/>
      <c r="LW67" s="56"/>
      <c r="LX67" s="56"/>
      <c r="LY67" s="56"/>
      <c r="LZ67" s="56"/>
      <c r="MA67" s="56"/>
      <c r="MB67" s="56"/>
      <c r="MC67" s="56"/>
      <c r="MD67" s="56"/>
      <c r="ME67" s="56"/>
      <c r="MF67" s="56"/>
      <c r="MG67" s="56"/>
      <c r="MH67" s="56"/>
      <c r="MI67" s="56"/>
      <c r="MJ67" s="56"/>
      <c r="MK67" s="56"/>
      <c r="ML67" s="56"/>
      <c r="MM67" s="56"/>
      <c r="MN67" s="56"/>
      <c r="MO67" s="56"/>
      <c r="MP67" s="56"/>
      <c r="MQ67" s="56"/>
      <c r="MR67" s="56"/>
      <c r="MS67" s="56"/>
      <c r="MT67" s="56"/>
      <c r="MU67" s="56"/>
      <c r="MV67" s="56"/>
      <c r="MW67" s="56"/>
      <c r="MX67" s="56"/>
      <c r="MY67" s="56"/>
      <c r="MZ67" s="56"/>
      <c r="NA67" s="56"/>
      <c r="NB67" s="56"/>
      <c r="NC67" s="56"/>
      <c r="ND67" s="56"/>
      <c r="NE67" s="56"/>
      <c r="NF67" s="56"/>
      <c r="NG67" s="56"/>
      <c r="NH67" s="56"/>
      <c r="NI67" s="56"/>
      <c r="NJ67" s="56"/>
      <c r="NK67" s="56"/>
      <c r="NL67" s="56"/>
      <c r="NM67" s="56"/>
      <c r="NN67" s="56"/>
      <c r="NO67" s="56"/>
      <c r="NP67" s="56"/>
      <c r="NQ67" s="56"/>
      <c r="NR67" s="56"/>
      <c r="NS67" s="56"/>
      <c r="NT67" s="56"/>
      <c r="NU67" s="56"/>
      <c r="NV67" s="56"/>
      <c r="NW67" s="56"/>
      <c r="NX67" s="56"/>
      <c r="NY67" s="56"/>
      <c r="NZ67" s="56"/>
      <c r="OA67" s="56"/>
      <c r="OB67" s="56"/>
      <c r="OC67" s="56"/>
      <c r="OD67" s="56"/>
      <c r="OE67" s="56"/>
      <c r="OF67" s="56"/>
      <c r="OG67" s="56"/>
      <c r="OH67" s="56"/>
      <c r="OI67" s="56"/>
      <c r="OJ67" s="56"/>
      <c r="OK67" s="56"/>
      <c r="OL67" s="56"/>
      <c r="OM67" s="56"/>
      <c r="ON67" s="56"/>
      <c r="OO67" s="56"/>
      <c r="OP67" s="56"/>
      <c r="OQ67" s="56"/>
      <c r="OR67" s="56"/>
      <c r="OS67" s="56"/>
      <c r="OT67" s="56"/>
      <c r="OU67" s="56"/>
      <c r="OV67" s="56"/>
      <c r="OW67" s="56"/>
      <c r="OX67" s="56"/>
      <c r="OY67" s="56"/>
      <c r="OZ67" s="56"/>
      <c r="PA67" s="56"/>
      <c r="PB67" s="56"/>
      <c r="PC67" s="56"/>
      <c r="PD67" s="56"/>
      <c r="PE67" s="56"/>
      <c r="PF67" s="56"/>
      <c r="PG67" s="56"/>
      <c r="PH67" s="56"/>
      <c r="PI67" s="56"/>
      <c r="PJ67" s="56"/>
      <c r="PK67" s="56"/>
      <c r="PL67" s="56"/>
      <c r="PM67" s="56"/>
      <c r="PN67" s="56"/>
      <c r="PO67" s="56"/>
      <c r="PP67" s="56"/>
      <c r="PQ67" s="56"/>
      <c r="PR67" s="56"/>
      <c r="PS67" s="56"/>
      <c r="PT67" s="56"/>
      <c r="PU67" s="56"/>
      <c r="PV67" s="56"/>
      <c r="PW67" s="56"/>
      <c r="PX67" s="56"/>
      <c r="PY67" s="56"/>
      <c r="PZ67" s="56"/>
      <c r="QA67" s="56"/>
      <c r="QB67" s="56"/>
      <c r="QC67" s="56"/>
      <c r="QD67" s="56"/>
      <c r="QE67" s="56"/>
      <c r="QF67" s="56"/>
      <c r="QG67" s="56"/>
      <c r="QH67" s="56"/>
      <c r="QI67" s="56"/>
      <c r="QJ67" s="56"/>
      <c r="QK67" s="56"/>
      <c r="QL67" s="56"/>
      <c r="QM67" s="56"/>
      <c r="QN67" s="56"/>
      <c r="QO67" s="56"/>
      <c r="QP67" s="56"/>
      <c r="QQ67" s="56"/>
      <c r="QR67" s="56"/>
      <c r="QS67" s="56"/>
      <c r="QT67" s="56"/>
      <c r="QU67" s="56"/>
      <c r="QV67" s="56"/>
      <c r="QW67" s="56"/>
      <c r="QX67" s="56"/>
      <c r="QY67" s="56"/>
      <c r="QZ67" s="56"/>
      <c r="RA67" s="56"/>
      <c r="RB67" s="56"/>
      <c r="RC67" s="56"/>
      <c r="RD67" s="56"/>
      <c r="RE67" s="56"/>
      <c r="RF67" s="56"/>
      <c r="RG67" s="56"/>
      <c r="RH67" s="56"/>
      <c r="RI67" s="56"/>
      <c r="RJ67" s="56"/>
      <c r="RK67" s="56"/>
      <c r="RL67" s="56"/>
      <c r="RM67" s="56"/>
      <c r="RN67" s="56"/>
      <c r="RO67" s="56"/>
      <c r="RP67" s="56"/>
      <c r="RQ67" s="56"/>
      <c r="RR67" s="56"/>
      <c r="RS67" s="56"/>
      <c r="RT67" s="56"/>
      <c r="RU67" s="56"/>
      <c r="RV67" s="56"/>
      <c r="RW67" s="56"/>
      <c r="RX67" s="56"/>
      <c r="RY67" s="56"/>
      <c r="RZ67" s="56"/>
      <c r="SA67" s="56"/>
      <c r="SB67" s="56"/>
      <c r="SC67" s="56"/>
      <c r="SD67" s="56"/>
      <c r="SE67" s="56"/>
      <c r="SF67" s="56"/>
      <c r="SG67" s="56"/>
      <c r="SH67" s="56"/>
      <c r="SI67" s="56"/>
      <c r="SJ67" s="56"/>
      <c r="SK67" s="56"/>
      <c r="SL67" s="56"/>
      <c r="SM67" s="56"/>
      <c r="SN67" s="56"/>
      <c r="SO67" s="56"/>
      <c r="SP67" s="56"/>
      <c r="SQ67" s="56"/>
      <c r="SR67" s="56"/>
    </row>
    <row r="68" spans="1:512" ht="15" customHeight="1" x14ac:dyDescent="0.7">
      <c r="A68" s="171">
        <v>20</v>
      </c>
      <c r="B68" s="171" t="s">
        <v>313</v>
      </c>
      <c r="C68" s="171" t="s">
        <v>344</v>
      </c>
      <c r="D68" s="171"/>
      <c r="E68" s="171" t="s">
        <v>37</v>
      </c>
      <c r="F68" s="171"/>
      <c r="G68" s="174" t="s">
        <v>394</v>
      </c>
      <c r="H68" s="88" t="s">
        <v>395</v>
      </c>
      <c r="I68" s="89" t="s">
        <v>369</v>
      </c>
      <c r="J68" s="90">
        <v>121</v>
      </c>
      <c r="K68" s="168">
        <v>120</v>
      </c>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c r="IW68" s="54"/>
      <c r="IX68" s="54"/>
      <c r="IY68" s="54"/>
      <c r="IZ68" s="54"/>
      <c r="JA68" s="54"/>
      <c r="JB68" s="54"/>
      <c r="JC68" s="54"/>
      <c r="JD68" s="54"/>
      <c r="JE68" s="54"/>
      <c r="JF68" s="54"/>
      <c r="JG68" s="54"/>
      <c r="JH68" s="54"/>
      <c r="JI68" s="54"/>
      <c r="JJ68" s="54"/>
      <c r="JK68" s="54"/>
      <c r="JL68" s="54"/>
      <c r="JM68" s="54"/>
      <c r="JN68" s="54"/>
      <c r="JO68" s="54"/>
      <c r="JP68" s="54"/>
      <c r="JQ68" s="54"/>
      <c r="JR68" s="54"/>
      <c r="JS68" s="54"/>
      <c r="JT68" s="54"/>
      <c r="JU68" s="54"/>
      <c r="JV68" s="54"/>
      <c r="JW68" s="54"/>
      <c r="JX68" s="54"/>
      <c r="JY68" s="54"/>
      <c r="JZ68" s="54"/>
      <c r="KA68" s="54"/>
      <c r="KB68" s="54"/>
      <c r="KC68" s="54"/>
      <c r="KD68" s="54"/>
      <c r="KE68" s="54"/>
      <c r="KF68" s="54"/>
      <c r="KG68" s="54"/>
      <c r="KH68" s="54"/>
      <c r="KI68" s="54"/>
      <c r="KJ68" s="54"/>
      <c r="KK68" s="54"/>
      <c r="KL68" s="54"/>
      <c r="KM68" s="54"/>
      <c r="KN68" s="54"/>
      <c r="KO68" s="54"/>
      <c r="KP68" s="54"/>
      <c r="KQ68" s="54"/>
      <c r="KR68" s="54"/>
      <c r="KS68" s="54"/>
      <c r="KT68" s="54"/>
      <c r="KU68" s="54"/>
      <c r="KV68" s="54"/>
      <c r="KW68" s="54"/>
      <c r="KX68" s="54"/>
      <c r="KY68" s="54"/>
      <c r="KZ68" s="54"/>
      <c r="LA68" s="54"/>
      <c r="LB68" s="54"/>
      <c r="LC68" s="54"/>
      <c r="LD68" s="54"/>
      <c r="LE68" s="54"/>
      <c r="LF68" s="54"/>
      <c r="LG68" s="54"/>
      <c r="LH68" s="54"/>
      <c r="LI68" s="54"/>
      <c r="LJ68" s="54"/>
      <c r="LK68" s="54"/>
      <c r="LL68" s="54"/>
      <c r="LM68" s="54"/>
      <c r="LN68" s="54"/>
      <c r="LO68" s="54"/>
      <c r="LP68" s="54"/>
      <c r="LQ68" s="54"/>
      <c r="LR68" s="54"/>
      <c r="LS68" s="54"/>
      <c r="LT68" s="54"/>
      <c r="LU68" s="54"/>
      <c r="LV68" s="54"/>
      <c r="LW68" s="54"/>
      <c r="LX68" s="54"/>
      <c r="LY68" s="54"/>
      <c r="LZ68" s="54"/>
      <c r="MA68" s="54"/>
      <c r="MB68" s="54"/>
      <c r="MC68" s="54"/>
      <c r="MD68" s="54"/>
      <c r="ME68" s="54"/>
      <c r="MF68" s="54"/>
      <c r="MG68" s="54"/>
      <c r="MH68" s="54"/>
      <c r="MI68" s="54"/>
      <c r="MJ68" s="54"/>
      <c r="MK68" s="54"/>
      <c r="ML68" s="54"/>
      <c r="MM68" s="54"/>
      <c r="MN68" s="54"/>
      <c r="MO68" s="54"/>
      <c r="MP68" s="54"/>
      <c r="MQ68" s="54"/>
      <c r="MR68" s="54"/>
      <c r="MS68" s="54"/>
      <c r="MT68" s="54"/>
      <c r="MU68" s="54"/>
      <c r="MV68" s="54"/>
      <c r="MW68" s="54"/>
      <c r="MX68" s="54"/>
      <c r="MY68" s="54"/>
      <c r="MZ68" s="54"/>
      <c r="NA68" s="54"/>
      <c r="NB68" s="54"/>
      <c r="NC68" s="54"/>
      <c r="ND68" s="54"/>
      <c r="NE68" s="54"/>
      <c r="NF68" s="54"/>
      <c r="NG68" s="54"/>
      <c r="NH68" s="54"/>
      <c r="NI68" s="54"/>
      <c r="NJ68" s="54"/>
      <c r="NK68" s="54"/>
      <c r="NL68" s="54"/>
      <c r="NM68" s="54"/>
      <c r="NN68" s="54"/>
      <c r="NO68" s="54"/>
      <c r="NP68" s="54"/>
      <c r="NQ68" s="54"/>
      <c r="NR68" s="54"/>
      <c r="NS68" s="54"/>
      <c r="NT68" s="54"/>
      <c r="NU68" s="54"/>
      <c r="NV68" s="54"/>
      <c r="NW68" s="54"/>
      <c r="NX68" s="54"/>
      <c r="NY68" s="54"/>
      <c r="NZ68" s="54"/>
      <c r="OA68" s="54"/>
      <c r="OB68" s="54"/>
      <c r="OC68" s="54"/>
      <c r="OD68" s="54"/>
      <c r="OE68" s="54"/>
      <c r="OF68" s="54"/>
      <c r="OG68" s="54"/>
      <c r="OH68" s="54"/>
      <c r="OI68" s="54"/>
      <c r="OJ68" s="54"/>
      <c r="OK68" s="54"/>
      <c r="OL68" s="54"/>
      <c r="OM68" s="54"/>
      <c r="ON68" s="54"/>
      <c r="OO68" s="54"/>
      <c r="OP68" s="54"/>
      <c r="OQ68" s="54"/>
      <c r="OR68" s="54"/>
      <c r="OS68" s="54"/>
      <c r="OT68" s="54"/>
      <c r="OU68" s="54"/>
      <c r="OV68" s="54"/>
      <c r="OW68" s="54"/>
      <c r="OX68" s="54"/>
      <c r="OY68" s="54"/>
      <c r="OZ68" s="54"/>
      <c r="PA68" s="54"/>
      <c r="PB68" s="54"/>
      <c r="PC68" s="54"/>
      <c r="PD68" s="54"/>
      <c r="PE68" s="54"/>
      <c r="PF68" s="54"/>
      <c r="PG68" s="54"/>
      <c r="PH68" s="54"/>
      <c r="PI68" s="54"/>
      <c r="PJ68" s="54"/>
      <c r="PK68" s="54"/>
      <c r="PL68" s="54"/>
      <c r="PM68" s="54"/>
      <c r="PN68" s="54"/>
      <c r="PO68" s="54"/>
      <c r="PP68" s="54"/>
      <c r="PQ68" s="54"/>
      <c r="PR68" s="54"/>
      <c r="PS68" s="54"/>
      <c r="PT68" s="54"/>
      <c r="PU68" s="54"/>
      <c r="PV68" s="54"/>
      <c r="PW68" s="54"/>
      <c r="PX68" s="54"/>
      <c r="PY68" s="54"/>
      <c r="PZ68" s="54"/>
      <c r="QA68" s="54"/>
      <c r="QB68" s="54"/>
      <c r="QC68" s="54"/>
      <c r="QD68" s="54"/>
      <c r="QE68" s="54"/>
      <c r="QF68" s="54"/>
      <c r="QG68" s="54"/>
      <c r="QH68" s="54"/>
      <c r="QI68" s="54"/>
      <c r="QJ68" s="54"/>
      <c r="QK68" s="54"/>
      <c r="QL68" s="54"/>
      <c r="QM68" s="54"/>
      <c r="QN68" s="54"/>
      <c r="QO68" s="54"/>
      <c r="QP68" s="54"/>
      <c r="QQ68" s="54"/>
      <c r="QR68" s="54"/>
      <c r="QS68" s="54"/>
      <c r="QT68" s="54"/>
      <c r="QU68" s="54"/>
      <c r="QV68" s="54"/>
      <c r="QW68" s="54"/>
      <c r="QX68" s="54"/>
      <c r="QY68" s="54"/>
      <c r="QZ68" s="54"/>
      <c r="RA68" s="54"/>
      <c r="RB68" s="54"/>
      <c r="RC68" s="54"/>
      <c r="RD68" s="54"/>
      <c r="RE68" s="54"/>
      <c r="RF68" s="54"/>
      <c r="RG68" s="54"/>
      <c r="RH68" s="54"/>
      <c r="RI68" s="54"/>
      <c r="RJ68" s="54"/>
      <c r="RK68" s="54"/>
      <c r="RL68" s="54"/>
      <c r="RM68" s="54"/>
      <c r="RN68" s="54"/>
      <c r="RO68" s="54"/>
      <c r="RP68" s="54"/>
      <c r="RQ68" s="54"/>
      <c r="RR68" s="54"/>
      <c r="RS68" s="54"/>
      <c r="RT68" s="54"/>
      <c r="RU68" s="54"/>
      <c r="RV68" s="54"/>
      <c r="RW68" s="54"/>
      <c r="RX68" s="54"/>
      <c r="RY68" s="54"/>
      <c r="RZ68" s="54"/>
      <c r="SA68" s="54"/>
      <c r="SB68" s="54"/>
      <c r="SC68" s="54"/>
      <c r="SD68" s="54"/>
      <c r="SE68" s="54"/>
      <c r="SF68" s="54"/>
      <c r="SG68" s="54"/>
      <c r="SH68" s="54"/>
      <c r="SI68" s="54"/>
      <c r="SJ68" s="54"/>
      <c r="SK68" s="54"/>
      <c r="SL68" s="54"/>
      <c r="SM68" s="54"/>
      <c r="SN68" s="54"/>
      <c r="SO68" s="54"/>
      <c r="SP68" s="54"/>
      <c r="SQ68" s="54"/>
      <c r="SR68" s="54"/>
    </row>
    <row r="69" spans="1:512" ht="15" customHeight="1" x14ac:dyDescent="0.7">
      <c r="A69" s="172"/>
      <c r="B69" s="172"/>
      <c r="C69" s="172"/>
      <c r="D69" s="172"/>
      <c r="E69" s="172"/>
      <c r="F69" s="172"/>
      <c r="G69" s="175"/>
      <c r="H69" s="91"/>
      <c r="I69" s="89" t="s">
        <v>370</v>
      </c>
      <c r="J69" s="90">
        <v>119</v>
      </c>
      <c r="K69" s="169"/>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c r="IW69" s="54"/>
      <c r="IX69" s="54"/>
      <c r="IY69" s="54"/>
      <c r="IZ69" s="54"/>
      <c r="JA69" s="54"/>
      <c r="JB69" s="54"/>
      <c r="JC69" s="54"/>
      <c r="JD69" s="54"/>
      <c r="JE69" s="54"/>
      <c r="JF69" s="54"/>
      <c r="JG69" s="54"/>
      <c r="JH69" s="54"/>
      <c r="JI69" s="54"/>
      <c r="JJ69" s="54"/>
      <c r="JK69" s="54"/>
      <c r="JL69" s="54"/>
      <c r="JM69" s="54"/>
      <c r="JN69" s="54"/>
      <c r="JO69" s="54"/>
      <c r="JP69" s="54"/>
      <c r="JQ69" s="54"/>
      <c r="JR69" s="54"/>
      <c r="JS69" s="54"/>
      <c r="JT69" s="54"/>
      <c r="JU69" s="54"/>
      <c r="JV69" s="54"/>
      <c r="JW69" s="54"/>
      <c r="JX69" s="54"/>
      <c r="JY69" s="54"/>
      <c r="JZ69" s="54"/>
      <c r="KA69" s="54"/>
      <c r="KB69" s="54"/>
      <c r="KC69" s="54"/>
      <c r="KD69" s="54"/>
      <c r="KE69" s="54"/>
      <c r="KF69" s="54"/>
      <c r="KG69" s="54"/>
      <c r="KH69" s="54"/>
      <c r="KI69" s="54"/>
      <c r="KJ69" s="54"/>
      <c r="KK69" s="54"/>
      <c r="KL69" s="54"/>
      <c r="KM69" s="54"/>
      <c r="KN69" s="54"/>
      <c r="KO69" s="54"/>
      <c r="KP69" s="54"/>
      <c r="KQ69" s="54"/>
      <c r="KR69" s="54"/>
      <c r="KS69" s="54"/>
      <c r="KT69" s="54"/>
      <c r="KU69" s="54"/>
      <c r="KV69" s="54"/>
      <c r="KW69" s="54"/>
      <c r="KX69" s="54"/>
      <c r="KY69" s="54"/>
      <c r="KZ69" s="54"/>
      <c r="LA69" s="54"/>
      <c r="LB69" s="54"/>
      <c r="LC69" s="54"/>
      <c r="LD69" s="54"/>
      <c r="LE69" s="54"/>
      <c r="LF69" s="54"/>
      <c r="LG69" s="54"/>
      <c r="LH69" s="54"/>
      <c r="LI69" s="54"/>
      <c r="LJ69" s="54"/>
      <c r="LK69" s="54"/>
      <c r="LL69" s="54"/>
      <c r="LM69" s="54"/>
      <c r="LN69" s="54"/>
      <c r="LO69" s="54"/>
      <c r="LP69" s="54"/>
      <c r="LQ69" s="54"/>
      <c r="LR69" s="54"/>
      <c r="LS69" s="54"/>
      <c r="LT69" s="54"/>
      <c r="LU69" s="54"/>
      <c r="LV69" s="54"/>
      <c r="LW69" s="54"/>
      <c r="LX69" s="54"/>
      <c r="LY69" s="54"/>
      <c r="LZ69" s="54"/>
      <c r="MA69" s="54"/>
      <c r="MB69" s="54"/>
      <c r="MC69" s="54"/>
      <c r="MD69" s="54"/>
      <c r="ME69" s="54"/>
      <c r="MF69" s="54"/>
      <c r="MG69" s="54"/>
      <c r="MH69" s="54"/>
      <c r="MI69" s="54"/>
      <c r="MJ69" s="54"/>
      <c r="MK69" s="54"/>
      <c r="ML69" s="54"/>
      <c r="MM69" s="54"/>
      <c r="MN69" s="54"/>
      <c r="MO69" s="54"/>
      <c r="MP69" s="54"/>
      <c r="MQ69" s="54"/>
      <c r="MR69" s="54"/>
      <c r="MS69" s="54"/>
      <c r="MT69" s="54"/>
      <c r="MU69" s="54"/>
      <c r="MV69" s="54"/>
      <c r="MW69" s="54"/>
      <c r="MX69" s="54"/>
      <c r="MY69" s="54"/>
      <c r="MZ69" s="54"/>
      <c r="NA69" s="54"/>
      <c r="NB69" s="54"/>
      <c r="NC69" s="54"/>
      <c r="ND69" s="54"/>
      <c r="NE69" s="54"/>
      <c r="NF69" s="54"/>
      <c r="NG69" s="54"/>
      <c r="NH69" s="54"/>
      <c r="NI69" s="54"/>
      <c r="NJ69" s="54"/>
      <c r="NK69" s="54"/>
      <c r="NL69" s="54"/>
      <c r="NM69" s="54"/>
      <c r="NN69" s="54"/>
      <c r="NO69" s="54"/>
      <c r="NP69" s="54"/>
      <c r="NQ69" s="54"/>
      <c r="NR69" s="54"/>
      <c r="NS69" s="54"/>
      <c r="NT69" s="54"/>
      <c r="NU69" s="54"/>
      <c r="NV69" s="54"/>
      <c r="NW69" s="54"/>
      <c r="NX69" s="54"/>
      <c r="NY69" s="54"/>
      <c r="NZ69" s="54"/>
      <c r="OA69" s="54"/>
      <c r="OB69" s="54"/>
      <c r="OC69" s="54"/>
      <c r="OD69" s="54"/>
      <c r="OE69" s="54"/>
      <c r="OF69" s="54"/>
      <c r="OG69" s="54"/>
      <c r="OH69" s="54"/>
      <c r="OI69" s="54"/>
      <c r="OJ69" s="54"/>
      <c r="OK69" s="54"/>
      <c r="OL69" s="54"/>
      <c r="OM69" s="54"/>
      <c r="ON69" s="54"/>
      <c r="OO69" s="54"/>
      <c r="OP69" s="54"/>
      <c r="OQ69" s="54"/>
      <c r="OR69" s="54"/>
      <c r="OS69" s="54"/>
      <c r="OT69" s="54"/>
      <c r="OU69" s="54"/>
      <c r="OV69" s="54"/>
      <c r="OW69" s="54"/>
      <c r="OX69" s="54"/>
      <c r="OY69" s="54"/>
      <c r="OZ69" s="54"/>
      <c r="PA69" s="54"/>
      <c r="PB69" s="54"/>
      <c r="PC69" s="54"/>
      <c r="PD69" s="54"/>
      <c r="PE69" s="54"/>
      <c r="PF69" s="54"/>
      <c r="PG69" s="54"/>
      <c r="PH69" s="54"/>
      <c r="PI69" s="54"/>
      <c r="PJ69" s="54"/>
      <c r="PK69" s="54"/>
      <c r="PL69" s="54"/>
      <c r="PM69" s="54"/>
      <c r="PN69" s="54"/>
      <c r="PO69" s="54"/>
      <c r="PP69" s="54"/>
      <c r="PQ69" s="54"/>
      <c r="PR69" s="54"/>
      <c r="PS69" s="54"/>
      <c r="PT69" s="54"/>
      <c r="PU69" s="54"/>
      <c r="PV69" s="54"/>
      <c r="PW69" s="54"/>
      <c r="PX69" s="54"/>
      <c r="PY69" s="54"/>
      <c r="PZ69" s="54"/>
      <c r="QA69" s="54"/>
      <c r="QB69" s="54"/>
      <c r="QC69" s="54"/>
      <c r="QD69" s="54"/>
      <c r="QE69" s="54"/>
      <c r="QF69" s="54"/>
      <c r="QG69" s="54"/>
      <c r="QH69" s="54"/>
      <c r="QI69" s="54"/>
      <c r="QJ69" s="54"/>
      <c r="QK69" s="54"/>
      <c r="QL69" s="54"/>
      <c r="QM69" s="54"/>
      <c r="QN69" s="54"/>
      <c r="QO69" s="54"/>
      <c r="QP69" s="54"/>
      <c r="QQ69" s="54"/>
      <c r="QR69" s="54"/>
      <c r="QS69" s="54"/>
      <c r="QT69" s="54"/>
      <c r="QU69" s="54"/>
      <c r="QV69" s="54"/>
      <c r="QW69" s="54"/>
      <c r="QX69" s="54"/>
      <c r="QY69" s="54"/>
      <c r="QZ69" s="54"/>
      <c r="RA69" s="54"/>
      <c r="RB69" s="54"/>
      <c r="RC69" s="54"/>
      <c r="RD69" s="54"/>
      <c r="RE69" s="54"/>
      <c r="RF69" s="54"/>
      <c r="RG69" s="54"/>
      <c r="RH69" s="54"/>
      <c r="RI69" s="54"/>
      <c r="RJ69" s="54"/>
      <c r="RK69" s="54"/>
      <c r="RL69" s="54"/>
      <c r="RM69" s="54"/>
      <c r="RN69" s="54"/>
      <c r="RO69" s="54"/>
      <c r="RP69" s="54"/>
      <c r="RQ69" s="54"/>
      <c r="RR69" s="54"/>
      <c r="RS69" s="54"/>
      <c r="RT69" s="54"/>
      <c r="RU69" s="54"/>
      <c r="RV69" s="54"/>
      <c r="RW69" s="54"/>
      <c r="RX69" s="54"/>
      <c r="RY69" s="54"/>
      <c r="RZ69" s="54"/>
      <c r="SA69" s="54"/>
      <c r="SB69" s="54"/>
      <c r="SC69" s="54"/>
      <c r="SD69" s="54"/>
      <c r="SE69" s="54"/>
      <c r="SF69" s="54"/>
      <c r="SG69" s="54"/>
      <c r="SH69" s="54"/>
      <c r="SI69" s="54"/>
      <c r="SJ69" s="54"/>
      <c r="SK69" s="54"/>
      <c r="SL69" s="54"/>
      <c r="SM69" s="54"/>
      <c r="SN69" s="54"/>
      <c r="SO69" s="54"/>
      <c r="SP69" s="54"/>
      <c r="SQ69" s="54"/>
      <c r="SR69" s="54"/>
    </row>
    <row r="70" spans="1:512" s="55" customFormat="1" ht="15" customHeight="1" x14ac:dyDescent="0.7">
      <c r="A70" s="173"/>
      <c r="B70" s="173"/>
      <c r="C70" s="173"/>
      <c r="D70" s="173"/>
      <c r="E70" s="173"/>
      <c r="F70" s="173"/>
      <c r="G70" s="176"/>
      <c r="H70" s="92"/>
      <c r="I70" s="93"/>
      <c r="J70" s="94"/>
      <c r="K70" s="170"/>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c r="IX70" s="56"/>
      <c r="IY70" s="56"/>
      <c r="IZ70" s="56"/>
      <c r="JA70" s="56"/>
      <c r="JB70" s="56"/>
      <c r="JC70" s="56"/>
      <c r="JD70" s="56"/>
      <c r="JE70" s="56"/>
      <c r="JF70" s="56"/>
      <c r="JG70" s="56"/>
      <c r="JH70" s="56"/>
      <c r="JI70" s="56"/>
      <c r="JJ70" s="56"/>
      <c r="JK70" s="56"/>
      <c r="JL70" s="56"/>
      <c r="JM70" s="56"/>
      <c r="JN70" s="56"/>
      <c r="JO70" s="56"/>
      <c r="JP70" s="56"/>
      <c r="JQ70" s="56"/>
      <c r="JR70" s="56"/>
      <c r="JS70" s="56"/>
      <c r="JT70" s="56"/>
      <c r="JU70" s="56"/>
      <c r="JV70" s="56"/>
      <c r="JW70" s="56"/>
      <c r="JX70" s="56"/>
      <c r="JY70" s="56"/>
      <c r="JZ70" s="56"/>
      <c r="KA70" s="56"/>
      <c r="KB70" s="56"/>
      <c r="KC70" s="56"/>
      <c r="KD70" s="56"/>
      <c r="KE70" s="56"/>
      <c r="KF70" s="56"/>
      <c r="KG70" s="56"/>
      <c r="KH70" s="56"/>
      <c r="KI70" s="56"/>
      <c r="KJ70" s="56"/>
      <c r="KK70" s="56"/>
      <c r="KL70" s="56"/>
      <c r="KM70" s="56"/>
      <c r="KN70" s="56"/>
      <c r="KO70" s="56"/>
      <c r="KP70" s="56"/>
      <c r="KQ70" s="56"/>
      <c r="KR70" s="56"/>
      <c r="KS70" s="56"/>
      <c r="KT70" s="56"/>
      <c r="KU70" s="56"/>
      <c r="KV70" s="56"/>
      <c r="KW70" s="56"/>
      <c r="KX70" s="56"/>
      <c r="KY70" s="56"/>
      <c r="KZ70" s="56"/>
      <c r="LA70" s="56"/>
      <c r="LB70" s="56"/>
      <c r="LC70" s="56"/>
      <c r="LD70" s="56"/>
      <c r="LE70" s="56"/>
      <c r="LF70" s="56"/>
      <c r="LG70" s="56"/>
      <c r="LH70" s="56"/>
      <c r="LI70" s="56"/>
      <c r="LJ70" s="56"/>
      <c r="LK70" s="56"/>
      <c r="LL70" s="56"/>
      <c r="LM70" s="56"/>
      <c r="LN70" s="56"/>
      <c r="LO70" s="56"/>
      <c r="LP70" s="56"/>
      <c r="LQ70" s="56"/>
      <c r="LR70" s="56"/>
      <c r="LS70" s="56"/>
      <c r="LT70" s="56"/>
      <c r="LU70" s="56"/>
      <c r="LV70" s="56"/>
      <c r="LW70" s="56"/>
      <c r="LX70" s="56"/>
      <c r="LY70" s="56"/>
      <c r="LZ70" s="56"/>
      <c r="MA70" s="56"/>
      <c r="MB70" s="56"/>
      <c r="MC70" s="56"/>
      <c r="MD70" s="56"/>
      <c r="ME70" s="56"/>
      <c r="MF70" s="56"/>
      <c r="MG70" s="56"/>
      <c r="MH70" s="56"/>
      <c r="MI70" s="56"/>
      <c r="MJ70" s="56"/>
      <c r="MK70" s="56"/>
      <c r="ML70" s="56"/>
      <c r="MM70" s="56"/>
      <c r="MN70" s="56"/>
      <c r="MO70" s="56"/>
      <c r="MP70" s="56"/>
      <c r="MQ70" s="56"/>
      <c r="MR70" s="56"/>
      <c r="MS70" s="56"/>
      <c r="MT70" s="56"/>
      <c r="MU70" s="56"/>
      <c r="MV70" s="56"/>
      <c r="MW70" s="56"/>
      <c r="MX70" s="56"/>
      <c r="MY70" s="56"/>
      <c r="MZ70" s="56"/>
      <c r="NA70" s="56"/>
      <c r="NB70" s="56"/>
      <c r="NC70" s="56"/>
      <c r="ND70" s="56"/>
      <c r="NE70" s="56"/>
      <c r="NF70" s="56"/>
      <c r="NG70" s="56"/>
      <c r="NH70" s="56"/>
      <c r="NI70" s="56"/>
      <c r="NJ70" s="56"/>
      <c r="NK70" s="56"/>
      <c r="NL70" s="56"/>
      <c r="NM70" s="56"/>
      <c r="NN70" s="56"/>
      <c r="NO70" s="56"/>
      <c r="NP70" s="56"/>
      <c r="NQ70" s="56"/>
      <c r="NR70" s="56"/>
      <c r="NS70" s="56"/>
      <c r="NT70" s="56"/>
      <c r="NU70" s="56"/>
      <c r="NV70" s="56"/>
      <c r="NW70" s="56"/>
      <c r="NX70" s="56"/>
      <c r="NY70" s="56"/>
      <c r="NZ70" s="56"/>
      <c r="OA70" s="56"/>
      <c r="OB70" s="56"/>
      <c r="OC70" s="56"/>
      <c r="OD70" s="56"/>
      <c r="OE70" s="56"/>
      <c r="OF70" s="56"/>
      <c r="OG70" s="56"/>
      <c r="OH70" s="56"/>
      <c r="OI70" s="56"/>
      <c r="OJ70" s="56"/>
      <c r="OK70" s="56"/>
      <c r="OL70" s="56"/>
      <c r="OM70" s="56"/>
      <c r="ON70" s="56"/>
      <c r="OO70" s="56"/>
      <c r="OP70" s="56"/>
      <c r="OQ70" s="56"/>
      <c r="OR70" s="56"/>
      <c r="OS70" s="56"/>
      <c r="OT70" s="56"/>
      <c r="OU70" s="56"/>
      <c r="OV70" s="56"/>
      <c r="OW70" s="56"/>
      <c r="OX70" s="56"/>
      <c r="OY70" s="56"/>
      <c r="OZ70" s="56"/>
      <c r="PA70" s="56"/>
      <c r="PB70" s="56"/>
      <c r="PC70" s="56"/>
      <c r="PD70" s="56"/>
      <c r="PE70" s="56"/>
      <c r="PF70" s="56"/>
      <c r="PG70" s="56"/>
      <c r="PH70" s="56"/>
      <c r="PI70" s="56"/>
      <c r="PJ70" s="56"/>
      <c r="PK70" s="56"/>
      <c r="PL70" s="56"/>
      <c r="PM70" s="56"/>
      <c r="PN70" s="56"/>
      <c r="PO70" s="56"/>
      <c r="PP70" s="56"/>
      <c r="PQ70" s="56"/>
      <c r="PR70" s="56"/>
      <c r="PS70" s="56"/>
      <c r="PT70" s="56"/>
      <c r="PU70" s="56"/>
      <c r="PV70" s="56"/>
      <c r="PW70" s="56"/>
      <c r="PX70" s="56"/>
      <c r="PY70" s="56"/>
      <c r="PZ70" s="56"/>
      <c r="QA70" s="56"/>
      <c r="QB70" s="56"/>
      <c r="QC70" s="56"/>
      <c r="QD70" s="56"/>
      <c r="QE70" s="56"/>
      <c r="QF70" s="56"/>
      <c r="QG70" s="56"/>
      <c r="QH70" s="56"/>
      <c r="QI70" s="56"/>
      <c r="QJ70" s="56"/>
      <c r="QK70" s="56"/>
      <c r="QL70" s="56"/>
      <c r="QM70" s="56"/>
      <c r="QN70" s="56"/>
      <c r="QO70" s="56"/>
      <c r="QP70" s="56"/>
      <c r="QQ70" s="56"/>
      <c r="QR70" s="56"/>
      <c r="QS70" s="56"/>
      <c r="QT70" s="56"/>
      <c r="QU70" s="56"/>
      <c r="QV70" s="56"/>
      <c r="QW70" s="56"/>
      <c r="QX70" s="56"/>
      <c r="QY70" s="56"/>
      <c r="QZ70" s="56"/>
      <c r="RA70" s="56"/>
      <c r="RB70" s="56"/>
      <c r="RC70" s="56"/>
      <c r="RD70" s="56"/>
      <c r="RE70" s="56"/>
      <c r="RF70" s="56"/>
      <c r="RG70" s="56"/>
      <c r="RH70" s="56"/>
      <c r="RI70" s="56"/>
      <c r="RJ70" s="56"/>
      <c r="RK70" s="56"/>
      <c r="RL70" s="56"/>
      <c r="RM70" s="56"/>
      <c r="RN70" s="56"/>
      <c r="RO70" s="56"/>
      <c r="RP70" s="56"/>
      <c r="RQ70" s="56"/>
      <c r="RR70" s="56"/>
      <c r="RS70" s="56"/>
      <c r="RT70" s="56"/>
      <c r="RU70" s="56"/>
      <c r="RV70" s="56"/>
      <c r="RW70" s="56"/>
      <c r="RX70" s="56"/>
      <c r="RY70" s="56"/>
      <c r="RZ70" s="56"/>
      <c r="SA70" s="56"/>
      <c r="SB70" s="56"/>
      <c r="SC70" s="56"/>
      <c r="SD70" s="56"/>
      <c r="SE70" s="56"/>
      <c r="SF70" s="56"/>
      <c r="SG70" s="56"/>
      <c r="SH70" s="56"/>
      <c r="SI70" s="56"/>
      <c r="SJ70" s="56"/>
      <c r="SK70" s="56"/>
      <c r="SL70" s="56"/>
      <c r="SM70" s="56"/>
      <c r="SN70" s="56"/>
      <c r="SO70" s="56"/>
      <c r="SP70" s="56"/>
      <c r="SQ70" s="56"/>
      <c r="SR70" s="56"/>
    </row>
    <row r="71" spans="1:512" ht="15" customHeight="1" x14ac:dyDescent="0.7">
      <c r="A71" s="171">
        <v>21</v>
      </c>
      <c r="B71" s="171" t="s">
        <v>78</v>
      </c>
      <c r="C71" s="171" t="s">
        <v>396</v>
      </c>
      <c r="D71" s="171"/>
      <c r="E71" s="171" t="s">
        <v>37</v>
      </c>
      <c r="F71" s="171"/>
      <c r="G71" s="174" t="s">
        <v>397</v>
      </c>
      <c r="H71" s="88" t="s">
        <v>398</v>
      </c>
      <c r="I71" s="160" t="s">
        <v>391</v>
      </c>
      <c r="J71" s="161">
        <v>6.3</v>
      </c>
      <c r="K71" s="185">
        <v>3.15</v>
      </c>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c r="IR71" s="54"/>
      <c r="IS71" s="54"/>
      <c r="IT71" s="54"/>
      <c r="IU71" s="54"/>
      <c r="IV71" s="54"/>
      <c r="IW71" s="54"/>
      <c r="IX71" s="54"/>
      <c r="IY71" s="54"/>
      <c r="IZ71" s="54"/>
      <c r="JA71" s="54"/>
      <c r="JB71" s="54"/>
      <c r="JC71" s="54"/>
      <c r="JD71" s="54"/>
      <c r="JE71" s="54"/>
      <c r="JF71" s="54"/>
      <c r="JG71" s="54"/>
      <c r="JH71" s="54"/>
      <c r="JI71" s="54"/>
      <c r="JJ71" s="54"/>
      <c r="JK71" s="54"/>
      <c r="JL71" s="54"/>
      <c r="JM71" s="54"/>
      <c r="JN71" s="54"/>
      <c r="JO71" s="54"/>
      <c r="JP71" s="54"/>
      <c r="JQ71" s="54"/>
      <c r="JR71" s="54"/>
      <c r="JS71" s="54"/>
      <c r="JT71" s="54"/>
      <c r="JU71" s="54"/>
      <c r="JV71" s="54"/>
      <c r="JW71" s="54"/>
      <c r="JX71" s="54"/>
      <c r="JY71" s="54"/>
      <c r="JZ71" s="54"/>
      <c r="KA71" s="54"/>
      <c r="KB71" s="54"/>
      <c r="KC71" s="54"/>
      <c r="KD71" s="54"/>
      <c r="KE71" s="54"/>
      <c r="KF71" s="54"/>
      <c r="KG71" s="54"/>
      <c r="KH71" s="54"/>
      <c r="KI71" s="54"/>
      <c r="KJ71" s="54"/>
      <c r="KK71" s="54"/>
      <c r="KL71" s="54"/>
      <c r="KM71" s="54"/>
      <c r="KN71" s="54"/>
      <c r="KO71" s="54"/>
      <c r="KP71" s="54"/>
      <c r="KQ71" s="54"/>
      <c r="KR71" s="54"/>
      <c r="KS71" s="54"/>
      <c r="KT71" s="54"/>
      <c r="KU71" s="54"/>
      <c r="KV71" s="54"/>
      <c r="KW71" s="54"/>
      <c r="KX71" s="54"/>
      <c r="KY71" s="54"/>
      <c r="KZ71" s="54"/>
      <c r="LA71" s="54"/>
      <c r="LB71" s="54"/>
      <c r="LC71" s="54"/>
      <c r="LD71" s="54"/>
      <c r="LE71" s="54"/>
      <c r="LF71" s="54"/>
      <c r="LG71" s="54"/>
      <c r="LH71" s="54"/>
      <c r="LI71" s="54"/>
      <c r="LJ71" s="54"/>
      <c r="LK71" s="54"/>
      <c r="LL71" s="54"/>
      <c r="LM71" s="54"/>
      <c r="LN71" s="54"/>
      <c r="LO71" s="54"/>
      <c r="LP71" s="54"/>
      <c r="LQ71" s="54"/>
      <c r="LR71" s="54"/>
      <c r="LS71" s="54"/>
      <c r="LT71" s="54"/>
      <c r="LU71" s="54"/>
      <c r="LV71" s="54"/>
      <c r="LW71" s="54"/>
      <c r="LX71" s="54"/>
      <c r="LY71" s="54"/>
      <c r="LZ71" s="54"/>
      <c r="MA71" s="54"/>
      <c r="MB71" s="54"/>
      <c r="MC71" s="54"/>
      <c r="MD71" s="54"/>
      <c r="ME71" s="54"/>
      <c r="MF71" s="54"/>
      <c r="MG71" s="54"/>
      <c r="MH71" s="54"/>
      <c r="MI71" s="54"/>
      <c r="MJ71" s="54"/>
      <c r="MK71" s="54"/>
      <c r="ML71" s="54"/>
      <c r="MM71" s="54"/>
      <c r="MN71" s="54"/>
      <c r="MO71" s="54"/>
      <c r="MP71" s="54"/>
      <c r="MQ71" s="54"/>
      <c r="MR71" s="54"/>
      <c r="MS71" s="54"/>
      <c r="MT71" s="54"/>
      <c r="MU71" s="54"/>
      <c r="MV71" s="54"/>
      <c r="MW71" s="54"/>
      <c r="MX71" s="54"/>
      <c r="MY71" s="54"/>
      <c r="MZ71" s="54"/>
      <c r="NA71" s="54"/>
      <c r="NB71" s="54"/>
      <c r="NC71" s="54"/>
      <c r="ND71" s="54"/>
      <c r="NE71" s="54"/>
      <c r="NF71" s="54"/>
      <c r="NG71" s="54"/>
      <c r="NH71" s="54"/>
      <c r="NI71" s="54"/>
      <c r="NJ71" s="54"/>
      <c r="NK71" s="54"/>
      <c r="NL71" s="54"/>
      <c r="NM71" s="54"/>
      <c r="NN71" s="54"/>
      <c r="NO71" s="54"/>
      <c r="NP71" s="54"/>
      <c r="NQ71" s="54"/>
      <c r="NR71" s="54"/>
      <c r="NS71" s="54"/>
      <c r="NT71" s="54"/>
      <c r="NU71" s="54"/>
      <c r="NV71" s="54"/>
      <c r="NW71" s="54"/>
      <c r="NX71" s="54"/>
      <c r="NY71" s="54"/>
      <c r="NZ71" s="54"/>
      <c r="OA71" s="54"/>
      <c r="OB71" s="54"/>
      <c r="OC71" s="54"/>
      <c r="OD71" s="54"/>
      <c r="OE71" s="54"/>
      <c r="OF71" s="54"/>
      <c r="OG71" s="54"/>
      <c r="OH71" s="54"/>
      <c r="OI71" s="54"/>
      <c r="OJ71" s="54"/>
      <c r="OK71" s="54"/>
      <c r="OL71" s="54"/>
      <c r="OM71" s="54"/>
      <c r="ON71" s="54"/>
      <c r="OO71" s="54"/>
      <c r="OP71" s="54"/>
      <c r="OQ71" s="54"/>
      <c r="OR71" s="54"/>
      <c r="OS71" s="54"/>
      <c r="OT71" s="54"/>
      <c r="OU71" s="54"/>
      <c r="OV71" s="54"/>
      <c r="OW71" s="54"/>
      <c r="OX71" s="54"/>
      <c r="OY71" s="54"/>
      <c r="OZ71" s="54"/>
      <c r="PA71" s="54"/>
      <c r="PB71" s="54"/>
      <c r="PC71" s="54"/>
      <c r="PD71" s="54"/>
      <c r="PE71" s="54"/>
      <c r="PF71" s="54"/>
      <c r="PG71" s="54"/>
      <c r="PH71" s="54"/>
      <c r="PI71" s="54"/>
      <c r="PJ71" s="54"/>
      <c r="PK71" s="54"/>
      <c r="PL71" s="54"/>
      <c r="PM71" s="54"/>
      <c r="PN71" s="54"/>
      <c r="PO71" s="54"/>
      <c r="PP71" s="54"/>
      <c r="PQ71" s="54"/>
      <c r="PR71" s="54"/>
      <c r="PS71" s="54"/>
      <c r="PT71" s="54"/>
      <c r="PU71" s="54"/>
      <c r="PV71" s="54"/>
      <c r="PW71" s="54"/>
      <c r="PX71" s="54"/>
      <c r="PY71" s="54"/>
      <c r="PZ71" s="54"/>
      <c r="QA71" s="54"/>
      <c r="QB71" s="54"/>
      <c r="QC71" s="54"/>
      <c r="QD71" s="54"/>
      <c r="QE71" s="54"/>
      <c r="QF71" s="54"/>
      <c r="QG71" s="54"/>
      <c r="QH71" s="54"/>
      <c r="QI71" s="54"/>
      <c r="QJ71" s="54"/>
      <c r="QK71" s="54"/>
      <c r="QL71" s="54"/>
      <c r="QM71" s="54"/>
      <c r="QN71" s="54"/>
      <c r="QO71" s="54"/>
      <c r="QP71" s="54"/>
      <c r="QQ71" s="54"/>
      <c r="QR71" s="54"/>
      <c r="QS71" s="54"/>
      <c r="QT71" s="54"/>
      <c r="QU71" s="54"/>
      <c r="QV71" s="54"/>
      <c r="QW71" s="54"/>
      <c r="QX71" s="54"/>
      <c r="QY71" s="54"/>
      <c r="QZ71" s="54"/>
      <c r="RA71" s="54"/>
      <c r="RB71" s="54"/>
      <c r="RC71" s="54"/>
      <c r="RD71" s="54"/>
      <c r="RE71" s="54"/>
      <c r="RF71" s="54"/>
      <c r="RG71" s="54"/>
      <c r="RH71" s="54"/>
      <c r="RI71" s="54"/>
      <c r="RJ71" s="54"/>
      <c r="RK71" s="54"/>
      <c r="RL71" s="54"/>
      <c r="RM71" s="54"/>
      <c r="RN71" s="54"/>
      <c r="RO71" s="54"/>
      <c r="RP71" s="54"/>
      <c r="RQ71" s="54"/>
      <c r="RR71" s="54"/>
      <c r="RS71" s="54"/>
      <c r="RT71" s="54"/>
      <c r="RU71" s="54"/>
      <c r="RV71" s="54"/>
      <c r="RW71" s="54"/>
      <c r="RX71" s="54"/>
      <c r="RY71" s="54"/>
      <c r="RZ71" s="54"/>
      <c r="SA71" s="54"/>
      <c r="SB71" s="54"/>
      <c r="SC71" s="54"/>
      <c r="SD71" s="54"/>
      <c r="SE71" s="54"/>
      <c r="SF71" s="54"/>
      <c r="SG71" s="54"/>
      <c r="SH71" s="54"/>
      <c r="SI71" s="54"/>
      <c r="SJ71" s="54"/>
      <c r="SK71" s="54"/>
      <c r="SL71" s="54"/>
      <c r="SM71" s="54"/>
      <c r="SN71" s="54"/>
      <c r="SO71" s="54"/>
      <c r="SP71" s="54"/>
      <c r="SQ71" s="54"/>
      <c r="SR71" s="54"/>
    </row>
    <row r="72" spans="1:512" ht="15" customHeight="1" x14ac:dyDescent="0.7">
      <c r="A72" s="172"/>
      <c r="B72" s="172"/>
      <c r="C72" s="172"/>
      <c r="D72" s="172"/>
      <c r="E72" s="172"/>
      <c r="F72" s="172"/>
      <c r="G72" s="175"/>
      <c r="H72" s="91"/>
      <c r="I72" s="160" t="s">
        <v>399</v>
      </c>
      <c r="J72" s="161">
        <v>0</v>
      </c>
      <c r="K72" s="186"/>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c r="FD72" s="54"/>
      <c r="FE72" s="54"/>
      <c r="FF72" s="54"/>
      <c r="FG72" s="54"/>
      <c r="FH72" s="54"/>
      <c r="FI72" s="54"/>
      <c r="FJ72" s="54"/>
      <c r="FK72" s="54"/>
      <c r="FL72" s="54"/>
      <c r="FM72" s="54"/>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4"/>
      <c r="HT72" s="54"/>
      <c r="HU72" s="54"/>
      <c r="HV72" s="54"/>
      <c r="HW72" s="54"/>
      <c r="HX72" s="54"/>
      <c r="HY72" s="54"/>
      <c r="HZ72" s="54"/>
      <c r="IA72" s="54"/>
      <c r="IB72" s="54"/>
      <c r="IC72" s="54"/>
      <c r="ID72" s="54"/>
      <c r="IE72" s="54"/>
      <c r="IF72" s="54"/>
      <c r="IG72" s="54"/>
      <c r="IH72" s="54"/>
      <c r="II72" s="54"/>
      <c r="IJ72" s="54"/>
      <c r="IK72" s="54"/>
      <c r="IL72" s="54"/>
      <c r="IM72" s="54"/>
      <c r="IN72" s="54"/>
      <c r="IO72" s="54"/>
      <c r="IP72" s="54"/>
      <c r="IQ72" s="54"/>
      <c r="IR72" s="54"/>
      <c r="IS72" s="54"/>
      <c r="IT72" s="54"/>
      <c r="IU72" s="54"/>
      <c r="IV72" s="54"/>
      <c r="IW72" s="54"/>
      <c r="IX72" s="54"/>
      <c r="IY72" s="54"/>
      <c r="IZ72" s="54"/>
      <c r="JA72" s="54"/>
      <c r="JB72" s="54"/>
      <c r="JC72" s="54"/>
      <c r="JD72" s="54"/>
      <c r="JE72" s="54"/>
      <c r="JF72" s="54"/>
      <c r="JG72" s="54"/>
      <c r="JH72" s="54"/>
      <c r="JI72" s="54"/>
      <c r="JJ72" s="54"/>
      <c r="JK72" s="54"/>
      <c r="JL72" s="54"/>
      <c r="JM72" s="54"/>
      <c r="JN72" s="54"/>
      <c r="JO72" s="54"/>
      <c r="JP72" s="54"/>
      <c r="JQ72" s="54"/>
      <c r="JR72" s="54"/>
      <c r="JS72" s="54"/>
      <c r="JT72" s="54"/>
      <c r="JU72" s="54"/>
      <c r="JV72" s="54"/>
      <c r="JW72" s="54"/>
      <c r="JX72" s="54"/>
      <c r="JY72" s="54"/>
      <c r="JZ72" s="54"/>
      <c r="KA72" s="54"/>
      <c r="KB72" s="54"/>
      <c r="KC72" s="54"/>
      <c r="KD72" s="54"/>
      <c r="KE72" s="54"/>
      <c r="KF72" s="54"/>
      <c r="KG72" s="54"/>
      <c r="KH72" s="54"/>
      <c r="KI72" s="54"/>
      <c r="KJ72" s="54"/>
      <c r="KK72" s="54"/>
      <c r="KL72" s="54"/>
      <c r="KM72" s="54"/>
      <c r="KN72" s="54"/>
      <c r="KO72" s="54"/>
      <c r="KP72" s="54"/>
      <c r="KQ72" s="54"/>
      <c r="KR72" s="54"/>
      <c r="KS72" s="54"/>
      <c r="KT72" s="54"/>
      <c r="KU72" s="54"/>
      <c r="KV72" s="54"/>
      <c r="KW72" s="54"/>
      <c r="KX72" s="54"/>
      <c r="KY72" s="54"/>
      <c r="KZ72" s="54"/>
      <c r="LA72" s="54"/>
      <c r="LB72" s="54"/>
      <c r="LC72" s="54"/>
      <c r="LD72" s="54"/>
      <c r="LE72" s="54"/>
      <c r="LF72" s="54"/>
      <c r="LG72" s="54"/>
      <c r="LH72" s="54"/>
      <c r="LI72" s="54"/>
      <c r="LJ72" s="54"/>
      <c r="LK72" s="54"/>
      <c r="LL72" s="54"/>
      <c r="LM72" s="54"/>
      <c r="LN72" s="54"/>
      <c r="LO72" s="54"/>
      <c r="LP72" s="54"/>
      <c r="LQ72" s="54"/>
      <c r="LR72" s="54"/>
      <c r="LS72" s="54"/>
      <c r="LT72" s="54"/>
      <c r="LU72" s="54"/>
      <c r="LV72" s="54"/>
      <c r="LW72" s="54"/>
      <c r="LX72" s="54"/>
      <c r="LY72" s="54"/>
      <c r="LZ72" s="54"/>
      <c r="MA72" s="54"/>
      <c r="MB72" s="54"/>
      <c r="MC72" s="54"/>
      <c r="MD72" s="54"/>
      <c r="ME72" s="54"/>
      <c r="MF72" s="54"/>
      <c r="MG72" s="54"/>
      <c r="MH72" s="54"/>
      <c r="MI72" s="54"/>
      <c r="MJ72" s="54"/>
      <c r="MK72" s="54"/>
      <c r="ML72" s="54"/>
      <c r="MM72" s="54"/>
      <c r="MN72" s="54"/>
      <c r="MO72" s="54"/>
      <c r="MP72" s="54"/>
      <c r="MQ72" s="54"/>
      <c r="MR72" s="54"/>
      <c r="MS72" s="54"/>
      <c r="MT72" s="54"/>
      <c r="MU72" s="54"/>
      <c r="MV72" s="54"/>
      <c r="MW72" s="54"/>
      <c r="MX72" s="54"/>
      <c r="MY72" s="54"/>
      <c r="MZ72" s="54"/>
      <c r="NA72" s="54"/>
      <c r="NB72" s="54"/>
      <c r="NC72" s="54"/>
      <c r="ND72" s="54"/>
      <c r="NE72" s="54"/>
      <c r="NF72" s="54"/>
      <c r="NG72" s="54"/>
      <c r="NH72" s="54"/>
      <c r="NI72" s="54"/>
      <c r="NJ72" s="54"/>
      <c r="NK72" s="54"/>
      <c r="NL72" s="54"/>
      <c r="NM72" s="54"/>
      <c r="NN72" s="54"/>
      <c r="NO72" s="54"/>
      <c r="NP72" s="54"/>
      <c r="NQ72" s="54"/>
      <c r="NR72" s="54"/>
      <c r="NS72" s="54"/>
      <c r="NT72" s="54"/>
      <c r="NU72" s="54"/>
      <c r="NV72" s="54"/>
      <c r="NW72" s="54"/>
      <c r="NX72" s="54"/>
      <c r="NY72" s="54"/>
      <c r="NZ72" s="54"/>
      <c r="OA72" s="54"/>
      <c r="OB72" s="54"/>
      <c r="OC72" s="54"/>
      <c r="OD72" s="54"/>
      <c r="OE72" s="54"/>
      <c r="OF72" s="54"/>
      <c r="OG72" s="54"/>
      <c r="OH72" s="54"/>
      <c r="OI72" s="54"/>
      <c r="OJ72" s="54"/>
      <c r="OK72" s="54"/>
      <c r="OL72" s="54"/>
      <c r="OM72" s="54"/>
      <c r="ON72" s="54"/>
      <c r="OO72" s="54"/>
      <c r="OP72" s="54"/>
      <c r="OQ72" s="54"/>
      <c r="OR72" s="54"/>
      <c r="OS72" s="54"/>
      <c r="OT72" s="54"/>
      <c r="OU72" s="54"/>
      <c r="OV72" s="54"/>
      <c r="OW72" s="54"/>
      <c r="OX72" s="54"/>
      <c r="OY72" s="54"/>
      <c r="OZ72" s="54"/>
      <c r="PA72" s="54"/>
      <c r="PB72" s="54"/>
      <c r="PC72" s="54"/>
      <c r="PD72" s="54"/>
      <c r="PE72" s="54"/>
      <c r="PF72" s="54"/>
      <c r="PG72" s="54"/>
      <c r="PH72" s="54"/>
      <c r="PI72" s="54"/>
      <c r="PJ72" s="54"/>
      <c r="PK72" s="54"/>
      <c r="PL72" s="54"/>
      <c r="PM72" s="54"/>
      <c r="PN72" s="54"/>
      <c r="PO72" s="54"/>
      <c r="PP72" s="54"/>
      <c r="PQ72" s="54"/>
      <c r="PR72" s="54"/>
      <c r="PS72" s="54"/>
      <c r="PT72" s="54"/>
      <c r="PU72" s="54"/>
      <c r="PV72" s="54"/>
      <c r="PW72" s="54"/>
      <c r="PX72" s="54"/>
      <c r="PY72" s="54"/>
      <c r="PZ72" s="54"/>
      <c r="QA72" s="54"/>
      <c r="QB72" s="54"/>
      <c r="QC72" s="54"/>
      <c r="QD72" s="54"/>
      <c r="QE72" s="54"/>
      <c r="QF72" s="54"/>
      <c r="QG72" s="54"/>
      <c r="QH72" s="54"/>
      <c r="QI72" s="54"/>
      <c r="QJ72" s="54"/>
      <c r="QK72" s="54"/>
      <c r="QL72" s="54"/>
      <c r="QM72" s="54"/>
      <c r="QN72" s="54"/>
      <c r="QO72" s="54"/>
      <c r="QP72" s="54"/>
      <c r="QQ72" s="54"/>
      <c r="QR72" s="54"/>
      <c r="QS72" s="54"/>
      <c r="QT72" s="54"/>
      <c r="QU72" s="54"/>
      <c r="QV72" s="54"/>
      <c r="QW72" s="54"/>
      <c r="QX72" s="54"/>
      <c r="QY72" s="54"/>
      <c r="QZ72" s="54"/>
      <c r="RA72" s="54"/>
      <c r="RB72" s="54"/>
      <c r="RC72" s="54"/>
      <c r="RD72" s="54"/>
      <c r="RE72" s="54"/>
      <c r="RF72" s="54"/>
      <c r="RG72" s="54"/>
      <c r="RH72" s="54"/>
      <c r="RI72" s="54"/>
      <c r="RJ72" s="54"/>
      <c r="RK72" s="54"/>
      <c r="RL72" s="54"/>
      <c r="RM72" s="54"/>
      <c r="RN72" s="54"/>
      <c r="RO72" s="54"/>
      <c r="RP72" s="54"/>
      <c r="RQ72" s="54"/>
      <c r="RR72" s="54"/>
      <c r="RS72" s="54"/>
      <c r="RT72" s="54"/>
      <c r="RU72" s="54"/>
      <c r="RV72" s="54"/>
      <c r="RW72" s="54"/>
      <c r="RX72" s="54"/>
      <c r="RY72" s="54"/>
      <c r="RZ72" s="54"/>
      <c r="SA72" s="54"/>
      <c r="SB72" s="54"/>
      <c r="SC72" s="54"/>
      <c r="SD72" s="54"/>
      <c r="SE72" s="54"/>
      <c r="SF72" s="54"/>
      <c r="SG72" s="54"/>
      <c r="SH72" s="54"/>
      <c r="SI72" s="54"/>
      <c r="SJ72" s="54"/>
      <c r="SK72" s="54"/>
      <c r="SL72" s="54"/>
      <c r="SM72" s="54"/>
      <c r="SN72" s="54"/>
      <c r="SO72" s="54"/>
      <c r="SP72" s="54"/>
      <c r="SQ72" s="54"/>
      <c r="SR72" s="54"/>
    </row>
    <row r="73" spans="1:512" s="55" customFormat="1" ht="15" customHeight="1" x14ac:dyDescent="0.7">
      <c r="A73" s="173"/>
      <c r="B73" s="173"/>
      <c r="C73" s="173"/>
      <c r="D73" s="173"/>
      <c r="E73" s="173"/>
      <c r="F73" s="173"/>
      <c r="G73" s="176"/>
      <c r="H73" s="92"/>
      <c r="I73" s="162"/>
      <c r="J73" s="163"/>
      <c r="K73" s="187"/>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c r="IX73" s="56"/>
      <c r="IY73" s="56"/>
      <c r="IZ73" s="56"/>
      <c r="JA73" s="56"/>
      <c r="JB73" s="56"/>
      <c r="JC73" s="56"/>
      <c r="JD73" s="56"/>
      <c r="JE73" s="56"/>
      <c r="JF73" s="56"/>
      <c r="JG73" s="56"/>
      <c r="JH73" s="56"/>
      <c r="JI73" s="56"/>
      <c r="JJ73" s="56"/>
      <c r="JK73" s="56"/>
      <c r="JL73" s="56"/>
      <c r="JM73" s="56"/>
      <c r="JN73" s="56"/>
      <c r="JO73" s="56"/>
      <c r="JP73" s="56"/>
      <c r="JQ73" s="56"/>
      <c r="JR73" s="56"/>
      <c r="JS73" s="56"/>
      <c r="JT73" s="56"/>
      <c r="JU73" s="56"/>
      <c r="JV73" s="56"/>
      <c r="JW73" s="56"/>
      <c r="JX73" s="56"/>
      <c r="JY73" s="56"/>
      <c r="JZ73" s="56"/>
      <c r="KA73" s="56"/>
      <c r="KB73" s="56"/>
      <c r="KC73" s="56"/>
      <c r="KD73" s="56"/>
      <c r="KE73" s="56"/>
      <c r="KF73" s="56"/>
      <c r="KG73" s="56"/>
      <c r="KH73" s="56"/>
      <c r="KI73" s="56"/>
      <c r="KJ73" s="56"/>
      <c r="KK73" s="56"/>
      <c r="KL73" s="56"/>
      <c r="KM73" s="56"/>
      <c r="KN73" s="56"/>
      <c r="KO73" s="56"/>
      <c r="KP73" s="56"/>
      <c r="KQ73" s="56"/>
      <c r="KR73" s="56"/>
      <c r="KS73" s="56"/>
      <c r="KT73" s="56"/>
      <c r="KU73" s="56"/>
      <c r="KV73" s="56"/>
      <c r="KW73" s="56"/>
      <c r="KX73" s="56"/>
      <c r="KY73" s="56"/>
      <c r="KZ73" s="56"/>
      <c r="LA73" s="56"/>
      <c r="LB73" s="56"/>
      <c r="LC73" s="56"/>
      <c r="LD73" s="56"/>
      <c r="LE73" s="56"/>
      <c r="LF73" s="56"/>
      <c r="LG73" s="56"/>
      <c r="LH73" s="56"/>
      <c r="LI73" s="56"/>
      <c r="LJ73" s="56"/>
      <c r="LK73" s="56"/>
      <c r="LL73" s="56"/>
      <c r="LM73" s="56"/>
      <c r="LN73" s="56"/>
      <c r="LO73" s="56"/>
      <c r="LP73" s="56"/>
      <c r="LQ73" s="56"/>
      <c r="LR73" s="56"/>
      <c r="LS73" s="56"/>
      <c r="LT73" s="56"/>
      <c r="LU73" s="56"/>
      <c r="LV73" s="56"/>
      <c r="LW73" s="56"/>
      <c r="LX73" s="56"/>
      <c r="LY73" s="56"/>
      <c r="LZ73" s="56"/>
      <c r="MA73" s="56"/>
      <c r="MB73" s="56"/>
      <c r="MC73" s="56"/>
      <c r="MD73" s="56"/>
      <c r="ME73" s="56"/>
      <c r="MF73" s="56"/>
      <c r="MG73" s="56"/>
      <c r="MH73" s="56"/>
      <c r="MI73" s="56"/>
      <c r="MJ73" s="56"/>
      <c r="MK73" s="56"/>
      <c r="ML73" s="56"/>
      <c r="MM73" s="56"/>
      <c r="MN73" s="56"/>
      <c r="MO73" s="56"/>
      <c r="MP73" s="56"/>
      <c r="MQ73" s="56"/>
      <c r="MR73" s="56"/>
      <c r="MS73" s="56"/>
      <c r="MT73" s="56"/>
      <c r="MU73" s="56"/>
      <c r="MV73" s="56"/>
      <c r="MW73" s="56"/>
      <c r="MX73" s="56"/>
      <c r="MY73" s="56"/>
      <c r="MZ73" s="56"/>
      <c r="NA73" s="56"/>
      <c r="NB73" s="56"/>
      <c r="NC73" s="56"/>
      <c r="ND73" s="56"/>
      <c r="NE73" s="56"/>
      <c r="NF73" s="56"/>
      <c r="NG73" s="56"/>
      <c r="NH73" s="56"/>
      <c r="NI73" s="56"/>
      <c r="NJ73" s="56"/>
      <c r="NK73" s="56"/>
      <c r="NL73" s="56"/>
      <c r="NM73" s="56"/>
      <c r="NN73" s="56"/>
      <c r="NO73" s="56"/>
      <c r="NP73" s="56"/>
      <c r="NQ73" s="56"/>
      <c r="NR73" s="56"/>
      <c r="NS73" s="56"/>
      <c r="NT73" s="56"/>
      <c r="NU73" s="56"/>
      <c r="NV73" s="56"/>
      <c r="NW73" s="56"/>
      <c r="NX73" s="56"/>
      <c r="NY73" s="56"/>
      <c r="NZ73" s="56"/>
      <c r="OA73" s="56"/>
      <c r="OB73" s="56"/>
      <c r="OC73" s="56"/>
      <c r="OD73" s="56"/>
      <c r="OE73" s="56"/>
      <c r="OF73" s="56"/>
      <c r="OG73" s="56"/>
      <c r="OH73" s="56"/>
      <c r="OI73" s="56"/>
      <c r="OJ73" s="56"/>
      <c r="OK73" s="56"/>
      <c r="OL73" s="56"/>
      <c r="OM73" s="56"/>
      <c r="ON73" s="56"/>
      <c r="OO73" s="56"/>
      <c r="OP73" s="56"/>
      <c r="OQ73" s="56"/>
      <c r="OR73" s="56"/>
      <c r="OS73" s="56"/>
      <c r="OT73" s="56"/>
      <c r="OU73" s="56"/>
      <c r="OV73" s="56"/>
      <c r="OW73" s="56"/>
      <c r="OX73" s="56"/>
      <c r="OY73" s="56"/>
      <c r="OZ73" s="56"/>
      <c r="PA73" s="56"/>
      <c r="PB73" s="56"/>
      <c r="PC73" s="56"/>
      <c r="PD73" s="56"/>
      <c r="PE73" s="56"/>
      <c r="PF73" s="56"/>
      <c r="PG73" s="56"/>
      <c r="PH73" s="56"/>
      <c r="PI73" s="56"/>
      <c r="PJ73" s="56"/>
      <c r="PK73" s="56"/>
      <c r="PL73" s="56"/>
      <c r="PM73" s="56"/>
      <c r="PN73" s="56"/>
      <c r="PO73" s="56"/>
      <c r="PP73" s="56"/>
      <c r="PQ73" s="56"/>
      <c r="PR73" s="56"/>
      <c r="PS73" s="56"/>
      <c r="PT73" s="56"/>
      <c r="PU73" s="56"/>
      <c r="PV73" s="56"/>
      <c r="PW73" s="56"/>
      <c r="PX73" s="56"/>
      <c r="PY73" s="56"/>
      <c r="PZ73" s="56"/>
      <c r="QA73" s="56"/>
      <c r="QB73" s="56"/>
      <c r="QC73" s="56"/>
      <c r="QD73" s="56"/>
      <c r="QE73" s="56"/>
      <c r="QF73" s="56"/>
      <c r="QG73" s="56"/>
      <c r="QH73" s="56"/>
      <c r="QI73" s="56"/>
      <c r="QJ73" s="56"/>
      <c r="QK73" s="56"/>
      <c r="QL73" s="56"/>
      <c r="QM73" s="56"/>
      <c r="QN73" s="56"/>
      <c r="QO73" s="56"/>
      <c r="QP73" s="56"/>
      <c r="QQ73" s="56"/>
      <c r="QR73" s="56"/>
      <c r="QS73" s="56"/>
      <c r="QT73" s="56"/>
      <c r="QU73" s="56"/>
      <c r="QV73" s="56"/>
      <c r="QW73" s="56"/>
      <c r="QX73" s="56"/>
      <c r="QY73" s="56"/>
      <c r="QZ73" s="56"/>
      <c r="RA73" s="56"/>
      <c r="RB73" s="56"/>
      <c r="RC73" s="56"/>
      <c r="RD73" s="56"/>
      <c r="RE73" s="56"/>
      <c r="RF73" s="56"/>
      <c r="RG73" s="56"/>
      <c r="RH73" s="56"/>
      <c r="RI73" s="56"/>
      <c r="RJ73" s="56"/>
      <c r="RK73" s="56"/>
      <c r="RL73" s="56"/>
      <c r="RM73" s="56"/>
      <c r="RN73" s="56"/>
      <c r="RO73" s="56"/>
      <c r="RP73" s="56"/>
      <c r="RQ73" s="56"/>
      <c r="RR73" s="56"/>
      <c r="RS73" s="56"/>
      <c r="RT73" s="56"/>
      <c r="RU73" s="56"/>
      <c r="RV73" s="56"/>
      <c r="RW73" s="56"/>
      <c r="RX73" s="56"/>
      <c r="RY73" s="56"/>
      <c r="RZ73" s="56"/>
      <c r="SA73" s="56"/>
      <c r="SB73" s="56"/>
      <c r="SC73" s="56"/>
      <c r="SD73" s="56"/>
      <c r="SE73" s="56"/>
      <c r="SF73" s="56"/>
      <c r="SG73" s="56"/>
      <c r="SH73" s="56"/>
      <c r="SI73" s="56"/>
      <c r="SJ73" s="56"/>
      <c r="SK73" s="56"/>
      <c r="SL73" s="56"/>
      <c r="SM73" s="56"/>
      <c r="SN73" s="56"/>
      <c r="SO73" s="56"/>
      <c r="SP73" s="56"/>
      <c r="SQ73" s="56"/>
      <c r="SR73" s="56"/>
    </row>
    <row r="74" spans="1:512" ht="15" customHeight="1" x14ac:dyDescent="0.7">
      <c r="A74" s="171">
        <v>22</v>
      </c>
      <c r="B74" s="171" t="s">
        <v>74</v>
      </c>
      <c r="C74" s="171" t="s">
        <v>400</v>
      </c>
      <c r="D74" s="171"/>
      <c r="E74" s="171" t="s">
        <v>37</v>
      </c>
      <c r="F74" s="171"/>
      <c r="G74" s="174" t="s">
        <v>401</v>
      </c>
      <c r="H74" s="88" t="s">
        <v>402</v>
      </c>
      <c r="I74" s="89" t="s">
        <v>403</v>
      </c>
      <c r="J74" s="90">
        <v>0.1</v>
      </c>
      <c r="K74" s="168">
        <v>0.05</v>
      </c>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c r="KY74" s="54"/>
      <c r="KZ74" s="54"/>
      <c r="LA74" s="54"/>
      <c r="LB74" s="54"/>
      <c r="LC74" s="54"/>
      <c r="LD74" s="54"/>
      <c r="LE74" s="54"/>
      <c r="LF74" s="54"/>
      <c r="LG74" s="54"/>
      <c r="LH74" s="54"/>
      <c r="LI74" s="54"/>
      <c r="LJ74" s="54"/>
      <c r="LK74" s="54"/>
      <c r="LL74" s="54"/>
      <c r="LM74" s="54"/>
      <c r="LN74" s="54"/>
      <c r="LO74" s="54"/>
      <c r="LP74" s="54"/>
      <c r="LQ74" s="54"/>
      <c r="LR74" s="54"/>
      <c r="LS74" s="54"/>
      <c r="LT74" s="54"/>
      <c r="LU74" s="54"/>
      <c r="LV74" s="54"/>
      <c r="LW74" s="54"/>
      <c r="LX74" s="54"/>
      <c r="LY74" s="54"/>
      <c r="LZ74" s="54"/>
      <c r="MA74" s="54"/>
      <c r="MB74" s="54"/>
      <c r="MC74" s="54"/>
      <c r="MD74" s="54"/>
      <c r="ME74" s="54"/>
      <c r="MF74" s="54"/>
      <c r="MG74" s="54"/>
      <c r="MH74" s="54"/>
      <c r="MI74" s="54"/>
      <c r="MJ74" s="54"/>
      <c r="MK74" s="54"/>
      <c r="ML74" s="54"/>
      <c r="MM74" s="54"/>
      <c r="MN74" s="54"/>
      <c r="MO74" s="54"/>
      <c r="MP74" s="54"/>
      <c r="MQ74" s="54"/>
      <c r="MR74" s="54"/>
      <c r="MS74" s="54"/>
      <c r="MT74" s="54"/>
      <c r="MU74" s="54"/>
      <c r="MV74" s="54"/>
      <c r="MW74" s="54"/>
      <c r="MX74" s="54"/>
      <c r="MY74" s="54"/>
      <c r="MZ74" s="54"/>
      <c r="NA74" s="54"/>
      <c r="NB74" s="54"/>
      <c r="NC74" s="54"/>
      <c r="ND74" s="54"/>
      <c r="NE74" s="54"/>
      <c r="NF74" s="54"/>
      <c r="NG74" s="54"/>
      <c r="NH74" s="54"/>
      <c r="NI74" s="54"/>
      <c r="NJ74" s="54"/>
      <c r="NK74" s="54"/>
      <c r="NL74" s="54"/>
      <c r="NM74" s="54"/>
      <c r="NN74" s="54"/>
      <c r="NO74" s="54"/>
      <c r="NP74" s="54"/>
      <c r="NQ74" s="54"/>
      <c r="NR74" s="54"/>
      <c r="NS74" s="54"/>
      <c r="NT74" s="54"/>
      <c r="NU74" s="54"/>
      <c r="NV74" s="54"/>
      <c r="NW74" s="54"/>
      <c r="NX74" s="54"/>
      <c r="NY74" s="54"/>
      <c r="NZ74" s="54"/>
      <c r="OA74" s="54"/>
      <c r="OB74" s="54"/>
      <c r="OC74" s="54"/>
      <c r="OD74" s="54"/>
      <c r="OE74" s="54"/>
      <c r="OF74" s="54"/>
      <c r="OG74" s="54"/>
      <c r="OH74" s="54"/>
      <c r="OI74" s="54"/>
      <c r="OJ74" s="54"/>
      <c r="OK74" s="54"/>
      <c r="OL74" s="54"/>
      <c r="OM74" s="54"/>
      <c r="ON74" s="54"/>
      <c r="OO74" s="54"/>
      <c r="OP74" s="54"/>
      <c r="OQ74" s="54"/>
      <c r="OR74" s="54"/>
      <c r="OS74" s="54"/>
      <c r="OT74" s="54"/>
      <c r="OU74" s="54"/>
      <c r="OV74" s="54"/>
      <c r="OW74" s="54"/>
      <c r="OX74" s="54"/>
      <c r="OY74" s="54"/>
      <c r="OZ74" s="54"/>
      <c r="PA74" s="54"/>
      <c r="PB74" s="54"/>
      <c r="PC74" s="54"/>
      <c r="PD74" s="54"/>
      <c r="PE74" s="54"/>
      <c r="PF74" s="54"/>
      <c r="PG74" s="54"/>
      <c r="PH74" s="54"/>
      <c r="PI74" s="54"/>
      <c r="PJ74" s="54"/>
      <c r="PK74" s="54"/>
      <c r="PL74" s="54"/>
      <c r="PM74" s="54"/>
      <c r="PN74" s="54"/>
      <c r="PO74" s="54"/>
      <c r="PP74" s="54"/>
      <c r="PQ74" s="54"/>
      <c r="PR74" s="54"/>
      <c r="PS74" s="54"/>
      <c r="PT74" s="54"/>
      <c r="PU74" s="54"/>
      <c r="PV74" s="54"/>
      <c r="PW74" s="54"/>
      <c r="PX74" s="54"/>
      <c r="PY74" s="54"/>
      <c r="PZ74" s="54"/>
      <c r="QA74" s="54"/>
      <c r="QB74" s="54"/>
      <c r="QC74" s="54"/>
      <c r="QD74" s="54"/>
      <c r="QE74" s="54"/>
      <c r="QF74" s="54"/>
      <c r="QG74" s="54"/>
      <c r="QH74" s="54"/>
      <c r="QI74" s="54"/>
      <c r="QJ74" s="54"/>
      <c r="QK74" s="54"/>
      <c r="QL74" s="54"/>
      <c r="QM74" s="54"/>
      <c r="QN74" s="54"/>
      <c r="QO74" s="54"/>
      <c r="QP74" s="54"/>
      <c r="QQ74" s="54"/>
      <c r="QR74" s="54"/>
      <c r="QS74" s="54"/>
      <c r="QT74" s="54"/>
      <c r="QU74" s="54"/>
      <c r="QV74" s="54"/>
      <c r="QW74" s="54"/>
      <c r="QX74" s="54"/>
      <c r="QY74" s="54"/>
      <c r="QZ74" s="54"/>
      <c r="RA74" s="54"/>
      <c r="RB74" s="54"/>
      <c r="RC74" s="54"/>
      <c r="RD74" s="54"/>
      <c r="RE74" s="54"/>
      <c r="RF74" s="54"/>
      <c r="RG74" s="54"/>
      <c r="RH74" s="54"/>
      <c r="RI74" s="54"/>
      <c r="RJ74" s="54"/>
      <c r="RK74" s="54"/>
      <c r="RL74" s="54"/>
      <c r="RM74" s="54"/>
      <c r="RN74" s="54"/>
      <c r="RO74" s="54"/>
      <c r="RP74" s="54"/>
      <c r="RQ74" s="54"/>
      <c r="RR74" s="54"/>
      <c r="RS74" s="54"/>
      <c r="RT74" s="54"/>
      <c r="RU74" s="54"/>
      <c r="RV74" s="54"/>
      <c r="RW74" s="54"/>
      <c r="RX74" s="54"/>
      <c r="RY74" s="54"/>
      <c r="RZ74" s="54"/>
      <c r="SA74" s="54"/>
      <c r="SB74" s="54"/>
      <c r="SC74" s="54"/>
      <c r="SD74" s="54"/>
      <c r="SE74" s="54"/>
      <c r="SF74" s="54"/>
      <c r="SG74" s="54"/>
      <c r="SH74" s="54"/>
      <c r="SI74" s="54"/>
      <c r="SJ74" s="54"/>
      <c r="SK74" s="54"/>
      <c r="SL74" s="54"/>
      <c r="SM74" s="54"/>
      <c r="SN74" s="54"/>
      <c r="SO74" s="54"/>
      <c r="SP74" s="54"/>
      <c r="SQ74" s="54"/>
      <c r="SR74" s="54"/>
    </row>
    <row r="75" spans="1:512" ht="15" customHeight="1" x14ac:dyDescent="0.7">
      <c r="A75" s="172"/>
      <c r="B75" s="172"/>
      <c r="C75" s="172"/>
      <c r="D75" s="172"/>
      <c r="E75" s="172"/>
      <c r="F75" s="172"/>
      <c r="G75" s="175"/>
      <c r="H75" s="91"/>
      <c r="I75" s="89" t="s">
        <v>404</v>
      </c>
      <c r="J75" s="90">
        <v>0</v>
      </c>
      <c r="K75" s="169"/>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c r="KY75" s="54"/>
      <c r="KZ75" s="54"/>
      <c r="LA75" s="54"/>
      <c r="LB75" s="54"/>
      <c r="LC75" s="54"/>
      <c r="LD75" s="54"/>
      <c r="LE75" s="54"/>
      <c r="LF75" s="54"/>
      <c r="LG75" s="54"/>
      <c r="LH75" s="54"/>
      <c r="LI75" s="54"/>
      <c r="LJ75" s="54"/>
      <c r="LK75" s="54"/>
      <c r="LL75" s="54"/>
      <c r="LM75" s="54"/>
      <c r="LN75" s="54"/>
      <c r="LO75" s="54"/>
      <c r="LP75" s="54"/>
      <c r="LQ75" s="54"/>
      <c r="LR75" s="54"/>
      <c r="LS75" s="54"/>
      <c r="LT75" s="54"/>
      <c r="LU75" s="54"/>
      <c r="LV75" s="54"/>
      <c r="LW75" s="54"/>
      <c r="LX75" s="54"/>
      <c r="LY75" s="54"/>
      <c r="LZ75" s="54"/>
      <c r="MA75" s="54"/>
      <c r="MB75" s="54"/>
      <c r="MC75" s="54"/>
      <c r="MD75" s="54"/>
      <c r="ME75" s="54"/>
      <c r="MF75" s="54"/>
      <c r="MG75" s="54"/>
      <c r="MH75" s="54"/>
      <c r="MI75" s="54"/>
      <c r="MJ75" s="54"/>
      <c r="MK75" s="54"/>
      <c r="ML75" s="54"/>
      <c r="MM75" s="54"/>
      <c r="MN75" s="54"/>
      <c r="MO75" s="54"/>
      <c r="MP75" s="54"/>
      <c r="MQ75" s="54"/>
      <c r="MR75" s="54"/>
      <c r="MS75" s="54"/>
      <c r="MT75" s="54"/>
      <c r="MU75" s="54"/>
      <c r="MV75" s="54"/>
      <c r="MW75" s="54"/>
      <c r="MX75" s="54"/>
      <c r="MY75" s="54"/>
      <c r="MZ75" s="54"/>
      <c r="NA75" s="54"/>
      <c r="NB75" s="54"/>
      <c r="NC75" s="54"/>
      <c r="ND75" s="54"/>
      <c r="NE75" s="54"/>
      <c r="NF75" s="54"/>
      <c r="NG75" s="54"/>
      <c r="NH75" s="54"/>
      <c r="NI75" s="54"/>
      <c r="NJ75" s="54"/>
      <c r="NK75" s="54"/>
      <c r="NL75" s="54"/>
      <c r="NM75" s="54"/>
      <c r="NN75" s="54"/>
      <c r="NO75" s="54"/>
      <c r="NP75" s="54"/>
      <c r="NQ75" s="54"/>
      <c r="NR75" s="54"/>
      <c r="NS75" s="54"/>
      <c r="NT75" s="54"/>
      <c r="NU75" s="54"/>
      <c r="NV75" s="54"/>
      <c r="NW75" s="54"/>
      <c r="NX75" s="54"/>
      <c r="NY75" s="54"/>
      <c r="NZ75" s="54"/>
      <c r="OA75" s="54"/>
      <c r="OB75" s="54"/>
      <c r="OC75" s="54"/>
      <c r="OD75" s="54"/>
      <c r="OE75" s="54"/>
      <c r="OF75" s="54"/>
      <c r="OG75" s="54"/>
      <c r="OH75" s="54"/>
      <c r="OI75" s="54"/>
      <c r="OJ75" s="54"/>
      <c r="OK75" s="54"/>
      <c r="OL75" s="54"/>
      <c r="OM75" s="54"/>
      <c r="ON75" s="54"/>
      <c r="OO75" s="54"/>
      <c r="OP75" s="54"/>
      <c r="OQ75" s="54"/>
      <c r="OR75" s="54"/>
      <c r="OS75" s="54"/>
      <c r="OT75" s="54"/>
      <c r="OU75" s="54"/>
      <c r="OV75" s="54"/>
      <c r="OW75" s="54"/>
      <c r="OX75" s="54"/>
      <c r="OY75" s="54"/>
      <c r="OZ75" s="54"/>
      <c r="PA75" s="54"/>
      <c r="PB75" s="54"/>
      <c r="PC75" s="54"/>
      <c r="PD75" s="54"/>
      <c r="PE75" s="54"/>
      <c r="PF75" s="54"/>
      <c r="PG75" s="54"/>
      <c r="PH75" s="54"/>
      <c r="PI75" s="54"/>
      <c r="PJ75" s="54"/>
      <c r="PK75" s="54"/>
      <c r="PL75" s="54"/>
      <c r="PM75" s="54"/>
      <c r="PN75" s="54"/>
      <c r="PO75" s="54"/>
      <c r="PP75" s="54"/>
      <c r="PQ75" s="54"/>
      <c r="PR75" s="54"/>
      <c r="PS75" s="54"/>
      <c r="PT75" s="54"/>
      <c r="PU75" s="54"/>
      <c r="PV75" s="54"/>
      <c r="PW75" s="54"/>
      <c r="PX75" s="54"/>
      <c r="PY75" s="54"/>
      <c r="PZ75" s="54"/>
      <c r="QA75" s="54"/>
      <c r="QB75" s="54"/>
      <c r="QC75" s="54"/>
      <c r="QD75" s="54"/>
      <c r="QE75" s="54"/>
      <c r="QF75" s="54"/>
      <c r="QG75" s="54"/>
      <c r="QH75" s="54"/>
      <c r="QI75" s="54"/>
      <c r="QJ75" s="54"/>
      <c r="QK75" s="54"/>
      <c r="QL75" s="54"/>
      <c r="QM75" s="54"/>
      <c r="QN75" s="54"/>
      <c r="QO75" s="54"/>
      <c r="QP75" s="54"/>
      <c r="QQ75" s="54"/>
      <c r="QR75" s="54"/>
      <c r="QS75" s="54"/>
      <c r="QT75" s="54"/>
      <c r="QU75" s="54"/>
      <c r="QV75" s="54"/>
      <c r="QW75" s="54"/>
      <c r="QX75" s="54"/>
      <c r="QY75" s="54"/>
      <c r="QZ75" s="54"/>
      <c r="RA75" s="54"/>
      <c r="RB75" s="54"/>
      <c r="RC75" s="54"/>
      <c r="RD75" s="54"/>
      <c r="RE75" s="54"/>
      <c r="RF75" s="54"/>
      <c r="RG75" s="54"/>
      <c r="RH75" s="54"/>
      <c r="RI75" s="54"/>
      <c r="RJ75" s="54"/>
      <c r="RK75" s="54"/>
      <c r="RL75" s="54"/>
      <c r="RM75" s="54"/>
      <c r="RN75" s="54"/>
      <c r="RO75" s="54"/>
      <c r="RP75" s="54"/>
      <c r="RQ75" s="54"/>
      <c r="RR75" s="54"/>
      <c r="RS75" s="54"/>
      <c r="RT75" s="54"/>
      <c r="RU75" s="54"/>
      <c r="RV75" s="54"/>
      <c r="RW75" s="54"/>
      <c r="RX75" s="54"/>
      <c r="RY75" s="54"/>
      <c r="RZ75" s="54"/>
      <c r="SA75" s="54"/>
      <c r="SB75" s="54"/>
      <c r="SC75" s="54"/>
      <c r="SD75" s="54"/>
      <c r="SE75" s="54"/>
      <c r="SF75" s="54"/>
      <c r="SG75" s="54"/>
      <c r="SH75" s="54"/>
      <c r="SI75" s="54"/>
      <c r="SJ75" s="54"/>
      <c r="SK75" s="54"/>
      <c r="SL75" s="54"/>
      <c r="SM75" s="54"/>
      <c r="SN75" s="54"/>
      <c r="SO75" s="54"/>
      <c r="SP75" s="54"/>
      <c r="SQ75" s="54"/>
      <c r="SR75" s="54"/>
    </row>
    <row r="76" spans="1:512" s="55" customFormat="1" ht="15" customHeight="1" x14ac:dyDescent="0.7">
      <c r="A76" s="173"/>
      <c r="B76" s="173"/>
      <c r="C76" s="173"/>
      <c r="D76" s="173"/>
      <c r="E76" s="173"/>
      <c r="F76" s="173"/>
      <c r="G76" s="176"/>
      <c r="H76" s="92"/>
      <c r="I76" s="93"/>
      <c r="J76" s="94"/>
      <c r="K76" s="170"/>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c r="IX76" s="56"/>
      <c r="IY76" s="56"/>
      <c r="IZ76" s="56"/>
      <c r="JA76" s="56"/>
      <c r="JB76" s="56"/>
      <c r="JC76" s="56"/>
      <c r="JD76" s="56"/>
      <c r="JE76" s="56"/>
      <c r="JF76" s="56"/>
      <c r="JG76" s="56"/>
      <c r="JH76" s="56"/>
      <c r="JI76" s="56"/>
      <c r="JJ76" s="56"/>
      <c r="JK76" s="56"/>
      <c r="JL76" s="56"/>
      <c r="JM76" s="56"/>
      <c r="JN76" s="56"/>
      <c r="JO76" s="56"/>
      <c r="JP76" s="56"/>
      <c r="JQ76" s="56"/>
      <c r="JR76" s="56"/>
      <c r="JS76" s="56"/>
      <c r="JT76" s="56"/>
      <c r="JU76" s="56"/>
      <c r="JV76" s="56"/>
      <c r="JW76" s="56"/>
      <c r="JX76" s="56"/>
      <c r="JY76" s="56"/>
      <c r="JZ76" s="56"/>
      <c r="KA76" s="56"/>
      <c r="KB76" s="56"/>
      <c r="KC76" s="56"/>
      <c r="KD76" s="56"/>
      <c r="KE76" s="56"/>
      <c r="KF76" s="56"/>
      <c r="KG76" s="56"/>
      <c r="KH76" s="56"/>
      <c r="KI76" s="56"/>
      <c r="KJ76" s="56"/>
      <c r="KK76" s="56"/>
      <c r="KL76" s="56"/>
      <c r="KM76" s="56"/>
      <c r="KN76" s="56"/>
      <c r="KO76" s="56"/>
      <c r="KP76" s="56"/>
      <c r="KQ76" s="56"/>
      <c r="KR76" s="56"/>
      <c r="KS76" s="56"/>
      <c r="KT76" s="56"/>
      <c r="KU76" s="56"/>
      <c r="KV76" s="56"/>
      <c r="KW76" s="56"/>
      <c r="KX76" s="56"/>
      <c r="KY76" s="56"/>
      <c r="KZ76" s="56"/>
      <c r="LA76" s="56"/>
      <c r="LB76" s="56"/>
      <c r="LC76" s="56"/>
      <c r="LD76" s="56"/>
      <c r="LE76" s="56"/>
      <c r="LF76" s="56"/>
      <c r="LG76" s="56"/>
      <c r="LH76" s="56"/>
      <c r="LI76" s="56"/>
      <c r="LJ76" s="56"/>
      <c r="LK76" s="56"/>
      <c r="LL76" s="56"/>
      <c r="LM76" s="56"/>
      <c r="LN76" s="56"/>
      <c r="LO76" s="56"/>
      <c r="LP76" s="56"/>
      <c r="LQ76" s="56"/>
      <c r="LR76" s="56"/>
      <c r="LS76" s="56"/>
      <c r="LT76" s="56"/>
      <c r="LU76" s="56"/>
      <c r="LV76" s="56"/>
      <c r="LW76" s="56"/>
      <c r="LX76" s="56"/>
      <c r="LY76" s="56"/>
      <c r="LZ76" s="56"/>
      <c r="MA76" s="56"/>
      <c r="MB76" s="56"/>
      <c r="MC76" s="56"/>
      <c r="MD76" s="56"/>
      <c r="ME76" s="56"/>
      <c r="MF76" s="56"/>
      <c r="MG76" s="56"/>
      <c r="MH76" s="56"/>
      <c r="MI76" s="56"/>
      <c r="MJ76" s="56"/>
      <c r="MK76" s="56"/>
      <c r="ML76" s="56"/>
      <c r="MM76" s="56"/>
      <c r="MN76" s="56"/>
      <c r="MO76" s="56"/>
      <c r="MP76" s="56"/>
      <c r="MQ76" s="56"/>
      <c r="MR76" s="56"/>
      <c r="MS76" s="56"/>
      <c r="MT76" s="56"/>
      <c r="MU76" s="56"/>
      <c r="MV76" s="56"/>
      <c r="MW76" s="56"/>
      <c r="MX76" s="56"/>
      <c r="MY76" s="56"/>
      <c r="MZ76" s="56"/>
      <c r="NA76" s="56"/>
      <c r="NB76" s="56"/>
      <c r="NC76" s="56"/>
      <c r="ND76" s="56"/>
      <c r="NE76" s="56"/>
      <c r="NF76" s="56"/>
      <c r="NG76" s="56"/>
      <c r="NH76" s="56"/>
      <c r="NI76" s="56"/>
      <c r="NJ76" s="56"/>
      <c r="NK76" s="56"/>
      <c r="NL76" s="56"/>
      <c r="NM76" s="56"/>
      <c r="NN76" s="56"/>
      <c r="NO76" s="56"/>
      <c r="NP76" s="56"/>
      <c r="NQ76" s="56"/>
      <c r="NR76" s="56"/>
      <c r="NS76" s="56"/>
      <c r="NT76" s="56"/>
      <c r="NU76" s="56"/>
      <c r="NV76" s="56"/>
      <c r="NW76" s="56"/>
      <c r="NX76" s="56"/>
      <c r="NY76" s="56"/>
      <c r="NZ76" s="56"/>
      <c r="OA76" s="56"/>
      <c r="OB76" s="56"/>
      <c r="OC76" s="56"/>
      <c r="OD76" s="56"/>
      <c r="OE76" s="56"/>
      <c r="OF76" s="56"/>
      <c r="OG76" s="56"/>
      <c r="OH76" s="56"/>
      <c r="OI76" s="56"/>
      <c r="OJ76" s="56"/>
      <c r="OK76" s="56"/>
      <c r="OL76" s="56"/>
      <c r="OM76" s="56"/>
      <c r="ON76" s="56"/>
      <c r="OO76" s="56"/>
      <c r="OP76" s="56"/>
      <c r="OQ76" s="56"/>
      <c r="OR76" s="56"/>
      <c r="OS76" s="56"/>
      <c r="OT76" s="56"/>
      <c r="OU76" s="56"/>
      <c r="OV76" s="56"/>
      <c r="OW76" s="56"/>
      <c r="OX76" s="56"/>
      <c r="OY76" s="56"/>
      <c r="OZ76" s="56"/>
      <c r="PA76" s="56"/>
      <c r="PB76" s="56"/>
      <c r="PC76" s="56"/>
      <c r="PD76" s="56"/>
      <c r="PE76" s="56"/>
      <c r="PF76" s="56"/>
      <c r="PG76" s="56"/>
      <c r="PH76" s="56"/>
      <c r="PI76" s="56"/>
      <c r="PJ76" s="56"/>
      <c r="PK76" s="56"/>
      <c r="PL76" s="56"/>
      <c r="PM76" s="56"/>
      <c r="PN76" s="56"/>
      <c r="PO76" s="56"/>
      <c r="PP76" s="56"/>
      <c r="PQ76" s="56"/>
      <c r="PR76" s="56"/>
      <c r="PS76" s="56"/>
      <c r="PT76" s="56"/>
      <c r="PU76" s="56"/>
      <c r="PV76" s="56"/>
      <c r="PW76" s="56"/>
      <c r="PX76" s="56"/>
      <c r="PY76" s="56"/>
      <c r="PZ76" s="56"/>
      <c r="QA76" s="56"/>
      <c r="QB76" s="56"/>
      <c r="QC76" s="56"/>
      <c r="QD76" s="56"/>
      <c r="QE76" s="56"/>
      <c r="QF76" s="56"/>
      <c r="QG76" s="56"/>
      <c r="QH76" s="56"/>
      <c r="QI76" s="56"/>
      <c r="QJ76" s="56"/>
      <c r="QK76" s="56"/>
      <c r="QL76" s="56"/>
      <c r="QM76" s="56"/>
      <c r="QN76" s="56"/>
      <c r="QO76" s="56"/>
      <c r="QP76" s="56"/>
      <c r="QQ76" s="56"/>
      <c r="QR76" s="56"/>
      <c r="QS76" s="56"/>
      <c r="QT76" s="56"/>
      <c r="QU76" s="56"/>
      <c r="QV76" s="56"/>
      <c r="QW76" s="56"/>
      <c r="QX76" s="56"/>
      <c r="QY76" s="56"/>
      <c r="QZ76" s="56"/>
      <c r="RA76" s="56"/>
      <c r="RB76" s="56"/>
      <c r="RC76" s="56"/>
      <c r="RD76" s="56"/>
      <c r="RE76" s="56"/>
      <c r="RF76" s="56"/>
      <c r="RG76" s="56"/>
      <c r="RH76" s="56"/>
      <c r="RI76" s="56"/>
      <c r="RJ76" s="56"/>
      <c r="RK76" s="56"/>
      <c r="RL76" s="56"/>
      <c r="RM76" s="56"/>
      <c r="RN76" s="56"/>
      <c r="RO76" s="56"/>
      <c r="RP76" s="56"/>
      <c r="RQ76" s="56"/>
      <c r="RR76" s="56"/>
      <c r="RS76" s="56"/>
      <c r="RT76" s="56"/>
      <c r="RU76" s="56"/>
      <c r="RV76" s="56"/>
      <c r="RW76" s="56"/>
      <c r="RX76" s="56"/>
      <c r="RY76" s="56"/>
      <c r="RZ76" s="56"/>
      <c r="SA76" s="56"/>
      <c r="SB76" s="56"/>
      <c r="SC76" s="56"/>
      <c r="SD76" s="56"/>
      <c r="SE76" s="56"/>
      <c r="SF76" s="56"/>
      <c r="SG76" s="56"/>
      <c r="SH76" s="56"/>
      <c r="SI76" s="56"/>
      <c r="SJ76" s="56"/>
      <c r="SK76" s="56"/>
      <c r="SL76" s="56"/>
      <c r="SM76" s="56"/>
      <c r="SN76" s="56"/>
      <c r="SO76" s="56"/>
      <c r="SP76" s="56"/>
      <c r="SQ76" s="56"/>
      <c r="SR76" s="56"/>
    </row>
    <row r="77" spans="1:512" ht="15" customHeight="1" x14ac:dyDescent="0.7">
      <c r="A77" s="171">
        <v>23</v>
      </c>
      <c r="B77" s="171" t="s">
        <v>61</v>
      </c>
      <c r="C77" s="171" t="s">
        <v>405</v>
      </c>
      <c r="D77" s="171"/>
      <c r="E77" s="171" t="s">
        <v>37</v>
      </c>
      <c r="F77" s="171"/>
      <c r="G77" s="174" t="s">
        <v>371</v>
      </c>
      <c r="H77" s="88" t="s">
        <v>372</v>
      </c>
      <c r="I77" s="89" t="s">
        <v>406</v>
      </c>
      <c r="J77" s="90">
        <v>1.0249999999999999</v>
      </c>
      <c r="K77" s="168">
        <v>1</v>
      </c>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c r="GW77" s="54"/>
      <c r="GX77" s="54"/>
      <c r="GY77" s="54"/>
      <c r="GZ77" s="54"/>
      <c r="HA77" s="54"/>
      <c r="HB77" s="54"/>
      <c r="HC77" s="54"/>
      <c r="HD77" s="54"/>
      <c r="HE77" s="54"/>
      <c r="HF77" s="54"/>
      <c r="HG77" s="54"/>
      <c r="HH77" s="54"/>
      <c r="HI77" s="54"/>
      <c r="HJ77" s="54"/>
      <c r="HK77" s="54"/>
      <c r="HL77" s="54"/>
      <c r="HM77" s="54"/>
      <c r="HN77" s="54"/>
      <c r="HO77" s="54"/>
      <c r="HP77" s="54"/>
      <c r="HQ77" s="54"/>
      <c r="HR77" s="54"/>
      <c r="HS77" s="54"/>
      <c r="HT77" s="54"/>
      <c r="HU77" s="54"/>
      <c r="HV77" s="54"/>
      <c r="HW77" s="54"/>
      <c r="HX77" s="54"/>
      <c r="HY77" s="54"/>
      <c r="HZ77" s="54"/>
      <c r="IA77" s="54"/>
      <c r="IB77" s="54"/>
      <c r="IC77" s="54"/>
      <c r="ID77" s="54"/>
      <c r="IE77" s="54"/>
      <c r="IF77" s="54"/>
      <c r="IG77" s="54"/>
      <c r="IH77" s="54"/>
      <c r="II77" s="54"/>
      <c r="IJ77" s="54"/>
      <c r="IK77" s="54"/>
      <c r="IL77" s="54"/>
      <c r="IM77" s="54"/>
      <c r="IN77" s="54"/>
      <c r="IO77" s="54"/>
      <c r="IP77" s="54"/>
      <c r="IQ77" s="54"/>
      <c r="IR77" s="54"/>
      <c r="IS77" s="54"/>
      <c r="IT77" s="54"/>
      <c r="IU77" s="54"/>
      <c r="IV77" s="54"/>
      <c r="IW77" s="54"/>
      <c r="IX77" s="54"/>
      <c r="IY77" s="54"/>
      <c r="IZ77" s="54"/>
      <c r="JA77" s="54"/>
      <c r="JB77" s="54"/>
      <c r="JC77" s="54"/>
      <c r="JD77" s="54"/>
      <c r="JE77" s="54"/>
      <c r="JF77" s="54"/>
      <c r="JG77" s="54"/>
      <c r="JH77" s="54"/>
      <c r="JI77" s="54"/>
      <c r="JJ77" s="54"/>
      <c r="JK77" s="54"/>
      <c r="JL77" s="54"/>
      <c r="JM77" s="54"/>
      <c r="JN77" s="54"/>
      <c r="JO77" s="54"/>
      <c r="JP77" s="54"/>
      <c r="JQ77" s="54"/>
      <c r="JR77" s="54"/>
      <c r="JS77" s="54"/>
      <c r="JT77" s="54"/>
      <c r="JU77" s="54"/>
      <c r="JV77" s="54"/>
      <c r="JW77" s="54"/>
      <c r="JX77" s="54"/>
      <c r="JY77" s="54"/>
      <c r="JZ77" s="54"/>
      <c r="KA77" s="54"/>
      <c r="KB77" s="54"/>
      <c r="KC77" s="54"/>
      <c r="KD77" s="54"/>
      <c r="KE77" s="54"/>
      <c r="KF77" s="54"/>
      <c r="KG77" s="54"/>
      <c r="KH77" s="54"/>
      <c r="KI77" s="54"/>
      <c r="KJ77" s="54"/>
      <c r="KK77" s="54"/>
      <c r="KL77" s="54"/>
      <c r="KM77" s="54"/>
      <c r="KN77" s="54"/>
      <c r="KO77" s="54"/>
      <c r="KP77" s="54"/>
      <c r="KQ77" s="54"/>
      <c r="KR77" s="54"/>
      <c r="KS77" s="54"/>
      <c r="KT77" s="54"/>
      <c r="KU77" s="54"/>
      <c r="KV77" s="54"/>
      <c r="KW77" s="54"/>
      <c r="KX77" s="54"/>
      <c r="KY77" s="54"/>
      <c r="KZ77" s="54"/>
      <c r="LA77" s="54"/>
      <c r="LB77" s="54"/>
      <c r="LC77" s="54"/>
      <c r="LD77" s="54"/>
      <c r="LE77" s="54"/>
      <c r="LF77" s="54"/>
      <c r="LG77" s="54"/>
      <c r="LH77" s="54"/>
      <c r="LI77" s="54"/>
      <c r="LJ77" s="54"/>
      <c r="LK77" s="54"/>
      <c r="LL77" s="54"/>
      <c r="LM77" s="54"/>
      <c r="LN77" s="54"/>
      <c r="LO77" s="54"/>
      <c r="LP77" s="54"/>
      <c r="LQ77" s="54"/>
      <c r="LR77" s="54"/>
      <c r="LS77" s="54"/>
      <c r="LT77" s="54"/>
      <c r="LU77" s="54"/>
      <c r="LV77" s="54"/>
      <c r="LW77" s="54"/>
      <c r="LX77" s="54"/>
      <c r="LY77" s="54"/>
      <c r="LZ77" s="54"/>
      <c r="MA77" s="54"/>
      <c r="MB77" s="54"/>
      <c r="MC77" s="54"/>
      <c r="MD77" s="54"/>
      <c r="ME77" s="54"/>
      <c r="MF77" s="54"/>
      <c r="MG77" s="54"/>
      <c r="MH77" s="54"/>
      <c r="MI77" s="54"/>
      <c r="MJ77" s="54"/>
      <c r="MK77" s="54"/>
      <c r="ML77" s="54"/>
      <c r="MM77" s="54"/>
      <c r="MN77" s="54"/>
      <c r="MO77" s="54"/>
      <c r="MP77" s="54"/>
      <c r="MQ77" s="54"/>
      <c r="MR77" s="54"/>
      <c r="MS77" s="54"/>
      <c r="MT77" s="54"/>
      <c r="MU77" s="54"/>
      <c r="MV77" s="54"/>
      <c r="MW77" s="54"/>
      <c r="MX77" s="54"/>
      <c r="MY77" s="54"/>
      <c r="MZ77" s="54"/>
      <c r="NA77" s="54"/>
      <c r="NB77" s="54"/>
      <c r="NC77" s="54"/>
      <c r="ND77" s="54"/>
      <c r="NE77" s="54"/>
      <c r="NF77" s="54"/>
      <c r="NG77" s="54"/>
      <c r="NH77" s="54"/>
      <c r="NI77" s="54"/>
      <c r="NJ77" s="54"/>
      <c r="NK77" s="54"/>
      <c r="NL77" s="54"/>
      <c r="NM77" s="54"/>
      <c r="NN77" s="54"/>
      <c r="NO77" s="54"/>
      <c r="NP77" s="54"/>
      <c r="NQ77" s="54"/>
      <c r="NR77" s="54"/>
      <c r="NS77" s="54"/>
      <c r="NT77" s="54"/>
      <c r="NU77" s="54"/>
      <c r="NV77" s="54"/>
      <c r="NW77" s="54"/>
      <c r="NX77" s="54"/>
      <c r="NY77" s="54"/>
      <c r="NZ77" s="54"/>
      <c r="OA77" s="54"/>
      <c r="OB77" s="54"/>
      <c r="OC77" s="54"/>
      <c r="OD77" s="54"/>
      <c r="OE77" s="54"/>
      <c r="OF77" s="54"/>
      <c r="OG77" s="54"/>
      <c r="OH77" s="54"/>
      <c r="OI77" s="54"/>
      <c r="OJ77" s="54"/>
      <c r="OK77" s="54"/>
      <c r="OL77" s="54"/>
      <c r="OM77" s="54"/>
      <c r="ON77" s="54"/>
      <c r="OO77" s="54"/>
      <c r="OP77" s="54"/>
      <c r="OQ77" s="54"/>
      <c r="OR77" s="54"/>
      <c r="OS77" s="54"/>
      <c r="OT77" s="54"/>
      <c r="OU77" s="54"/>
      <c r="OV77" s="54"/>
      <c r="OW77" s="54"/>
      <c r="OX77" s="54"/>
      <c r="OY77" s="54"/>
      <c r="OZ77" s="54"/>
      <c r="PA77" s="54"/>
      <c r="PB77" s="54"/>
      <c r="PC77" s="54"/>
      <c r="PD77" s="54"/>
      <c r="PE77" s="54"/>
      <c r="PF77" s="54"/>
      <c r="PG77" s="54"/>
      <c r="PH77" s="54"/>
      <c r="PI77" s="54"/>
      <c r="PJ77" s="54"/>
      <c r="PK77" s="54"/>
      <c r="PL77" s="54"/>
      <c r="PM77" s="54"/>
      <c r="PN77" s="54"/>
      <c r="PO77" s="54"/>
      <c r="PP77" s="54"/>
      <c r="PQ77" s="54"/>
      <c r="PR77" s="54"/>
      <c r="PS77" s="54"/>
      <c r="PT77" s="54"/>
      <c r="PU77" s="54"/>
      <c r="PV77" s="54"/>
      <c r="PW77" s="54"/>
      <c r="PX77" s="54"/>
      <c r="PY77" s="54"/>
      <c r="PZ77" s="54"/>
      <c r="QA77" s="54"/>
      <c r="QB77" s="54"/>
      <c r="QC77" s="54"/>
      <c r="QD77" s="54"/>
      <c r="QE77" s="54"/>
      <c r="QF77" s="54"/>
      <c r="QG77" s="54"/>
      <c r="QH77" s="54"/>
      <c r="QI77" s="54"/>
      <c r="QJ77" s="54"/>
      <c r="QK77" s="54"/>
      <c r="QL77" s="54"/>
      <c r="QM77" s="54"/>
      <c r="QN77" s="54"/>
      <c r="QO77" s="54"/>
      <c r="QP77" s="54"/>
      <c r="QQ77" s="54"/>
      <c r="QR77" s="54"/>
      <c r="QS77" s="54"/>
      <c r="QT77" s="54"/>
      <c r="QU77" s="54"/>
      <c r="QV77" s="54"/>
      <c r="QW77" s="54"/>
      <c r="QX77" s="54"/>
      <c r="QY77" s="54"/>
      <c r="QZ77" s="54"/>
      <c r="RA77" s="54"/>
      <c r="RB77" s="54"/>
      <c r="RC77" s="54"/>
      <c r="RD77" s="54"/>
      <c r="RE77" s="54"/>
      <c r="RF77" s="54"/>
      <c r="RG77" s="54"/>
      <c r="RH77" s="54"/>
      <c r="RI77" s="54"/>
      <c r="RJ77" s="54"/>
      <c r="RK77" s="54"/>
      <c r="RL77" s="54"/>
      <c r="RM77" s="54"/>
      <c r="RN77" s="54"/>
      <c r="RO77" s="54"/>
      <c r="RP77" s="54"/>
      <c r="RQ77" s="54"/>
      <c r="RR77" s="54"/>
      <c r="RS77" s="54"/>
      <c r="RT77" s="54"/>
      <c r="RU77" s="54"/>
      <c r="RV77" s="54"/>
      <c r="RW77" s="54"/>
      <c r="RX77" s="54"/>
      <c r="RY77" s="54"/>
      <c r="RZ77" s="54"/>
      <c r="SA77" s="54"/>
      <c r="SB77" s="54"/>
      <c r="SC77" s="54"/>
      <c r="SD77" s="54"/>
      <c r="SE77" s="54"/>
      <c r="SF77" s="54"/>
      <c r="SG77" s="54"/>
      <c r="SH77" s="54"/>
      <c r="SI77" s="54"/>
      <c r="SJ77" s="54"/>
      <c r="SK77" s="54"/>
      <c r="SL77" s="54"/>
      <c r="SM77" s="54"/>
      <c r="SN77" s="54"/>
      <c r="SO77" s="54"/>
      <c r="SP77" s="54"/>
      <c r="SQ77" s="54"/>
      <c r="SR77" s="54"/>
    </row>
    <row r="78" spans="1:512" ht="15" customHeight="1" x14ac:dyDescent="0.7">
      <c r="A78" s="172"/>
      <c r="B78" s="172"/>
      <c r="C78" s="172"/>
      <c r="D78" s="172"/>
      <c r="E78" s="172"/>
      <c r="F78" s="172"/>
      <c r="G78" s="175"/>
      <c r="H78" s="91"/>
      <c r="I78" s="89" t="s">
        <v>407</v>
      </c>
      <c r="J78" s="90">
        <v>0.97499999999999998</v>
      </c>
      <c r="K78" s="169"/>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c r="HU78" s="54"/>
      <c r="HV78" s="54"/>
      <c r="HW78" s="54"/>
      <c r="HX78" s="54"/>
      <c r="HY78" s="54"/>
      <c r="HZ78" s="54"/>
      <c r="IA78" s="54"/>
      <c r="IB78" s="54"/>
      <c r="IC78" s="54"/>
      <c r="ID78" s="54"/>
      <c r="IE78" s="54"/>
      <c r="IF78" s="54"/>
      <c r="IG78" s="54"/>
      <c r="IH78" s="54"/>
      <c r="II78" s="54"/>
      <c r="IJ78" s="54"/>
      <c r="IK78" s="54"/>
      <c r="IL78" s="54"/>
      <c r="IM78" s="54"/>
      <c r="IN78" s="54"/>
      <c r="IO78" s="54"/>
      <c r="IP78" s="54"/>
      <c r="IQ78" s="54"/>
      <c r="IR78" s="54"/>
      <c r="IS78" s="54"/>
      <c r="IT78" s="54"/>
      <c r="IU78" s="54"/>
      <c r="IV78" s="54"/>
      <c r="IW78" s="54"/>
      <c r="IX78" s="54"/>
      <c r="IY78" s="54"/>
      <c r="IZ78" s="54"/>
      <c r="JA78" s="54"/>
      <c r="JB78" s="54"/>
      <c r="JC78" s="54"/>
      <c r="JD78" s="54"/>
      <c r="JE78" s="54"/>
      <c r="JF78" s="54"/>
      <c r="JG78" s="54"/>
      <c r="JH78" s="54"/>
      <c r="JI78" s="54"/>
      <c r="JJ78" s="54"/>
      <c r="JK78" s="54"/>
      <c r="JL78" s="54"/>
      <c r="JM78" s="54"/>
      <c r="JN78" s="54"/>
      <c r="JO78" s="54"/>
      <c r="JP78" s="54"/>
      <c r="JQ78" s="54"/>
      <c r="JR78" s="54"/>
      <c r="JS78" s="54"/>
      <c r="JT78" s="54"/>
      <c r="JU78" s="54"/>
      <c r="JV78" s="54"/>
      <c r="JW78" s="54"/>
      <c r="JX78" s="54"/>
      <c r="JY78" s="54"/>
      <c r="JZ78" s="54"/>
      <c r="KA78" s="54"/>
      <c r="KB78" s="54"/>
      <c r="KC78" s="54"/>
      <c r="KD78" s="54"/>
      <c r="KE78" s="54"/>
      <c r="KF78" s="54"/>
      <c r="KG78" s="54"/>
      <c r="KH78" s="54"/>
      <c r="KI78" s="54"/>
      <c r="KJ78" s="54"/>
      <c r="KK78" s="54"/>
      <c r="KL78" s="54"/>
      <c r="KM78" s="54"/>
      <c r="KN78" s="54"/>
      <c r="KO78" s="54"/>
      <c r="KP78" s="54"/>
      <c r="KQ78" s="54"/>
      <c r="KR78" s="54"/>
      <c r="KS78" s="54"/>
      <c r="KT78" s="54"/>
      <c r="KU78" s="54"/>
      <c r="KV78" s="54"/>
      <c r="KW78" s="54"/>
      <c r="KX78" s="54"/>
      <c r="KY78" s="54"/>
      <c r="KZ78" s="54"/>
      <c r="LA78" s="54"/>
      <c r="LB78" s="54"/>
      <c r="LC78" s="54"/>
      <c r="LD78" s="54"/>
      <c r="LE78" s="54"/>
      <c r="LF78" s="54"/>
      <c r="LG78" s="54"/>
      <c r="LH78" s="54"/>
      <c r="LI78" s="54"/>
      <c r="LJ78" s="54"/>
      <c r="LK78" s="54"/>
      <c r="LL78" s="54"/>
      <c r="LM78" s="54"/>
      <c r="LN78" s="54"/>
      <c r="LO78" s="54"/>
      <c r="LP78" s="54"/>
      <c r="LQ78" s="54"/>
      <c r="LR78" s="54"/>
      <c r="LS78" s="54"/>
      <c r="LT78" s="54"/>
      <c r="LU78" s="54"/>
      <c r="LV78" s="54"/>
      <c r="LW78" s="54"/>
      <c r="LX78" s="54"/>
      <c r="LY78" s="54"/>
      <c r="LZ78" s="54"/>
      <c r="MA78" s="54"/>
      <c r="MB78" s="54"/>
      <c r="MC78" s="54"/>
      <c r="MD78" s="54"/>
      <c r="ME78" s="54"/>
      <c r="MF78" s="54"/>
      <c r="MG78" s="54"/>
      <c r="MH78" s="54"/>
      <c r="MI78" s="54"/>
      <c r="MJ78" s="54"/>
      <c r="MK78" s="54"/>
      <c r="ML78" s="54"/>
      <c r="MM78" s="54"/>
      <c r="MN78" s="54"/>
      <c r="MO78" s="54"/>
      <c r="MP78" s="54"/>
      <c r="MQ78" s="54"/>
      <c r="MR78" s="54"/>
      <c r="MS78" s="54"/>
      <c r="MT78" s="54"/>
      <c r="MU78" s="54"/>
      <c r="MV78" s="54"/>
      <c r="MW78" s="54"/>
      <c r="MX78" s="54"/>
      <c r="MY78" s="54"/>
      <c r="MZ78" s="54"/>
      <c r="NA78" s="54"/>
      <c r="NB78" s="54"/>
      <c r="NC78" s="54"/>
      <c r="ND78" s="54"/>
      <c r="NE78" s="54"/>
      <c r="NF78" s="54"/>
      <c r="NG78" s="54"/>
      <c r="NH78" s="54"/>
      <c r="NI78" s="54"/>
      <c r="NJ78" s="54"/>
      <c r="NK78" s="54"/>
      <c r="NL78" s="54"/>
      <c r="NM78" s="54"/>
      <c r="NN78" s="54"/>
      <c r="NO78" s="54"/>
      <c r="NP78" s="54"/>
      <c r="NQ78" s="54"/>
      <c r="NR78" s="54"/>
      <c r="NS78" s="54"/>
      <c r="NT78" s="54"/>
      <c r="NU78" s="54"/>
      <c r="NV78" s="54"/>
      <c r="NW78" s="54"/>
      <c r="NX78" s="54"/>
      <c r="NY78" s="54"/>
      <c r="NZ78" s="54"/>
      <c r="OA78" s="54"/>
      <c r="OB78" s="54"/>
      <c r="OC78" s="54"/>
      <c r="OD78" s="54"/>
      <c r="OE78" s="54"/>
      <c r="OF78" s="54"/>
      <c r="OG78" s="54"/>
      <c r="OH78" s="54"/>
      <c r="OI78" s="54"/>
      <c r="OJ78" s="54"/>
      <c r="OK78" s="54"/>
      <c r="OL78" s="54"/>
      <c r="OM78" s="54"/>
      <c r="ON78" s="54"/>
      <c r="OO78" s="54"/>
      <c r="OP78" s="54"/>
      <c r="OQ78" s="54"/>
      <c r="OR78" s="54"/>
      <c r="OS78" s="54"/>
      <c r="OT78" s="54"/>
      <c r="OU78" s="54"/>
      <c r="OV78" s="54"/>
      <c r="OW78" s="54"/>
      <c r="OX78" s="54"/>
      <c r="OY78" s="54"/>
      <c r="OZ78" s="54"/>
      <c r="PA78" s="54"/>
      <c r="PB78" s="54"/>
      <c r="PC78" s="54"/>
      <c r="PD78" s="54"/>
      <c r="PE78" s="54"/>
      <c r="PF78" s="54"/>
      <c r="PG78" s="54"/>
      <c r="PH78" s="54"/>
      <c r="PI78" s="54"/>
      <c r="PJ78" s="54"/>
      <c r="PK78" s="54"/>
      <c r="PL78" s="54"/>
      <c r="PM78" s="54"/>
      <c r="PN78" s="54"/>
      <c r="PO78" s="54"/>
      <c r="PP78" s="54"/>
      <c r="PQ78" s="54"/>
      <c r="PR78" s="54"/>
      <c r="PS78" s="54"/>
      <c r="PT78" s="54"/>
      <c r="PU78" s="54"/>
      <c r="PV78" s="54"/>
      <c r="PW78" s="54"/>
      <c r="PX78" s="54"/>
      <c r="PY78" s="54"/>
      <c r="PZ78" s="54"/>
      <c r="QA78" s="54"/>
      <c r="QB78" s="54"/>
      <c r="QC78" s="54"/>
      <c r="QD78" s="54"/>
      <c r="QE78" s="54"/>
      <c r="QF78" s="54"/>
      <c r="QG78" s="54"/>
      <c r="QH78" s="54"/>
      <c r="QI78" s="54"/>
      <c r="QJ78" s="54"/>
      <c r="QK78" s="54"/>
      <c r="QL78" s="54"/>
      <c r="QM78" s="54"/>
      <c r="QN78" s="54"/>
      <c r="QO78" s="54"/>
      <c r="QP78" s="54"/>
      <c r="QQ78" s="54"/>
      <c r="QR78" s="54"/>
      <c r="QS78" s="54"/>
      <c r="QT78" s="54"/>
      <c r="QU78" s="54"/>
      <c r="QV78" s="54"/>
      <c r="QW78" s="54"/>
      <c r="QX78" s="54"/>
      <c r="QY78" s="54"/>
      <c r="QZ78" s="54"/>
      <c r="RA78" s="54"/>
      <c r="RB78" s="54"/>
      <c r="RC78" s="54"/>
      <c r="RD78" s="54"/>
      <c r="RE78" s="54"/>
      <c r="RF78" s="54"/>
      <c r="RG78" s="54"/>
      <c r="RH78" s="54"/>
      <c r="RI78" s="54"/>
      <c r="RJ78" s="54"/>
      <c r="RK78" s="54"/>
      <c r="RL78" s="54"/>
      <c r="RM78" s="54"/>
      <c r="RN78" s="54"/>
      <c r="RO78" s="54"/>
      <c r="RP78" s="54"/>
      <c r="RQ78" s="54"/>
      <c r="RR78" s="54"/>
      <c r="RS78" s="54"/>
      <c r="RT78" s="54"/>
      <c r="RU78" s="54"/>
      <c r="RV78" s="54"/>
      <c r="RW78" s="54"/>
      <c r="RX78" s="54"/>
      <c r="RY78" s="54"/>
      <c r="RZ78" s="54"/>
      <c r="SA78" s="54"/>
      <c r="SB78" s="54"/>
      <c r="SC78" s="54"/>
      <c r="SD78" s="54"/>
      <c r="SE78" s="54"/>
      <c r="SF78" s="54"/>
      <c r="SG78" s="54"/>
      <c r="SH78" s="54"/>
      <c r="SI78" s="54"/>
      <c r="SJ78" s="54"/>
      <c r="SK78" s="54"/>
      <c r="SL78" s="54"/>
      <c r="SM78" s="54"/>
      <c r="SN78" s="54"/>
      <c r="SO78" s="54"/>
      <c r="SP78" s="54"/>
      <c r="SQ78" s="54"/>
      <c r="SR78" s="54"/>
    </row>
    <row r="79" spans="1:512" s="55" customFormat="1" ht="15" customHeight="1" x14ac:dyDescent="0.7">
      <c r="A79" s="173"/>
      <c r="B79" s="173"/>
      <c r="C79" s="173"/>
      <c r="D79" s="173"/>
      <c r="E79" s="173"/>
      <c r="F79" s="173"/>
      <c r="G79" s="176"/>
      <c r="H79" s="92"/>
      <c r="I79" s="93"/>
      <c r="J79" s="94"/>
      <c r="K79" s="170"/>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c r="EB79" s="56"/>
      <c r="EC79" s="56"/>
      <c r="ED79" s="56"/>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c r="FS79" s="56"/>
      <c r="FT79" s="56"/>
      <c r="FU79" s="56"/>
      <c r="FV79" s="56"/>
      <c r="FW79" s="56"/>
      <c r="FX79" s="56"/>
      <c r="FY79" s="56"/>
      <c r="FZ79" s="56"/>
      <c r="GA79" s="56"/>
      <c r="GB79" s="56"/>
      <c r="GC79" s="56"/>
      <c r="GD79" s="56"/>
      <c r="GE79" s="56"/>
      <c r="GF79" s="56"/>
      <c r="GG79" s="56"/>
      <c r="GH79" s="56"/>
      <c r="GI79" s="56"/>
      <c r="GJ79" s="56"/>
      <c r="GK79" s="56"/>
      <c r="GL79" s="56"/>
      <c r="GM79" s="56"/>
      <c r="GN79" s="56"/>
      <c r="GO79" s="56"/>
      <c r="GP79" s="56"/>
      <c r="GQ79" s="56"/>
      <c r="GR79" s="56"/>
      <c r="GS79" s="56"/>
      <c r="GT79" s="56"/>
      <c r="GU79" s="56"/>
      <c r="GV79" s="56"/>
      <c r="GW79" s="56"/>
      <c r="GX79" s="56"/>
      <c r="GY79" s="56"/>
      <c r="GZ79" s="56"/>
      <c r="HA79" s="56"/>
      <c r="HB79" s="56"/>
      <c r="HC79" s="56"/>
      <c r="HD79" s="56"/>
      <c r="HE79" s="56"/>
      <c r="HF79" s="56"/>
      <c r="HG79" s="56"/>
      <c r="HH79" s="56"/>
      <c r="HI79" s="56"/>
      <c r="HJ79" s="56"/>
      <c r="HK79" s="56"/>
      <c r="HL79" s="56"/>
      <c r="HM79" s="56"/>
      <c r="HN79" s="56"/>
      <c r="HO79" s="56"/>
      <c r="HP79" s="56"/>
      <c r="HQ79" s="56"/>
      <c r="HR79" s="56"/>
      <c r="HS79" s="56"/>
      <c r="HT79" s="56"/>
      <c r="HU79" s="56"/>
      <c r="HV79" s="56"/>
      <c r="HW79" s="56"/>
      <c r="HX79" s="56"/>
      <c r="HY79" s="56"/>
      <c r="HZ79" s="56"/>
      <c r="IA79" s="56"/>
      <c r="IB79" s="56"/>
      <c r="IC79" s="56"/>
      <c r="ID79" s="56"/>
      <c r="IE79" s="56"/>
      <c r="IF79" s="56"/>
      <c r="IG79" s="56"/>
      <c r="IH79" s="56"/>
      <c r="II79" s="56"/>
      <c r="IJ79" s="56"/>
      <c r="IK79" s="56"/>
      <c r="IL79" s="56"/>
      <c r="IM79" s="56"/>
      <c r="IN79" s="56"/>
      <c r="IO79" s="56"/>
      <c r="IP79" s="56"/>
      <c r="IQ79" s="56"/>
      <c r="IR79" s="56"/>
      <c r="IS79" s="56"/>
      <c r="IT79" s="56"/>
      <c r="IU79" s="56"/>
      <c r="IV79" s="56"/>
      <c r="IW79" s="56"/>
      <c r="IX79" s="56"/>
      <c r="IY79" s="56"/>
      <c r="IZ79" s="56"/>
      <c r="JA79" s="56"/>
      <c r="JB79" s="56"/>
      <c r="JC79" s="56"/>
      <c r="JD79" s="56"/>
      <c r="JE79" s="56"/>
      <c r="JF79" s="56"/>
      <c r="JG79" s="56"/>
      <c r="JH79" s="56"/>
      <c r="JI79" s="56"/>
      <c r="JJ79" s="56"/>
      <c r="JK79" s="56"/>
      <c r="JL79" s="56"/>
      <c r="JM79" s="56"/>
      <c r="JN79" s="56"/>
      <c r="JO79" s="56"/>
      <c r="JP79" s="56"/>
      <c r="JQ79" s="56"/>
      <c r="JR79" s="56"/>
      <c r="JS79" s="56"/>
      <c r="JT79" s="56"/>
      <c r="JU79" s="56"/>
      <c r="JV79" s="56"/>
      <c r="JW79" s="56"/>
      <c r="JX79" s="56"/>
      <c r="JY79" s="56"/>
      <c r="JZ79" s="56"/>
      <c r="KA79" s="56"/>
      <c r="KB79" s="56"/>
      <c r="KC79" s="56"/>
      <c r="KD79" s="56"/>
      <c r="KE79" s="56"/>
      <c r="KF79" s="56"/>
      <c r="KG79" s="56"/>
      <c r="KH79" s="56"/>
      <c r="KI79" s="56"/>
      <c r="KJ79" s="56"/>
      <c r="KK79" s="56"/>
      <c r="KL79" s="56"/>
      <c r="KM79" s="56"/>
      <c r="KN79" s="56"/>
      <c r="KO79" s="56"/>
      <c r="KP79" s="56"/>
      <c r="KQ79" s="56"/>
      <c r="KR79" s="56"/>
      <c r="KS79" s="56"/>
      <c r="KT79" s="56"/>
      <c r="KU79" s="56"/>
      <c r="KV79" s="56"/>
      <c r="KW79" s="56"/>
      <c r="KX79" s="56"/>
      <c r="KY79" s="56"/>
      <c r="KZ79" s="56"/>
      <c r="LA79" s="56"/>
      <c r="LB79" s="56"/>
      <c r="LC79" s="56"/>
      <c r="LD79" s="56"/>
      <c r="LE79" s="56"/>
      <c r="LF79" s="56"/>
      <c r="LG79" s="56"/>
      <c r="LH79" s="56"/>
      <c r="LI79" s="56"/>
      <c r="LJ79" s="56"/>
      <c r="LK79" s="56"/>
      <c r="LL79" s="56"/>
      <c r="LM79" s="56"/>
      <c r="LN79" s="56"/>
      <c r="LO79" s="56"/>
      <c r="LP79" s="56"/>
      <c r="LQ79" s="56"/>
      <c r="LR79" s="56"/>
      <c r="LS79" s="56"/>
      <c r="LT79" s="56"/>
      <c r="LU79" s="56"/>
      <c r="LV79" s="56"/>
      <c r="LW79" s="56"/>
      <c r="LX79" s="56"/>
      <c r="LY79" s="56"/>
      <c r="LZ79" s="56"/>
      <c r="MA79" s="56"/>
      <c r="MB79" s="56"/>
      <c r="MC79" s="56"/>
      <c r="MD79" s="56"/>
      <c r="ME79" s="56"/>
      <c r="MF79" s="56"/>
      <c r="MG79" s="56"/>
      <c r="MH79" s="56"/>
      <c r="MI79" s="56"/>
      <c r="MJ79" s="56"/>
      <c r="MK79" s="56"/>
      <c r="ML79" s="56"/>
      <c r="MM79" s="56"/>
      <c r="MN79" s="56"/>
      <c r="MO79" s="56"/>
      <c r="MP79" s="56"/>
      <c r="MQ79" s="56"/>
      <c r="MR79" s="56"/>
      <c r="MS79" s="56"/>
      <c r="MT79" s="56"/>
      <c r="MU79" s="56"/>
      <c r="MV79" s="56"/>
      <c r="MW79" s="56"/>
      <c r="MX79" s="56"/>
      <c r="MY79" s="56"/>
      <c r="MZ79" s="56"/>
      <c r="NA79" s="56"/>
      <c r="NB79" s="56"/>
      <c r="NC79" s="56"/>
      <c r="ND79" s="56"/>
      <c r="NE79" s="56"/>
      <c r="NF79" s="56"/>
      <c r="NG79" s="56"/>
      <c r="NH79" s="56"/>
      <c r="NI79" s="56"/>
      <c r="NJ79" s="56"/>
      <c r="NK79" s="56"/>
      <c r="NL79" s="56"/>
      <c r="NM79" s="56"/>
      <c r="NN79" s="56"/>
      <c r="NO79" s="56"/>
      <c r="NP79" s="56"/>
      <c r="NQ79" s="56"/>
      <c r="NR79" s="56"/>
      <c r="NS79" s="56"/>
      <c r="NT79" s="56"/>
      <c r="NU79" s="56"/>
      <c r="NV79" s="56"/>
      <c r="NW79" s="56"/>
      <c r="NX79" s="56"/>
      <c r="NY79" s="56"/>
      <c r="NZ79" s="56"/>
      <c r="OA79" s="56"/>
      <c r="OB79" s="56"/>
      <c r="OC79" s="56"/>
      <c r="OD79" s="56"/>
      <c r="OE79" s="56"/>
      <c r="OF79" s="56"/>
      <c r="OG79" s="56"/>
      <c r="OH79" s="56"/>
      <c r="OI79" s="56"/>
      <c r="OJ79" s="56"/>
      <c r="OK79" s="56"/>
      <c r="OL79" s="56"/>
      <c r="OM79" s="56"/>
      <c r="ON79" s="56"/>
      <c r="OO79" s="56"/>
      <c r="OP79" s="56"/>
      <c r="OQ79" s="56"/>
      <c r="OR79" s="56"/>
      <c r="OS79" s="56"/>
      <c r="OT79" s="56"/>
      <c r="OU79" s="56"/>
      <c r="OV79" s="56"/>
      <c r="OW79" s="56"/>
      <c r="OX79" s="56"/>
      <c r="OY79" s="56"/>
      <c r="OZ79" s="56"/>
      <c r="PA79" s="56"/>
      <c r="PB79" s="56"/>
      <c r="PC79" s="56"/>
      <c r="PD79" s="56"/>
      <c r="PE79" s="56"/>
      <c r="PF79" s="56"/>
      <c r="PG79" s="56"/>
      <c r="PH79" s="56"/>
      <c r="PI79" s="56"/>
      <c r="PJ79" s="56"/>
      <c r="PK79" s="56"/>
      <c r="PL79" s="56"/>
      <c r="PM79" s="56"/>
      <c r="PN79" s="56"/>
      <c r="PO79" s="56"/>
      <c r="PP79" s="56"/>
      <c r="PQ79" s="56"/>
      <c r="PR79" s="56"/>
      <c r="PS79" s="56"/>
      <c r="PT79" s="56"/>
      <c r="PU79" s="56"/>
      <c r="PV79" s="56"/>
      <c r="PW79" s="56"/>
      <c r="PX79" s="56"/>
      <c r="PY79" s="56"/>
      <c r="PZ79" s="56"/>
      <c r="QA79" s="56"/>
      <c r="QB79" s="56"/>
      <c r="QC79" s="56"/>
      <c r="QD79" s="56"/>
      <c r="QE79" s="56"/>
      <c r="QF79" s="56"/>
      <c r="QG79" s="56"/>
      <c r="QH79" s="56"/>
      <c r="QI79" s="56"/>
      <c r="QJ79" s="56"/>
      <c r="QK79" s="56"/>
      <c r="QL79" s="56"/>
      <c r="QM79" s="56"/>
      <c r="QN79" s="56"/>
      <c r="QO79" s="56"/>
      <c r="QP79" s="56"/>
      <c r="QQ79" s="56"/>
      <c r="QR79" s="56"/>
      <c r="QS79" s="56"/>
      <c r="QT79" s="56"/>
      <c r="QU79" s="56"/>
      <c r="QV79" s="56"/>
      <c r="QW79" s="56"/>
      <c r="QX79" s="56"/>
      <c r="QY79" s="56"/>
      <c r="QZ79" s="56"/>
      <c r="RA79" s="56"/>
      <c r="RB79" s="56"/>
      <c r="RC79" s="56"/>
      <c r="RD79" s="56"/>
      <c r="RE79" s="56"/>
      <c r="RF79" s="56"/>
      <c r="RG79" s="56"/>
      <c r="RH79" s="56"/>
      <c r="RI79" s="56"/>
      <c r="RJ79" s="56"/>
      <c r="RK79" s="56"/>
      <c r="RL79" s="56"/>
      <c r="RM79" s="56"/>
      <c r="RN79" s="56"/>
      <c r="RO79" s="56"/>
      <c r="RP79" s="56"/>
      <c r="RQ79" s="56"/>
      <c r="RR79" s="56"/>
      <c r="RS79" s="56"/>
      <c r="RT79" s="56"/>
      <c r="RU79" s="56"/>
      <c r="RV79" s="56"/>
      <c r="RW79" s="56"/>
      <c r="RX79" s="56"/>
      <c r="RY79" s="56"/>
      <c r="RZ79" s="56"/>
      <c r="SA79" s="56"/>
      <c r="SB79" s="56"/>
      <c r="SC79" s="56"/>
      <c r="SD79" s="56"/>
      <c r="SE79" s="56"/>
      <c r="SF79" s="56"/>
      <c r="SG79" s="56"/>
      <c r="SH79" s="56"/>
      <c r="SI79" s="56"/>
      <c r="SJ79" s="56"/>
      <c r="SK79" s="56"/>
      <c r="SL79" s="56"/>
      <c r="SM79" s="56"/>
      <c r="SN79" s="56"/>
      <c r="SO79" s="56"/>
      <c r="SP79" s="56"/>
      <c r="SQ79" s="56"/>
      <c r="SR79" s="56"/>
    </row>
    <row r="80" spans="1:512" ht="15" customHeight="1" x14ac:dyDescent="0.7">
      <c r="A80" s="171">
        <v>24</v>
      </c>
      <c r="B80" s="171" t="s">
        <v>78</v>
      </c>
      <c r="C80" s="171" t="s">
        <v>408</v>
      </c>
      <c r="D80" s="171"/>
      <c r="E80" s="171" t="s">
        <v>37</v>
      </c>
      <c r="F80" s="171"/>
      <c r="G80" s="174" t="s">
        <v>397</v>
      </c>
      <c r="H80" s="88" t="s">
        <v>398</v>
      </c>
      <c r="I80" s="160" t="s">
        <v>391</v>
      </c>
      <c r="J80" s="161">
        <v>6.3</v>
      </c>
      <c r="K80" s="185">
        <v>3.15</v>
      </c>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4"/>
      <c r="EX80" s="54"/>
      <c r="EY80" s="54"/>
      <c r="EZ80" s="54"/>
      <c r="FA80" s="54"/>
      <c r="FB80" s="54"/>
      <c r="FC80" s="54"/>
      <c r="FD80" s="54"/>
      <c r="FE80" s="54"/>
      <c r="FF80" s="54"/>
      <c r="FG80" s="54"/>
      <c r="FH80" s="54"/>
      <c r="FI80" s="54"/>
      <c r="FJ80" s="54"/>
      <c r="FK80" s="54"/>
      <c r="FL80" s="54"/>
      <c r="FM80" s="54"/>
      <c r="FN80" s="54"/>
      <c r="FO80" s="54"/>
      <c r="FP80" s="54"/>
      <c r="FQ80" s="54"/>
      <c r="FR80" s="54"/>
      <c r="FS80" s="54"/>
      <c r="FT80" s="54"/>
      <c r="FU80" s="54"/>
      <c r="FV80" s="54"/>
      <c r="FW80" s="54"/>
      <c r="FX80" s="54"/>
      <c r="FY80" s="54"/>
      <c r="FZ80" s="54"/>
      <c r="GA80" s="54"/>
      <c r="GB80" s="54"/>
      <c r="GC80" s="54"/>
      <c r="GD80" s="54"/>
      <c r="GE80" s="54"/>
      <c r="GF80" s="54"/>
      <c r="GG80" s="54"/>
      <c r="GH80" s="54"/>
      <c r="GI80" s="54"/>
      <c r="GJ80" s="54"/>
      <c r="GK80" s="54"/>
      <c r="GL80" s="54"/>
      <c r="GM80" s="54"/>
      <c r="GN80" s="54"/>
      <c r="GO80" s="54"/>
      <c r="GP80" s="54"/>
      <c r="GQ80" s="54"/>
      <c r="GR80" s="54"/>
      <c r="GS80" s="54"/>
      <c r="GT80" s="54"/>
      <c r="GU80" s="54"/>
      <c r="GV80" s="54"/>
      <c r="GW80" s="54"/>
      <c r="GX80" s="54"/>
      <c r="GY80" s="54"/>
      <c r="GZ80" s="54"/>
      <c r="HA80" s="54"/>
      <c r="HB80" s="54"/>
      <c r="HC80" s="54"/>
      <c r="HD80" s="54"/>
      <c r="HE80" s="54"/>
      <c r="HF80" s="54"/>
      <c r="HG80" s="54"/>
      <c r="HH80" s="54"/>
      <c r="HI80" s="54"/>
      <c r="HJ80" s="54"/>
      <c r="HK80" s="54"/>
      <c r="HL80" s="54"/>
      <c r="HM80" s="54"/>
      <c r="HN80" s="54"/>
      <c r="HO80" s="54"/>
      <c r="HP80" s="54"/>
      <c r="HQ80" s="54"/>
      <c r="HR80" s="54"/>
      <c r="HS80" s="54"/>
      <c r="HT80" s="54"/>
      <c r="HU80" s="54"/>
      <c r="HV80" s="54"/>
      <c r="HW80" s="54"/>
      <c r="HX80" s="54"/>
      <c r="HY80" s="54"/>
      <c r="HZ80" s="54"/>
      <c r="IA80" s="54"/>
      <c r="IB80" s="54"/>
      <c r="IC80" s="54"/>
      <c r="ID80" s="54"/>
      <c r="IE80" s="54"/>
      <c r="IF80" s="54"/>
      <c r="IG80" s="54"/>
      <c r="IH80" s="54"/>
      <c r="II80" s="54"/>
      <c r="IJ80" s="54"/>
      <c r="IK80" s="54"/>
      <c r="IL80" s="54"/>
      <c r="IM80" s="54"/>
      <c r="IN80" s="54"/>
      <c r="IO80" s="54"/>
      <c r="IP80" s="54"/>
      <c r="IQ80" s="54"/>
      <c r="IR80" s="54"/>
      <c r="IS80" s="54"/>
      <c r="IT80" s="54"/>
      <c r="IU80" s="54"/>
      <c r="IV80" s="54"/>
      <c r="IW80" s="54"/>
      <c r="IX80" s="54"/>
      <c r="IY80" s="54"/>
      <c r="IZ80" s="54"/>
      <c r="JA80" s="54"/>
      <c r="JB80" s="54"/>
      <c r="JC80" s="54"/>
      <c r="JD80" s="54"/>
      <c r="JE80" s="54"/>
      <c r="JF80" s="54"/>
      <c r="JG80" s="54"/>
      <c r="JH80" s="54"/>
      <c r="JI80" s="54"/>
      <c r="JJ80" s="54"/>
      <c r="JK80" s="54"/>
      <c r="JL80" s="54"/>
      <c r="JM80" s="54"/>
      <c r="JN80" s="54"/>
      <c r="JO80" s="54"/>
      <c r="JP80" s="54"/>
      <c r="JQ80" s="54"/>
      <c r="JR80" s="54"/>
      <c r="JS80" s="54"/>
      <c r="JT80" s="54"/>
      <c r="JU80" s="54"/>
      <c r="JV80" s="54"/>
      <c r="JW80" s="54"/>
      <c r="JX80" s="54"/>
      <c r="JY80" s="54"/>
      <c r="JZ80" s="54"/>
      <c r="KA80" s="54"/>
      <c r="KB80" s="54"/>
      <c r="KC80" s="54"/>
      <c r="KD80" s="54"/>
      <c r="KE80" s="54"/>
      <c r="KF80" s="54"/>
      <c r="KG80" s="54"/>
      <c r="KH80" s="54"/>
      <c r="KI80" s="54"/>
      <c r="KJ80" s="54"/>
      <c r="KK80" s="54"/>
      <c r="KL80" s="54"/>
      <c r="KM80" s="54"/>
      <c r="KN80" s="54"/>
      <c r="KO80" s="54"/>
      <c r="KP80" s="54"/>
      <c r="KQ80" s="54"/>
      <c r="KR80" s="54"/>
      <c r="KS80" s="54"/>
      <c r="KT80" s="54"/>
      <c r="KU80" s="54"/>
      <c r="KV80" s="54"/>
      <c r="KW80" s="54"/>
      <c r="KX80" s="54"/>
      <c r="KY80" s="54"/>
      <c r="KZ80" s="54"/>
      <c r="LA80" s="54"/>
      <c r="LB80" s="54"/>
      <c r="LC80" s="54"/>
      <c r="LD80" s="54"/>
      <c r="LE80" s="54"/>
      <c r="LF80" s="54"/>
      <c r="LG80" s="54"/>
      <c r="LH80" s="54"/>
      <c r="LI80" s="54"/>
      <c r="LJ80" s="54"/>
      <c r="LK80" s="54"/>
      <c r="LL80" s="54"/>
      <c r="LM80" s="54"/>
      <c r="LN80" s="54"/>
      <c r="LO80" s="54"/>
      <c r="LP80" s="54"/>
      <c r="LQ80" s="54"/>
      <c r="LR80" s="54"/>
      <c r="LS80" s="54"/>
      <c r="LT80" s="54"/>
      <c r="LU80" s="54"/>
      <c r="LV80" s="54"/>
      <c r="LW80" s="54"/>
      <c r="LX80" s="54"/>
      <c r="LY80" s="54"/>
      <c r="LZ80" s="54"/>
      <c r="MA80" s="54"/>
      <c r="MB80" s="54"/>
      <c r="MC80" s="54"/>
      <c r="MD80" s="54"/>
      <c r="ME80" s="54"/>
      <c r="MF80" s="54"/>
      <c r="MG80" s="54"/>
      <c r="MH80" s="54"/>
      <c r="MI80" s="54"/>
      <c r="MJ80" s="54"/>
      <c r="MK80" s="54"/>
      <c r="ML80" s="54"/>
      <c r="MM80" s="54"/>
      <c r="MN80" s="54"/>
      <c r="MO80" s="54"/>
      <c r="MP80" s="54"/>
      <c r="MQ80" s="54"/>
      <c r="MR80" s="54"/>
      <c r="MS80" s="54"/>
      <c r="MT80" s="54"/>
      <c r="MU80" s="54"/>
      <c r="MV80" s="54"/>
      <c r="MW80" s="54"/>
      <c r="MX80" s="54"/>
      <c r="MY80" s="54"/>
      <c r="MZ80" s="54"/>
      <c r="NA80" s="54"/>
      <c r="NB80" s="54"/>
      <c r="NC80" s="54"/>
      <c r="ND80" s="54"/>
      <c r="NE80" s="54"/>
      <c r="NF80" s="54"/>
      <c r="NG80" s="54"/>
      <c r="NH80" s="54"/>
      <c r="NI80" s="54"/>
      <c r="NJ80" s="54"/>
      <c r="NK80" s="54"/>
      <c r="NL80" s="54"/>
      <c r="NM80" s="54"/>
      <c r="NN80" s="54"/>
      <c r="NO80" s="54"/>
      <c r="NP80" s="54"/>
      <c r="NQ80" s="54"/>
      <c r="NR80" s="54"/>
      <c r="NS80" s="54"/>
      <c r="NT80" s="54"/>
      <c r="NU80" s="54"/>
      <c r="NV80" s="54"/>
      <c r="NW80" s="54"/>
      <c r="NX80" s="54"/>
      <c r="NY80" s="54"/>
      <c r="NZ80" s="54"/>
      <c r="OA80" s="54"/>
      <c r="OB80" s="54"/>
      <c r="OC80" s="54"/>
      <c r="OD80" s="54"/>
      <c r="OE80" s="54"/>
      <c r="OF80" s="54"/>
      <c r="OG80" s="54"/>
      <c r="OH80" s="54"/>
      <c r="OI80" s="54"/>
      <c r="OJ80" s="54"/>
      <c r="OK80" s="54"/>
      <c r="OL80" s="54"/>
      <c r="OM80" s="54"/>
      <c r="ON80" s="54"/>
      <c r="OO80" s="54"/>
      <c r="OP80" s="54"/>
      <c r="OQ80" s="54"/>
      <c r="OR80" s="54"/>
      <c r="OS80" s="54"/>
      <c r="OT80" s="54"/>
      <c r="OU80" s="54"/>
      <c r="OV80" s="54"/>
      <c r="OW80" s="54"/>
      <c r="OX80" s="54"/>
      <c r="OY80" s="54"/>
      <c r="OZ80" s="54"/>
      <c r="PA80" s="54"/>
      <c r="PB80" s="54"/>
      <c r="PC80" s="54"/>
      <c r="PD80" s="54"/>
      <c r="PE80" s="54"/>
      <c r="PF80" s="54"/>
      <c r="PG80" s="54"/>
      <c r="PH80" s="54"/>
      <c r="PI80" s="54"/>
      <c r="PJ80" s="54"/>
      <c r="PK80" s="54"/>
      <c r="PL80" s="54"/>
      <c r="PM80" s="54"/>
      <c r="PN80" s="54"/>
      <c r="PO80" s="54"/>
      <c r="PP80" s="54"/>
      <c r="PQ80" s="54"/>
      <c r="PR80" s="54"/>
      <c r="PS80" s="54"/>
      <c r="PT80" s="54"/>
      <c r="PU80" s="54"/>
      <c r="PV80" s="54"/>
      <c r="PW80" s="54"/>
      <c r="PX80" s="54"/>
      <c r="PY80" s="54"/>
      <c r="PZ80" s="54"/>
      <c r="QA80" s="54"/>
      <c r="QB80" s="54"/>
      <c r="QC80" s="54"/>
      <c r="QD80" s="54"/>
      <c r="QE80" s="54"/>
      <c r="QF80" s="54"/>
      <c r="QG80" s="54"/>
      <c r="QH80" s="54"/>
      <c r="QI80" s="54"/>
      <c r="QJ80" s="54"/>
      <c r="QK80" s="54"/>
      <c r="QL80" s="54"/>
      <c r="QM80" s="54"/>
      <c r="QN80" s="54"/>
      <c r="QO80" s="54"/>
      <c r="QP80" s="54"/>
      <c r="QQ80" s="54"/>
      <c r="QR80" s="54"/>
      <c r="QS80" s="54"/>
      <c r="QT80" s="54"/>
      <c r="QU80" s="54"/>
      <c r="QV80" s="54"/>
      <c r="QW80" s="54"/>
      <c r="QX80" s="54"/>
      <c r="QY80" s="54"/>
      <c r="QZ80" s="54"/>
      <c r="RA80" s="54"/>
      <c r="RB80" s="54"/>
      <c r="RC80" s="54"/>
      <c r="RD80" s="54"/>
      <c r="RE80" s="54"/>
      <c r="RF80" s="54"/>
      <c r="RG80" s="54"/>
      <c r="RH80" s="54"/>
      <c r="RI80" s="54"/>
      <c r="RJ80" s="54"/>
      <c r="RK80" s="54"/>
      <c r="RL80" s="54"/>
      <c r="RM80" s="54"/>
      <c r="RN80" s="54"/>
      <c r="RO80" s="54"/>
      <c r="RP80" s="54"/>
      <c r="RQ80" s="54"/>
      <c r="RR80" s="54"/>
      <c r="RS80" s="54"/>
      <c r="RT80" s="54"/>
      <c r="RU80" s="54"/>
      <c r="RV80" s="54"/>
      <c r="RW80" s="54"/>
      <c r="RX80" s="54"/>
      <c r="RY80" s="54"/>
      <c r="RZ80" s="54"/>
      <c r="SA80" s="54"/>
      <c r="SB80" s="54"/>
      <c r="SC80" s="54"/>
      <c r="SD80" s="54"/>
      <c r="SE80" s="54"/>
      <c r="SF80" s="54"/>
      <c r="SG80" s="54"/>
      <c r="SH80" s="54"/>
      <c r="SI80" s="54"/>
      <c r="SJ80" s="54"/>
      <c r="SK80" s="54"/>
      <c r="SL80" s="54"/>
      <c r="SM80" s="54"/>
      <c r="SN80" s="54"/>
      <c r="SO80" s="54"/>
      <c r="SP80" s="54"/>
      <c r="SQ80" s="54"/>
      <c r="SR80" s="54"/>
    </row>
    <row r="81" spans="1:512" ht="15" customHeight="1" x14ac:dyDescent="0.7">
      <c r="A81" s="172"/>
      <c r="B81" s="172"/>
      <c r="C81" s="172"/>
      <c r="D81" s="172"/>
      <c r="E81" s="172"/>
      <c r="F81" s="172"/>
      <c r="G81" s="175"/>
      <c r="H81" s="91"/>
      <c r="I81" s="160" t="s">
        <v>399</v>
      </c>
      <c r="J81" s="161">
        <v>0</v>
      </c>
      <c r="K81" s="186"/>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c r="KY81" s="54"/>
      <c r="KZ81" s="54"/>
      <c r="LA81" s="54"/>
      <c r="LB81" s="54"/>
      <c r="LC81" s="54"/>
      <c r="LD81" s="54"/>
      <c r="LE81" s="54"/>
      <c r="LF81" s="54"/>
      <c r="LG81" s="54"/>
      <c r="LH81" s="54"/>
      <c r="LI81" s="54"/>
      <c r="LJ81" s="54"/>
      <c r="LK81" s="54"/>
      <c r="LL81" s="54"/>
      <c r="LM81" s="54"/>
      <c r="LN81" s="54"/>
      <c r="LO81" s="54"/>
      <c r="LP81" s="54"/>
      <c r="LQ81" s="54"/>
      <c r="LR81" s="54"/>
      <c r="LS81" s="54"/>
      <c r="LT81" s="54"/>
      <c r="LU81" s="54"/>
      <c r="LV81" s="54"/>
      <c r="LW81" s="54"/>
      <c r="LX81" s="54"/>
      <c r="LY81" s="54"/>
      <c r="LZ81" s="54"/>
      <c r="MA81" s="54"/>
      <c r="MB81" s="54"/>
      <c r="MC81" s="54"/>
      <c r="MD81" s="54"/>
      <c r="ME81" s="54"/>
      <c r="MF81" s="54"/>
      <c r="MG81" s="54"/>
      <c r="MH81" s="54"/>
      <c r="MI81" s="54"/>
      <c r="MJ81" s="54"/>
      <c r="MK81" s="54"/>
      <c r="ML81" s="54"/>
      <c r="MM81" s="54"/>
      <c r="MN81" s="54"/>
      <c r="MO81" s="54"/>
      <c r="MP81" s="54"/>
      <c r="MQ81" s="54"/>
      <c r="MR81" s="54"/>
      <c r="MS81" s="54"/>
      <c r="MT81" s="54"/>
      <c r="MU81" s="54"/>
      <c r="MV81" s="54"/>
      <c r="MW81" s="54"/>
      <c r="MX81" s="54"/>
      <c r="MY81" s="54"/>
      <c r="MZ81" s="54"/>
      <c r="NA81" s="54"/>
      <c r="NB81" s="54"/>
      <c r="NC81" s="54"/>
      <c r="ND81" s="54"/>
      <c r="NE81" s="54"/>
      <c r="NF81" s="54"/>
      <c r="NG81" s="54"/>
      <c r="NH81" s="54"/>
      <c r="NI81" s="54"/>
      <c r="NJ81" s="54"/>
      <c r="NK81" s="54"/>
      <c r="NL81" s="54"/>
      <c r="NM81" s="54"/>
      <c r="NN81" s="54"/>
      <c r="NO81" s="54"/>
      <c r="NP81" s="54"/>
      <c r="NQ81" s="54"/>
      <c r="NR81" s="54"/>
      <c r="NS81" s="54"/>
      <c r="NT81" s="54"/>
      <c r="NU81" s="54"/>
      <c r="NV81" s="54"/>
      <c r="NW81" s="54"/>
      <c r="NX81" s="54"/>
      <c r="NY81" s="54"/>
      <c r="NZ81" s="54"/>
      <c r="OA81" s="54"/>
      <c r="OB81" s="54"/>
      <c r="OC81" s="54"/>
      <c r="OD81" s="54"/>
      <c r="OE81" s="54"/>
      <c r="OF81" s="54"/>
      <c r="OG81" s="54"/>
      <c r="OH81" s="54"/>
      <c r="OI81" s="54"/>
      <c r="OJ81" s="54"/>
      <c r="OK81" s="54"/>
      <c r="OL81" s="54"/>
      <c r="OM81" s="54"/>
      <c r="ON81" s="54"/>
      <c r="OO81" s="54"/>
      <c r="OP81" s="54"/>
      <c r="OQ81" s="54"/>
      <c r="OR81" s="54"/>
      <c r="OS81" s="54"/>
      <c r="OT81" s="54"/>
      <c r="OU81" s="54"/>
      <c r="OV81" s="54"/>
      <c r="OW81" s="54"/>
      <c r="OX81" s="54"/>
      <c r="OY81" s="54"/>
      <c r="OZ81" s="54"/>
      <c r="PA81" s="54"/>
      <c r="PB81" s="54"/>
      <c r="PC81" s="54"/>
      <c r="PD81" s="54"/>
      <c r="PE81" s="54"/>
      <c r="PF81" s="54"/>
      <c r="PG81" s="54"/>
      <c r="PH81" s="54"/>
      <c r="PI81" s="54"/>
      <c r="PJ81" s="54"/>
      <c r="PK81" s="54"/>
      <c r="PL81" s="54"/>
      <c r="PM81" s="54"/>
      <c r="PN81" s="54"/>
      <c r="PO81" s="54"/>
      <c r="PP81" s="54"/>
      <c r="PQ81" s="54"/>
      <c r="PR81" s="54"/>
      <c r="PS81" s="54"/>
      <c r="PT81" s="54"/>
      <c r="PU81" s="54"/>
      <c r="PV81" s="54"/>
      <c r="PW81" s="54"/>
      <c r="PX81" s="54"/>
      <c r="PY81" s="54"/>
      <c r="PZ81" s="54"/>
      <c r="QA81" s="54"/>
      <c r="QB81" s="54"/>
      <c r="QC81" s="54"/>
      <c r="QD81" s="54"/>
      <c r="QE81" s="54"/>
      <c r="QF81" s="54"/>
      <c r="QG81" s="54"/>
      <c r="QH81" s="54"/>
      <c r="QI81" s="54"/>
      <c r="QJ81" s="54"/>
      <c r="QK81" s="54"/>
      <c r="QL81" s="54"/>
      <c r="QM81" s="54"/>
      <c r="QN81" s="54"/>
      <c r="QO81" s="54"/>
      <c r="QP81" s="54"/>
      <c r="QQ81" s="54"/>
      <c r="QR81" s="54"/>
      <c r="QS81" s="54"/>
      <c r="QT81" s="54"/>
      <c r="QU81" s="54"/>
      <c r="QV81" s="54"/>
      <c r="QW81" s="54"/>
      <c r="QX81" s="54"/>
      <c r="QY81" s="54"/>
      <c r="QZ81" s="54"/>
      <c r="RA81" s="54"/>
      <c r="RB81" s="54"/>
      <c r="RC81" s="54"/>
      <c r="RD81" s="54"/>
      <c r="RE81" s="54"/>
      <c r="RF81" s="54"/>
      <c r="RG81" s="54"/>
      <c r="RH81" s="54"/>
      <c r="RI81" s="54"/>
      <c r="RJ81" s="54"/>
      <c r="RK81" s="54"/>
      <c r="RL81" s="54"/>
      <c r="RM81" s="54"/>
      <c r="RN81" s="54"/>
      <c r="RO81" s="54"/>
      <c r="RP81" s="54"/>
      <c r="RQ81" s="54"/>
      <c r="RR81" s="54"/>
      <c r="RS81" s="54"/>
      <c r="RT81" s="54"/>
      <c r="RU81" s="54"/>
      <c r="RV81" s="54"/>
      <c r="RW81" s="54"/>
      <c r="RX81" s="54"/>
      <c r="RY81" s="54"/>
      <c r="RZ81" s="54"/>
      <c r="SA81" s="54"/>
      <c r="SB81" s="54"/>
      <c r="SC81" s="54"/>
      <c r="SD81" s="54"/>
      <c r="SE81" s="54"/>
      <c r="SF81" s="54"/>
      <c r="SG81" s="54"/>
      <c r="SH81" s="54"/>
      <c r="SI81" s="54"/>
      <c r="SJ81" s="54"/>
      <c r="SK81" s="54"/>
      <c r="SL81" s="54"/>
      <c r="SM81" s="54"/>
      <c r="SN81" s="54"/>
      <c r="SO81" s="54"/>
      <c r="SP81" s="54"/>
      <c r="SQ81" s="54"/>
      <c r="SR81" s="54"/>
    </row>
    <row r="82" spans="1:512" s="55" customFormat="1" ht="15" customHeight="1" x14ac:dyDescent="0.7">
      <c r="A82" s="173"/>
      <c r="B82" s="173"/>
      <c r="C82" s="173"/>
      <c r="D82" s="173"/>
      <c r="E82" s="173"/>
      <c r="F82" s="173"/>
      <c r="G82" s="176"/>
      <c r="H82" s="92"/>
      <c r="I82" s="162"/>
      <c r="J82" s="163"/>
      <c r="K82" s="187"/>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c r="IX82" s="56"/>
      <c r="IY82" s="56"/>
      <c r="IZ82" s="56"/>
      <c r="JA82" s="56"/>
      <c r="JB82" s="56"/>
      <c r="JC82" s="56"/>
      <c r="JD82" s="56"/>
      <c r="JE82" s="56"/>
      <c r="JF82" s="56"/>
      <c r="JG82" s="56"/>
      <c r="JH82" s="56"/>
      <c r="JI82" s="56"/>
      <c r="JJ82" s="56"/>
      <c r="JK82" s="56"/>
      <c r="JL82" s="56"/>
      <c r="JM82" s="56"/>
      <c r="JN82" s="56"/>
      <c r="JO82" s="56"/>
      <c r="JP82" s="56"/>
      <c r="JQ82" s="56"/>
      <c r="JR82" s="56"/>
      <c r="JS82" s="56"/>
      <c r="JT82" s="56"/>
      <c r="JU82" s="56"/>
      <c r="JV82" s="56"/>
      <c r="JW82" s="56"/>
      <c r="JX82" s="56"/>
      <c r="JY82" s="56"/>
      <c r="JZ82" s="56"/>
      <c r="KA82" s="56"/>
      <c r="KB82" s="56"/>
      <c r="KC82" s="56"/>
      <c r="KD82" s="56"/>
      <c r="KE82" s="56"/>
      <c r="KF82" s="56"/>
      <c r="KG82" s="56"/>
      <c r="KH82" s="56"/>
      <c r="KI82" s="56"/>
      <c r="KJ82" s="56"/>
      <c r="KK82" s="56"/>
      <c r="KL82" s="56"/>
      <c r="KM82" s="56"/>
      <c r="KN82" s="56"/>
      <c r="KO82" s="56"/>
      <c r="KP82" s="56"/>
      <c r="KQ82" s="56"/>
      <c r="KR82" s="56"/>
      <c r="KS82" s="56"/>
      <c r="KT82" s="56"/>
      <c r="KU82" s="56"/>
      <c r="KV82" s="56"/>
      <c r="KW82" s="56"/>
      <c r="KX82" s="56"/>
      <c r="KY82" s="56"/>
      <c r="KZ82" s="56"/>
      <c r="LA82" s="56"/>
      <c r="LB82" s="56"/>
      <c r="LC82" s="56"/>
      <c r="LD82" s="56"/>
      <c r="LE82" s="56"/>
      <c r="LF82" s="56"/>
      <c r="LG82" s="56"/>
      <c r="LH82" s="56"/>
      <c r="LI82" s="56"/>
      <c r="LJ82" s="56"/>
      <c r="LK82" s="56"/>
      <c r="LL82" s="56"/>
      <c r="LM82" s="56"/>
      <c r="LN82" s="56"/>
      <c r="LO82" s="56"/>
      <c r="LP82" s="56"/>
      <c r="LQ82" s="56"/>
      <c r="LR82" s="56"/>
      <c r="LS82" s="56"/>
      <c r="LT82" s="56"/>
      <c r="LU82" s="56"/>
      <c r="LV82" s="56"/>
      <c r="LW82" s="56"/>
      <c r="LX82" s="56"/>
      <c r="LY82" s="56"/>
      <c r="LZ82" s="56"/>
      <c r="MA82" s="56"/>
      <c r="MB82" s="56"/>
      <c r="MC82" s="56"/>
      <c r="MD82" s="56"/>
      <c r="ME82" s="56"/>
      <c r="MF82" s="56"/>
      <c r="MG82" s="56"/>
      <c r="MH82" s="56"/>
      <c r="MI82" s="56"/>
      <c r="MJ82" s="56"/>
      <c r="MK82" s="56"/>
      <c r="ML82" s="56"/>
      <c r="MM82" s="56"/>
      <c r="MN82" s="56"/>
      <c r="MO82" s="56"/>
      <c r="MP82" s="56"/>
      <c r="MQ82" s="56"/>
      <c r="MR82" s="56"/>
      <c r="MS82" s="56"/>
      <c r="MT82" s="56"/>
      <c r="MU82" s="56"/>
      <c r="MV82" s="56"/>
      <c r="MW82" s="56"/>
      <c r="MX82" s="56"/>
      <c r="MY82" s="56"/>
      <c r="MZ82" s="56"/>
      <c r="NA82" s="56"/>
      <c r="NB82" s="56"/>
      <c r="NC82" s="56"/>
      <c r="ND82" s="56"/>
      <c r="NE82" s="56"/>
      <c r="NF82" s="56"/>
      <c r="NG82" s="56"/>
      <c r="NH82" s="56"/>
      <c r="NI82" s="56"/>
      <c r="NJ82" s="56"/>
      <c r="NK82" s="56"/>
      <c r="NL82" s="56"/>
      <c r="NM82" s="56"/>
      <c r="NN82" s="56"/>
      <c r="NO82" s="56"/>
      <c r="NP82" s="56"/>
      <c r="NQ82" s="56"/>
      <c r="NR82" s="56"/>
      <c r="NS82" s="56"/>
      <c r="NT82" s="56"/>
      <c r="NU82" s="56"/>
      <c r="NV82" s="56"/>
      <c r="NW82" s="56"/>
      <c r="NX82" s="56"/>
      <c r="NY82" s="56"/>
      <c r="NZ82" s="56"/>
      <c r="OA82" s="56"/>
      <c r="OB82" s="56"/>
      <c r="OC82" s="56"/>
      <c r="OD82" s="56"/>
      <c r="OE82" s="56"/>
      <c r="OF82" s="56"/>
      <c r="OG82" s="56"/>
      <c r="OH82" s="56"/>
      <c r="OI82" s="56"/>
      <c r="OJ82" s="56"/>
      <c r="OK82" s="56"/>
      <c r="OL82" s="56"/>
      <c r="OM82" s="56"/>
      <c r="ON82" s="56"/>
      <c r="OO82" s="56"/>
      <c r="OP82" s="56"/>
      <c r="OQ82" s="56"/>
      <c r="OR82" s="56"/>
      <c r="OS82" s="56"/>
      <c r="OT82" s="56"/>
      <c r="OU82" s="56"/>
      <c r="OV82" s="56"/>
      <c r="OW82" s="56"/>
      <c r="OX82" s="56"/>
      <c r="OY82" s="56"/>
      <c r="OZ82" s="56"/>
      <c r="PA82" s="56"/>
      <c r="PB82" s="56"/>
      <c r="PC82" s="56"/>
      <c r="PD82" s="56"/>
      <c r="PE82" s="56"/>
      <c r="PF82" s="56"/>
      <c r="PG82" s="56"/>
      <c r="PH82" s="56"/>
      <c r="PI82" s="56"/>
      <c r="PJ82" s="56"/>
      <c r="PK82" s="56"/>
      <c r="PL82" s="56"/>
      <c r="PM82" s="56"/>
      <c r="PN82" s="56"/>
      <c r="PO82" s="56"/>
      <c r="PP82" s="56"/>
      <c r="PQ82" s="56"/>
      <c r="PR82" s="56"/>
      <c r="PS82" s="56"/>
      <c r="PT82" s="56"/>
      <c r="PU82" s="56"/>
      <c r="PV82" s="56"/>
      <c r="PW82" s="56"/>
      <c r="PX82" s="56"/>
      <c r="PY82" s="56"/>
      <c r="PZ82" s="56"/>
      <c r="QA82" s="56"/>
      <c r="QB82" s="56"/>
      <c r="QC82" s="56"/>
      <c r="QD82" s="56"/>
      <c r="QE82" s="56"/>
      <c r="QF82" s="56"/>
      <c r="QG82" s="56"/>
      <c r="QH82" s="56"/>
      <c r="QI82" s="56"/>
      <c r="QJ82" s="56"/>
      <c r="QK82" s="56"/>
      <c r="QL82" s="56"/>
      <c r="QM82" s="56"/>
      <c r="QN82" s="56"/>
      <c r="QO82" s="56"/>
      <c r="QP82" s="56"/>
      <c r="QQ82" s="56"/>
      <c r="QR82" s="56"/>
      <c r="QS82" s="56"/>
      <c r="QT82" s="56"/>
      <c r="QU82" s="56"/>
      <c r="QV82" s="56"/>
      <c r="QW82" s="56"/>
      <c r="QX82" s="56"/>
      <c r="QY82" s="56"/>
      <c r="QZ82" s="56"/>
      <c r="RA82" s="56"/>
      <c r="RB82" s="56"/>
      <c r="RC82" s="56"/>
      <c r="RD82" s="56"/>
      <c r="RE82" s="56"/>
      <c r="RF82" s="56"/>
      <c r="RG82" s="56"/>
      <c r="RH82" s="56"/>
      <c r="RI82" s="56"/>
      <c r="RJ82" s="56"/>
      <c r="RK82" s="56"/>
      <c r="RL82" s="56"/>
      <c r="RM82" s="56"/>
      <c r="RN82" s="56"/>
      <c r="RO82" s="56"/>
      <c r="RP82" s="56"/>
      <c r="RQ82" s="56"/>
      <c r="RR82" s="56"/>
      <c r="RS82" s="56"/>
      <c r="RT82" s="56"/>
      <c r="RU82" s="56"/>
      <c r="RV82" s="56"/>
      <c r="RW82" s="56"/>
      <c r="RX82" s="56"/>
      <c r="RY82" s="56"/>
      <c r="RZ82" s="56"/>
      <c r="SA82" s="56"/>
      <c r="SB82" s="56"/>
      <c r="SC82" s="56"/>
      <c r="SD82" s="56"/>
      <c r="SE82" s="56"/>
      <c r="SF82" s="56"/>
      <c r="SG82" s="56"/>
      <c r="SH82" s="56"/>
      <c r="SI82" s="56"/>
      <c r="SJ82" s="56"/>
      <c r="SK82" s="56"/>
      <c r="SL82" s="56"/>
      <c r="SM82" s="56"/>
      <c r="SN82" s="56"/>
      <c r="SO82" s="56"/>
      <c r="SP82" s="56"/>
      <c r="SQ82" s="56"/>
      <c r="SR82" s="56"/>
    </row>
    <row r="83" spans="1:512" ht="15" customHeight="1" x14ac:dyDescent="0.7">
      <c r="A83" s="171">
        <v>25</v>
      </c>
      <c r="B83" s="171" t="s">
        <v>78</v>
      </c>
      <c r="C83" s="171" t="s">
        <v>409</v>
      </c>
      <c r="D83" s="171"/>
      <c r="E83" s="171" t="s">
        <v>37</v>
      </c>
      <c r="F83" s="171"/>
      <c r="G83" s="174" t="s">
        <v>397</v>
      </c>
      <c r="H83" s="88" t="s">
        <v>398</v>
      </c>
      <c r="I83" s="160" t="s">
        <v>391</v>
      </c>
      <c r="J83" s="161">
        <v>6.3</v>
      </c>
      <c r="K83" s="185">
        <v>3.15</v>
      </c>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4"/>
      <c r="EX83" s="54"/>
      <c r="EY83" s="54"/>
      <c r="EZ83" s="54"/>
      <c r="FA83" s="54"/>
      <c r="FB83" s="54"/>
      <c r="FC83" s="54"/>
      <c r="FD83" s="54"/>
      <c r="FE83" s="54"/>
      <c r="FF83" s="54"/>
      <c r="FG83" s="54"/>
      <c r="FH83" s="54"/>
      <c r="FI83" s="54"/>
      <c r="FJ83" s="54"/>
      <c r="FK83" s="54"/>
      <c r="FL83" s="54"/>
      <c r="FM83" s="54"/>
      <c r="FN83" s="54"/>
      <c r="FO83" s="54"/>
      <c r="FP83" s="54"/>
      <c r="FQ83" s="54"/>
      <c r="FR83" s="54"/>
      <c r="FS83" s="54"/>
      <c r="FT83" s="54"/>
      <c r="FU83" s="54"/>
      <c r="FV83" s="54"/>
      <c r="FW83" s="54"/>
      <c r="FX83" s="54"/>
      <c r="FY83" s="54"/>
      <c r="FZ83" s="54"/>
      <c r="GA83" s="54"/>
      <c r="GB83" s="54"/>
      <c r="GC83" s="54"/>
      <c r="GD83" s="54"/>
      <c r="GE83" s="54"/>
      <c r="GF83" s="54"/>
      <c r="GG83" s="54"/>
      <c r="GH83" s="54"/>
      <c r="GI83" s="54"/>
      <c r="GJ83" s="54"/>
      <c r="GK83" s="54"/>
      <c r="GL83" s="54"/>
      <c r="GM83" s="54"/>
      <c r="GN83" s="54"/>
      <c r="GO83" s="54"/>
      <c r="GP83" s="54"/>
      <c r="GQ83" s="54"/>
      <c r="GR83" s="54"/>
      <c r="GS83" s="54"/>
      <c r="GT83" s="54"/>
      <c r="GU83" s="54"/>
      <c r="GV83" s="54"/>
      <c r="GW83" s="54"/>
      <c r="GX83" s="54"/>
      <c r="GY83" s="54"/>
      <c r="GZ83" s="54"/>
      <c r="HA83" s="54"/>
      <c r="HB83" s="54"/>
      <c r="HC83" s="54"/>
      <c r="HD83" s="54"/>
      <c r="HE83" s="54"/>
      <c r="HF83" s="54"/>
      <c r="HG83" s="54"/>
      <c r="HH83" s="54"/>
      <c r="HI83" s="54"/>
      <c r="HJ83" s="54"/>
      <c r="HK83" s="54"/>
      <c r="HL83" s="54"/>
      <c r="HM83" s="54"/>
      <c r="HN83" s="54"/>
      <c r="HO83" s="54"/>
      <c r="HP83" s="54"/>
      <c r="HQ83" s="54"/>
      <c r="HR83" s="54"/>
      <c r="HS83" s="54"/>
      <c r="HT83" s="54"/>
      <c r="HU83" s="54"/>
      <c r="HV83" s="54"/>
      <c r="HW83" s="54"/>
      <c r="HX83" s="54"/>
      <c r="HY83" s="54"/>
      <c r="HZ83" s="54"/>
      <c r="IA83" s="54"/>
      <c r="IB83" s="54"/>
      <c r="IC83" s="54"/>
      <c r="ID83" s="54"/>
      <c r="IE83" s="54"/>
      <c r="IF83" s="54"/>
      <c r="IG83" s="54"/>
      <c r="IH83" s="54"/>
      <c r="II83" s="54"/>
      <c r="IJ83" s="54"/>
      <c r="IK83" s="54"/>
      <c r="IL83" s="54"/>
      <c r="IM83" s="54"/>
      <c r="IN83" s="54"/>
      <c r="IO83" s="54"/>
      <c r="IP83" s="54"/>
      <c r="IQ83" s="54"/>
      <c r="IR83" s="54"/>
      <c r="IS83" s="54"/>
      <c r="IT83" s="54"/>
      <c r="IU83" s="54"/>
      <c r="IV83" s="54"/>
      <c r="IW83" s="54"/>
      <c r="IX83" s="54"/>
      <c r="IY83" s="54"/>
      <c r="IZ83" s="54"/>
      <c r="JA83" s="54"/>
      <c r="JB83" s="54"/>
      <c r="JC83" s="54"/>
      <c r="JD83" s="54"/>
      <c r="JE83" s="54"/>
      <c r="JF83" s="54"/>
      <c r="JG83" s="54"/>
      <c r="JH83" s="54"/>
      <c r="JI83" s="54"/>
      <c r="JJ83" s="54"/>
      <c r="JK83" s="54"/>
      <c r="JL83" s="54"/>
      <c r="JM83" s="54"/>
      <c r="JN83" s="54"/>
      <c r="JO83" s="54"/>
      <c r="JP83" s="54"/>
      <c r="JQ83" s="54"/>
      <c r="JR83" s="54"/>
      <c r="JS83" s="54"/>
      <c r="JT83" s="54"/>
      <c r="JU83" s="54"/>
      <c r="JV83" s="54"/>
      <c r="JW83" s="54"/>
      <c r="JX83" s="54"/>
      <c r="JY83" s="54"/>
      <c r="JZ83" s="54"/>
      <c r="KA83" s="54"/>
      <c r="KB83" s="54"/>
      <c r="KC83" s="54"/>
      <c r="KD83" s="54"/>
      <c r="KE83" s="54"/>
      <c r="KF83" s="54"/>
      <c r="KG83" s="54"/>
      <c r="KH83" s="54"/>
      <c r="KI83" s="54"/>
      <c r="KJ83" s="54"/>
      <c r="KK83" s="54"/>
      <c r="KL83" s="54"/>
      <c r="KM83" s="54"/>
      <c r="KN83" s="54"/>
      <c r="KO83" s="54"/>
      <c r="KP83" s="54"/>
      <c r="KQ83" s="54"/>
      <c r="KR83" s="54"/>
      <c r="KS83" s="54"/>
      <c r="KT83" s="54"/>
      <c r="KU83" s="54"/>
      <c r="KV83" s="54"/>
      <c r="KW83" s="54"/>
      <c r="KX83" s="54"/>
      <c r="KY83" s="54"/>
      <c r="KZ83" s="54"/>
      <c r="LA83" s="54"/>
      <c r="LB83" s="54"/>
      <c r="LC83" s="54"/>
      <c r="LD83" s="54"/>
      <c r="LE83" s="54"/>
      <c r="LF83" s="54"/>
      <c r="LG83" s="54"/>
      <c r="LH83" s="54"/>
      <c r="LI83" s="54"/>
      <c r="LJ83" s="54"/>
      <c r="LK83" s="54"/>
      <c r="LL83" s="54"/>
      <c r="LM83" s="54"/>
      <c r="LN83" s="54"/>
      <c r="LO83" s="54"/>
      <c r="LP83" s="54"/>
      <c r="LQ83" s="54"/>
      <c r="LR83" s="54"/>
      <c r="LS83" s="54"/>
      <c r="LT83" s="54"/>
      <c r="LU83" s="54"/>
      <c r="LV83" s="54"/>
      <c r="LW83" s="54"/>
      <c r="LX83" s="54"/>
      <c r="LY83" s="54"/>
      <c r="LZ83" s="54"/>
      <c r="MA83" s="54"/>
      <c r="MB83" s="54"/>
      <c r="MC83" s="54"/>
      <c r="MD83" s="54"/>
      <c r="ME83" s="54"/>
      <c r="MF83" s="54"/>
      <c r="MG83" s="54"/>
      <c r="MH83" s="54"/>
      <c r="MI83" s="54"/>
      <c r="MJ83" s="54"/>
      <c r="MK83" s="54"/>
      <c r="ML83" s="54"/>
      <c r="MM83" s="54"/>
      <c r="MN83" s="54"/>
      <c r="MO83" s="54"/>
      <c r="MP83" s="54"/>
      <c r="MQ83" s="54"/>
      <c r="MR83" s="54"/>
      <c r="MS83" s="54"/>
      <c r="MT83" s="54"/>
      <c r="MU83" s="54"/>
      <c r="MV83" s="54"/>
      <c r="MW83" s="54"/>
      <c r="MX83" s="54"/>
      <c r="MY83" s="54"/>
      <c r="MZ83" s="54"/>
      <c r="NA83" s="54"/>
      <c r="NB83" s="54"/>
      <c r="NC83" s="54"/>
      <c r="ND83" s="54"/>
      <c r="NE83" s="54"/>
      <c r="NF83" s="54"/>
      <c r="NG83" s="54"/>
      <c r="NH83" s="54"/>
      <c r="NI83" s="54"/>
      <c r="NJ83" s="54"/>
      <c r="NK83" s="54"/>
      <c r="NL83" s="54"/>
      <c r="NM83" s="54"/>
      <c r="NN83" s="54"/>
      <c r="NO83" s="54"/>
      <c r="NP83" s="54"/>
      <c r="NQ83" s="54"/>
      <c r="NR83" s="54"/>
      <c r="NS83" s="54"/>
      <c r="NT83" s="54"/>
      <c r="NU83" s="54"/>
      <c r="NV83" s="54"/>
      <c r="NW83" s="54"/>
      <c r="NX83" s="54"/>
      <c r="NY83" s="54"/>
      <c r="NZ83" s="54"/>
      <c r="OA83" s="54"/>
      <c r="OB83" s="54"/>
      <c r="OC83" s="54"/>
      <c r="OD83" s="54"/>
      <c r="OE83" s="54"/>
      <c r="OF83" s="54"/>
      <c r="OG83" s="54"/>
      <c r="OH83" s="54"/>
      <c r="OI83" s="54"/>
      <c r="OJ83" s="54"/>
      <c r="OK83" s="54"/>
      <c r="OL83" s="54"/>
      <c r="OM83" s="54"/>
      <c r="ON83" s="54"/>
      <c r="OO83" s="54"/>
      <c r="OP83" s="54"/>
      <c r="OQ83" s="54"/>
      <c r="OR83" s="54"/>
      <c r="OS83" s="54"/>
      <c r="OT83" s="54"/>
      <c r="OU83" s="54"/>
      <c r="OV83" s="54"/>
      <c r="OW83" s="54"/>
      <c r="OX83" s="54"/>
      <c r="OY83" s="54"/>
      <c r="OZ83" s="54"/>
      <c r="PA83" s="54"/>
      <c r="PB83" s="54"/>
      <c r="PC83" s="54"/>
      <c r="PD83" s="54"/>
      <c r="PE83" s="54"/>
      <c r="PF83" s="54"/>
      <c r="PG83" s="54"/>
      <c r="PH83" s="54"/>
      <c r="PI83" s="54"/>
      <c r="PJ83" s="54"/>
      <c r="PK83" s="54"/>
      <c r="PL83" s="54"/>
      <c r="PM83" s="54"/>
      <c r="PN83" s="54"/>
      <c r="PO83" s="54"/>
      <c r="PP83" s="54"/>
      <c r="PQ83" s="54"/>
      <c r="PR83" s="54"/>
      <c r="PS83" s="54"/>
      <c r="PT83" s="54"/>
      <c r="PU83" s="54"/>
      <c r="PV83" s="54"/>
      <c r="PW83" s="54"/>
      <c r="PX83" s="54"/>
      <c r="PY83" s="54"/>
      <c r="PZ83" s="54"/>
      <c r="QA83" s="54"/>
      <c r="QB83" s="54"/>
      <c r="QC83" s="54"/>
      <c r="QD83" s="54"/>
      <c r="QE83" s="54"/>
      <c r="QF83" s="54"/>
      <c r="QG83" s="54"/>
      <c r="QH83" s="54"/>
      <c r="QI83" s="54"/>
      <c r="QJ83" s="54"/>
      <c r="QK83" s="54"/>
      <c r="QL83" s="54"/>
      <c r="QM83" s="54"/>
      <c r="QN83" s="54"/>
      <c r="QO83" s="54"/>
      <c r="QP83" s="54"/>
      <c r="QQ83" s="54"/>
      <c r="QR83" s="54"/>
      <c r="QS83" s="54"/>
      <c r="QT83" s="54"/>
      <c r="QU83" s="54"/>
      <c r="QV83" s="54"/>
      <c r="QW83" s="54"/>
      <c r="QX83" s="54"/>
      <c r="QY83" s="54"/>
      <c r="QZ83" s="54"/>
      <c r="RA83" s="54"/>
      <c r="RB83" s="54"/>
      <c r="RC83" s="54"/>
      <c r="RD83" s="54"/>
      <c r="RE83" s="54"/>
      <c r="RF83" s="54"/>
      <c r="RG83" s="54"/>
      <c r="RH83" s="54"/>
      <c r="RI83" s="54"/>
      <c r="RJ83" s="54"/>
      <c r="RK83" s="54"/>
      <c r="RL83" s="54"/>
      <c r="RM83" s="54"/>
      <c r="RN83" s="54"/>
      <c r="RO83" s="54"/>
      <c r="RP83" s="54"/>
      <c r="RQ83" s="54"/>
      <c r="RR83" s="54"/>
      <c r="RS83" s="54"/>
      <c r="RT83" s="54"/>
      <c r="RU83" s="54"/>
      <c r="RV83" s="54"/>
      <c r="RW83" s="54"/>
      <c r="RX83" s="54"/>
      <c r="RY83" s="54"/>
      <c r="RZ83" s="54"/>
      <c r="SA83" s="54"/>
      <c r="SB83" s="54"/>
      <c r="SC83" s="54"/>
      <c r="SD83" s="54"/>
      <c r="SE83" s="54"/>
      <c r="SF83" s="54"/>
      <c r="SG83" s="54"/>
      <c r="SH83" s="54"/>
      <c r="SI83" s="54"/>
      <c r="SJ83" s="54"/>
      <c r="SK83" s="54"/>
      <c r="SL83" s="54"/>
      <c r="SM83" s="54"/>
      <c r="SN83" s="54"/>
      <c r="SO83" s="54"/>
      <c r="SP83" s="54"/>
      <c r="SQ83" s="54"/>
      <c r="SR83" s="54"/>
    </row>
    <row r="84" spans="1:512" ht="15" customHeight="1" x14ac:dyDescent="0.7">
      <c r="A84" s="172"/>
      <c r="B84" s="172"/>
      <c r="C84" s="172"/>
      <c r="D84" s="172"/>
      <c r="E84" s="172"/>
      <c r="F84" s="172"/>
      <c r="G84" s="175"/>
      <c r="H84" s="91"/>
      <c r="I84" s="160" t="s">
        <v>399</v>
      </c>
      <c r="J84" s="161">
        <v>0</v>
      </c>
      <c r="K84" s="186"/>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c r="IS84" s="54"/>
      <c r="IT84" s="54"/>
      <c r="IU84" s="54"/>
      <c r="IV84" s="54"/>
      <c r="IW84" s="54"/>
      <c r="IX84" s="54"/>
      <c r="IY84" s="54"/>
      <c r="IZ84" s="54"/>
      <c r="JA84" s="54"/>
      <c r="JB84" s="54"/>
      <c r="JC84" s="54"/>
      <c r="JD84" s="54"/>
      <c r="JE84" s="54"/>
      <c r="JF84" s="54"/>
      <c r="JG84" s="54"/>
      <c r="JH84" s="54"/>
      <c r="JI84" s="54"/>
      <c r="JJ84" s="54"/>
      <c r="JK84" s="54"/>
      <c r="JL84" s="54"/>
      <c r="JM84" s="54"/>
      <c r="JN84" s="54"/>
      <c r="JO84" s="54"/>
      <c r="JP84" s="54"/>
      <c r="JQ84" s="54"/>
      <c r="JR84" s="54"/>
      <c r="JS84" s="54"/>
      <c r="JT84" s="54"/>
      <c r="JU84" s="54"/>
      <c r="JV84" s="54"/>
      <c r="JW84" s="54"/>
      <c r="JX84" s="54"/>
      <c r="JY84" s="54"/>
      <c r="JZ84" s="54"/>
      <c r="KA84" s="54"/>
      <c r="KB84" s="54"/>
      <c r="KC84" s="54"/>
      <c r="KD84" s="54"/>
      <c r="KE84" s="54"/>
      <c r="KF84" s="54"/>
      <c r="KG84" s="54"/>
      <c r="KH84" s="54"/>
      <c r="KI84" s="54"/>
      <c r="KJ84" s="54"/>
      <c r="KK84" s="54"/>
      <c r="KL84" s="54"/>
      <c r="KM84" s="54"/>
      <c r="KN84" s="54"/>
      <c r="KO84" s="54"/>
      <c r="KP84" s="54"/>
      <c r="KQ84" s="54"/>
      <c r="KR84" s="54"/>
      <c r="KS84" s="54"/>
      <c r="KT84" s="54"/>
      <c r="KU84" s="54"/>
      <c r="KV84" s="54"/>
      <c r="KW84" s="54"/>
      <c r="KX84" s="54"/>
      <c r="KY84" s="54"/>
      <c r="KZ84" s="54"/>
      <c r="LA84" s="54"/>
      <c r="LB84" s="54"/>
      <c r="LC84" s="54"/>
      <c r="LD84" s="54"/>
      <c r="LE84" s="54"/>
      <c r="LF84" s="54"/>
      <c r="LG84" s="54"/>
      <c r="LH84" s="54"/>
      <c r="LI84" s="54"/>
      <c r="LJ84" s="54"/>
      <c r="LK84" s="54"/>
      <c r="LL84" s="54"/>
      <c r="LM84" s="54"/>
      <c r="LN84" s="54"/>
      <c r="LO84" s="54"/>
      <c r="LP84" s="54"/>
      <c r="LQ84" s="54"/>
      <c r="LR84" s="54"/>
      <c r="LS84" s="54"/>
      <c r="LT84" s="54"/>
      <c r="LU84" s="54"/>
      <c r="LV84" s="54"/>
      <c r="LW84" s="54"/>
      <c r="LX84" s="54"/>
      <c r="LY84" s="54"/>
      <c r="LZ84" s="54"/>
      <c r="MA84" s="54"/>
      <c r="MB84" s="54"/>
      <c r="MC84" s="54"/>
      <c r="MD84" s="54"/>
      <c r="ME84" s="54"/>
      <c r="MF84" s="54"/>
      <c r="MG84" s="54"/>
      <c r="MH84" s="54"/>
      <c r="MI84" s="54"/>
      <c r="MJ84" s="54"/>
      <c r="MK84" s="54"/>
      <c r="ML84" s="54"/>
      <c r="MM84" s="54"/>
      <c r="MN84" s="54"/>
      <c r="MO84" s="54"/>
      <c r="MP84" s="54"/>
      <c r="MQ84" s="54"/>
      <c r="MR84" s="54"/>
      <c r="MS84" s="54"/>
      <c r="MT84" s="54"/>
      <c r="MU84" s="54"/>
      <c r="MV84" s="54"/>
      <c r="MW84" s="54"/>
      <c r="MX84" s="54"/>
      <c r="MY84" s="54"/>
      <c r="MZ84" s="54"/>
      <c r="NA84" s="54"/>
      <c r="NB84" s="54"/>
      <c r="NC84" s="54"/>
      <c r="ND84" s="54"/>
      <c r="NE84" s="54"/>
      <c r="NF84" s="54"/>
      <c r="NG84" s="54"/>
      <c r="NH84" s="54"/>
      <c r="NI84" s="54"/>
      <c r="NJ84" s="54"/>
      <c r="NK84" s="54"/>
      <c r="NL84" s="54"/>
      <c r="NM84" s="54"/>
      <c r="NN84" s="54"/>
      <c r="NO84" s="54"/>
      <c r="NP84" s="54"/>
      <c r="NQ84" s="54"/>
      <c r="NR84" s="54"/>
      <c r="NS84" s="54"/>
      <c r="NT84" s="54"/>
      <c r="NU84" s="54"/>
      <c r="NV84" s="54"/>
      <c r="NW84" s="54"/>
      <c r="NX84" s="54"/>
      <c r="NY84" s="54"/>
      <c r="NZ84" s="54"/>
      <c r="OA84" s="54"/>
      <c r="OB84" s="54"/>
      <c r="OC84" s="54"/>
      <c r="OD84" s="54"/>
      <c r="OE84" s="54"/>
      <c r="OF84" s="54"/>
      <c r="OG84" s="54"/>
      <c r="OH84" s="54"/>
      <c r="OI84" s="54"/>
      <c r="OJ84" s="54"/>
      <c r="OK84" s="54"/>
      <c r="OL84" s="54"/>
      <c r="OM84" s="54"/>
      <c r="ON84" s="54"/>
      <c r="OO84" s="54"/>
      <c r="OP84" s="54"/>
      <c r="OQ84" s="54"/>
      <c r="OR84" s="54"/>
      <c r="OS84" s="54"/>
      <c r="OT84" s="54"/>
      <c r="OU84" s="54"/>
      <c r="OV84" s="54"/>
      <c r="OW84" s="54"/>
      <c r="OX84" s="54"/>
      <c r="OY84" s="54"/>
      <c r="OZ84" s="54"/>
      <c r="PA84" s="54"/>
      <c r="PB84" s="54"/>
      <c r="PC84" s="54"/>
      <c r="PD84" s="54"/>
      <c r="PE84" s="54"/>
      <c r="PF84" s="54"/>
      <c r="PG84" s="54"/>
      <c r="PH84" s="54"/>
      <c r="PI84" s="54"/>
      <c r="PJ84" s="54"/>
      <c r="PK84" s="54"/>
      <c r="PL84" s="54"/>
      <c r="PM84" s="54"/>
      <c r="PN84" s="54"/>
      <c r="PO84" s="54"/>
      <c r="PP84" s="54"/>
      <c r="PQ84" s="54"/>
      <c r="PR84" s="54"/>
      <c r="PS84" s="54"/>
      <c r="PT84" s="54"/>
      <c r="PU84" s="54"/>
      <c r="PV84" s="54"/>
      <c r="PW84" s="54"/>
      <c r="PX84" s="54"/>
      <c r="PY84" s="54"/>
      <c r="PZ84" s="54"/>
      <c r="QA84" s="54"/>
      <c r="QB84" s="54"/>
      <c r="QC84" s="54"/>
      <c r="QD84" s="54"/>
      <c r="QE84" s="54"/>
      <c r="QF84" s="54"/>
      <c r="QG84" s="54"/>
      <c r="QH84" s="54"/>
      <c r="QI84" s="54"/>
      <c r="QJ84" s="54"/>
      <c r="QK84" s="54"/>
      <c r="QL84" s="54"/>
      <c r="QM84" s="54"/>
      <c r="QN84" s="54"/>
      <c r="QO84" s="54"/>
      <c r="QP84" s="54"/>
      <c r="QQ84" s="54"/>
      <c r="QR84" s="54"/>
      <c r="QS84" s="54"/>
      <c r="QT84" s="54"/>
      <c r="QU84" s="54"/>
      <c r="QV84" s="54"/>
      <c r="QW84" s="54"/>
      <c r="QX84" s="54"/>
      <c r="QY84" s="54"/>
      <c r="QZ84" s="54"/>
      <c r="RA84" s="54"/>
      <c r="RB84" s="54"/>
      <c r="RC84" s="54"/>
      <c r="RD84" s="54"/>
      <c r="RE84" s="54"/>
      <c r="RF84" s="54"/>
      <c r="RG84" s="54"/>
      <c r="RH84" s="54"/>
      <c r="RI84" s="54"/>
      <c r="RJ84" s="54"/>
      <c r="RK84" s="54"/>
      <c r="RL84" s="54"/>
      <c r="RM84" s="54"/>
      <c r="RN84" s="54"/>
      <c r="RO84" s="54"/>
      <c r="RP84" s="54"/>
      <c r="RQ84" s="54"/>
      <c r="RR84" s="54"/>
      <c r="RS84" s="54"/>
      <c r="RT84" s="54"/>
      <c r="RU84" s="54"/>
      <c r="RV84" s="54"/>
      <c r="RW84" s="54"/>
      <c r="RX84" s="54"/>
      <c r="RY84" s="54"/>
      <c r="RZ84" s="54"/>
      <c r="SA84" s="54"/>
      <c r="SB84" s="54"/>
      <c r="SC84" s="54"/>
      <c r="SD84" s="54"/>
      <c r="SE84" s="54"/>
      <c r="SF84" s="54"/>
      <c r="SG84" s="54"/>
      <c r="SH84" s="54"/>
      <c r="SI84" s="54"/>
      <c r="SJ84" s="54"/>
      <c r="SK84" s="54"/>
      <c r="SL84" s="54"/>
      <c r="SM84" s="54"/>
      <c r="SN84" s="54"/>
      <c r="SO84" s="54"/>
      <c r="SP84" s="54"/>
      <c r="SQ84" s="54"/>
      <c r="SR84" s="54"/>
    </row>
    <row r="85" spans="1:512" s="55" customFormat="1" ht="15" customHeight="1" x14ac:dyDescent="0.7">
      <c r="A85" s="173"/>
      <c r="B85" s="173"/>
      <c r="C85" s="173"/>
      <c r="D85" s="173"/>
      <c r="E85" s="173"/>
      <c r="F85" s="173"/>
      <c r="G85" s="176"/>
      <c r="H85" s="92"/>
      <c r="I85" s="162"/>
      <c r="J85" s="163"/>
      <c r="K85" s="187"/>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56"/>
      <c r="DF85" s="56"/>
      <c r="DG85" s="56"/>
      <c r="DH85" s="56"/>
      <c r="DI85" s="56"/>
      <c r="DJ85" s="56"/>
      <c r="DK85" s="56"/>
      <c r="DL85" s="56"/>
      <c r="DM85" s="56"/>
      <c r="DN85" s="56"/>
      <c r="DO85" s="56"/>
      <c r="DP85" s="56"/>
      <c r="DQ85" s="56"/>
      <c r="DR85" s="56"/>
      <c r="DS85" s="56"/>
      <c r="DT85" s="56"/>
      <c r="DU85" s="56"/>
      <c r="DV85" s="56"/>
      <c r="DW85" s="56"/>
      <c r="DX85" s="56"/>
      <c r="DY85" s="56"/>
      <c r="DZ85" s="56"/>
      <c r="EA85" s="56"/>
      <c r="EB85" s="56"/>
      <c r="EC85" s="56"/>
      <c r="ED85" s="56"/>
      <c r="EE85" s="56"/>
      <c r="EF85" s="56"/>
      <c r="EG85" s="56"/>
      <c r="EH85" s="56"/>
      <c r="EI85" s="56"/>
      <c r="EJ85" s="56"/>
      <c r="EK85" s="56"/>
      <c r="EL85" s="56"/>
      <c r="EM85" s="56"/>
      <c r="EN85" s="56"/>
      <c r="EO85" s="56"/>
      <c r="EP85" s="56"/>
      <c r="EQ85" s="56"/>
      <c r="ER85" s="56"/>
      <c r="ES85" s="56"/>
      <c r="ET85" s="56"/>
      <c r="EU85" s="56"/>
      <c r="EV85" s="56"/>
      <c r="EW85" s="56"/>
      <c r="EX85" s="56"/>
      <c r="EY85" s="56"/>
      <c r="EZ85" s="56"/>
      <c r="FA85" s="56"/>
      <c r="FB85" s="56"/>
      <c r="FC85" s="56"/>
      <c r="FD85" s="56"/>
      <c r="FE85" s="56"/>
      <c r="FF85" s="56"/>
      <c r="FG85" s="56"/>
      <c r="FH85" s="56"/>
      <c r="FI85" s="56"/>
      <c r="FJ85" s="56"/>
      <c r="FK85" s="56"/>
      <c r="FL85" s="56"/>
      <c r="FM85" s="56"/>
      <c r="FN85" s="56"/>
      <c r="FO85" s="56"/>
      <c r="FP85" s="56"/>
      <c r="FQ85" s="56"/>
      <c r="FR85" s="56"/>
      <c r="FS85" s="56"/>
      <c r="FT85" s="56"/>
      <c r="FU85" s="56"/>
      <c r="FV85" s="56"/>
      <c r="FW85" s="56"/>
      <c r="FX85" s="56"/>
      <c r="FY85" s="56"/>
      <c r="FZ85" s="56"/>
      <c r="GA85" s="56"/>
      <c r="GB85" s="56"/>
      <c r="GC85" s="56"/>
      <c r="GD85" s="56"/>
      <c r="GE85" s="56"/>
      <c r="GF85" s="56"/>
      <c r="GG85" s="56"/>
      <c r="GH85" s="56"/>
      <c r="GI85" s="56"/>
      <c r="GJ85" s="56"/>
      <c r="GK85" s="56"/>
      <c r="GL85" s="56"/>
      <c r="GM85" s="56"/>
      <c r="GN85" s="56"/>
      <c r="GO85" s="56"/>
      <c r="GP85" s="56"/>
      <c r="GQ85" s="56"/>
      <c r="GR85" s="56"/>
      <c r="GS85" s="56"/>
      <c r="GT85" s="56"/>
      <c r="GU85" s="56"/>
      <c r="GV85" s="56"/>
      <c r="GW85" s="56"/>
      <c r="GX85" s="56"/>
      <c r="GY85" s="56"/>
      <c r="GZ85" s="56"/>
      <c r="HA85" s="56"/>
      <c r="HB85" s="56"/>
      <c r="HC85" s="56"/>
      <c r="HD85" s="56"/>
      <c r="HE85" s="56"/>
      <c r="HF85" s="56"/>
      <c r="HG85" s="56"/>
      <c r="HH85" s="56"/>
      <c r="HI85" s="56"/>
      <c r="HJ85" s="56"/>
      <c r="HK85" s="56"/>
      <c r="HL85" s="56"/>
      <c r="HM85" s="56"/>
      <c r="HN85" s="56"/>
      <c r="HO85" s="56"/>
      <c r="HP85" s="56"/>
      <c r="HQ85" s="56"/>
      <c r="HR85" s="56"/>
      <c r="HS85" s="56"/>
      <c r="HT85" s="56"/>
      <c r="HU85" s="56"/>
      <c r="HV85" s="56"/>
      <c r="HW85" s="56"/>
      <c r="HX85" s="56"/>
      <c r="HY85" s="56"/>
      <c r="HZ85" s="56"/>
      <c r="IA85" s="56"/>
      <c r="IB85" s="56"/>
      <c r="IC85" s="56"/>
      <c r="ID85" s="56"/>
      <c r="IE85" s="56"/>
      <c r="IF85" s="56"/>
      <c r="IG85" s="56"/>
      <c r="IH85" s="56"/>
      <c r="II85" s="56"/>
      <c r="IJ85" s="56"/>
      <c r="IK85" s="56"/>
      <c r="IL85" s="56"/>
      <c r="IM85" s="56"/>
      <c r="IN85" s="56"/>
      <c r="IO85" s="56"/>
      <c r="IP85" s="56"/>
      <c r="IQ85" s="56"/>
      <c r="IR85" s="56"/>
      <c r="IS85" s="56"/>
      <c r="IT85" s="56"/>
      <c r="IU85" s="56"/>
      <c r="IV85" s="56"/>
      <c r="IW85" s="56"/>
      <c r="IX85" s="56"/>
      <c r="IY85" s="56"/>
      <c r="IZ85" s="56"/>
      <c r="JA85" s="56"/>
      <c r="JB85" s="56"/>
      <c r="JC85" s="56"/>
      <c r="JD85" s="56"/>
      <c r="JE85" s="56"/>
      <c r="JF85" s="56"/>
      <c r="JG85" s="56"/>
      <c r="JH85" s="56"/>
      <c r="JI85" s="56"/>
      <c r="JJ85" s="56"/>
      <c r="JK85" s="56"/>
      <c r="JL85" s="56"/>
      <c r="JM85" s="56"/>
      <c r="JN85" s="56"/>
      <c r="JO85" s="56"/>
      <c r="JP85" s="56"/>
      <c r="JQ85" s="56"/>
      <c r="JR85" s="56"/>
      <c r="JS85" s="56"/>
      <c r="JT85" s="56"/>
      <c r="JU85" s="56"/>
      <c r="JV85" s="56"/>
      <c r="JW85" s="56"/>
      <c r="JX85" s="56"/>
      <c r="JY85" s="56"/>
      <c r="JZ85" s="56"/>
      <c r="KA85" s="56"/>
      <c r="KB85" s="56"/>
      <c r="KC85" s="56"/>
      <c r="KD85" s="56"/>
      <c r="KE85" s="56"/>
      <c r="KF85" s="56"/>
      <c r="KG85" s="56"/>
      <c r="KH85" s="56"/>
      <c r="KI85" s="56"/>
      <c r="KJ85" s="56"/>
      <c r="KK85" s="56"/>
      <c r="KL85" s="56"/>
      <c r="KM85" s="56"/>
      <c r="KN85" s="56"/>
      <c r="KO85" s="56"/>
      <c r="KP85" s="56"/>
      <c r="KQ85" s="56"/>
      <c r="KR85" s="56"/>
      <c r="KS85" s="56"/>
      <c r="KT85" s="56"/>
      <c r="KU85" s="56"/>
      <c r="KV85" s="56"/>
      <c r="KW85" s="56"/>
      <c r="KX85" s="56"/>
      <c r="KY85" s="56"/>
      <c r="KZ85" s="56"/>
      <c r="LA85" s="56"/>
      <c r="LB85" s="56"/>
      <c r="LC85" s="56"/>
      <c r="LD85" s="56"/>
      <c r="LE85" s="56"/>
      <c r="LF85" s="56"/>
      <c r="LG85" s="56"/>
      <c r="LH85" s="56"/>
      <c r="LI85" s="56"/>
      <c r="LJ85" s="56"/>
      <c r="LK85" s="56"/>
      <c r="LL85" s="56"/>
      <c r="LM85" s="56"/>
      <c r="LN85" s="56"/>
      <c r="LO85" s="56"/>
      <c r="LP85" s="56"/>
      <c r="LQ85" s="56"/>
      <c r="LR85" s="56"/>
      <c r="LS85" s="56"/>
      <c r="LT85" s="56"/>
      <c r="LU85" s="56"/>
      <c r="LV85" s="56"/>
      <c r="LW85" s="56"/>
      <c r="LX85" s="56"/>
      <c r="LY85" s="56"/>
      <c r="LZ85" s="56"/>
      <c r="MA85" s="56"/>
      <c r="MB85" s="56"/>
      <c r="MC85" s="56"/>
      <c r="MD85" s="56"/>
      <c r="ME85" s="56"/>
      <c r="MF85" s="56"/>
      <c r="MG85" s="56"/>
      <c r="MH85" s="56"/>
      <c r="MI85" s="56"/>
      <c r="MJ85" s="56"/>
      <c r="MK85" s="56"/>
      <c r="ML85" s="56"/>
      <c r="MM85" s="56"/>
      <c r="MN85" s="56"/>
      <c r="MO85" s="56"/>
      <c r="MP85" s="56"/>
      <c r="MQ85" s="56"/>
      <c r="MR85" s="56"/>
      <c r="MS85" s="56"/>
      <c r="MT85" s="56"/>
      <c r="MU85" s="56"/>
      <c r="MV85" s="56"/>
      <c r="MW85" s="56"/>
      <c r="MX85" s="56"/>
      <c r="MY85" s="56"/>
      <c r="MZ85" s="56"/>
      <c r="NA85" s="56"/>
      <c r="NB85" s="56"/>
      <c r="NC85" s="56"/>
      <c r="ND85" s="56"/>
      <c r="NE85" s="56"/>
      <c r="NF85" s="56"/>
      <c r="NG85" s="56"/>
      <c r="NH85" s="56"/>
      <c r="NI85" s="56"/>
      <c r="NJ85" s="56"/>
      <c r="NK85" s="56"/>
      <c r="NL85" s="56"/>
      <c r="NM85" s="56"/>
      <c r="NN85" s="56"/>
      <c r="NO85" s="56"/>
      <c r="NP85" s="56"/>
      <c r="NQ85" s="56"/>
      <c r="NR85" s="56"/>
      <c r="NS85" s="56"/>
      <c r="NT85" s="56"/>
      <c r="NU85" s="56"/>
      <c r="NV85" s="56"/>
      <c r="NW85" s="56"/>
      <c r="NX85" s="56"/>
      <c r="NY85" s="56"/>
      <c r="NZ85" s="56"/>
      <c r="OA85" s="56"/>
      <c r="OB85" s="56"/>
      <c r="OC85" s="56"/>
      <c r="OD85" s="56"/>
      <c r="OE85" s="56"/>
      <c r="OF85" s="56"/>
      <c r="OG85" s="56"/>
      <c r="OH85" s="56"/>
      <c r="OI85" s="56"/>
      <c r="OJ85" s="56"/>
      <c r="OK85" s="56"/>
      <c r="OL85" s="56"/>
      <c r="OM85" s="56"/>
      <c r="ON85" s="56"/>
      <c r="OO85" s="56"/>
      <c r="OP85" s="56"/>
      <c r="OQ85" s="56"/>
      <c r="OR85" s="56"/>
      <c r="OS85" s="56"/>
      <c r="OT85" s="56"/>
      <c r="OU85" s="56"/>
      <c r="OV85" s="56"/>
      <c r="OW85" s="56"/>
      <c r="OX85" s="56"/>
      <c r="OY85" s="56"/>
      <c r="OZ85" s="56"/>
      <c r="PA85" s="56"/>
      <c r="PB85" s="56"/>
      <c r="PC85" s="56"/>
      <c r="PD85" s="56"/>
      <c r="PE85" s="56"/>
      <c r="PF85" s="56"/>
      <c r="PG85" s="56"/>
      <c r="PH85" s="56"/>
      <c r="PI85" s="56"/>
      <c r="PJ85" s="56"/>
      <c r="PK85" s="56"/>
      <c r="PL85" s="56"/>
      <c r="PM85" s="56"/>
      <c r="PN85" s="56"/>
      <c r="PO85" s="56"/>
      <c r="PP85" s="56"/>
      <c r="PQ85" s="56"/>
      <c r="PR85" s="56"/>
      <c r="PS85" s="56"/>
      <c r="PT85" s="56"/>
      <c r="PU85" s="56"/>
      <c r="PV85" s="56"/>
      <c r="PW85" s="56"/>
      <c r="PX85" s="56"/>
      <c r="PY85" s="56"/>
      <c r="PZ85" s="56"/>
      <c r="QA85" s="56"/>
      <c r="QB85" s="56"/>
      <c r="QC85" s="56"/>
      <c r="QD85" s="56"/>
      <c r="QE85" s="56"/>
      <c r="QF85" s="56"/>
      <c r="QG85" s="56"/>
      <c r="QH85" s="56"/>
      <c r="QI85" s="56"/>
      <c r="QJ85" s="56"/>
      <c r="QK85" s="56"/>
      <c r="QL85" s="56"/>
      <c r="QM85" s="56"/>
      <c r="QN85" s="56"/>
      <c r="QO85" s="56"/>
      <c r="QP85" s="56"/>
      <c r="QQ85" s="56"/>
      <c r="QR85" s="56"/>
      <c r="QS85" s="56"/>
      <c r="QT85" s="56"/>
      <c r="QU85" s="56"/>
      <c r="QV85" s="56"/>
      <c r="QW85" s="56"/>
      <c r="QX85" s="56"/>
      <c r="QY85" s="56"/>
      <c r="QZ85" s="56"/>
      <c r="RA85" s="56"/>
      <c r="RB85" s="56"/>
      <c r="RC85" s="56"/>
      <c r="RD85" s="56"/>
      <c r="RE85" s="56"/>
      <c r="RF85" s="56"/>
      <c r="RG85" s="56"/>
      <c r="RH85" s="56"/>
      <c r="RI85" s="56"/>
      <c r="RJ85" s="56"/>
      <c r="RK85" s="56"/>
      <c r="RL85" s="56"/>
      <c r="RM85" s="56"/>
      <c r="RN85" s="56"/>
      <c r="RO85" s="56"/>
      <c r="RP85" s="56"/>
      <c r="RQ85" s="56"/>
      <c r="RR85" s="56"/>
      <c r="RS85" s="56"/>
      <c r="RT85" s="56"/>
      <c r="RU85" s="56"/>
      <c r="RV85" s="56"/>
      <c r="RW85" s="56"/>
      <c r="RX85" s="56"/>
      <c r="RY85" s="56"/>
      <c r="RZ85" s="56"/>
      <c r="SA85" s="56"/>
      <c r="SB85" s="56"/>
      <c r="SC85" s="56"/>
      <c r="SD85" s="56"/>
      <c r="SE85" s="56"/>
      <c r="SF85" s="56"/>
      <c r="SG85" s="56"/>
      <c r="SH85" s="56"/>
      <c r="SI85" s="56"/>
      <c r="SJ85" s="56"/>
      <c r="SK85" s="56"/>
      <c r="SL85" s="56"/>
      <c r="SM85" s="56"/>
      <c r="SN85" s="56"/>
      <c r="SO85" s="56"/>
      <c r="SP85" s="56"/>
      <c r="SQ85" s="56"/>
      <c r="SR85" s="56"/>
    </row>
    <row r="86" spans="1:512" ht="15" customHeight="1" x14ac:dyDescent="0.7">
      <c r="A86" s="171">
        <v>26</v>
      </c>
      <c r="B86" s="171" t="s">
        <v>410</v>
      </c>
      <c r="C86" s="171" t="s">
        <v>344</v>
      </c>
      <c r="D86" s="171"/>
      <c r="E86" s="171" t="s">
        <v>37</v>
      </c>
      <c r="F86" s="171"/>
      <c r="G86" s="174" t="s">
        <v>411</v>
      </c>
      <c r="H86" s="88" t="s">
        <v>412</v>
      </c>
      <c r="I86" s="160" t="s">
        <v>391</v>
      </c>
      <c r="J86" s="161">
        <v>12.5</v>
      </c>
      <c r="K86" s="185">
        <v>6.25</v>
      </c>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c r="HU86" s="54"/>
      <c r="HV86" s="54"/>
      <c r="HW86" s="54"/>
      <c r="HX86" s="54"/>
      <c r="HY86" s="54"/>
      <c r="HZ86" s="54"/>
      <c r="IA86" s="54"/>
      <c r="IB86" s="54"/>
      <c r="IC86" s="54"/>
      <c r="ID86" s="54"/>
      <c r="IE86" s="54"/>
      <c r="IF86" s="54"/>
      <c r="IG86" s="54"/>
      <c r="IH86" s="54"/>
      <c r="II86" s="54"/>
      <c r="IJ86" s="54"/>
      <c r="IK86" s="54"/>
      <c r="IL86" s="54"/>
      <c r="IM86" s="54"/>
      <c r="IN86" s="54"/>
      <c r="IO86" s="54"/>
      <c r="IP86" s="54"/>
      <c r="IQ86" s="54"/>
      <c r="IR86" s="54"/>
      <c r="IS86" s="54"/>
      <c r="IT86" s="54"/>
      <c r="IU86" s="54"/>
      <c r="IV86" s="54"/>
      <c r="IW86" s="54"/>
      <c r="IX86" s="54"/>
      <c r="IY86" s="54"/>
      <c r="IZ86" s="54"/>
      <c r="JA86" s="54"/>
      <c r="JB86" s="54"/>
      <c r="JC86" s="54"/>
      <c r="JD86" s="54"/>
      <c r="JE86" s="54"/>
      <c r="JF86" s="54"/>
      <c r="JG86" s="54"/>
      <c r="JH86" s="54"/>
      <c r="JI86" s="54"/>
      <c r="JJ86" s="54"/>
      <c r="JK86" s="54"/>
      <c r="JL86" s="54"/>
      <c r="JM86" s="54"/>
      <c r="JN86" s="54"/>
      <c r="JO86" s="54"/>
      <c r="JP86" s="54"/>
      <c r="JQ86" s="54"/>
      <c r="JR86" s="54"/>
      <c r="JS86" s="54"/>
      <c r="JT86" s="54"/>
      <c r="JU86" s="54"/>
      <c r="JV86" s="54"/>
      <c r="JW86" s="54"/>
      <c r="JX86" s="54"/>
      <c r="JY86" s="54"/>
      <c r="JZ86" s="54"/>
      <c r="KA86" s="54"/>
      <c r="KB86" s="54"/>
      <c r="KC86" s="54"/>
      <c r="KD86" s="54"/>
      <c r="KE86" s="54"/>
      <c r="KF86" s="54"/>
      <c r="KG86" s="54"/>
      <c r="KH86" s="54"/>
      <c r="KI86" s="54"/>
      <c r="KJ86" s="54"/>
      <c r="KK86" s="54"/>
      <c r="KL86" s="54"/>
      <c r="KM86" s="54"/>
      <c r="KN86" s="54"/>
      <c r="KO86" s="54"/>
      <c r="KP86" s="54"/>
      <c r="KQ86" s="54"/>
      <c r="KR86" s="54"/>
      <c r="KS86" s="54"/>
      <c r="KT86" s="54"/>
      <c r="KU86" s="54"/>
      <c r="KV86" s="54"/>
      <c r="KW86" s="54"/>
      <c r="KX86" s="54"/>
      <c r="KY86" s="54"/>
      <c r="KZ86" s="54"/>
      <c r="LA86" s="54"/>
      <c r="LB86" s="54"/>
      <c r="LC86" s="54"/>
      <c r="LD86" s="54"/>
      <c r="LE86" s="54"/>
      <c r="LF86" s="54"/>
      <c r="LG86" s="54"/>
      <c r="LH86" s="54"/>
      <c r="LI86" s="54"/>
      <c r="LJ86" s="54"/>
      <c r="LK86" s="54"/>
      <c r="LL86" s="54"/>
      <c r="LM86" s="54"/>
      <c r="LN86" s="54"/>
      <c r="LO86" s="54"/>
      <c r="LP86" s="54"/>
      <c r="LQ86" s="54"/>
      <c r="LR86" s="54"/>
      <c r="LS86" s="54"/>
      <c r="LT86" s="54"/>
      <c r="LU86" s="54"/>
      <c r="LV86" s="54"/>
      <c r="LW86" s="54"/>
      <c r="LX86" s="54"/>
      <c r="LY86" s="54"/>
      <c r="LZ86" s="54"/>
      <c r="MA86" s="54"/>
      <c r="MB86" s="54"/>
      <c r="MC86" s="54"/>
      <c r="MD86" s="54"/>
      <c r="ME86" s="54"/>
      <c r="MF86" s="54"/>
      <c r="MG86" s="54"/>
      <c r="MH86" s="54"/>
      <c r="MI86" s="54"/>
      <c r="MJ86" s="54"/>
      <c r="MK86" s="54"/>
      <c r="ML86" s="54"/>
      <c r="MM86" s="54"/>
      <c r="MN86" s="54"/>
      <c r="MO86" s="54"/>
      <c r="MP86" s="54"/>
      <c r="MQ86" s="54"/>
      <c r="MR86" s="54"/>
      <c r="MS86" s="54"/>
      <c r="MT86" s="54"/>
      <c r="MU86" s="54"/>
      <c r="MV86" s="54"/>
      <c r="MW86" s="54"/>
      <c r="MX86" s="54"/>
      <c r="MY86" s="54"/>
      <c r="MZ86" s="54"/>
      <c r="NA86" s="54"/>
      <c r="NB86" s="54"/>
      <c r="NC86" s="54"/>
      <c r="ND86" s="54"/>
      <c r="NE86" s="54"/>
      <c r="NF86" s="54"/>
      <c r="NG86" s="54"/>
      <c r="NH86" s="54"/>
      <c r="NI86" s="54"/>
      <c r="NJ86" s="54"/>
      <c r="NK86" s="54"/>
      <c r="NL86" s="54"/>
      <c r="NM86" s="54"/>
      <c r="NN86" s="54"/>
      <c r="NO86" s="54"/>
      <c r="NP86" s="54"/>
      <c r="NQ86" s="54"/>
      <c r="NR86" s="54"/>
      <c r="NS86" s="54"/>
      <c r="NT86" s="54"/>
      <c r="NU86" s="54"/>
      <c r="NV86" s="54"/>
      <c r="NW86" s="54"/>
      <c r="NX86" s="54"/>
      <c r="NY86" s="54"/>
      <c r="NZ86" s="54"/>
      <c r="OA86" s="54"/>
      <c r="OB86" s="54"/>
      <c r="OC86" s="54"/>
      <c r="OD86" s="54"/>
      <c r="OE86" s="54"/>
      <c r="OF86" s="54"/>
      <c r="OG86" s="54"/>
      <c r="OH86" s="54"/>
      <c r="OI86" s="54"/>
      <c r="OJ86" s="54"/>
      <c r="OK86" s="54"/>
      <c r="OL86" s="54"/>
      <c r="OM86" s="54"/>
      <c r="ON86" s="54"/>
      <c r="OO86" s="54"/>
      <c r="OP86" s="54"/>
      <c r="OQ86" s="54"/>
      <c r="OR86" s="54"/>
      <c r="OS86" s="54"/>
      <c r="OT86" s="54"/>
      <c r="OU86" s="54"/>
      <c r="OV86" s="54"/>
      <c r="OW86" s="54"/>
      <c r="OX86" s="54"/>
      <c r="OY86" s="54"/>
      <c r="OZ86" s="54"/>
      <c r="PA86" s="54"/>
      <c r="PB86" s="54"/>
      <c r="PC86" s="54"/>
      <c r="PD86" s="54"/>
      <c r="PE86" s="54"/>
      <c r="PF86" s="54"/>
      <c r="PG86" s="54"/>
      <c r="PH86" s="54"/>
      <c r="PI86" s="54"/>
      <c r="PJ86" s="54"/>
      <c r="PK86" s="54"/>
      <c r="PL86" s="54"/>
      <c r="PM86" s="54"/>
      <c r="PN86" s="54"/>
      <c r="PO86" s="54"/>
      <c r="PP86" s="54"/>
      <c r="PQ86" s="54"/>
      <c r="PR86" s="54"/>
      <c r="PS86" s="54"/>
      <c r="PT86" s="54"/>
      <c r="PU86" s="54"/>
      <c r="PV86" s="54"/>
      <c r="PW86" s="54"/>
      <c r="PX86" s="54"/>
      <c r="PY86" s="54"/>
      <c r="PZ86" s="54"/>
      <c r="QA86" s="54"/>
      <c r="QB86" s="54"/>
      <c r="QC86" s="54"/>
      <c r="QD86" s="54"/>
      <c r="QE86" s="54"/>
      <c r="QF86" s="54"/>
      <c r="QG86" s="54"/>
      <c r="QH86" s="54"/>
      <c r="QI86" s="54"/>
      <c r="QJ86" s="54"/>
      <c r="QK86" s="54"/>
      <c r="QL86" s="54"/>
      <c r="QM86" s="54"/>
      <c r="QN86" s="54"/>
      <c r="QO86" s="54"/>
      <c r="QP86" s="54"/>
      <c r="QQ86" s="54"/>
      <c r="QR86" s="54"/>
      <c r="QS86" s="54"/>
      <c r="QT86" s="54"/>
      <c r="QU86" s="54"/>
      <c r="QV86" s="54"/>
      <c r="QW86" s="54"/>
      <c r="QX86" s="54"/>
      <c r="QY86" s="54"/>
      <c r="QZ86" s="54"/>
      <c r="RA86" s="54"/>
      <c r="RB86" s="54"/>
      <c r="RC86" s="54"/>
      <c r="RD86" s="54"/>
      <c r="RE86" s="54"/>
      <c r="RF86" s="54"/>
      <c r="RG86" s="54"/>
      <c r="RH86" s="54"/>
      <c r="RI86" s="54"/>
      <c r="RJ86" s="54"/>
      <c r="RK86" s="54"/>
      <c r="RL86" s="54"/>
      <c r="RM86" s="54"/>
      <c r="RN86" s="54"/>
      <c r="RO86" s="54"/>
      <c r="RP86" s="54"/>
      <c r="RQ86" s="54"/>
      <c r="RR86" s="54"/>
      <c r="RS86" s="54"/>
      <c r="RT86" s="54"/>
      <c r="RU86" s="54"/>
      <c r="RV86" s="54"/>
      <c r="RW86" s="54"/>
      <c r="RX86" s="54"/>
      <c r="RY86" s="54"/>
      <c r="RZ86" s="54"/>
      <c r="SA86" s="54"/>
      <c r="SB86" s="54"/>
      <c r="SC86" s="54"/>
      <c r="SD86" s="54"/>
      <c r="SE86" s="54"/>
      <c r="SF86" s="54"/>
      <c r="SG86" s="54"/>
      <c r="SH86" s="54"/>
      <c r="SI86" s="54"/>
      <c r="SJ86" s="54"/>
      <c r="SK86" s="54"/>
      <c r="SL86" s="54"/>
      <c r="SM86" s="54"/>
      <c r="SN86" s="54"/>
      <c r="SO86" s="54"/>
      <c r="SP86" s="54"/>
      <c r="SQ86" s="54"/>
      <c r="SR86" s="54"/>
    </row>
    <row r="87" spans="1:512" ht="15" customHeight="1" x14ac:dyDescent="0.7">
      <c r="A87" s="172"/>
      <c r="B87" s="172"/>
      <c r="C87" s="172"/>
      <c r="D87" s="172"/>
      <c r="E87" s="172"/>
      <c r="F87" s="172"/>
      <c r="G87" s="175"/>
      <c r="H87" s="91"/>
      <c r="I87" s="160" t="s">
        <v>413</v>
      </c>
      <c r="J87" s="161">
        <v>0</v>
      </c>
      <c r="K87" s="186"/>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c r="HU87" s="54"/>
      <c r="HV87" s="54"/>
      <c r="HW87" s="54"/>
      <c r="HX87" s="54"/>
      <c r="HY87" s="54"/>
      <c r="HZ87" s="54"/>
      <c r="IA87" s="54"/>
      <c r="IB87" s="54"/>
      <c r="IC87" s="54"/>
      <c r="ID87" s="54"/>
      <c r="IE87" s="54"/>
      <c r="IF87" s="54"/>
      <c r="IG87" s="54"/>
      <c r="IH87" s="54"/>
      <c r="II87" s="54"/>
      <c r="IJ87" s="54"/>
      <c r="IK87" s="54"/>
      <c r="IL87" s="54"/>
      <c r="IM87" s="54"/>
      <c r="IN87" s="54"/>
      <c r="IO87" s="54"/>
      <c r="IP87" s="54"/>
      <c r="IQ87" s="54"/>
      <c r="IR87" s="54"/>
      <c r="IS87" s="54"/>
      <c r="IT87" s="54"/>
      <c r="IU87" s="54"/>
      <c r="IV87" s="54"/>
      <c r="IW87" s="54"/>
      <c r="IX87" s="54"/>
      <c r="IY87" s="54"/>
      <c r="IZ87" s="54"/>
      <c r="JA87" s="54"/>
      <c r="JB87" s="54"/>
      <c r="JC87" s="54"/>
      <c r="JD87" s="54"/>
      <c r="JE87" s="54"/>
      <c r="JF87" s="54"/>
      <c r="JG87" s="54"/>
      <c r="JH87" s="54"/>
      <c r="JI87" s="54"/>
      <c r="JJ87" s="54"/>
      <c r="JK87" s="54"/>
      <c r="JL87" s="54"/>
      <c r="JM87" s="54"/>
      <c r="JN87" s="54"/>
      <c r="JO87" s="54"/>
      <c r="JP87" s="54"/>
      <c r="JQ87" s="54"/>
      <c r="JR87" s="54"/>
      <c r="JS87" s="54"/>
      <c r="JT87" s="54"/>
      <c r="JU87" s="54"/>
      <c r="JV87" s="54"/>
      <c r="JW87" s="54"/>
      <c r="JX87" s="54"/>
      <c r="JY87" s="54"/>
      <c r="JZ87" s="54"/>
      <c r="KA87" s="54"/>
      <c r="KB87" s="54"/>
      <c r="KC87" s="54"/>
      <c r="KD87" s="54"/>
      <c r="KE87" s="54"/>
      <c r="KF87" s="54"/>
      <c r="KG87" s="54"/>
      <c r="KH87" s="54"/>
      <c r="KI87" s="54"/>
      <c r="KJ87" s="54"/>
      <c r="KK87" s="54"/>
      <c r="KL87" s="54"/>
      <c r="KM87" s="54"/>
      <c r="KN87" s="54"/>
      <c r="KO87" s="54"/>
      <c r="KP87" s="54"/>
      <c r="KQ87" s="54"/>
      <c r="KR87" s="54"/>
      <c r="KS87" s="54"/>
      <c r="KT87" s="54"/>
      <c r="KU87" s="54"/>
      <c r="KV87" s="54"/>
      <c r="KW87" s="54"/>
      <c r="KX87" s="54"/>
      <c r="KY87" s="54"/>
      <c r="KZ87" s="54"/>
      <c r="LA87" s="54"/>
      <c r="LB87" s="54"/>
      <c r="LC87" s="54"/>
      <c r="LD87" s="54"/>
      <c r="LE87" s="54"/>
      <c r="LF87" s="54"/>
      <c r="LG87" s="54"/>
      <c r="LH87" s="54"/>
      <c r="LI87" s="54"/>
      <c r="LJ87" s="54"/>
      <c r="LK87" s="54"/>
      <c r="LL87" s="54"/>
      <c r="LM87" s="54"/>
      <c r="LN87" s="54"/>
      <c r="LO87" s="54"/>
      <c r="LP87" s="54"/>
      <c r="LQ87" s="54"/>
      <c r="LR87" s="54"/>
      <c r="LS87" s="54"/>
      <c r="LT87" s="54"/>
      <c r="LU87" s="54"/>
      <c r="LV87" s="54"/>
      <c r="LW87" s="54"/>
      <c r="LX87" s="54"/>
      <c r="LY87" s="54"/>
      <c r="LZ87" s="54"/>
      <c r="MA87" s="54"/>
      <c r="MB87" s="54"/>
      <c r="MC87" s="54"/>
      <c r="MD87" s="54"/>
      <c r="ME87" s="54"/>
      <c r="MF87" s="54"/>
      <c r="MG87" s="54"/>
      <c r="MH87" s="54"/>
      <c r="MI87" s="54"/>
      <c r="MJ87" s="54"/>
      <c r="MK87" s="54"/>
      <c r="ML87" s="54"/>
      <c r="MM87" s="54"/>
      <c r="MN87" s="54"/>
      <c r="MO87" s="54"/>
      <c r="MP87" s="54"/>
      <c r="MQ87" s="54"/>
      <c r="MR87" s="54"/>
      <c r="MS87" s="54"/>
      <c r="MT87" s="54"/>
      <c r="MU87" s="54"/>
      <c r="MV87" s="54"/>
      <c r="MW87" s="54"/>
      <c r="MX87" s="54"/>
      <c r="MY87" s="54"/>
      <c r="MZ87" s="54"/>
      <c r="NA87" s="54"/>
      <c r="NB87" s="54"/>
      <c r="NC87" s="54"/>
      <c r="ND87" s="54"/>
      <c r="NE87" s="54"/>
      <c r="NF87" s="54"/>
      <c r="NG87" s="54"/>
      <c r="NH87" s="54"/>
      <c r="NI87" s="54"/>
      <c r="NJ87" s="54"/>
      <c r="NK87" s="54"/>
      <c r="NL87" s="54"/>
      <c r="NM87" s="54"/>
      <c r="NN87" s="54"/>
      <c r="NO87" s="54"/>
      <c r="NP87" s="54"/>
      <c r="NQ87" s="54"/>
      <c r="NR87" s="54"/>
      <c r="NS87" s="54"/>
      <c r="NT87" s="54"/>
      <c r="NU87" s="54"/>
      <c r="NV87" s="54"/>
      <c r="NW87" s="54"/>
      <c r="NX87" s="54"/>
      <c r="NY87" s="54"/>
      <c r="NZ87" s="54"/>
      <c r="OA87" s="54"/>
      <c r="OB87" s="54"/>
      <c r="OC87" s="54"/>
      <c r="OD87" s="54"/>
      <c r="OE87" s="54"/>
      <c r="OF87" s="54"/>
      <c r="OG87" s="54"/>
      <c r="OH87" s="54"/>
      <c r="OI87" s="54"/>
      <c r="OJ87" s="54"/>
      <c r="OK87" s="54"/>
      <c r="OL87" s="54"/>
      <c r="OM87" s="54"/>
      <c r="ON87" s="54"/>
      <c r="OO87" s="54"/>
      <c r="OP87" s="54"/>
      <c r="OQ87" s="54"/>
      <c r="OR87" s="54"/>
      <c r="OS87" s="54"/>
      <c r="OT87" s="54"/>
      <c r="OU87" s="54"/>
      <c r="OV87" s="54"/>
      <c r="OW87" s="54"/>
      <c r="OX87" s="54"/>
      <c r="OY87" s="54"/>
      <c r="OZ87" s="54"/>
      <c r="PA87" s="54"/>
      <c r="PB87" s="54"/>
      <c r="PC87" s="54"/>
      <c r="PD87" s="54"/>
      <c r="PE87" s="54"/>
      <c r="PF87" s="54"/>
      <c r="PG87" s="54"/>
      <c r="PH87" s="54"/>
      <c r="PI87" s="54"/>
      <c r="PJ87" s="54"/>
      <c r="PK87" s="54"/>
      <c r="PL87" s="54"/>
      <c r="PM87" s="54"/>
      <c r="PN87" s="54"/>
      <c r="PO87" s="54"/>
      <c r="PP87" s="54"/>
      <c r="PQ87" s="54"/>
      <c r="PR87" s="54"/>
      <c r="PS87" s="54"/>
      <c r="PT87" s="54"/>
      <c r="PU87" s="54"/>
      <c r="PV87" s="54"/>
      <c r="PW87" s="54"/>
      <c r="PX87" s="54"/>
      <c r="PY87" s="54"/>
      <c r="PZ87" s="54"/>
      <c r="QA87" s="54"/>
      <c r="QB87" s="54"/>
      <c r="QC87" s="54"/>
      <c r="QD87" s="54"/>
      <c r="QE87" s="54"/>
      <c r="QF87" s="54"/>
      <c r="QG87" s="54"/>
      <c r="QH87" s="54"/>
      <c r="QI87" s="54"/>
      <c r="QJ87" s="54"/>
      <c r="QK87" s="54"/>
      <c r="QL87" s="54"/>
      <c r="QM87" s="54"/>
      <c r="QN87" s="54"/>
      <c r="QO87" s="54"/>
      <c r="QP87" s="54"/>
      <c r="QQ87" s="54"/>
      <c r="QR87" s="54"/>
      <c r="QS87" s="54"/>
      <c r="QT87" s="54"/>
      <c r="QU87" s="54"/>
      <c r="QV87" s="54"/>
      <c r="QW87" s="54"/>
      <c r="QX87" s="54"/>
      <c r="QY87" s="54"/>
      <c r="QZ87" s="54"/>
      <c r="RA87" s="54"/>
      <c r="RB87" s="54"/>
      <c r="RC87" s="54"/>
      <c r="RD87" s="54"/>
      <c r="RE87" s="54"/>
      <c r="RF87" s="54"/>
      <c r="RG87" s="54"/>
      <c r="RH87" s="54"/>
      <c r="RI87" s="54"/>
      <c r="RJ87" s="54"/>
      <c r="RK87" s="54"/>
      <c r="RL87" s="54"/>
      <c r="RM87" s="54"/>
      <c r="RN87" s="54"/>
      <c r="RO87" s="54"/>
      <c r="RP87" s="54"/>
      <c r="RQ87" s="54"/>
      <c r="RR87" s="54"/>
      <c r="RS87" s="54"/>
      <c r="RT87" s="54"/>
      <c r="RU87" s="54"/>
      <c r="RV87" s="54"/>
      <c r="RW87" s="54"/>
      <c r="RX87" s="54"/>
      <c r="RY87" s="54"/>
      <c r="RZ87" s="54"/>
      <c r="SA87" s="54"/>
      <c r="SB87" s="54"/>
      <c r="SC87" s="54"/>
      <c r="SD87" s="54"/>
      <c r="SE87" s="54"/>
      <c r="SF87" s="54"/>
      <c r="SG87" s="54"/>
      <c r="SH87" s="54"/>
      <c r="SI87" s="54"/>
      <c r="SJ87" s="54"/>
      <c r="SK87" s="54"/>
      <c r="SL87" s="54"/>
      <c r="SM87" s="54"/>
      <c r="SN87" s="54"/>
      <c r="SO87" s="54"/>
      <c r="SP87" s="54"/>
      <c r="SQ87" s="54"/>
      <c r="SR87" s="54"/>
    </row>
    <row r="88" spans="1:512" s="55" customFormat="1" ht="15" customHeight="1" x14ac:dyDescent="0.7">
      <c r="A88" s="173"/>
      <c r="B88" s="173"/>
      <c r="C88" s="173"/>
      <c r="D88" s="173"/>
      <c r="E88" s="173"/>
      <c r="F88" s="173"/>
      <c r="G88" s="176"/>
      <c r="H88" s="92"/>
      <c r="I88" s="162"/>
      <c r="J88" s="163"/>
      <c r="K88" s="187"/>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c r="IX88" s="56"/>
      <c r="IY88" s="56"/>
      <c r="IZ88" s="56"/>
      <c r="JA88" s="56"/>
      <c r="JB88" s="56"/>
      <c r="JC88" s="56"/>
      <c r="JD88" s="56"/>
      <c r="JE88" s="56"/>
      <c r="JF88" s="56"/>
      <c r="JG88" s="56"/>
      <c r="JH88" s="56"/>
      <c r="JI88" s="56"/>
      <c r="JJ88" s="56"/>
      <c r="JK88" s="56"/>
      <c r="JL88" s="56"/>
      <c r="JM88" s="56"/>
      <c r="JN88" s="56"/>
      <c r="JO88" s="56"/>
      <c r="JP88" s="56"/>
      <c r="JQ88" s="56"/>
      <c r="JR88" s="56"/>
      <c r="JS88" s="56"/>
      <c r="JT88" s="56"/>
      <c r="JU88" s="56"/>
      <c r="JV88" s="56"/>
      <c r="JW88" s="56"/>
      <c r="JX88" s="56"/>
      <c r="JY88" s="56"/>
      <c r="JZ88" s="56"/>
      <c r="KA88" s="56"/>
      <c r="KB88" s="56"/>
      <c r="KC88" s="56"/>
      <c r="KD88" s="56"/>
      <c r="KE88" s="56"/>
      <c r="KF88" s="56"/>
      <c r="KG88" s="56"/>
      <c r="KH88" s="56"/>
      <c r="KI88" s="56"/>
      <c r="KJ88" s="56"/>
      <c r="KK88" s="56"/>
      <c r="KL88" s="56"/>
      <c r="KM88" s="56"/>
      <c r="KN88" s="56"/>
      <c r="KO88" s="56"/>
      <c r="KP88" s="56"/>
      <c r="KQ88" s="56"/>
      <c r="KR88" s="56"/>
      <c r="KS88" s="56"/>
      <c r="KT88" s="56"/>
      <c r="KU88" s="56"/>
      <c r="KV88" s="56"/>
      <c r="KW88" s="56"/>
      <c r="KX88" s="56"/>
      <c r="KY88" s="56"/>
      <c r="KZ88" s="56"/>
      <c r="LA88" s="56"/>
      <c r="LB88" s="56"/>
      <c r="LC88" s="56"/>
      <c r="LD88" s="56"/>
      <c r="LE88" s="56"/>
      <c r="LF88" s="56"/>
      <c r="LG88" s="56"/>
      <c r="LH88" s="56"/>
      <c r="LI88" s="56"/>
      <c r="LJ88" s="56"/>
      <c r="LK88" s="56"/>
      <c r="LL88" s="56"/>
      <c r="LM88" s="56"/>
      <c r="LN88" s="56"/>
      <c r="LO88" s="56"/>
      <c r="LP88" s="56"/>
      <c r="LQ88" s="56"/>
      <c r="LR88" s="56"/>
      <c r="LS88" s="56"/>
      <c r="LT88" s="56"/>
      <c r="LU88" s="56"/>
      <c r="LV88" s="56"/>
      <c r="LW88" s="56"/>
      <c r="LX88" s="56"/>
      <c r="LY88" s="56"/>
      <c r="LZ88" s="56"/>
      <c r="MA88" s="56"/>
      <c r="MB88" s="56"/>
      <c r="MC88" s="56"/>
      <c r="MD88" s="56"/>
      <c r="ME88" s="56"/>
      <c r="MF88" s="56"/>
      <c r="MG88" s="56"/>
      <c r="MH88" s="56"/>
      <c r="MI88" s="56"/>
      <c r="MJ88" s="56"/>
      <c r="MK88" s="56"/>
      <c r="ML88" s="56"/>
      <c r="MM88" s="56"/>
      <c r="MN88" s="56"/>
      <c r="MO88" s="56"/>
      <c r="MP88" s="56"/>
      <c r="MQ88" s="56"/>
      <c r="MR88" s="56"/>
      <c r="MS88" s="56"/>
      <c r="MT88" s="56"/>
      <c r="MU88" s="56"/>
      <c r="MV88" s="56"/>
      <c r="MW88" s="56"/>
      <c r="MX88" s="56"/>
      <c r="MY88" s="56"/>
      <c r="MZ88" s="56"/>
      <c r="NA88" s="56"/>
      <c r="NB88" s="56"/>
      <c r="NC88" s="56"/>
      <c r="ND88" s="56"/>
      <c r="NE88" s="56"/>
      <c r="NF88" s="56"/>
      <c r="NG88" s="56"/>
      <c r="NH88" s="56"/>
      <c r="NI88" s="56"/>
      <c r="NJ88" s="56"/>
      <c r="NK88" s="56"/>
      <c r="NL88" s="56"/>
      <c r="NM88" s="56"/>
      <c r="NN88" s="56"/>
      <c r="NO88" s="56"/>
      <c r="NP88" s="56"/>
      <c r="NQ88" s="56"/>
      <c r="NR88" s="56"/>
      <c r="NS88" s="56"/>
      <c r="NT88" s="56"/>
      <c r="NU88" s="56"/>
      <c r="NV88" s="56"/>
      <c r="NW88" s="56"/>
      <c r="NX88" s="56"/>
      <c r="NY88" s="56"/>
      <c r="NZ88" s="56"/>
      <c r="OA88" s="56"/>
      <c r="OB88" s="56"/>
      <c r="OC88" s="56"/>
      <c r="OD88" s="56"/>
      <c r="OE88" s="56"/>
      <c r="OF88" s="56"/>
      <c r="OG88" s="56"/>
      <c r="OH88" s="56"/>
      <c r="OI88" s="56"/>
      <c r="OJ88" s="56"/>
      <c r="OK88" s="56"/>
      <c r="OL88" s="56"/>
      <c r="OM88" s="56"/>
      <c r="ON88" s="56"/>
      <c r="OO88" s="56"/>
      <c r="OP88" s="56"/>
      <c r="OQ88" s="56"/>
      <c r="OR88" s="56"/>
      <c r="OS88" s="56"/>
      <c r="OT88" s="56"/>
      <c r="OU88" s="56"/>
      <c r="OV88" s="56"/>
      <c r="OW88" s="56"/>
      <c r="OX88" s="56"/>
      <c r="OY88" s="56"/>
      <c r="OZ88" s="56"/>
      <c r="PA88" s="56"/>
      <c r="PB88" s="56"/>
      <c r="PC88" s="56"/>
      <c r="PD88" s="56"/>
      <c r="PE88" s="56"/>
      <c r="PF88" s="56"/>
      <c r="PG88" s="56"/>
      <c r="PH88" s="56"/>
      <c r="PI88" s="56"/>
      <c r="PJ88" s="56"/>
      <c r="PK88" s="56"/>
      <c r="PL88" s="56"/>
      <c r="PM88" s="56"/>
      <c r="PN88" s="56"/>
      <c r="PO88" s="56"/>
      <c r="PP88" s="56"/>
      <c r="PQ88" s="56"/>
      <c r="PR88" s="56"/>
      <c r="PS88" s="56"/>
      <c r="PT88" s="56"/>
      <c r="PU88" s="56"/>
      <c r="PV88" s="56"/>
      <c r="PW88" s="56"/>
      <c r="PX88" s="56"/>
      <c r="PY88" s="56"/>
      <c r="PZ88" s="56"/>
      <c r="QA88" s="56"/>
      <c r="QB88" s="56"/>
      <c r="QC88" s="56"/>
      <c r="QD88" s="56"/>
      <c r="QE88" s="56"/>
      <c r="QF88" s="56"/>
      <c r="QG88" s="56"/>
      <c r="QH88" s="56"/>
      <c r="QI88" s="56"/>
      <c r="QJ88" s="56"/>
      <c r="QK88" s="56"/>
      <c r="QL88" s="56"/>
      <c r="QM88" s="56"/>
      <c r="QN88" s="56"/>
      <c r="QO88" s="56"/>
      <c r="QP88" s="56"/>
      <c r="QQ88" s="56"/>
      <c r="QR88" s="56"/>
      <c r="QS88" s="56"/>
      <c r="QT88" s="56"/>
      <c r="QU88" s="56"/>
      <c r="QV88" s="56"/>
      <c r="QW88" s="56"/>
      <c r="QX88" s="56"/>
      <c r="QY88" s="56"/>
      <c r="QZ88" s="56"/>
      <c r="RA88" s="56"/>
      <c r="RB88" s="56"/>
      <c r="RC88" s="56"/>
      <c r="RD88" s="56"/>
      <c r="RE88" s="56"/>
      <c r="RF88" s="56"/>
      <c r="RG88" s="56"/>
      <c r="RH88" s="56"/>
      <c r="RI88" s="56"/>
      <c r="RJ88" s="56"/>
      <c r="RK88" s="56"/>
      <c r="RL88" s="56"/>
      <c r="RM88" s="56"/>
      <c r="RN88" s="56"/>
      <c r="RO88" s="56"/>
      <c r="RP88" s="56"/>
      <c r="RQ88" s="56"/>
      <c r="RR88" s="56"/>
      <c r="RS88" s="56"/>
      <c r="RT88" s="56"/>
      <c r="RU88" s="56"/>
      <c r="RV88" s="56"/>
      <c r="RW88" s="56"/>
      <c r="RX88" s="56"/>
      <c r="RY88" s="56"/>
      <c r="RZ88" s="56"/>
      <c r="SA88" s="56"/>
      <c r="SB88" s="56"/>
      <c r="SC88" s="56"/>
      <c r="SD88" s="56"/>
      <c r="SE88" s="56"/>
      <c r="SF88" s="56"/>
      <c r="SG88" s="56"/>
      <c r="SH88" s="56"/>
      <c r="SI88" s="56"/>
      <c r="SJ88" s="56"/>
      <c r="SK88" s="56"/>
      <c r="SL88" s="56"/>
      <c r="SM88" s="56"/>
      <c r="SN88" s="56"/>
      <c r="SO88" s="56"/>
      <c r="SP88" s="56"/>
      <c r="SQ88" s="56"/>
      <c r="SR88" s="56"/>
    </row>
    <row r="89" spans="1:512" ht="15" customHeight="1" x14ac:dyDescent="0.7">
      <c r="A89" s="171">
        <v>27</v>
      </c>
      <c r="B89" s="171" t="s">
        <v>77</v>
      </c>
      <c r="C89" s="171" t="s">
        <v>344</v>
      </c>
      <c r="D89" s="171"/>
      <c r="E89" s="171" t="s">
        <v>33</v>
      </c>
      <c r="F89" s="171"/>
      <c r="G89" s="174" t="s">
        <v>388</v>
      </c>
      <c r="H89" s="88" t="s">
        <v>389</v>
      </c>
      <c r="I89" s="89" t="s">
        <v>347</v>
      </c>
      <c r="J89" s="90">
        <v>0.30000000000000004</v>
      </c>
      <c r="K89" s="168">
        <v>0.2</v>
      </c>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c r="HU89" s="54"/>
      <c r="HV89" s="54"/>
      <c r="HW89" s="54"/>
      <c r="HX89" s="54"/>
      <c r="HY89" s="54"/>
      <c r="HZ89" s="54"/>
      <c r="IA89" s="54"/>
      <c r="IB89" s="54"/>
      <c r="IC89" s="54"/>
      <c r="ID89" s="54"/>
      <c r="IE89" s="54"/>
      <c r="IF89" s="54"/>
      <c r="IG89" s="54"/>
      <c r="IH89" s="54"/>
      <c r="II89" s="54"/>
      <c r="IJ89" s="54"/>
      <c r="IK89" s="54"/>
      <c r="IL89" s="54"/>
      <c r="IM89" s="54"/>
      <c r="IN89" s="54"/>
      <c r="IO89" s="54"/>
      <c r="IP89" s="54"/>
      <c r="IQ89" s="54"/>
      <c r="IR89" s="54"/>
      <c r="IS89" s="54"/>
      <c r="IT89" s="54"/>
      <c r="IU89" s="54"/>
      <c r="IV89" s="54"/>
      <c r="IW89" s="54"/>
      <c r="IX89" s="54"/>
      <c r="IY89" s="54"/>
      <c r="IZ89" s="54"/>
      <c r="JA89" s="54"/>
      <c r="JB89" s="54"/>
      <c r="JC89" s="54"/>
      <c r="JD89" s="54"/>
      <c r="JE89" s="54"/>
      <c r="JF89" s="54"/>
      <c r="JG89" s="54"/>
      <c r="JH89" s="54"/>
      <c r="JI89" s="54"/>
      <c r="JJ89" s="54"/>
      <c r="JK89" s="54"/>
      <c r="JL89" s="54"/>
      <c r="JM89" s="54"/>
      <c r="JN89" s="54"/>
      <c r="JO89" s="54"/>
      <c r="JP89" s="54"/>
      <c r="JQ89" s="54"/>
      <c r="JR89" s="54"/>
      <c r="JS89" s="54"/>
      <c r="JT89" s="54"/>
      <c r="JU89" s="54"/>
      <c r="JV89" s="54"/>
      <c r="JW89" s="54"/>
      <c r="JX89" s="54"/>
      <c r="JY89" s="54"/>
      <c r="JZ89" s="54"/>
      <c r="KA89" s="54"/>
      <c r="KB89" s="54"/>
      <c r="KC89" s="54"/>
      <c r="KD89" s="54"/>
      <c r="KE89" s="54"/>
      <c r="KF89" s="54"/>
      <c r="KG89" s="54"/>
      <c r="KH89" s="54"/>
      <c r="KI89" s="54"/>
      <c r="KJ89" s="54"/>
      <c r="KK89" s="54"/>
      <c r="KL89" s="54"/>
      <c r="KM89" s="54"/>
      <c r="KN89" s="54"/>
      <c r="KO89" s="54"/>
      <c r="KP89" s="54"/>
      <c r="KQ89" s="54"/>
      <c r="KR89" s="54"/>
      <c r="KS89" s="54"/>
      <c r="KT89" s="54"/>
      <c r="KU89" s="54"/>
      <c r="KV89" s="54"/>
      <c r="KW89" s="54"/>
      <c r="KX89" s="54"/>
      <c r="KY89" s="54"/>
      <c r="KZ89" s="54"/>
      <c r="LA89" s="54"/>
      <c r="LB89" s="54"/>
      <c r="LC89" s="54"/>
      <c r="LD89" s="54"/>
      <c r="LE89" s="54"/>
      <c r="LF89" s="54"/>
      <c r="LG89" s="54"/>
      <c r="LH89" s="54"/>
      <c r="LI89" s="54"/>
      <c r="LJ89" s="54"/>
      <c r="LK89" s="54"/>
      <c r="LL89" s="54"/>
      <c r="LM89" s="54"/>
      <c r="LN89" s="54"/>
      <c r="LO89" s="54"/>
      <c r="LP89" s="54"/>
      <c r="LQ89" s="54"/>
      <c r="LR89" s="54"/>
      <c r="LS89" s="54"/>
      <c r="LT89" s="54"/>
      <c r="LU89" s="54"/>
      <c r="LV89" s="54"/>
      <c r="LW89" s="54"/>
      <c r="LX89" s="54"/>
      <c r="LY89" s="54"/>
      <c r="LZ89" s="54"/>
      <c r="MA89" s="54"/>
      <c r="MB89" s="54"/>
      <c r="MC89" s="54"/>
      <c r="MD89" s="54"/>
      <c r="ME89" s="54"/>
      <c r="MF89" s="54"/>
      <c r="MG89" s="54"/>
      <c r="MH89" s="54"/>
      <c r="MI89" s="54"/>
      <c r="MJ89" s="54"/>
      <c r="MK89" s="54"/>
      <c r="ML89" s="54"/>
      <c r="MM89" s="54"/>
      <c r="MN89" s="54"/>
      <c r="MO89" s="54"/>
      <c r="MP89" s="54"/>
      <c r="MQ89" s="54"/>
      <c r="MR89" s="54"/>
      <c r="MS89" s="54"/>
      <c r="MT89" s="54"/>
      <c r="MU89" s="54"/>
      <c r="MV89" s="54"/>
      <c r="MW89" s="54"/>
      <c r="MX89" s="54"/>
      <c r="MY89" s="54"/>
      <c r="MZ89" s="54"/>
      <c r="NA89" s="54"/>
      <c r="NB89" s="54"/>
      <c r="NC89" s="54"/>
      <c r="ND89" s="54"/>
      <c r="NE89" s="54"/>
      <c r="NF89" s="54"/>
      <c r="NG89" s="54"/>
      <c r="NH89" s="54"/>
      <c r="NI89" s="54"/>
      <c r="NJ89" s="54"/>
      <c r="NK89" s="54"/>
      <c r="NL89" s="54"/>
      <c r="NM89" s="54"/>
      <c r="NN89" s="54"/>
      <c r="NO89" s="54"/>
      <c r="NP89" s="54"/>
      <c r="NQ89" s="54"/>
      <c r="NR89" s="54"/>
      <c r="NS89" s="54"/>
      <c r="NT89" s="54"/>
      <c r="NU89" s="54"/>
      <c r="NV89" s="54"/>
      <c r="NW89" s="54"/>
      <c r="NX89" s="54"/>
      <c r="NY89" s="54"/>
      <c r="NZ89" s="54"/>
      <c r="OA89" s="54"/>
      <c r="OB89" s="54"/>
      <c r="OC89" s="54"/>
      <c r="OD89" s="54"/>
      <c r="OE89" s="54"/>
      <c r="OF89" s="54"/>
      <c r="OG89" s="54"/>
      <c r="OH89" s="54"/>
      <c r="OI89" s="54"/>
      <c r="OJ89" s="54"/>
      <c r="OK89" s="54"/>
      <c r="OL89" s="54"/>
      <c r="OM89" s="54"/>
      <c r="ON89" s="54"/>
      <c r="OO89" s="54"/>
      <c r="OP89" s="54"/>
      <c r="OQ89" s="54"/>
      <c r="OR89" s="54"/>
      <c r="OS89" s="54"/>
      <c r="OT89" s="54"/>
      <c r="OU89" s="54"/>
      <c r="OV89" s="54"/>
      <c r="OW89" s="54"/>
      <c r="OX89" s="54"/>
      <c r="OY89" s="54"/>
      <c r="OZ89" s="54"/>
      <c r="PA89" s="54"/>
      <c r="PB89" s="54"/>
      <c r="PC89" s="54"/>
      <c r="PD89" s="54"/>
      <c r="PE89" s="54"/>
      <c r="PF89" s="54"/>
      <c r="PG89" s="54"/>
      <c r="PH89" s="54"/>
      <c r="PI89" s="54"/>
      <c r="PJ89" s="54"/>
      <c r="PK89" s="54"/>
      <c r="PL89" s="54"/>
      <c r="PM89" s="54"/>
      <c r="PN89" s="54"/>
      <c r="PO89" s="54"/>
      <c r="PP89" s="54"/>
      <c r="PQ89" s="54"/>
      <c r="PR89" s="54"/>
      <c r="PS89" s="54"/>
      <c r="PT89" s="54"/>
      <c r="PU89" s="54"/>
      <c r="PV89" s="54"/>
      <c r="PW89" s="54"/>
      <c r="PX89" s="54"/>
      <c r="PY89" s="54"/>
      <c r="PZ89" s="54"/>
      <c r="QA89" s="54"/>
      <c r="QB89" s="54"/>
      <c r="QC89" s="54"/>
      <c r="QD89" s="54"/>
      <c r="QE89" s="54"/>
      <c r="QF89" s="54"/>
      <c r="QG89" s="54"/>
      <c r="QH89" s="54"/>
      <c r="QI89" s="54"/>
      <c r="QJ89" s="54"/>
      <c r="QK89" s="54"/>
      <c r="QL89" s="54"/>
      <c r="QM89" s="54"/>
      <c r="QN89" s="54"/>
      <c r="QO89" s="54"/>
      <c r="QP89" s="54"/>
      <c r="QQ89" s="54"/>
      <c r="QR89" s="54"/>
      <c r="QS89" s="54"/>
      <c r="QT89" s="54"/>
      <c r="QU89" s="54"/>
      <c r="QV89" s="54"/>
      <c r="QW89" s="54"/>
      <c r="QX89" s="54"/>
      <c r="QY89" s="54"/>
      <c r="QZ89" s="54"/>
      <c r="RA89" s="54"/>
      <c r="RB89" s="54"/>
      <c r="RC89" s="54"/>
      <c r="RD89" s="54"/>
      <c r="RE89" s="54"/>
      <c r="RF89" s="54"/>
      <c r="RG89" s="54"/>
      <c r="RH89" s="54"/>
      <c r="RI89" s="54"/>
      <c r="RJ89" s="54"/>
      <c r="RK89" s="54"/>
      <c r="RL89" s="54"/>
      <c r="RM89" s="54"/>
      <c r="RN89" s="54"/>
      <c r="RO89" s="54"/>
      <c r="RP89" s="54"/>
      <c r="RQ89" s="54"/>
      <c r="RR89" s="54"/>
      <c r="RS89" s="54"/>
      <c r="RT89" s="54"/>
      <c r="RU89" s="54"/>
      <c r="RV89" s="54"/>
      <c r="RW89" s="54"/>
      <c r="RX89" s="54"/>
      <c r="RY89" s="54"/>
      <c r="RZ89" s="54"/>
      <c r="SA89" s="54"/>
      <c r="SB89" s="54"/>
      <c r="SC89" s="54"/>
      <c r="SD89" s="54"/>
      <c r="SE89" s="54"/>
      <c r="SF89" s="54"/>
      <c r="SG89" s="54"/>
      <c r="SH89" s="54"/>
      <c r="SI89" s="54"/>
      <c r="SJ89" s="54"/>
      <c r="SK89" s="54"/>
      <c r="SL89" s="54"/>
      <c r="SM89" s="54"/>
      <c r="SN89" s="54"/>
      <c r="SO89" s="54"/>
      <c r="SP89" s="54"/>
      <c r="SQ89" s="54"/>
      <c r="SR89" s="54"/>
    </row>
    <row r="90" spans="1:512" ht="15" customHeight="1" x14ac:dyDescent="0.7">
      <c r="A90" s="172"/>
      <c r="B90" s="172"/>
      <c r="C90" s="172"/>
      <c r="D90" s="172"/>
      <c r="E90" s="172"/>
      <c r="F90" s="172"/>
      <c r="G90" s="175"/>
      <c r="H90" s="91"/>
      <c r="I90" s="89" t="s">
        <v>348</v>
      </c>
      <c r="J90" s="90">
        <v>0.1</v>
      </c>
      <c r="K90" s="169"/>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c r="HU90" s="54"/>
      <c r="HV90" s="54"/>
      <c r="HW90" s="54"/>
      <c r="HX90" s="54"/>
      <c r="HY90" s="54"/>
      <c r="HZ90" s="54"/>
      <c r="IA90" s="54"/>
      <c r="IB90" s="54"/>
      <c r="IC90" s="54"/>
      <c r="ID90" s="54"/>
      <c r="IE90" s="54"/>
      <c r="IF90" s="54"/>
      <c r="IG90" s="54"/>
      <c r="IH90" s="54"/>
      <c r="II90" s="54"/>
      <c r="IJ90" s="54"/>
      <c r="IK90" s="54"/>
      <c r="IL90" s="54"/>
      <c r="IM90" s="54"/>
      <c r="IN90" s="54"/>
      <c r="IO90" s="54"/>
      <c r="IP90" s="54"/>
      <c r="IQ90" s="54"/>
      <c r="IR90" s="54"/>
      <c r="IS90" s="54"/>
      <c r="IT90" s="54"/>
      <c r="IU90" s="54"/>
      <c r="IV90" s="54"/>
      <c r="IW90" s="54"/>
      <c r="IX90" s="54"/>
      <c r="IY90" s="54"/>
      <c r="IZ90" s="54"/>
      <c r="JA90" s="54"/>
      <c r="JB90" s="54"/>
      <c r="JC90" s="54"/>
      <c r="JD90" s="54"/>
      <c r="JE90" s="54"/>
      <c r="JF90" s="54"/>
      <c r="JG90" s="54"/>
      <c r="JH90" s="54"/>
      <c r="JI90" s="54"/>
      <c r="JJ90" s="54"/>
      <c r="JK90" s="54"/>
      <c r="JL90" s="54"/>
      <c r="JM90" s="54"/>
      <c r="JN90" s="54"/>
      <c r="JO90" s="54"/>
      <c r="JP90" s="54"/>
      <c r="JQ90" s="54"/>
      <c r="JR90" s="54"/>
      <c r="JS90" s="54"/>
      <c r="JT90" s="54"/>
      <c r="JU90" s="54"/>
      <c r="JV90" s="54"/>
      <c r="JW90" s="54"/>
      <c r="JX90" s="54"/>
      <c r="JY90" s="54"/>
      <c r="JZ90" s="54"/>
      <c r="KA90" s="54"/>
      <c r="KB90" s="54"/>
      <c r="KC90" s="54"/>
      <c r="KD90" s="54"/>
      <c r="KE90" s="54"/>
      <c r="KF90" s="54"/>
      <c r="KG90" s="54"/>
      <c r="KH90" s="54"/>
      <c r="KI90" s="54"/>
      <c r="KJ90" s="54"/>
      <c r="KK90" s="54"/>
      <c r="KL90" s="54"/>
      <c r="KM90" s="54"/>
      <c r="KN90" s="54"/>
      <c r="KO90" s="54"/>
      <c r="KP90" s="54"/>
      <c r="KQ90" s="54"/>
      <c r="KR90" s="54"/>
      <c r="KS90" s="54"/>
      <c r="KT90" s="54"/>
      <c r="KU90" s="54"/>
      <c r="KV90" s="54"/>
      <c r="KW90" s="54"/>
      <c r="KX90" s="54"/>
      <c r="KY90" s="54"/>
      <c r="KZ90" s="54"/>
      <c r="LA90" s="54"/>
      <c r="LB90" s="54"/>
      <c r="LC90" s="54"/>
      <c r="LD90" s="54"/>
      <c r="LE90" s="54"/>
      <c r="LF90" s="54"/>
      <c r="LG90" s="54"/>
      <c r="LH90" s="54"/>
      <c r="LI90" s="54"/>
      <c r="LJ90" s="54"/>
      <c r="LK90" s="54"/>
      <c r="LL90" s="54"/>
      <c r="LM90" s="54"/>
      <c r="LN90" s="54"/>
      <c r="LO90" s="54"/>
      <c r="LP90" s="54"/>
      <c r="LQ90" s="54"/>
      <c r="LR90" s="54"/>
      <c r="LS90" s="54"/>
      <c r="LT90" s="54"/>
      <c r="LU90" s="54"/>
      <c r="LV90" s="54"/>
      <c r="LW90" s="54"/>
      <c r="LX90" s="54"/>
      <c r="LY90" s="54"/>
      <c r="LZ90" s="54"/>
      <c r="MA90" s="54"/>
      <c r="MB90" s="54"/>
      <c r="MC90" s="54"/>
      <c r="MD90" s="54"/>
      <c r="ME90" s="54"/>
      <c r="MF90" s="54"/>
      <c r="MG90" s="54"/>
      <c r="MH90" s="54"/>
      <c r="MI90" s="54"/>
      <c r="MJ90" s="54"/>
      <c r="MK90" s="54"/>
      <c r="ML90" s="54"/>
      <c r="MM90" s="54"/>
      <c r="MN90" s="54"/>
      <c r="MO90" s="54"/>
      <c r="MP90" s="54"/>
      <c r="MQ90" s="54"/>
      <c r="MR90" s="54"/>
      <c r="MS90" s="54"/>
      <c r="MT90" s="54"/>
      <c r="MU90" s="54"/>
      <c r="MV90" s="54"/>
      <c r="MW90" s="54"/>
      <c r="MX90" s="54"/>
      <c r="MY90" s="54"/>
      <c r="MZ90" s="54"/>
      <c r="NA90" s="54"/>
      <c r="NB90" s="54"/>
      <c r="NC90" s="54"/>
      <c r="ND90" s="54"/>
      <c r="NE90" s="54"/>
      <c r="NF90" s="54"/>
      <c r="NG90" s="54"/>
      <c r="NH90" s="54"/>
      <c r="NI90" s="54"/>
      <c r="NJ90" s="54"/>
      <c r="NK90" s="54"/>
      <c r="NL90" s="54"/>
      <c r="NM90" s="54"/>
      <c r="NN90" s="54"/>
      <c r="NO90" s="54"/>
      <c r="NP90" s="54"/>
      <c r="NQ90" s="54"/>
      <c r="NR90" s="54"/>
      <c r="NS90" s="54"/>
      <c r="NT90" s="54"/>
      <c r="NU90" s="54"/>
      <c r="NV90" s="54"/>
      <c r="NW90" s="54"/>
      <c r="NX90" s="54"/>
      <c r="NY90" s="54"/>
      <c r="NZ90" s="54"/>
      <c r="OA90" s="54"/>
      <c r="OB90" s="54"/>
      <c r="OC90" s="54"/>
      <c r="OD90" s="54"/>
      <c r="OE90" s="54"/>
      <c r="OF90" s="54"/>
      <c r="OG90" s="54"/>
      <c r="OH90" s="54"/>
      <c r="OI90" s="54"/>
      <c r="OJ90" s="54"/>
      <c r="OK90" s="54"/>
      <c r="OL90" s="54"/>
      <c r="OM90" s="54"/>
      <c r="ON90" s="54"/>
      <c r="OO90" s="54"/>
      <c r="OP90" s="54"/>
      <c r="OQ90" s="54"/>
      <c r="OR90" s="54"/>
      <c r="OS90" s="54"/>
      <c r="OT90" s="54"/>
      <c r="OU90" s="54"/>
      <c r="OV90" s="54"/>
      <c r="OW90" s="54"/>
      <c r="OX90" s="54"/>
      <c r="OY90" s="54"/>
      <c r="OZ90" s="54"/>
      <c r="PA90" s="54"/>
      <c r="PB90" s="54"/>
      <c r="PC90" s="54"/>
      <c r="PD90" s="54"/>
      <c r="PE90" s="54"/>
      <c r="PF90" s="54"/>
      <c r="PG90" s="54"/>
      <c r="PH90" s="54"/>
      <c r="PI90" s="54"/>
      <c r="PJ90" s="54"/>
      <c r="PK90" s="54"/>
      <c r="PL90" s="54"/>
      <c r="PM90" s="54"/>
      <c r="PN90" s="54"/>
      <c r="PO90" s="54"/>
      <c r="PP90" s="54"/>
      <c r="PQ90" s="54"/>
      <c r="PR90" s="54"/>
      <c r="PS90" s="54"/>
      <c r="PT90" s="54"/>
      <c r="PU90" s="54"/>
      <c r="PV90" s="54"/>
      <c r="PW90" s="54"/>
      <c r="PX90" s="54"/>
      <c r="PY90" s="54"/>
      <c r="PZ90" s="54"/>
      <c r="QA90" s="54"/>
      <c r="QB90" s="54"/>
      <c r="QC90" s="54"/>
      <c r="QD90" s="54"/>
      <c r="QE90" s="54"/>
      <c r="QF90" s="54"/>
      <c r="QG90" s="54"/>
      <c r="QH90" s="54"/>
      <c r="QI90" s="54"/>
      <c r="QJ90" s="54"/>
      <c r="QK90" s="54"/>
      <c r="QL90" s="54"/>
      <c r="QM90" s="54"/>
      <c r="QN90" s="54"/>
      <c r="QO90" s="54"/>
      <c r="QP90" s="54"/>
      <c r="QQ90" s="54"/>
      <c r="QR90" s="54"/>
      <c r="QS90" s="54"/>
      <c r="QT90" s="54"/>
      <c r="QU90" s="54"/>
      <c r="QV90" s="54"/>
      <c r="QW90" s="54"/>
      <c r="QX90" s="54"/>
      <c r="QY90" s="54"/>
      <c r="QZ90" s="54"/>
      <c r="RA90" s="54"/>
      <c r="RB90" s="54"/>
      <c r="RC90" s="54"/>
      <c r="RD90" s="54"/>
      <c r="RE90" s="54"/>
      <c r="RF90" s="54"/>
      <c r="RG90" s="54"/>
      <c r="RH90" s="54"/>
      <c r="RI90" s="54"/>
      <c r="RJ90" s="54"/>
      <c r="RK90" s="54"/>
      <c r="RL90" s="54"/>
      <c r="RM90" s="54"/>
      <c r="RN90" s="54"/>
      <c r="RO90" s="54"/>
      <c r="RP90" s="54"/>
      <c r="RQ90" s="54"/>
      <c r="RR90" s="54"/>
      <c r="RS90" s="54"/>
      <c r="RT90" s="54"/>
      <c r="RU90" s="54"/>
      <c r="RV90" s="54"/>
      <c r="RW90" s="54"/>
      <c r="RX90" s="54"/>
      <c r="RY90" s="54"/>
      <c r="RZ90" s="54"/>
      <c r="SA90" s="54"/>
      <c r="SB90" s="54"/>
      <c r="SC90" s="54"/>
      <c r="SD90" s="54"/>
      <c r="SE90" s="54"/>
      <c r="SF90" s="54"/>
      <c r="SG90" s="54"/>
      <c r="SH90" s="54"/>
      <c r="SI90" s="54"/>
      <c r="SJ90" s="54"/>
      <c r="SK90" s="54"/>
      <c r="SL90" s="54"/>
      <c r="SM90" s="54"/>
      <c r="SN90" s="54"/>
      <c r="SO90" s="54"/>
      <c r="SP90" s="54"/>
      <c r="SQ90" s="54"/>
      <c r="SR90" s="54"/>
    </row>
    <row r="91" spans="1:512" s="55" customFormat="1" ht="15" customHeight="1" x14ac:dyDescent="0.7">
      <c r="A91" s="173"/>
      <c r="B91" s="173"/>
      <c r="C91" s="173"/>
      <c r="D91" s="173"/>
      <c r="E91" s="173"/>
      <c r="F91" s="173"/>
      <c r="G91" s="176"/>
      <c r="H91" s="92"/>
      <c r="I91" s="93"/>
      <c r="J91" s="94"/>
      <c r="K91" s="170"/>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c r="IX91" s="56"/>
      <c r="IY91" s="56"/>
      <c r="IZ91" s="56"/>
      <c r="JA91" s="56"/>
      <c r="JB91" s="56"/>
      <c r="JC91" s="56"/>
      <c r="JD91" s="56"/>
      <c r="JE91" s="56"/>
      <c r="JF91" s="56"/>
      <c r="JG91" s="56"/>
      <c r="JH91" s="56"/>
      <c r="JI91" s="56"/>
      <c r="JJ91" s="56"/>
      <c r="JK91" s="56"/>
      <c r="JL91" s="56"/>
      <c r="JM91" s="56"/>
      <c r="JN91" s="56"/>
      <c r="JO91" s="56"/>
      <c r="JP91" s="56"/>
      <c r="JQ91" s="56"/>
      <c r="JR91" s="56"/>
      <c r="JS91" s="56"/>
      <c r="JT91" s="56"/>
      <c r="JU91" s="56"/>
      <c r="JV91" s="56"/>
      <c r="JW91" s="56"/>
      <c r="JX91" s="56"/>
      <c r="JY91" s="56"/>
      <c r="JZ91" s="56"/>
      <c r="KA91" s="56"/>
      <c r="KB91" s="56"/>
      <c r="KC91" s="56"/>
      <c r="KD91" s="56"/>
      <c r="KE91" s="56"/>
      <c r="KF91" s="56"/>
      <c r="KG91" s="56"/>
      <c r="KH91" s="56"/>
      <c r="KI91" s="56"/>
      <c r="KJ91" s="56"/>
      <c r="KK91" s="56"/>
      <c r="KL91" s="56"/>
      <c r="KM91" s="56"/>
      <c r="KN91" s="56"/>
      <c r="KO91" s="56"/>
      <c r="KP91" s="56"/>
      <c r="KQ91" s="56"/>
      <c r="KR91" s="56"/>
      <c r="KS91" s="56"/>
      <c r="KT91" s="56"/>
      <c r="KU91" s="56"/>
      <c r="KV91" s="56"/>
      <c r="KW91" s="56"/>
      <c r="KX91" s="56"/>
      <c r="KY91" s="56"/>
      <c r="KZ91" s="56"/>
      <c r="LA91" s="56"/>
      <c r="LB91" s="56"/>
      <c r="LC91" s="56"/>
      <c r="LD91" s="56"/>
      <c r="LE91" s="56"/>
      <c r="LF91" s="56"/>
      <c r="LG91" s="56"/>
      <c r="LH91" s="56"/>
      <c r="LI91" s="56"/>
      <c r="LJ91" s="56"/>
      <c r="LK91" s="56"/>
      <c r="LL91" s="56"/>
      <c r="LM91" s="56"/>
      <c r="LN91" s="56"/>
      <c r="LO91" s="56"/>
      <c r="LP91" s="56"/>
      <c r="LQ91" s="56"/>
      <c r="LR91" s="56"/>
      <c r="LS91" s="56"/>
      <c r="LT91" s="56"/>
      <c r="LU91" s="56"/>
      <c r="LV91" s="56"/>
      <c r="LW91" s="56"/>
      <c r="LX91" s="56"/>
      <c r="LY91" s="56"/>
      <c r="LZ91" s="56"/>
      <c r="MA91" s="56"/>
      <c r="MB91" s="56"/>
      <c r="MC91" s="56"/>
      <c r="MD91" s="56"/>
      <c r="ME91" s="56"/>
      <c r="MF91" s="56"/>
      <c r="MG91" s="56"/>
      <c r="MH91" s="56"/>
      <c r="MI91" s="56"/>
      <c r="MJ91" s="56"/>
      <c r="MK91" s="56"/>
      <c r="ML91" s="56"/>
      <c r="MM91" s="56"/>
      <c r="MN91" s="56"/>
      <c r="MO91" s="56"/>
      <c r="MP91" s="56"/>
      <c r="MQ91" s="56"/>
      <c r="MR91" s="56"/>
      <c r="MS91" s="56"/>
      <c r="MT91" s="56"/>
      <c r="MU91" s="56"/>
      <c r="MV91" s="56"/>
      <c r="MW91" s="56"/>
      <c r="MX91" s="56"/>
      <c r="MY91" s="56"/>
      <c r="MZ91" s="56"/>
      <c r="NA91" s="56"/>
      <c r="NB91" s="56"/>
      <c r="NC91" s="56"/>
      <c r="ND91" s="56"/>
      <c r="NE91" s="56"/>
      <c r="NF91" s="56"/>
      <c r="NG91" s="56"/>
      <c r="NH91" s="56"/>
      <c r="NI91" s="56"/>
      <c r="NJ91" s="56"/>
      <c r="NK91" s="56"/>
      <c r="NL91" s="56"/>
      <c r="NM91" s="56"/>
      <c r="NN91" s="56"/>
      <c r="NO91" s="56"/>
      <c r="NP91" s="56"/>
      <c r="NQ91" s="56"/>
      <c r="NR91" s="56"/>
      <c r="NS91" s="56"/>
      <c r="NT91" s="56"/>
      <c r="NU91" s="56"/>
      <c r="NV91" s="56"/>
      <c r="NW91" s="56"/>
      <c r="NX91" s="56"/>
      <c r="NY91" s="56"/>
      <c r="NZ91" s="56"/>
      <c r="OA91" s="56"/>
      <c r="OB91" s="56"/>
      <c r="OC91" s="56"/>
      <c r="OD91" s="56"/>
      <c r="OE91" s="56"/>
      <c r="OF91" s="56"/>
      <c r="OG91" s="56"/>
      <c r="OH91" s="56"/>
      <c r="OI91" s="56"/>
      <c r="OJ91" s="56"/>
      <c r="OK91" s="56"/>
      <c r="OL91" s="56"/>
      <c r="OM91" s="56"/>
      <c r="ON91" s="56"/>
      <c r="OO91" s="56"/>
      <c r="OP91" s="56"/>
      <c r="OQ91" s="56"/>
      <c r="OR91" s="56"/>
      <c r="OS91" s="56"/>
      <c r="OT91" s="56"/>
      <c r="OU91" s="56"/>
      <c r="OV91" s="56"/>
      <c r="OW91" s="56"/>
      <c r="OX91" s="56"/>
      <c r="OY91" s="56"/>
      <c r="OZ91" s="56"/>
      <c r="PA91" s="56"/>
      <c r="PB91" s="56"/>
      <c r="PC91" s="56"/>
      <c r="PD91" s="56"/>
      <c r="PE91" s="56"/>
      <c r="PF91" s="56"/>
      <c r="PG91" s="56"/>
      <c r="PH91" s="56"/>
      <c r="PI91" s="56"/>
      <c r="PJ91" s="56"/>
      <c r="PK91" s="56"/>
      <c r="PL91" s="56"/>
      <c r="PM91" s="56"/>
      <c r="PN91" s="56"/>
      <c r="PO91" s="56"/>
      <c r="PP91" s="56"/>
      <c r="PQ91" s="56"/>
      <c r="PR91" s="56"/>
      <c r="PS91" s="56"/>
      <c r="PT91" s="56"/>
      <c r="PU91" s="56"/>
      <c r="PV91" s="56"/>
      <c r="PW91" s="56"/>
      <c r="PX91" s="56"/>
      <c r="PY91" s="56"/>
      <c r="PZ91" s="56"/>
      <c r="QA91" s="56"/>
      <c r="QB91" s="56"/>
      <c r="QC91" s="56"/>
      <c r="QD91" s="56"/>
      <c r="QE91" s="56"/>
      <c r="QF91" s="56"/>
      <c r="QG91" s="56"/>
      <c r="QH91" s="56"/>
      <c r="QI91" s="56"/>
      <c r="QJ91" s="56"/>
      <c r="QK91" s="56"/>
      <c r="QL91" s="56"/>
      <c r="QM91" s="56"/>
      <c r="QN91" s="56"/>
      <c r="QO91" s="56"/>
      <c r="QP91" s="56"/>
      <c r="QQ91" s="56"/>
      <c r="QR91" s="56"/>
      <c r="QS91" s="56"/>
      <c r="QT91" s="56"/>
      <c r="QU91" s="56"/>
      <c r="QV91" s="56"/>
      <c r="QW91" s="56"/>
      <c r="QX91" s="56"/>
      <c r="QY91" s="56"/>
      <c r="QZ91" s="56"/>
      <c r="RA91" s="56"/>
      <c r="RB91" s="56"/>
      <c r="RC91" s="56"/>
      <c r="RD91" s="56"/>
      <c r="RE91" s="56"/>
      <c r="RF91" s="56"/>
      <c r="RG91" s="56"/>
      <c r="RH91" s="56"/>
      <c r="RI91" s="56"/>
      <c r="RJ91" s="56"/>
      <c r="RK91" s="56"/>
      <c r="RL91" s="56"/>
      <c r="RM91" s="56"/>
      <c r="RN91" s="56"/>
      <c r="RO91" s="56"/>
      <c r="RP91" s="56"/>
      <c r="RQ91" s="56"/>
      <c r="RR91" s="56"/>
      <c r="RS91" s="56"/>
      <c r="RT91" s="56"/>
      <c r="RU91" s="56"/>
      <c r="RV91" s="56"/>
      <c r="RW91" s="56"/>
      <c r="RX91" s="56"/>
      <c r="RY91" s="56"/>
      <c r="RZ91" s="56"/>
      <c r="SA91" s="56"/>
      <c r="SB91" s="56"/>
      <c r="SC91" s="56"/>
      <c r="SD91" s="56"/>
      <c r="SE91" s="56"/>
      <c r="SF91" s="56"/>
      <c r="SG91" s="56"/>
      <c r="SH91" s="56"/>
      <c r="SI91" s="56"/>
      <c r="SJ91" s="56"/>
      <c r="SK91" s="56"/>
      <c r="SL91" s="56"/>
      <c r="SM91" s="56"/>
      <c r="SN91" s="56"/>
      <c r="SO91" s="56"/>
      <c r="SP91" s="56"/>
      <c r="SQ91" s="56"/>
      <c r="SR91" s="56"/>
    </row>
    <row r="92" spans="1:512" ht="15" customHeight="1" x14ac:dyDescent="0.7">
      <c r="A92" s="171">
        <v>28</v>
      </c>
      <c r="B92" s="171" t="s">
        <v>13</v>
      </c>
      <c r="C92" s="171" t="s">
        <v>414</v>
      </c>
      <c r="D92" s="171"/>
      <c r="E92" s="171" t="s">
        <v>332</v>
      </c>
      <c r="F92" s="171"/>
      <c r="G92" s="174" t="s">
        <v>415</v>
      </c>
      <c r="H92" s="88" t="s">
        <v>416</v>
      </c>
      <c r="I92" s="89" t="s">
        <v>347</v>
      </c>
      <c r="J92" s="90">
        <v>17.600000000000001</v>
      </c>
      <c r="K92" s="168">
        <v>17.5</v>
      </c>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4"/>
      <c r="EX92" s="54"/>
      <c r="EY92" s="54"/>
      <c r="EZ92" s="54"/>
      <c r="FA92" s="5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54"/>
      <c r="GM92" s="54"/>
      <c r="GN92" s="54"/>
      <c r="GO92" s="54"/>
      <c r="GP92" s="54"/>
      <c r="GQ92" s="54"/>
      <c r="GR92" s="54"/>
      <c r="GS92" s="54"/>
      <c r="GT92" s="54"/>
      <c r="GU92" s="54"/>
      <c r="GV92" s="54"/>
      <c r="GW92" s="54"/>
      <c r="GX92" s="54"/>
      <c r="GY92" s="54"/>
      <c r="GZ92" s="54"/>
      <c r="HA92" s="54"/>
      <c r="HB92" s="54"/>
      <c r="HC92" s="54"/>
      <c r="HD92" s="54"/>
      <c r="HE92" s="54"/>
      <c r="HF92" s="54"/>
      <c r="HG92" s="54"/>
      <c r="HH92" s="54"/>
      <c r="HI92" s="54"/>
      <c r="HJ92" s="54"/>
      <c r="HK92" s="54"/>
      <c r="HL92" s="54"/>
      <c r="HM92" s="54"/>
      <c r="HN92" s="54"/>
      <c r="HO92" s="54"/>
      <c r="HP92" s="54"/>
      <c r="HQ92" s="54"/>
      <c r="HR92" s="54"/>
      <c r="HS92" s="54"/>
      <c r="HT92" s="54"/>
      <c r="HU92" s="54"/>
      <c r="HV92" s="54"/>
      <c r="HW92" s="54"/>
      <c r="HX92" s="54"/>
      <c r="HY92" s="54"/>
      <c r="HZ92" s="54"/>
      <c r="IA92" s="54"/>
      <c r="IB92" s="54"/>
      <c r="IC92" s="54"/>
      <c r="ID92" s="54"/>
      <c r="IE92" s="54"/>
      <c r="IF92" s="54"/>
      <c r="IG92" s="54"/>
      <c r="IH92" s="54"/>
      <c r="II92" s="54"/>
      <c r="IJ92" s="54"/>
      <c r="IK92" s="54"/>
      <c r="IL92" s="54"/>
      <c r="IM92" s="54"/>
      <c r="IN92" s="54"/>
      <c r="IO92" s="54"/>
      <c r="IP92" s="54"/>
      <c r="IQ92" s="54"/>
      <c r="IR92" s="54"/>
      <c r="IS92" s="54"/>
      <c r="IT92" s="54"/>
      <c r="IU92" s="54"/>
      <c r="IV92" s="54"/>
      <c r="IW92" s="54"/>
      <c r="IX92" s="54"/>
      <c r="IY92" s="54"/>
      <c r="IZ92" s="54"/>
      <c r="JA92" s="54"/>
      <c r="JB92" s="54"/>
      <c r="JC92" s="54"/>
      <c r="JD92" s="54"/>
      <c r="JE92" s="54"/>
      <c r="JF92" s="54"/>
      <c r="JG92" s="54"/>
      <c r="JH92" s="54"/>
      <c r="JI92" s="54"/>
      <c r="JJ92" s="54"/>
      <c r="JK92" s="54"/>
      <c r="JL92" s="54"/>
      <c r="JM92" s="54"/>
      <c r="JN92" s="54"/>
      <c r="JO92" s="54"/>
      <c r="JP92" s="54"/>
      <c r="JQ92" s="54"/>
      <c r="JR92" s="54"/>
      <c r="JS92" s="54"/>
      <c r="JT92" s="54"/>
      <c r="JU92" s="54"/>
      <c r="JV92" s="54"/>
      <c r="JW92" s="54"/>
      <c r="JX92" s="54"/>
      <c r="JY92" s="54"/>
      <c r="JZ92" s="54"/>
      <c r="KA92" s="54"/>
      <c r="KB92" s="54"/>
      <c r="KC92" s="54"/>
      <c r="KD92" s="54"/>
      <c r="KE92" s="54"/>
      <c r="KF92" s="54"/>
      <c r="KG92" s="54"/>
      <c r="KH92" s="54"/>
      <c r="KI92" s="54"/>
      <c r="KJ92" s="54"/>
      <c r="KK92" s="54"/>
      <c r="KL92" s="54"/>
      <c r="KM92" s="54"/>
      <c r="KN92" s="54"/>
      <c r="KO92" s="54"/>
      <c r="KP92" s="54"/>
      <c r="KQ92" s="54"/>
      <c r="KR92" s="54"/>
      <c r="KS92" s="54"/>
      <c r="KT92" s="54"/>
      <c r="KU92" s="54"/>
      <c r="KV92" s="54"/>
      <c r="KW92" s="54"/>
      <c r="KX92" s="54"/>
      <c r="KY92" s="54"/>
      <c r="KZ92" s="54"/>
      <c r="LA92" s="54"/>
      <c r="LB92" s="54"/>
      <c r="LC92" s="54"/>
      <c r="LD92" s="54"/>
      <c r="LE92" s="54"/>
      <c r="LF92" s="54"/>
      <c r="LG92" s="54"/>
      <c r="LH92" s="54"/>
      <c r="LI92" s="54"/>
      <c r="LJ92" s="54"/>
      <c r="LK92" s="54"/>
      <c r="LL92" s="54"/>
      <c r="LM92" s="54"/>
      <c r="LN92" s="54"/>
      <c r="LO92" s="54"/>
      <c r="LP92" s="54"/>
      <c r="LQ92" s="54"/>
      <c r="LR92" s="54"/>
      <c r="LS92" s="54"/>
      <c r="LT92" s="54"/>
      <c r="LU92" s="54"/>
      <c r="LV92" s="54"/>
      <c r="LW92" s="54"/>
      <c r="LX92" s="54"/>
      <c r="LY92" s="54"/>
      <c r="LZ92" s="54"/>
      <c r="MA92" s="54"/>
      <c r="MB92" s="54"/>
      <c r="MC92" s="54"/>
      <c r="MD92" s="54"/>
      <c r="ME92" s="54"/>
      <c r="MF92" s="54"/>
      <c r="MG92" s="54"/>
      <c r="MH92" s="54"/>
      <c r="MI92" s="54"/>
      <c r="MJ92" s="54"/>
      <c r="MK92" s="54"/>
      <c r="ML92" s="54"/>
      <c r="MM92" s="54"/>
      <c r="MN92" s="54"/>
      <c r="MO92" s="54"/>
      <c r="MP92" s="54"/>
      <c r="MQ92" s="54"/>
      <c r="MR92" s="54"/>
      <c r="MS92" s="54"/>
      <c r="MT92" s="54"/>
      <c r="MU92" s="54"/>
      <c r="MV92" s="54"/>
      <c r="MW92" s="54"/>
      <c r="MX92" s="54"/>
      <c r="MY92" s="54"/>
      <c r="MZ92" s="54"/>
      <c r="NA92" s="54"/>
      <c r="NB92" s="54"/>
      <c r="NC92" s="54"/>
      <c r="ND92" s="54"/>
      <c r="NE92" s="54"/>
      <c r="NF92" s="54"/>
      <c r="NG92" s="54"/>
      <c r="NH92" s="54"/>
      <c r="NI92" s="54"/>
      <c r="NJ92" s="54"/>
      <c r="NK92" s="54"/>
      <c r="NL92" s="54"/>
      <c r="NM92" s="54"/>
      <c r="NN92" s="54"/>
      <c r="NO92" s="54"/>
      <c r="NP92" s="54"/>
      <c r="NQ92" s="54"/>
      <c r="NR92" s="54"/>
      <c r="NS92" s="54"/>
      <c r="NT92" s="54"/>
      <c r="NU92" s="54"/>
      <c r="NV92" s="54"/>
      <c r="NW92" s="54"/>
      <c r="NX92" s="54"/>
      <c r="NY92" s="54"/>
      <c r="NZ92" s="54"/>
      <c r="OA92" s="54"/>
      <c r="OB92" s="54"/>
      <c r="OC92" s="54"/>
      <c r="OD92" s="54"/>
      <c r="OE92" s="54"/>
      <c r="OF92" s="54"/>
      <c r="OG92" s="54"/>
      <c r="OH92" s="54"/>
      <c r="OI92" s="54"/>
      <c r="OJ92" s="54"/>
      <c r="OK92" s="54"/>
      <c r="OL92" s="54"/>
      <c r="OM92" s="54"/>
      <c r="ON92" s="54"/>
      <c r="OO92" s="54"/>
      <c r="OP92" s="54"/>
      <c r="OQ92" s="54"/>
      <c r="OR92" s="54"/>
      <c r="OS92" s="54"/>
      <c r="OT92" s="54"/>
      <c r="OU92" s="54"/>
      <c r="OV92" s="54"/>
      <c r="OW92" s="54"/>
      <c r="OX92" s="54"/>
      <c r="OY92" s="54"/>
      <c r="OZ92" s="54"/>
      <c r="PA92" s="54"/>
      <c r="PB92" s="54"/>
      <c r="PC92" s="54"/>
      <c r="PD92" s="54"/>
      <c r="PE92" s="54"/>
      <c r="PF92" s="54"/>
      <c r="PG92" s="54"/>
      <c r="PH92" s="54"/>
      <c r="PI92" s="54"/>
      <c r="PJ92" s="54"/>
      <c r="PK92" s="54"/>
      <c r="PL92" s="54"/>
      <c r="PM92" s="54"/>
      <c r="PN92" s="54"/>
      <c r="PO92" s="54"/>
      <c r="PP92" s="54"/>
      <c r="PQ92" s="54"/>
      <c r="PR92" s="54"/>
      <c r="PS92" s="54"/>
      <c r="PT92" s="54"/>
      <c r="PU92" s="54"/>
      <c r="PV92" s="54"/>
      <c r="PW92" s="54"/>
      <c r="PX92" s="54"/>
      <c r="PY92" s="54"/>
      <c r="PZ92" s="54"/>
      <c r="QA92" s="54"/>
      <c r="QB92" s="54"/>
      <c r="QC92" s="54"/>
      <c r="QD92" s="54"/>
      <c r="QE92" s="54"/>
      <c r="QF92" s="54"/>
      <c r="QG92" s="54"/>
      <c r="QH92" s="54"/>
      <c r="QI92" s="54"/>
      <c r="QJ92" s="54"/>
      <c r="QK92" s="54"/>
      <c r="QL92" s="54"/>
      <c r="QM92" s="54"/>
      <c r="QN92" s="54"/>
      <c r="QO92" s="54"/>
      <c r="QP92" s="54"/>
      <c r="QQ92" s="54"/>
      <c r="QR92" s="54"/>
      <c r="QS92" s="54"/>
      <c r="QT92" s="54"/>
      <c r="QU92" s="54"/>
      <c r="QV92" s="54"/>
      <c r="QW92" s="54"/>
      <c r="QX92" s="54"/>
      <c r="QY92" s="54"/>
      <c r="QZ92" s="54"/>
      <c r="RA92" s="54"/>
      <c r="RB92" s="54"/>
      <c r="RC92" s="54"/>
      <c r="RD92" s="54"/>
      <c r="RE92" s="54"/>
      <c r="RF92" s="54"/>
      <c r="RG92" s="54"/>
      <c r="RH92" s="54"/>
      <c r="RI92" s="54"/>
      <c r="RJ92" s="54"/>
      <c r="RK92" s="54"/>
      <c r="RL92" s="54"/>
      <c r="RM92" s="54"/>
      <c r="RN92" s="54"/>
      <c r="RO92" s="54"/>
      <c r="RP92" s="54"/>
      <c r="RQ92" s="54"/>
      <c r="RR92" s="54"/>
      <c r="RS92" s="54"/>
      <c r="RT92" s="54"/>
      <c r="RU92" s="54"/>
      <c r="RV92" s="54"/>
      <c r="RW92" s="54"/>
      <c r="RX92" s="54"/>
      <c r="RY92" s="54"/>
      <c r="RZ92" s="54"/>
      <c r="SA92" s="54"/>
      <c r="SB92" s="54"/>
      <c r="SC92" s="54"/>
      <c r="SD92" s="54"/>
      <c r="SE92" s="54"/>
      <c r="SF92" s="54"/>
      <c r="SG92" s="54"/>
      <c r="SH92" s="54"/>
      <c r="SI92" s="54"/>
      <c r="SJ92" s="54"/>
      <c r="SK92" s="54"/>
      <c r="SL92" s="54"/>
      <c r="SM92" s="54"/>
      <c r="SN92" s="54"/>
      <c r="SO92" s="54"/>
      <c r="SP92" s="54"/>
      <c r="SQ92" s="54"/>
      <c r="SR92" s="54"/>
    </row>
    <row r="93" spans="1:512" ht="15" customHeight="1" x14ac:dyDescent="0.7">
      <c r="A93" s="172"/>
      <c r="B93" s="172"/>
      <c r="C93" s="172"/>
      <c r="D93" s="172"/>
      <c r="E93" s="172"/>
      <c r="F93" s="172"/>
      <c r="G93" s="175"/>
      <c r="H93" s="91"/>
      <c r="I93" s="89" t="s">
        <v>348</v>
      </c>
      <c r="J93" s="90">
        <v>17.399999999999999</v>
      </c>
      <c r="K93" s="169"/>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4"/>
      <c r="EX93" s="54"/>
      <c r="EY93" s="54"/>
      <c r="EZ93" s="54"/>
      <c r="FA93" s="54"/>
      <c r="FB93" s="54"/>
      <c r="FC93" s="54"/>
      <c r="FD93" s="54"/>
      <c r="FE93" s="54"/>
      <c r="FF93" s="54"/>
      <c r="FG93" s="54"/>
      <c r="FH93" s="54"/>
      <c r="FI93" s="54"/>
      <c r="FJ93" s="54"/>
      <c r="FK93" s="54"/>
      <c r="FL93" s="54"/>
      <c r="FM93" s="54"/>
      <c r="FN93" s="54"/>
      <c r="FO93" s="54"/>
      <c r="FP93" s="54"/>
      <c r="FQ93" s="54"/>
      <c r="FR93" s="54"/>
      <c r="FS93" s="54"/>
      <c r="FT93" s="54"/>
      <c r="FU93" s="54"/>
      <c r="FV93" s="54"/>
      <c r="FW93" s="54"/>
      <c r="FX93" s="54"/>
      <c r="FY93" s="54"/>
      <c r="FZ93" s="54"/>
      <c r="GA93" s="54"/>
      <c r="GB93" s="54"/>
      <c r="GC93" s="54"/>
      <c r="GD93" s="54"/>
      <c r="GE93" s="54"/>
      <c r="GF93" s="54"/>
      <c r="GG93" s="54"/>
      <c r="GH93" s="54"/>
      <c r="GI93" s="54"/>
      <c r="GJ93" s="54"/>
      <c r="GK93" s="54"/>
      <c r="GL93" s="54"/>
      <c r="GM93" s="54"/>
      <c r="GN93" s="54"/>
      <c r="GO93" s="54"/>
      <c r="GP93" s="54"/>
      <c r="GQ93" s="54"/>
      <c r="GR93" s="54"/>
      <c r="GS93" s="54"/>
      <c r="GT93" s="54"/>
      <c r="GU93" s="54"/>
      <c r="GV93" s="54"/>
      <c r="GW93" s="54"/>
      <c r="GX93" s="54"/>
      <c r="GY93" s="54"/>
      <c r="GZ93" s="54"/>
      <c r="HA93" s="54"/>
      <c r="HB93" s="54"/>
      <c r="HC93" s="54"/>
      <c r="HD93" s="54"/>
      <c r="HE93" s="54"/>
      <c r="HF93" s="54"/>
      <c r="HG93" s="54"/>
      <c r="HH93" s="54"/>
      <c r="HI93" s="54"/>
      <c r="HJ93" s="54"/>
      <c r="HK93" s="54"/>
      <c r="HL93" s="54"/>
      <c r="HM93" s="54"/>
      <c r="HN93" s="54"/>
      <c r="HO93" s="54"/>
      <c r="HP93" s="54"/>
      <c r="HQ93" s="54"/>
      <c r="HR93" s="54"/>
      <c r="HS93" s="54"/>
      <c r="HT93" s="54"/>
      <c r="HU93" s="54"/>
      <c r="HV93" s="54"/>
      <c r="HW93" s="54"/>
      <c r="HX93" s="54"/>
      <c r="HY93" s="54"/>
      <c r="HZ93" s="54"/>
      <c r="IA93" s="54"/>
      <c r="IB93" s="54"/>
      <c r="IC93" s="54"/>
      <c r="ID93" s="54"/>
      <c r="IE93" s="54"/>
      <c r="IF93" s="54"/>
      <c r="IG93" s="54"/>
      <c r="IH93" s="54"/>
      <c r="II93" s="54"/>
      <c r="IJ93" s="54"/>
      <c r="IK93" s="54"/>
      <c r="IL93" s="54"/>
      <c r="IM93" s="54"/>
      <c r="IN93" s="54"/>
      <c r="IO93" s="54"/>
      <c r="IP93" s="54"/>
      <c r="IQ93" s="54"/>
      <c r="IR93" s="54"/>
      <c r="IS93" s="54"/>
      <c r="IT93" s="54"/>
      <c r="IU93" s="54"/>
      <c r="IV93" s="54"/>
      <c r="IW93" s="54"/>
      <c r="IX93" s="54"/>
      <c r="IY93" s="54"/>
      <c r="IZ93" s="54"/>
      <c r="JA93" s="54"/>
      <c r="JB93" s="54"/>
      <c r="JC93" s="54"/>
      <c r="JD93" s="54"/>
      <c r="JE93" s="54"/>
      <c r="JF93" s="54"/>
      <c r="JG93" s="54"/>
      <c r="JH93" s="54"/>
      <c r="JI93" s="54"/>
      <c r="JJ93" s="54"/>
      <c r="JK93" s="54"/>
      <c r="JL93" s="54"/>
      <c r="JM93" s="54"/>
      <c r="JN93" s="54"/>
      <c r="JO93" s="54"/>
      <c r="JP93" s="54"/>
      <c r="JQ93" s="54"/>
      <c r="JR93" s="54"/>
      <c r="JS93" s="54"/>
      <c r="JT93" s="54"/>
      <c r="JU93" s="54"/>
      <c r="JV93" s="54"/>
      <c r="JW93" s="54"/>
      <c r="JX93" s="54"/>
      <c r="JY93" s="54"/>
      <c r="JZ93" s="54"/>
      <c r="KA93" s="54"/>
      <c r="KB93" s="54"/>
      <c r="KC93" s="54"/>
      <c r="KD93" s="54"/>
      <c r="KE93" s="54"/>
      <c r="KF93" s="54"/>
      <c r="KG93" s="54"/>
      <c r="KH93" s="54"/>
      <c r="KI93" s="54"/>
      <c r="KJ93" s="54"/>
      <c r="KK93" s="54"/>
      <c r="KL93" s="54"/>
      <c r="KM93" s="54"/>
      <c r="KN93" s="54"/>
      <c r="KO93" s="54"/>
      <c r="KP93" s="54"/>
      <c r="KQ93" s="54"/>
      <c r="KR93" s="54"/>
      <c r="KS93" s="54"/>
      <c r="KT93" s="54"/>
      <c r="KU93" s="54"/>
      <c r="KV93" s="54"/>
      <c r="KW93" s="54"/>
      <c r="KX93" s="54"/>
      <c r="KY93" s="54"/>
      <c r="KZ93" s="54"/>
      <c r="LA93" s="54"/>
      <c r="LB93" s="54"/>
      <c r="LC93" s="54"/>
      <c r="LD93" s="54"/>
      <c r="LE93" s="54"/>
      <c r="LF93" s="54"/>
      <c r="LG93" s="54"/>
      <c r="LH93" s="54"/>
      <c r="LI93" s="54"/>
      <c r="LJ93" s="54"/>
      <c r="LK93" s="54"/>
      <c r="LL93" s="54"/>
      <c r="LM93" s="54"/>
      <c r="LN93" s="54"/>
      <c r="LO93" s="54"/>
      <c r="LP93" s="54"/>
      <c r="LQ93" s="54"/>
      <c r="LR93" s="54"/>
      <c r="LS93" s="54"/>
      <c r="LT93" s="54"/>
      <c r="LU93" s="54"/>
      <c r="LV93" s="54"/>
      <c r="LW93" s="54"/>
      <c r="LX93" s="54"/>
      <c r="LY93" s="54"/>
      <c r="LZ93" s="54"/>
      <c r="MA93" s="54"/>
      <c r="MB93" s="54"/>
      <c r="MC93" s="54"/>
      <c r="MD93" s="54"/>
      <c r="ME93" s="54"/>
      <c r="MF93" s="54"/>
      <c r="MG93" s="54"/>
      <c r="MH93" s="54"/>
      <c r="MI93" s="54"/>
      <c r="MJ93" s="54"/>
      <c r="MK93" s="54"/>
      <c r="ML93" s="54"/>
      <c r="MM93" s="54"/>
      <c r="MN93" s="54"/>
      <c r="MO93" s="54"/>
      <c r="MP93" s="54"/>
      <c r="MQ93" s="54"/>
      <c r="MR93" s="54"/>
      <c r="MS93" s="54"/>
      <c r="MT93" s="54"/>
      <c r="MU93" s="54"/>
      <c r="MV93" s="54"/>
      <c r="MW93" s="54"/>
      <c r="MX93" s="54"/>
      <c r="MY93" s="54"/>
      <c r="MZ93" s="54"/>
      <c r="NA93" s="54"/>
      <c r="NB93" s="54"/>
      <c r="NC93" s="54"/>
      <c r="ND93" s="54"/>
      <c r="NE93" s="54"/>
      <c r="NF93" s="54"/>
      <c r="NG93" s="54"/>
      <c r="NH93" s="54"/>
      <c r="NI93" s="54"/>
      <c r="NJ93" s="54"/>
      <c r="NK93" s="54"/>
      <c r="NL93" s="54"/>
      <c r="NM93" s="54"/>
      <c r="NN93" s="54"/>
      <c r="NO93" s="54"/>
      <c r="NP93" s="54"/>
      <c r="NQ93" s="54"/>
      <c r="NR93" s="54"/>
      <c r="NS93" s="54"/>
      <c r="NT93" s="54"/>
      <c r="NU93" s="54"/>
      <c r="NV93" s="54"/>
      <c r="NW93" s="54"/>
      <c r="NX93" s="54"/>
      <c r="NY93" s="54"/>
      <c r="NZ93" s="54"/>
      <c r="OA93" s="54"/>
      <c r="OB93" s="54"/>
      <c r="OC93" s="54"/>
      <c r="OD93" s="54"/>
      <c r="OE93" s="54"/>
      <c r="OF93" s="54"/>
      <c r="OG93" s="54"/>
      <c r="OH93" s="54"/>
      <c r="OI93" s="54"/>
      <c r="OJ93" s="54"/>
      <c r="OK93" s="54"/>
      <c r="OL93" s="54"/>
      <c r="OM93" s="54"/>
      <c r="ON93" s="54"/>
      <c r="OO93" s="54"/>
      <c r="OP93" s="54"/>
      <c r="OQ93" s="54"/>
      <c r="OR93" s="54"/>
      <c r="OS93" s="54"/>
      <c r="OT93" s="54"/>
      <c r="OU93" s="54"/>
      <c r="OV93" s="54"/>
      <c r="OW93" s="54"/>
      <c r="OX93" s="54"/>
      <c r="OY93" s="54"/>
      <c r="OZ93" s="54"/>
      <c r="PA93" s="54"/>
      <c r="PB93" s="54"/>
      <c r="PC93" s="54"/>
      <c r="PD93" s="54"/>
      <c r="PE93" s="54"/>
      <c r="PF93" s="54"/>
      <c r="PG93" s="54"/>
      <c r="PH93" s="54"/>
      <c r="PI93" s="54"/>
      <c r="PJ93" s="54"/>
      <c r="PK93" s="54"/>
      <c r="PL93" s="54"/>
      <c r="PM93" s="54"/>
      <c r="PN93" s="54"/>
      <c r="PO93" s="54"/>
      <c r="PP93" s="54"/>
      <c r="PQ93" s="54"/>
      <c r="PR93" s="54"/>
      <c r="PS93" s="54"/>
      <c r="PT93" s="54"/>
      <c r="PU93" s="54"/>
      <c r="PV93" s="54"/>
      <c r="PW93" s="54"/>
      <c r="PX93" s="54"/>
      <c r="PY93" s="54"/>
      <c r="PZ93" s="54"/>
      <c r="QA93" s="54"/>
      <c r="QB93" s="54"/>
      <c r="QC93" s="54"/>
      <c r="QD93" s="54"/>
      <c r="QE93" s="54"/>
      <c r="QF93" s="54"/>
      <c r="QG93" s="54"/>
      <c r="QH93" s="54"/>
      <c r="QI93" s="54"/>
      <c r="QJ93" s="54"/>
      <c r="QK93" s="54"/>
      <c r="QL93" s="54"/>
      <c r="QM93" s="54"/>
      <c r="QN93" s="54"/>
      <c r="QO93" s="54"/>
      <c r="QP93" s="54"/>
      <c r="QQ93" s="54"/>
      <c r="QR93" s="54"/>
      <c r="QS93" s="54"/>
      <c r="QT93" s="54"/>
      <c r="QU93" s="54"/>
      <c r="QV93" s="54"/>
      <c r="QW93" s="54"/>
      <c r="QX93" s="54"/>
      <c r="QY93" s="54"/>
      <c r="QZ93" s="54"/>
      <c r="RA93" s="54"/>
      <c r="RB93" s="54"/>
      <c r="RC93" s="54"/>
      <c r="RD93" s="54"/>
      <c r="RE93" s="54"/>
      <c r="RF93" s="54"/>
      <c r="RG93" s="54"/>
      <c r="RH93" s="54"/>
      <c r="RI93" s="54"/>
      <c r="RJ93" s="54"/>
      <c r="RK93" s="54"/>
      <c r="RL93" s="54"/>
      <c r="RM93" s="54"/>
      <c r="RN93" s="54"/>
      <c r="RO93" s="54"/>
      <c r="RP93" s="54"/>
      <c r="RQ93" s="54"/>
      <c r="RR93" s="54"/>
      <c r="RS93" s="54"/>
      <c r="RT93" s="54"/>
      <c r="RU93" s="54"/>
      <c r="RV93" s="54"/>
      <c r="RW93" s="54"/>
      <c r="RX93" s="54"/>
      <c r="RY93" s="54"/>
      <c r="RZ93" s="54"/>
      <c r="SA93" s="54"/>
      <c r="SB93" s="54"/>
      <c r="SC93" s="54"/>
      <c r="SD93" s="54"/>
      <c r="SE93" s="54"/>
      <c r="SF93" s="54"/>
      <c r="SG93" s="54"/>
      <c r="SH93" s="54"/>
      <c r="SI93" s="54"/>
      <c r="SJ93" s="54"/>
      <c r="SK93" s="54"/>
      <c r="SL93" s="54"/>
      <c r="SM93" s="54"/>
      <c r="SN93" s="54"/>
      <c r="SO93" s="54"/>
      <c r="SP93" s="54"/>
      <c r="SQ93" s="54"/>
      <c r="SR93" s="54"/>
    </row>
    <row r="94" spans="1:512" s="55" customFormat="1" ht="15" customHeight="1" x14ac:dyDescent="0.7">
      <c r="A94" s="173"/>
      <c r="B94" s="173"/>
      <c r="C94" s="173"/>
      <c r="D94" s="173"/>
      <c r="E94" s="173"/>
      <c r="F94" s="173"/>
      <c r="G94" s="176"/>
      <c r="H94" s="92"/>
      <c r="I94" s="93"/>
      <c r="J94" s="94"/>
      <c r="K94" s="170"/>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c r="IX94" s="56"/>
      <c r="IY94" s="56"/>
      <c r="IZ94" s="56"/>
      <c r="JA94" s="56"/>
      <c r="JB94" s="56"/>
      <c r="JC94" s="56"/>
      <c r="JD94" s="56"/>
      <c r="JE94" s="56"/>
      <c r="JF94" s="56"/>
      <c r="JG94" s="56"/>
      <c r="JH94" s="56"/>
      <c r="JI94" s="56"/>
      <c r="JJ94" s="56"/>
      <c r="JK94" s="56"/>
      <c r="JL94" s="56"/>
      <c r="JM94" s="56"/>
      <c r="JN94" s="56"/>
      <c r="JO94" s="56"/>
      <c r="JP94" s="56"/>
      <c r="JQ94" s="56"/>
      <c r="JR94" s="56"/>
      <c r="JS94" s="56"/>
      <c r="JT94" s="56"/>
      <c r="JU94" s="56"/>
      <c r="JV94" s="56"/>
      <c r="JW94" s="56"/>
      <c r="JX94" s="56"/>
      <c r="JY94" s="56"/>
      <c r="JZ94" s="56"/>
      <c r="KA94" s="56"/>
      <c r="KB94" s="56"/>
      <c r="KC94" s="56"/>
      <c r="KD94" s="56"/>
      <c r="KE94" s="56"/>
      <c r="KF94" s="56"/>
      <c r="KG94" s="56"/>
      <c r="KH94" s="56"/>
      <c r="KI94" s="56"/>
      <c r="KJ94" s="56"/>
      <c r="KK94" s="56"/>
      <c r="KL94" s="56"/>
      <c r="KM94" s="56"/>
      <c r="KN94" s="56"/>
      <c r="KO94" s="56"/>
      <c r="KP94" s="56"/>
      <c r="KQ94" s="56"/>
      <c r="KR94" s="56"/>
      <c r="KS94" s="56"/>
      <c r="KT94" s="56"/>
      <c r="KU94" s="56"/>
      <c r="KV94" s="56"/>
      <c r="KW94" s="56"/>
      <c r="KX94" s="56"/>
      <c r="KY94" s="56"/>
      <c r="KZ94" s="56"/>
      <c r="LA94" s="56"/>
      <c r="LB94" s="56"/>
      <c r="LC94" s="56"/>
      <c r="LD94" s="56"/>
      <c r="LE94" s="56"/>
      <c r="LF94" s="56"/>
      <c r="LG94" s="56"/>
      <c r="LH94" s="56"/>
      <c r="LI94" s="56"/>
      <c r="LJ94" s="56"/>
      <c r="LK94" s="56"/>
      <c r="LL94" s="56"/>
      <c r="LM94" s="56"/>
      <c r="LN94" s="56"/>
      <c r="LO94" s="56"/>
      <c r="LP94" s="56"/>
      <c r="LQ94" s="56"/>
      <c r="LR94" s="56"/>
      <c r="LS94" s="56"/>
      <c r="LT94" s="56"/>
      <c r="LU94" s="56"/>
      <c r="LV94" s="56"/>
      <c r="LW94" s="56"/>
      <c r="LX94" s="56"/>
      <c r="LY94" s="56"/>
      <c r="LZ94" s="56"/>
      <c r="MA94" s="56"/>
      <c r="MB94" s="56"/>
      <c r="MC94" s="56"/>
      <c r="MD94" s="56"/>
      <c r="ME94" s="56"/>
      <c r="MF94" s="56"/>
      <c r="MG94" s="56"/>
      <c r="MH94" s="56"/>
      <c r="MI94" s="56"/>
      <c r="MJ94" s="56"/>
      <c r="MK94" s="56"/>
      <c r="ML94" s="56"/>
      <c r="MM94" s="56"/>
      <c r="MN94" s="56"/>
      <c r="MO94" s="56"/>
      <c r="MP94" s="56"/>
      <c r="MQ94" s="56"/>
      <c r="MR94" s="56"/>
      <c r="MS94" s="56"/>
      <c r="MT94" s="56"/>
      <c r="MU94" s="56"/>
      <c r="MV94" s="56"/>
      <c r="MW94" s="56"/>
      <c r="MX94" s="56"/>
      <c r="MY94" s="56"/>
      <c r="MZ94" s="56"/>
      <c r="NA94" s="56"/>
      <c r="NB94" s="56"/>
      <c r="NC94" s="56"/>
      <c r="ND94" s="56"/>
      <c r="NE94" s="56"/>
      <c r="NF94" s="56"/>
      <c r="NG94" s="56"/>
      <c r="NH94" s="56"/>
      <c r="NI94" s="56"/>
      <c r="NJ94" s="56"/>
      <c r="NK94" s="56"/>
      <c r="NL94" s="56"/>
      <c r="NM94" s="56"/>
      <c r="NN94" s="56"/>
      <c r="NO94" s="56"/>
      <c r="NP94" s="56"/>
      <c r="NQ94" s="56"/>
      <c r="NR94" s="56"/>
      <c r="NS94" s="56"/>
      <c r="NT94" s="56"/>
      <c r="NU94" s="56"/>
      <c r="NV94" s="56"/>
      <c r="NW94" s="56"/>
      <c r="NX94" s="56"/>
      <c r="NY94" s="56"/>
      <c r="NZ94" s="56"/>
      <c r="OA94" s="56"/>
      <c r="OB94" s="56"/>
      <c r="OC94" s="56"/>
      <c r="OD94" s="56"/>
      <c r="OE94" s="56"/>
      <c r="OF94" s="56"/>
      <c r="OG94" s="56"/>
      <c r="OH94" s="56"/>
      <c r="OI94" s="56"/>
      <c r="OJ94" s="56"/>
      <c r="OK94" s="56"/>
      <c r="OL94" s="56"/>
      <c r="OM94" s="56"/>
      <c r="ON94" s="56"/>
      <c r="OO94" s="56"/>
      <c r="OP94" s="56"/>
      <c r="OQ94" s="56"/>
      <c r="OR94" s="56"/>
      <c r="OS94" s="56"/>
      <c r="OT94" s="56"/>
      <c r="OU94" s="56"/>
      <c r="OV94" s="56"/>
      <c r="OW94" s="56"/>
      <c r="OX94" s="56"/>
      <c r="OY94" s="56"/>
      <c r="OZ94" s="56"/>
      <c r="PA94" s="56"/>
      <c r="PB94" s="56"/>
      <c r="PC94" s="56"/>
      <c r="PD94" s="56"/>
      <c r="PE94" s="56"/>
      <c r="PF94" s="56"/>
      <c r="PG94" s="56"/>
      <c r="PH94" s="56"/>
      <c r="PI94" s="56"/>
      <c r="PJ94" s="56"/>
      <c r="PK94" s="56"/>
      <c r="PL94" s="56"/>
      <c r="PM94" s="56"/>
      <c r="PN94" s="56"/>
      <c r="PO94" s="56"/>
      <c r="PP94" s="56"/>
      <c r="PQ94" s="56"/>
      <c r="PR94" s="56"/>
      <c r="PS94" s="56"/>
      <c r="PT94" s="56"/>
      <c r="PU94" s="56"/>
      <c r="PV94" s="56"/>
      <c r="PW94" s="56"/>
      <c r="PX94" s="56"/>
      <c r="PY94" s="56"/>
      <c r="PZ94" s="56"/>
      <c r="QA94" s="56"/>
      <c r="QB94" s="56"/>
      <c r="QC94" s="56"/>
      <c r="QD94" s="56"/>
      <c r="QE94" s="56"/>
      <c r="QF94" s="56"/>
      <c r="QG94" s="56"/>
      <c r="QH94" s="56"/>
      <c r="QI94" s="56"/>
      <c r="QJ94" s="56"/>
      <c r="QK94" s="56"/>
      <c r="QL94" s="56"/>
      <c r="QM94" s="56"/>
      <c r="QN94" s="56"/>
      <c r="QO94" s="56"/>
      <c r="QP94" s="56"/>
      <c r="QQ94" s="56"/>
      <c r="QR94" s="56"/>
      <c r="QS94" s="56"/>
      <c r="QT94" s="56"/>
      <c r="QU94" s="56"/>
      <c r="QV94" s="56"/>
      <c r="QW94" s="56"/>
      <c r="QX94" s="56"/>
      <c r="QY94" s="56"/>
      <c r="QZ94" s="56"/>
      <c r="RA94" s="56"/>
      <c r="RB94" s="56"/>
      <c r="RC94" s="56"/>
      <c r="RD94" s="56"/>
      <c r="RE94" s="56"/>
      <c r="RF94" s="56"/>
      <c r="RG94" s="56"/>
      <c r="RH94" s="56"/>
      <c r="RI94" s="56"/>
      <c r="RJ94" s="56"/>
      <c r="RK94" s="56"/>
      <c r="RL94" s="56"/>
      <c r="RM94" s="56"/>
      <c r="RN94" s="56"/>
      <c r="RO94" s="56"/>
      <c r="RP94" s="56"/>
      <c r="RQ94" s="56"/>
      <c r="RR94" s="56"/>
      <c r="RS94" s="56"/>
      <c r="RT94" s="56"/>
      <c r="RU94" s="56"/>
      <c r="RV94" s="56"/>
      <c r="RW94" s="56"/>
      <c r="RX94" s="56"/>
      <c r="RY94" s="56"/>
      <c r="RZ94" s="56"/>
      <c r="SA94" s="56"/>
      <c r="SB94" s="56"/>
      <c r="SC94" s="56"/>
      <c r="SD94" s="56"/>
      <c r="SE94" s="56"/>
      <c r="SF94" s="56"/>
      <c r="SG94" s="56"/>
      <c r="SH94" s="56"/>
      <c r="SI94" s="56"/>
      <c r="SJ94" s="56"/>
      <c r="SK94" s="56"/>
      <c r="SL94" s="56"/>
      <c r="SM94" s="56"/>
      <c r="SN94" s="56"/>
      <c r="SO94" s="56"/>
      <c r="SP94" s="56"/>
      <c r="SQ94" s="56"/>
      <c r="SR94" s="56"/>
    </row>
    <row r="95" spans="1:512" ht="15" customHeight="1" x14ac:dyDescent="0.7">
      <c r="A95" s="171">
        <v>29</v>
      </c>
      <c r="B95" s="171" t="s">
        <v>13</v>
      </c>
      <c r="C95" s="171" t="s">
        <v>344</v>
      </c>
      <c r="D95" s="171"/>
      <c r="E95" s="171" t="s">
        <v>332</v>
      </c>
      <c r="F95" s="171"/>
      <c r="G95" s="188" t="s">
        <v>417</v>
      </c>
      <c r="H95" s="71" t="s">
        <v>418</v>
      </c>
      <c r="I95" s="89" t="s">
        <v>347</v>
      </c>
      <c r="J95" s="90">
        <v>18.3</v>
      </c>
      <c r="K95" s="168">
        <v>18.2</v>
      </c>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4"/>
      <c r="EX95" s="54"/>
      <c r="EY95" s="54"/>
      <c r="EZ95" s="54"/>
      <c r="FA95" s="54"/>
      <c r="FB95" s="54"/>
      <c r="FC95" s="54"/>
      <c r="FD95" s="54"/>
      <c r="FE95" s="54"/>
      <c r="FF95" s="54"/>
      <c r="FG95" s="54"/>
      <c r="FH95" s="54"/>
      <c r="FI95" s="54"/>
      <c r="FJ95" s="54"/>
      <c r="FK95" s="54"/>
      <c r="FL95" s="54"/>
      <c r="FM95" s="54"/>
      <c r="FN95" s="54"/>
      <c r="FO95" s="54"/>
      <c r="FP95" s="54"/>
      <c r="FQ95" s="54"/>
      <c r="FR95" s="54"/>
      <c r="FS95" s="54"/>
      <c r="FT95" s="54"/>
      <c r="FU95" s="54"/>
      <c r="FV95" s="54"/>
      <c r="FW95" s="54"/>
      <c r="FX95" s="54"/>
      <c r="FY95" s="54"/>
      <c r="FZ95" s="54"/>
      <c r="GA95" s="54"/>
      <c r="GB95" s="54"/>
      <c r="GC95" s="54"/>
      <c r="GD95" s="54"/>
      <c r="GE95" s="54"/>
      <c r="GF95" s="54"/>
      <c r="GG95" s="54"/>
      <c r="GH95" s="54"/>
      <c r="GI95" s="54"/>
      <c r="GJ95" s="54"/>
      <c r="GK95" s="54"/>
      <c r="GL95" s="54"/>
      <c r="GM95" s="54"/>
      <c r="GN95" s="54"/>
      <c r="GO95" s="54"/>
      <c r="GP95" s="54"/>
      <c r="GQ95" s="54"/>
      <c r="GR95" s="54"/>
      <c r="GS95" s="54"/>
      <c r="GT95" s="54"/>
      <c r="GU95" s="54"/>
      <c r="GV95" s="54"/>
      <c r="GW95" s="54"/>
      <c r="GX95" s="54"/>
      <c r="GY95" s="54"/>
      <c r="GZ95" s="54"/>
      <c r="HA95" s="54"/>
      <c r="HB95" s="54"/>
      <c r="HC95" s="54"/>
      <c r="HD95" s="54"/>
      <c r="HE95" s="54"/>
      <c r="HF95" s="54"/>
      <c r="HG95" s="54"/>
      <c r="HH95" s="54"/>
      <c r="HI95" s="54"/>
      <c r="HJ95" s="54"/>
      <c r="HK95" s="54"/>
      <c r="HL95" s="54"/>
      <c r="HM95" s="54"/>
      <c r="HN95" s="54"/>
      <c r="HO95" s="54"/>
      <c r="HP95" s="54"/>
      <c r="HQ95" s="54"/>
      <c r="HR95" s="54"/>
      <c r="HS95" s="54"/>
      <c r="HT95" s="54"/>
      <c r="HU95" s="54"/>
      <c r="HV95" s="54"/>
      <c r="HW95" s="54"/>
      <c r="HX95" s="54"/>
      <c r="HY95" s="54"/>
      <c r="HZ95" s="54"/>
      <c r="IA95" s="54"/>
      <c r="IB95" s="54"/>
      <c r="IC95" s="54"/>
      <c r="ID95" s="54"/>
      <c r="IE95" s="54"/>
      <c r="IF95" s="54"/>
      <c r="IG95" s="54"/>
      <c r="IH95" s="54"/>
      <c r="II95" s="54"/>
      <c r="IJ95" s="54"/>
      <c r="IK95" s="54"/>
      <c r="IL95" s="54"/>
      <c r="IM95" s="54"/>
      <c r="IN95" s="54"/>
      <c r="IO95" s="54"/>
      <c r="IP95" s="54"/>
      <c r="IQ95" s="54"/>
      <c r="IR95" s="54"/>
      <c r="IS95" s="54"/>
      <c r="IT95" s="54"/>
      <c r="IU95" s="54"/>
      <c r="IV95" s="54"/>
      <c r="IW95" s="54"/>
      <c r="IX95" s="54"/>
      <c r="IY95" s="54"/>
      <c r="IZ95" s="54"/>
      <c r="JA95" s="54"/>
      <c r="JB95" s="54"/>
      <c r="JC95" s="54"/>
      <c r="JD95" s="54"/>
      <c r="JE95" s="54"/>
      <c r="JF95" s="54"/>
      <c r="JG95" s="54"/>
      <c r="JH95" s="54"/>
      <c r="JI95" s="54"/>
      <c r="JJ95" s="54"/>
      <c r="JK95" s="54"/>
      <c r="JL95" s="54"/>
      <c r="JM95" s="54"/>
      <c r="JN95" s="54"/>
      <c r="JO95" s="54"/>
      <c r="JP95" s="54"/>
      <c r="JQ95" s="54"/>
      <c r="JR95" s="54"/>
      <c r="JS95" s="54"/>
      <c r="JT95" s="54"/>
      <c r="JU95" s="54"/>
      <c r="JV95" s="54"/>
      <c r="JW95" s="54"/>
      <c r="JX95" s="54"/>
      <c r="JY95" s="54"/>
      <c r="JZ95" s="54"/>
      <c r="KA95" s="54"/>
      <c r="KB95" s="54"/>
      <c r="KC95" s="54"/>
      <c r="KD95" s="54"/>
      <c r="KE95" s="54"/>
      <c r="KF95" s="54"/>
      <c r="KG95" s="54"/>
      <c r="KH95" s="54"/>
      <c r="KI95" s="54"/>
      <c r="KJ95" s="54"/>
      <c r="KK95" s="54"/>
      <c r="KL95" s="54"/>
      <c r="KM95" s="54"/>
      <c r="KN95" s="54"/>
      <c r="KO95" s="54"/>
      <c r="KP95" s="54"/>
      <c r="KQ95" s="54"/>
      <c r="KR95" s="54"/>
      <c r="KS95" s="54"/>
      <c r="KT95" s="54"/>
      <c r="KU95" s="54"/>
      <c r="KV95" s="54"/>
      <c r="KW95" s="54"/>
      <c r="KX95" s="54"/>
      <c r="KY95" s="54"/>
      <c r="KZ95" s="54"/>
      <c r="LA95" s="54"/>
      <c r="LB95" s="54"/>
      <c r="LC95" s="54"/>
      <c r="LD95" s="54"/>
      <c r="LE95" s="54"/>
      <c r="LF95" s="54"/>
      <c r="LG95" s="54"/>
      <c r="LH95" s="54"/>
      <c r="LI95" s="54"/>
      <c r="LJ95" s="54"/>
      <c r="LK95" s="54"/>
      <c r="LL95" s="54"/>
      <c r="LM95" s="54"/>
      <c r="LN95" s="54"/>
      <c r="LO95" s="54"/>
      <c r="LP95" s="54"/>
      <c r="LQ95" s="54"/>
      <c r="LR95" s="54"/>
      <c r="LS95" s="54"/>
      <c r="LT95" s="54"/>
      <c r="LU95" s="54"/>
      <c r="LV95" s="54"/>
      <c r="LW95" s="54"/>
      <c r="LX95" s="54"/>
      <c r="LY95" s="54"/>
      <c r="LZ95" s="54"/>
      <c r="MA95" s="54"/>
      <c r="MB95" s="54"/>
      <c r="MC95" s="54"/>
      <c r="MD95" s="54"/>
      <c r="ME95" s="54"/>
      <c r="MF95" s="54"/>
      <c r="MG95" s="54"/>
      <c r="MH95" s="54"/>
      <c r="MI95" s="54"/>
      <c r="MJ95" s="54"/>
      <c r="MK95" s="54"/>
      <c r="ML95" s="54"/>
      <c r="MM95" s="54"/>
      <c r="MN95" s="54"/>
      <c r="MO95" s="54"/>
      <c r="MP95" s="54"/>
      <c r="MQ95" s="54"/>
      <c r="MR95" s="54"/>
      <c r="MS95" s="54"/>
      <c r="MT95" s="54"/>
      <c r="MU95" s="54"/>
      <c r="MV95" s="54"/>
      <c r="MW95" s="54"/>
      <c r="MX95" s="54"/>
      <c r="MY95" s="54"/>
      <c r="MZ95" s="54"/>
      <c r="NA95" s="54"/>
      <c r="NB95" s="54"/>
      <c r="NC95" s="54"/>
      <c r="ND95" s="54"/>
      <c r="NE95" s="54"/>
      <c r="NF95" s="54"/>
      <c r="NG95" s="54"/>
      <c r="NH95" s="54"/>
      <c r="NI95" s="54"/>
      <c r="NJ95" s="54"/>
      <c r="NK95" s="54"/>
      <c r="NL95" s="54"/>
      <c r="NM95" s="54"/>
      <c r="NN95" s="54"/>
      <c r="NO95" s="54"/>
      <c r="NP95" s="54"/>
      <c r="NQ95" s="54"/>
      <c r="NR95" s="54"/>
      <c r="NS95" s="54"/>
      <c r="NT95" s="54"/>
      <c r="NU95" s="54"/>
      <c r="NV95" s="54"/>
      <c r="NW95" s="54"/>
      <c r="NX95" s="54"/>
      <c r="NY95" s="54"/>
      <c r="NZ95" s="54"/>
      <c r="OA95" s="54"/>
      <c r="OB95" s="54"/>
      <c r="OC95" s="54"/>
      <c r="OD95" s="54"/>
      <c r="OE95" s="54"/>
      <c r="OF95" s="54"/>
      <c r="OG95" s="54"/>
      <c r="OH95" s="54"/>
      <c r="OI95" s="54"/>
      <c r="OJ95" s="54"/>
      <c r="OK95" s="54"/>
      <c r="OL95" s="54"/>
      <c r="OM95" s="54"/>
      <c r="ON95" s="54"/>
      <c r="OO95" s="54"/>
      <c r="OP95" s="54"/>
      <c r="OQ95" s="54"/>
      <c r="OR95" s="54"/>
      <c r="OS95" s="54"/>
      <c r="OT95" s="54"/>
      <c r="OU95" s="54"/>
      <c r="OV95" s="54"/>
      <c r="OW95" s="54"/>
      <c r="OX95" s="54"/>
      <c r="OY95" s="54"/>
      <c r="OZ95" s="54"/>
      <c r="PA95" s="54"/>
      <c r="PB95" s="54"/>
      <c r="PC95" s="54"/>
      <c r="PD95" s="54"/>
      <c r="PE95" s="54"/>
      <c r="PF95" s="54"/>
      <c r="PG95" s="54"/>
      <c r="PH95" s="54"/>
      <c r="PI95" s="54"/>
      <c r="PJ95" s="54"/>
      <c r="PK95" s="54"/>
      <c r="PL95" s="54"/>
      <c r="PM95" s="54"/>
      <c r="PN95" s="54"/>
      <c r="PO95" s="54"/>
      <c r="PP95" s="54"/>
      <c r="PQ95" s="54"/>
      <c r="PR95" s="54"/>
      <c r="PS95" s="54"/>
      <c r="PT95" s="54"/>
      <c r="PU95" s="54"/>
      <c r="PV95" s="54"/>
      <c r="PW95" s="54"/>
      <c r="PX95" s="54"/>
      <c r="PY95" s="54"/>
      <c r="PZ95" s="54"/>
      <c r="QA95" s="54"/>
      <c r="QB95" s="54"/>
      <c r="QC95" s="54"/>
      <c r="QD95" s="54"/>
      <c r="QE95" s="54"/>
      <c r="QF95" s="54"/>
      <c r="QG95" s="54"/>
      <c r="QH95" s="54"/>
      <c r="QI95" s="54"/>
      <c r="QJ95" s="54"/>
      <c r="QK95" s="54"/>
      <c r="QL95" s="54"/>
      <c r="QM95" s="54"/>
      <c r="QN95" s="54"/>
      <c r="QO95" s="54"/>
      <c r="QP95" s="54"/>
      <c r="QQ95" s="54"/>
      <c r="QR95" s="54"/>
      <c r="QS95" s="54"/>
      <c r="QT95" s="54"/>
      <c r="QU95" s="54"/>
      <c r="QV95" s="54"/>
      <c r="QW95" s="54"/>
      <c r="QX95" s="54"/>
      <c r="QY95" s="54"/>
      <c r="QZ95" s="54"/>
      <c r="RA95" s="54"/>
      <c r="RB95" s="54"/>
      <c r="RC95" s="54"/>
      <c r="RD95" s="54"/>
      <c r="RE95" s="54"/>
      <c r="RF95" s="54"/>
      <c r="RG95" s="54"/>
      <c r="RH95" s="54"/>
      <c r="RI95" s="54"/>
      <c r="RJ95" s="54"/>
      <c r="RK95" s="54"/>
      <c r="RL95" s="54"/>
      <c r="RM95" s="54"/>
      <c r="RN95" s="54"/>
      <c r="RO95" s="54"/>
      <c r="RP95" s="54"/>
      <c r="RQ95" s="54"/>
      <c r="RR95" s="54"/>
      <c r="RS95" s="54"/>
      <c r="RT95" s="54"/>
      <c r="RU95" s="54"/>
      <c r="RV95" s="54"/>
      <c r="RW95" s="54"/>
      <c r="RX95" s="54"/>
      <c r="RY95" s="54"/>
      <c r="RZ95" s="54"/>
      <c r="SA95" s="54"/>
      <c r="SB95" s="54"/>
      <c r="SC95" s="54"/>
      <c r="SD95" s="54"/>
      <c r="SE95" s="54"/>
      <c r="SF95" s="54"/>
      <c r="SG95" s="54"/>
      <c r="SH95" s="54"/>
      <c r="SI95" s="54"/>
      <c r="SJ95" s="54"/>
      <c r="SK95" s="54"/>
      <c r="SL95" s="54"/>
      <c r="SM95" s="54"/>
      <c r="SN95" s="54"/>
      <c r="SO95" s="54"/>
      <c r="SP95" s="54"/>
      <c r="SQ95" s="54"/>
      <c r="SR95" s="54"/>
    </row>
    <row r="96" spans="1:512" ht="15" customHeight="1" x14ac:dyDescent="0.7">
      <c r="A96" s="172"/>
      <c r="B96" s="172"/>
      <c r="C96" s="172"/>
      <c r="D96" s="172"/>
      <c r="E96" s="172"/>
      <c r="F96" s="172"/>
      <c r="G96" s="172"/>
      <c r="I96" s="89" t="s">
        <v>348</v>
      </c>
      <c r="J96" s="90">
        <v>18.099999999999998</v>
      </c>
      <c r="K96" s="169"/>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4"/>
      <c r="EX96" s="54"/>
      <c r="EY96" s="54"/>
      <c r="EZ96" s="54"/>
      <c r="FA96" s="54"/>
      <c r="FB96" s="54"/>
      <c r="FC96" s="54"/>
      <c r="FD96" s="54"/>
      <c r="FE96" s="54"/>
      <c r="FF96" s="54"/>
      <c r="FG96" s="54"/>
      <c r="FH96" s="54"/>
      <c r="FI96" s="54"/>
      <c r="FJ96" s="54"/>
      <c r="FK96" s="54"/>
      <c r="FL96" s="54"/>
      <c r="FM96" s="54"/>
      <c r="FN96" s="54"/>
      <c r="FO96" s="54"/>
      <c r="FP96" s="54"/>
      <c r="FQ96" s="54"/>
      <c r="FR96" s="54"/>
      <c r="FS96" s="54"/>
      <c r="FT96" s="54"/>
      <c r="FU96" s="54"/>
      <c r="FV96" s="54"/>
      <c r="FW96" s="54"/>
      <c r="FX96" s="54"/>
      <c r="FY96" s="54"/>
      <c r="FZ96" s="54"/>
      <c r="GA96" s="54"/>
      <c r="GB96" s="54"/>
      <c r="GC96" s="54"/>
      <c r="GD96" s="54"/>
      <c r="GE96" s="54"/>
      <c r="GF96" s="54"/>
      <c r="GG96" s="54"/>
      <c r="GH96" s="54"/>
      <c r="GI96" s="54"/>
      <c r="GJ96" s="54"/>
      <c r="GK96" s="54"/>
      <c r="GL96" s="54"/>
      <c r="GM96" s="54"/>
      <c r="GN96" s="54"/>
      <c r="GO96" s="54"/>
      <c r="GP96" s="54"/>
      <c r="GQ96" s="54"/>
      <c r="GR96" s="54"/>
      <c r="GS96" s="54"/>
      <c r="GT96" s="54"/>
      <c r="GU96" s="54"/>
      <c r="GV96" s="54"/>
      <c r="GW96" s="54"/>
      <c r="GX96" s="54"/>
      <c r="GY96" s="54"/>
      <c r="GZ96" s="54"/>
      <c r="HA96" s="54"/>
      <c r="HB96" s="54"/>
      <c r="HC96" s="54"/>
      <c r="HD96" s="54"/>
      <c r="HE96" s="54"/>
      <c r="HF96" s="54"/>
      <c r="HG96" s="54"/>
      <c r="HH96" s="54"/>
      <c r="HI96" s="54"/>
      <c r="HJ96" s="54"/>
      <c r="HK96" s="54"/>
      <c r="HL96" s="54"/>
      <c r="HM96" s="54"/>
      <c r="HN96" s="54"/>
      <c r="HO96" s="54"/>
      <c r="HP96" s="54"/>
      <c r="HQ96" s="54"/>
      <c r="HR96" s="54"/>
      <c r="HS96" s="54"/>
      <c r="HT96" s="54"/>
      <c r="HU96" s="54"/>
      <c r="HV96" s="54"/>
      <c r="HW96" s="54"/>
      <c r="HX96" s="54"/>
      <c r="HY96" s="54"/>
      <c r="HZ96" s="54"/>
      <c r="IA96" s="54"/>
      <c r="IB96" s="54"/>
      <c r="IC96" s="54"/>
      <c r="ID96" s="54"/>
      <c r="IE96" s="54"/>
      <c r="IF96" s="54"/>
      <c r="IG96" s="54"/>
      <c r="IH96" s="54"/>
      <c r="II96" s="54"/>
      <c r="IJ96" s="54"/>
      <c r="IK96" s="54"/>
      <c r="IL96" s="54"/>
      <c r="IM96" s="54"/>
      <c r="IN96" s="54"/>
      <c r="IO96" s="54"/>
      <c r="IP96" s="54"/>
      <c r="IQ96" s="54"/>
      <c r="IR96" s="54"/>
      <c r="IS96" s="54"/>
      <c r="IT96" s="54"/>
      <c r="IU96" s="54"/>
      <c r="IV96" s="54"/>
      <c r="IW96" s="54"/>
      <c r="IX96" s="54"/>
      <c r="IY96" s="54"/>
      <c r="IZ96" s="54"/>
      <c r="JA96" s="54"/>
      <c r="JB96" s="54"/>
      <c r="JC96" s="54"/>
      <c r="JD96" s="54"/>
      <c r="JE96" s="54"/>
      <c r="JF96" s="54"/>
      <c r="JG96" s="54"/>
      <c r="JH96" s="54"/>
      <c r="JI96" s="54"/>
      <c r="JJ96" s="54"/>
      <c r="JK96" s="54"/>
      <c r="JL96" s="54"/>
      <c r="JM96" s="54"/>
      <c r="JN96" s="54"/>
      <c r="JO96" s="54"/>
      <c r="JP96" s="54"/>
      <c r="JQ96" s="54"/>
      <c r="JR96" s="54"/>
      <c r="JS96" s="54"/>
      <c r="JT96" s="54"/>
      <c r="JU96" s="54"/>
      <c r="JV96" s="54"/>
      <c r="JW96" s="54"/>
      <c r="JX96" s="54"/>
      <c r="JY96" s="54"/>
      <c r="JZ96" s="54"/>
      <c r="KA96" s="54"/>
      <c r="KB96" s="54"/>
      <c r="KC96" s="54"/>
      <c r="KD96" s="54"/>
      <c r="KE96" s="54"/>
      <c r="KF96" s="54"/>
      <c r="KG96" s="54"/>
      <c r="KH96" s="54"/>
      <c r="KI96" s="54"/>
      <c r="KJ96" s="54"/>
      <c r="KK96" s="54"/>
      <c r="KL96" s="54"/>
      <c r="KM96" s="54"/>
      <c r="KN96" s="54"/>
      <c r="KO96" s="54"/>
      <c r="KP96" s="54"/>
      <c r="KQ96" s="54"/>
      <c r="KR96" s="54"/>
      <c r="KS96" s="54"/>
      <c r="KT96" s="54"/>
      <c r="KU96" s="54"/>
      <c r="KV96" s="54"/>
      <c r="KW96" s="54"/>
      <c r="KX96" s="54"/>
      <c r="KY96" s="54"/>
      <c r="KZ96" s="54"/>
      <c r="LA96" s="54"/>
      <c r="LB96" s="54"/>
      <c r="LC96" s="54"/>
      <c r="LD96" s="54"/>
      <c r="LE96" s="54"/>
      <c r="LF96" s="54"/>
      <c r="LG96" s="54"/>
      <c r="LH96" s="54"/>
      <c r="LI96" s="54"/>
      <c r="LJ96" s="54"/>
      <c r="LK96" s="54"/>
      <c r="LL96" s="54"/>
      <c r="LM96" s="54"/>
      <c r="LN96" s="54"/>
      <c r="LO96" s="54"/>
      <c r="LP96" s="54"/>
      <c r="LQ96" s="54"/>
      <c r="LR96" s="54"/>
      <c r="LS96" s="54"/>
      <c r="LT96" s="54"/>
      <c r="LU96" s="54"/>
      <c r="LV96" s="54"/>
      <c r="LW96" s="54"/>
      <c r="LX96" s="54"/>
      <c r="LY96" s="54"/>
      <c r="LZ96" s="54"/>
      <c r="MA96" s="54"/>
      <c r="MB96" s="54"/>
      <c r="MC96" s="54"/>
      <c r="MD96" s="54"/>
      <c r="ME96" s="54"/>
      <c r="MF96" s="54"/>
      <c r="MG96" s="54"/>
      <c r="MH96" s="54"/>
      <c r="MI96" s="54"/>
      <c r="MJ96" s="54"/>
      <c r="MK96" s="54"/>
      <c r="ML96" s="54"/>
      <c r="MM96" s="54"/>
      <c r="MN96" s="54"/>
      <c r="MO96" s="54"/>
      <c r="MP96" s="54"/>
      <c r="MQ96" s="54"/>
      <c r="MR96" s="54"/>
      <c r="MS96" s="54"/>
      <c r="MT96" s="54"/>
      <c r="MU96" s="54"/>
      <c r="MV96" s="54"/>
      <c r="MW96" s="54"/>
      <c r="MX96" s="54"/>
      <c r="MY96" s="54"/>
      <c r="MZ96" s="54"/>
      <c r="NA96" s="54"/>
      <c r="NB96" s="54"/>
      <c r="NC96" s="54"/>
      <c r="ND96" s="54"/>
      <c r="NE96" s="54"/>
      <c r="NF96" s="54"/>
      <c r="NG96" s="54"/>
      <c r="NH96" s="54"/>
      <c r="NI96" s="54"/>
      <c r="NJ96" s="54"/>
      <c r="NK96" s="54"/>
      <c r="NL96" s="54"/>
      <c r="NM96" s="54"/>
      <c r="NN96" s="54"/>
      <c r="NO96" s="54"/>
      <c r="NP96" s="54"/>
      <c r="NQ96" s="54"/>
      <c r="NR96" s="54"/>
      <c r="NS96" s="54"/>
      <c r="NT96" s="54"/>
      <c r="NU96" s="54"/>
      <c r="NV96" s="54"/>
      <c r="NW96" s="54"/>
      <c r="NX96" s="54"/>
      <c r="NY96" s="54"/>
      <c r="NZ96" s="54"/>
      <c r="OA96" s="54"/>
      <c r="OB96" s="54"/>
      <c r="OC96" s="54"/>
      <c r="OD96" s="54"/>
      <c r="OE96" s="54"/>
      <c r="OF96" s="54"/>
      <c r="OG96" s="54"/>
      <c r="OH96" s="54"/>
      <c r="OI96" s="54"/>
      <c r="OJ96" s="54"/>
      <c r="OK96" s="54"/>
      <c r="OL96" s="54"/>
      <c r="OM96" s="54"/>
      <c r="ON96" s="54"/>
      <c r="OO96" s="54"/>
      <c r="OP96" s="54"/>
      <c r="OQ96" s="54"/>
      <c r="OR96" s="54"/>
      <c r="OS96" s="54"/>
      <c r="OT96" s="54"/>
      <c r="OU96" s="54"/>
      <c r="OV96" s="54"/>
      <c r="OW96" s="54"/>
      <c r="OX96" s="54"/>
      <c r="OY96" s="54"/>
      <c r="OZ96" s="54"/>
      <c r="PA96" s="54"/>
      <c r="PB96" s="54"/>
      <c r="PC96" s="54"/>
      <c r="PD96" s="54"/>
      <c r="PE96" s="54"/>
      <c r="PF96" s="54"/>
      <c r="PG96" s="54"/>
      <c r="PH96" s="54"/>
      <c r="PI96" s="54"/>
      <c r="PJ96" s="54"/>
      <c r="PK96" s="54"/>
      <c r="PL96" s="54"/>
      <c r="PM96" s="54"/>
      <c r="PN96" s="54"/>
      <c r="PO96" s="54"/>
      <c r="PP96" s="54"/>
      <c r="PQ96" s="54"/>
      <c r="PR96" s="54"/>
      <c r="PS96" s="54"/>
      <c r="PT96" s="54"/>
      <c r="PU96" s="54"/>
      <c r="PV96" s="54"/>
      <c r="PW96" s="54"/>
      <c r="PX96" s="54"/>
      <c r="PY96" s="54"/>
      <c r="PZ96" s="54"/>
      <c r="QA96" s="54"/>
      <c r="QB96" s="54"/>
      <c r="QC96" s="54"/>
      <c r="QD96" s="54"/>
      <c r="QE96" s="54"/>
      <c r="QF96" s="54"/>
      <c r="QG96" s="54"/>
      <c r="QH96" s="54"/>
      <c r="QI96" s="54"/>
      <c r="QJ96" s="54"/>
      <c r="QK96" s="54"/>
      <c r="QL96" s="54"/>
      <c r="QM96" s="54"/>
      <c r="QN96" s="54"/>
      <c r="QO96" s="54"/>
      <c r="QP96" s="54"/>
      <c r="QQ96" s="54"/>
      <c r="QR96" s="54"/>
      <c r="QS96" s="54"/>
      <c r="QT96" s="54"/>
      <c r="QU96" s="54"/>
      <c r="QV96" s="54"/>
      <c r="QW96" s="54"/>
      <c r="QX96" s="54"/>
      <c r="QY96" s="54"/>
      <c r="QZ96" s="54"/>
      <c r="RA96" s="54"/>
      <c r="RB96" s="54"/>
      <c r="RC96" s="54"/>
      <c r="RD96" s="54"/>
      <c r="RE96" s="54"/>
      <c r="RF96" s="54"/>
      <c r="RG96" s="54"/>
      <c r="RH96" s="54"/>
      <c r="RI96" s="54"/>
      <c r="RJ96" s="54"/>
      <c r="RK96" s="54"/>
      <c r="RL96" s="54"/>
      <c r="RM96" s="54"/>
      <c r="RN96" s="54"/>
      <c r="RO96" s="54"/>
      <c r="RP96" s="54"/>
      <c r="RQ96" s="54"/>
      <c r="RR96" s="54"/>
      <c r="RS96" s="54"/>
      <c r="RT96" s="54"/>
      <c r="RU96" s="54"/>
      <c r="RV96" s="54"/>
      <c r="RW96" s="54"/>
      <c r="RX96" s="54"/>
      <c r="RY96" s="54"/>
      <c r="RZ96" s="54"/>
      <c r="SA96" s="54"/>
      <c r="SB96" s="54"/>
      <c r="SC96" s="54"/>
      <c r="SD96" s="54"/>
      <c r="SE96" s="54"/>
      <c r="SF96" s="54"/>
      <c r="SG96" s="54"/>
      <c r="SH96" s="54"/>
      <c r="SI96" s="54"/>
      <c r="SJ96" s="54"/>
      <c r="SK96" s="54"/>
      <c r="SL96" s="54"/>
      <c r="SM96" s="54"/>
      <c r="SN96" s="54"/>
      <c r="SO96" s="54"/>
      <c r="SP96" s="54"/>
      <c r="SQ96" s="54"/>
      <c r="SR96" s="54"/>
    </row>
    <row r="97" spans="1:512" s="55" customFormat="1" ht="15" customHeight="1" x14ac:dyDescent="0.7">
      <c r="A97" s="173"/>
      <c r="B97" s="173"/>
      <c r="C97" s="173"/>
      <c r="D97" s="173"/>
      <c r="E97" s="173"/>
      <c r="F97" s="173"/>
      <c r="G97" s="173"/>
      <c r="H97" s="74"/>
      <c r="I97" s="93"/>
      <c r="J97" s="94"/>
      <c r="K97" s="170"/>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c r="IX97" s="56"/>
      <c r="IY97" s="56"/>
      <c r="IZ97" s="56"/>
      <c r="JA97" s="56"/>
      <c r="JB97" s="56"/>
      <c r="JC97" s="56"/>
      <c r="JD97" s="56"/>
      <c r="JE97" s="56"/>
      <c r="JF97" s="56"/>
      <c r="JG97" s="56"/>
      <c r="JH97" s="56"/>
      <c r="JI97" s="56"/>
      <c r="JJ97" s="56"/>
      <c r="JK97" s="56"/>
      <c r="JL97" s="56"/>
      <c r="JM97" s="56"/>
      <c r="JN97" s="56"/>
      <c r="JO97" s="56"/>
      <c r="JP97" s="56"/>
      <c r="JQ97" s="56"/>
      <c r="JR97" s="56"/>
      <c r="JS97" s="56"/>
      <c r="JT97" s="56"/>
      <c r="JU97" s="56"/>
      <c r="JV97" s="56"/>
      <c r="JW97" s="56"/>
      <c r="JX97" s="56"/>
      <c r="JY97" s="56"/>
      <c r="JZ97" s="56"/>
      <c r="KA97" s="56"/>
      <c r="KB97" s="56"/>
      <c r="KC97" s="56"/>
      <c r="KD97" s="56"/>
      <c r="KE97" s="56"/>
      <c r="KF97" s="56"/>
      <c r="KG97" s="56"/>
      <c r="KH97" s="56"/>
      <c r="KI97" s="56"/>
      <c r="KJ97" s="56"/>
      <c r="KK97" s="56"/>
      <c r="KL97" s="56"/>
      <c r="KM97" s="56"/>
      <c r="KN97" s="56"/>
      <c r="KO97" s="56"/>
      <c r="KP97" s="56"/>
      <c r="KQ97" s="56"/>
      <c r="KR97" s="56"/>
      <c r="KS97" s="56"/>
      <c r="KT97" s="56"/>
      <c r="KU97" s="56"/>
      <c r="KV97" s="56"/>
      <c r="KW97" s="56"/>
      <c r="KX97" s="56"/>
      <c r="KY97" s="56"/>
      <c r="KZ97" s="56"/>
      <c r="LA97" s="56"/>
      <c r="LB97" s="56"/>
      <c r="LC97" s="56"/>
      <c r="LD97" s="56"/>
      <c r="LE97" s="56"/>
      <c r="LF97" s="56"/>
      <c r="LG97" s="56"/>
      <c r="LH97" s="56"/>
      <c r="LI97" s="56"/>
      <c r="LJ97" s="56"/>
      <c r="LK97" s="56"/>
      <c r="LL97" s="56"/>
      <c r="LM97" s="56"/>
      <c r="LN97" s="56"/>
      <c r="LO97" s="56"/>
      <c r="LP97" s="56"/>
      <c r="LQ97" s="56"/>
      <c r="LR97" s="56"/>
      <c r="LS97" s="56"/>
      <c r="LT97" s="56"/>
      <c r="LU97" s="56"/>
      <c r="LV97" s="56"/>
      <c r="LW97" s="56"/>
      <c r="LX97" s="56"/>
      <c r="LY97" s="56"/>
      <c r="LZ97" s="56"/>
      <c r="MA97" s="56"/>
      <c r="MB97" s="56"/>
      <c r="MC97" s="56"/>
      <c r="MD97" s="56"/>
      <c r="ME97" s="56"/>
      <c r="MF97" s="56"/>
      <c r="MG97" s="56"/>
      <c r="MH97" s="56"/>
      <c r="MI97" s="56"/>
      <c r="MJ97" s="56"/>
      <c r="MK97" s="56"/>
      <c r="ML97" s="56"/>
      <c r="MM97" s="56"/>
      <c r="MN97" s="56"/>
      <c r="MO97" s="56"/>
      <c r="MP97" s="56"/>
      <c r="MQ97" s="56"/>
      <c r="MR97" s="56"/>
      <c r="MS97" s="56"/>
      <c r="MT97" s="56"/>
      <c r="MU97" s="56"/>
      <c r="MV97" s="56"/>
      <c r="MW97" s="56"/>
      <c r="MX97" s="56"/>
      <c r="MY97" s="56"/>
      <c r="MZ97" s="56"/>
      <c r="NA97" s="56"/>
      <c r="NB97" s="56"/>
      <c r="NC97" s="56"/>
      <c r="ND97" s="56"/>
      <c r="NE97" s="56"/>
      <c r="NF97" s="56"/>
      <c r="NG97" s="56"/>
      <c r="NH97" s="56"/>
      <c r="NI97" s="56"/>
      <c r="NJ97" s="56"/>
      <c r="NK97" s="56"/>
      <c r="NL97" s="56"/>
      <c r="NM97" s="56"/>
      <c r="NN97" s="56"/>
      <c r="NO97" s="56"/>
      <c r="NP97" s="56"/>
      <c r="NQ97" s="56"/>
      <c r="NR97" s="56"/>
      <c r="NS97" s="56"/>
      <c r="NT97" s="56"/>
      <c r="NU97" s="56"/>
      <c r="NV97" s="56"/>
      <c r="NW97" s="56"/>
      <c r="NX97" s="56"/>
      <c r="NY97" s="56"/>
      <c r="NZ97" s="56"/>
      <c r="OA97" s="56"/>
      <c r="OB97" s="56"/>
      <c r="OC97" s="56"/>
      <c r="OD97" s="56"/>
      <c r="OE97" s="56"/>
      <c r="OF97" s="56"/>
      <c r="OG97" s="56"/>
      <c r="OH97" s="56"/>
      <c r="OI97" s="56"/>
      <c r="OJ97" s="56"/>
      <c r="OK97" s="56"/>
      <c r="OL97" s="56"/>
      <c r="OM97" s="56"/>
      <c r="ON97" s="56"/>
      <c r="OO97" s="56"/>
      <c r="OP97" s="56"/>
      <c r="OQ97" s="56"/>
      <c r="OR97" s="56"/>
      <c r="OS97" s="56"/>
      <c r="OT97" s="56"/>
      <c r="OU97" s="56"/>
      <c r="OV97" s="56"/>
      <c r="OW97" s="56"/>
      <c r="OX97" s="56"/>
      <c r="OY97" s="56"/>
      <c r="OZ97" s="56"/>
      <c r="PA97" s="56"/>
      <c r="PB97" s="56"/>
      <c r="PC97" s="56"/>
      <c r="PD97" s="56"/>
      <c r="PE97" s="56"/>
      <c r="PF97" s="56"/>
      <c r="PG97" s="56"/>
      <c r="PH97" s="56"/>
      <c r="PI97" s="56"/>
      <c r="PJ97" s="56"/>
      <c r="PK97" s="56"/>
      <c r="PL97" s="56"/>
      <c r="PM97" s="56"/>
      <c r="PN97" s="56"/>
      <c r="PO97" s="56"/>
      <c r="PP97" s="56"/>
      <c r="PQ97" s="56"/>
      <c r="PR97" s="56"/>
      <c r="PS97" s="56"/>
      <c r="PT97" s="56"/>
      <c r="PU97" s="56"/>
      <c r="PV97" s="56"/>
      <c r="PW97" s="56"/>
      <c r="PX97" s="56"/>
      <c r="PY97" s="56"/>
      <c r="PZ97" s="56"/>
      <c r="QA97" s="56"/>
      <c r="QB97" s="56"/>
      <c r="QC97" s="56"/>
      <c r="QD97" s="56"/>
      <c r="QE97" s="56"/>
      <c r="QF97" s="56"/>
      <c r="QG97" s="56"/>
      <c r="QH97" s="56"/>
      <c r="QI97" s="56"/>
      <c r="QJ97" s="56"/>
      <c r="QK97" s="56"/>
      <c r="QL97" s="56"/>
      <c r="QM97" s="56"/>
      <c r="QN97" s="56"/>
      <c r="QO97" s="56"/>
      <c r="QP97" s="56"/>
      <c r="QQ97" s="56"/>
      <c r="QR97" s="56"/>
      <c r="QS97" s="56"/>
      <c r="QT97" s="56"/>
      <c r="QU97" s="56"/>
      <c r="QV97" s="56"/>
      <c r="QW97" s="56"/>
      <c r="QX97" s="56"/>
      <c r="QY97" s="56"/>
      <c r="QZ97" s="56"/>
      <c r="RA97" s="56"/>
      <c r="RB97" s="56"/>
      <c r="RC97" s="56"/>
      <c r="RD97" s="56"/>
      <c r="RE97" s="56"/>
      <c r="RF97" s="56"/>
      <c r="RG97" s="56"/>
      <c r="RH97" s="56"/>
      <c r="RI97" s="56"/>
      <c r="RJ97" s="56"/>
      <c r="RK97" s="56"/>
      <c r="RL97" s="56"/>
      <c r="RM97" s="56"/>
      <c r="RN97" s="56"/>
      <c r="RO97" s="56"/>
      <c r="RP97" s="56"/>
      <c r="RQ97" s="56"/>
      <c r="RR97" s="56"/>
      <c r="RS97" s="56"/>
      <c r="RT97" s="56"/>
      <c r="RU97" s="56"/>
      <c r="RV97" s="56"/>
      <c r="RW97" s="56"/>
      <c r="RX97" s="56"/>
      <c r="RY97" s="56"/>
      <c r="RZ97" s="56"/>
      <c r="SA97" s="56"/>
      <c r="SB97" s="56"/>
      <c r="SC97" s="56"/>
      <c r="SD97" s="56"/>
      <c r="SE97" s="56"/>
      <c r="SF97" s="56"/>
      <c r="SG97" s="56"/>
      <c r="SH97" s="56"/>
      <c r="SI97" s="56"/>
      <c r="SJ97" s="56"/>
      <c r="SK97" s="56"/>
      <c r="SL97" s="56"/>
      <c r="SM97" s="56"/>
      <c r="SN97" s="56"/>
      <c r="SO97" s="56"/>
      <c r="SP97" s="56"/>
      <c r="SQ97" s="56"/>
      <c r="SR97" s="56"/>
    </row>
    <row r="98" spans="1:512" ht="15" customHeight="1" x14ac:dyDescent="0.7">
      <c r="A98" s="171">
        <v>30</v>
      </c>
      <c r="B98" s="171" t="s">
        <v>13</v>
      </c>
      <c r="C98" s="171" t="s">
        <v>419</v>
      </c>
      <c r="D98" s="171"/>
      <c r="E98" s="171" t="s">
        <v>332</v>
      </c>
      <c r="F98" s="171"/>
      <c r="G98" s="188" t="s">
        <v>420</v>
      </c>
      <c r="H98" s="71" t="s">
        <v>421</v>
      </c>
      <c r="I98" s="160" t="s">
        <v>406</v>
      </c>
      <c r="J98" s="161">
        <v>15.925000000000001</v>
      </c>
      <c r="K98" s="185">
        <v>15.9025</v>
      </c>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4"/>
      <c r="EX98" s="54"/>
      <c r="EY98" s="54"/>
      <c r="EZ98" s="54"/>
      <c r="FA98" s="54"/>
      <c r="FB98" s="54"/>
      <c r="FC98" s="54"/>
      <c r="FD98" s="54"/>
      <c r="FE98" s="54"/>
      <c r="FF98" s="54"/>
      <c r="FG98" s="54"/>
      <c r="FH98" s="54"/>
      <c r="FI98" s="54"/>
      <c r="FJ98" s="54"/>
      <c r="FK98" s="54"/>
      <c r="FL98" s="54"/>
      <c r="FM98" s="54"/>
      <c r="FN98" s="54"/>
      <c r="FO98" s="54"/>
      <c r="FP98" s="54"/>
      <c r="FQ98" s="54"/>
      <c r="FR98" s="54"/>
      <c r="FS98" s="54"/>
      <c r="FT98" s="54"/>
      <c r="FU98" s="54"/>
      <c r="FV98" s="54"/>
      <c r="FW98" s="54"/>
      <c r="FX98" s="54"/>
      <c r="FY98" s="54"/>
      <c r="FZ98" s="54"/>
      <c r="GA98" s="54"/>
      <c r="GB98" s="54"/>
      <c r="GC98" s="54"/>
      <c r="GD98" s="54"/>
      <c r="GE98" s="54"/>
      <c r="GF98" s="54"/>
      <c r="GG98" s="54"/>
      <c r="GH98" s="54"/>
      <c r="GI98" s="54"/>
      <c r="GJ98" s="54"/>
      <c r="GK98" s="54"/>
      <c r="GL98" s="54"/>
      <c r="GM98" s="54"/>
      <c r="GN98" s="54"/>
      <c r="GO98" s="54"/>
      <c r="GP98" s="54"/>
      <c r="GQ98" s="54"/>
      <c r="GR98" s="54"/>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c r="HU98" s="54"/>
      <c r="HV98" s="54"/>
      <c r="HW98" s="54"/>
      <c r="HX98" s="54"/>
      <c r="HY98" s="54"/>
      <c r="HZ98" s="54"/>
      <c r="IA98" s="54"/>
      <c r="IB98" s="54"/>
      <c r="IC98" s="54"/>
      <c r="ID98" s="54"/>
      <c r="IE98" s="54"/>
      <c r="IF98" s="54"/>
      <c r="IG98" s="54"/>
      <c r="IH98" s="54"/>
      <c r="II98" s="54"/>
      <c r="IJ98" s="54"/>
      <c r="IK98" s="54"/>
      <c r="IL98" s="54"/>
      <c r="IM98" s="54"/>
      <c r="IN98" s="54"/>
      <c r="IO98" s="54"/>
      <c r="IP98" s="54"/>
      <c r="IQ98" s="54"/>
      <c r="IR98" s="54"/>
      <c r="IS98" s="54"/>
      <c r="IT98" s="54"/>
      <c r="IU98" s="54"/>
      <c r="IV98" s="54"/>
      <c r="IW98" s="54"/>
      <c r="IX98" s="54"/>
      <c r="IY98" s="54"/>
      <c r="IZ98" s="54"/>
      <c r="JA98" s="54"/>
      <c r="JB98" s="54"/>
      <c r="JC98" s="54"/>
      <c r="JD98" s="54"/>
      <c r="JE98" s="54"/>
      <c r="JF98" s="54"/>
      <c r="JG98" s="54"/>
      <c r="JH98" s="54"/>
      <c r="JI98" s="54"/>
      <c r="JJ98" s="54"/>
      <c r="JK98" s="54"/>
      <c r="JL98" s="54"/>
      <c r="JM98" s="54"/>
      <c r="JN98" s="54"/>
      <c r="JO98" s="54"/>
      <c r="JP98" s="54"/>
      <c r="JQ98" s="54"/>
      <c r="JR98" s="54"/>
      <c r="JS98" s="54"/>
      <c r="JT98" s="54"/>
      <c r="JU98" s="54"/>
      <c r="JV98" s="54"/>
      <c r="JW98" s="54"/>
      <c r="JX98" s="54"/>
      <c r="JY98" s="54"/>
      <c r="JZ98" s="54"/>
      <c r="KA98" s="54"/>
      <c r="KB98" s="54"/>
      <c r="KC98" s="54"/>
      <c r="KD98" s="54"/>
      <c r="KE98" s="54"/>
      <c r="KF98" s="54"/>
      <c r="KG98" s="54"/>
      <c r="KH98" s="54"/>
      <c r="KI98" s="54"/>
      <c r="KJ98" s="54"/>
      <c r="KK98" s="54"/>
      <c r="KL98" s="54"/>
      <c r="KM98" s="54"/>
      <c r="KN98" s="54"/>
      <c r="KO98" s="54"/>
      <c r="KP98" s="54"/>
      <c r="KQ98" s="54"/>
      <c r="KR98" s="54"/>
      <c r="KS98" s="54"/>
      <c r="KT98" s="54"/>
      <c r="KU98" s="54"/>
      <c r="KV98" s="54"/>
      <c r="KW98" s="54"/>
      <c r="KX98" s="54"/>
      <c r="KY98" s="54"/>
      <c r="KZ98" s="54"/>
      <c r="LA98" s="54"/>
      <c r="LB98" s="54"/>
      <c r="LC98" s="54"/>
      <c r="LD98" s="54"/>
      <c r="LE98" s="54"/>
      <c r="LF98" s="54"/>
      <c r="LG98" s="54"/>
      <c r="LH98" s="54"/>
      <c r="LI98" s="54"/>
      <c r="LJ98" s="54"/>
      <c r="LK98" s="54"/>
      <c r="LL98" s="54"/>
      <c r="LM98" s="54"/>
      <c r="LN98" s="54"/>
      <c r="LO98" s="54"/>
      <c r="LP98" s="54"/>
      <c r="LQ98" s="54"/>
      <c r="LR98" s="54"/>
      <c r="LS98" s="54"/>
      <c r="LT98" s="54"/>
      <c r="LU98" s="54"/>
      <c r="LV98" s="54"/>
      <c r="LW98" s="54"/>
      <c r="LX98" s="54"/>
      <c r="LY98" s="54"/>
      <c r="LZ98" s="54"/>
      <c r="MA98" s="54"/>
      <c r="MB98" s="54"/>
      <c r="MC98" s="54"/>
      <c r="MD98" s="54"/>
      <c r="ME98" s="54"/>
      <c r="MF98" s="54"/>
      <c r="MG98" s="54"/>
      <c r="MH98" s="54"/>
      <c r="MI98" s="54"/>
      <c r="MJ98" s="54"/>
      <c r="MK98" s="54"/>
      <c r="ML98" s="54"/>
      <c r="MM98" s="54"/>
      <c r="MN98" s="54"/>
      <c r="MO98" s="54"/>
      <c r="MP98" s="54"/>
      <c r="MQ98" s="54"/>
      <c r="MR98" s="54"/>
      <c r="MS98" s="54"/>
      <c r="MT98" s="54"/>
      <c r="MU98" s="54"/>
      <c r="MV98" s="54"/>
      <c r="MW98" s="54"/>
      <c r="MX98" s="54"/>
      <c r="MY98" s="54"/>
      <c r="MZ98" s="54"/>
      <c r="NA98" s="54"/>
      <c r="NB98" s="54"/>
      <c r="NC98" s="54"/>
      <c r="ND98" s="54"/>
      <c r="NE98" s="54"/>
      <c r="NF98" s="54"/>
      <c r="NG98" s="54"/>
      <c r="NH98" s="54"/>
      <c r="NI98" s="54"/>
      <c r="NJ98" s="54"/>
      <c r="NK98" s="54"/>
      <c r="NL98" s="54"/>
      <c r="NM98" s="54"/>
      <c r="NN98" s="54"/>
      <c r="NO98" s="54"/>
      <c r="NP98" s="54"/>
      <c r="NQ98" s="54"/>
      <c r="NR98" s="54"/>
      <c r="NS98" s="54"/>
      <c r="NT98" s="54"/>
      <c r="NU98" s="54"/>
      <c r="NV98" s="54"/>
      <c r="NW98" s="54"/>
      <c r="NX98" s="54"/>
      <c r="NY98" s="54"/>
      <c r="NZ98" s="54"/>
      <c r="OA98" s="54"/>
      <c r="OB98" s="54"/>
      <c r="OC98" s="54"/>
      <c r="OD98" s="54"/>
      <c r="OE98" s="54"/>
      <c r="OF98" s="54"/>
      <c r="OG98" s="54"/>
      <c r="OH98" s="54"/>
      <c r="OI98" s="54"/>
      <c r="OJ98" s="54"/>
      <c r="OK98" s="54"/>
      <c r="OL98" s="54"/>
      <c r="OM98" s="54"/>
      <c r="ON98" s="54"/>
      <c r="OO98" s="54"/>
      <c r="OP98" s="54"/>
      <c r="OQ98" s="54"/>
      <c r="OR98" s="54"/>
      <c r="OS98" s="54"/>
      <c r="OT98" s="54"/>
      <c r="OU98" s="54"/>
      <c r="OV98" s="54"/>
      <c r="OW98" s="54"/>
      <c r="OX98" s="54"/>
      <c r="OY98" s="54"/>
      <c r="OZ98" s="54"/>
      <c r="PA98" s="54"/>
      <c r="PB98" s="54"/>
      <c r="PC98" s="54"/>
      <c r="PD98" s="54"/>
      <c r="PE98" s="54"/>
      <c r="PF98" s="54"/>
      <c r="PG98" s="54"/>
      <c r="PH98" s="54"/>
      <c r="PI98" s="54"/>
      <c r="PJ98" s="54"/>
      <c r="PK98" s="54"/>
      <c r="PL98" s="54"/>
      <c r="PM98" s="54"/>
      <c r="PN98" s="54"/>
      <c r="PO98" s="54"/>
      <c r="PP98" s="54"/>
      <c r="PQ98" s="54"/>
      <c r="PR98" s="54"/>
      <c r="PS98" s="54"/>
      <c r="PT98" s="54"/>
      <c r="PU98" s="54"/>
      <c r="PV98" s="54"/>
      <c r="PW98" s="54"/>
      <c r="PX98" s="54"/>
      <c r="PY98" s="54"/>
      <c r="PZ98" s="54"/>
      <c r="QA98" s="54"/>
      <c r="QB98" s="54"/>
      <c r="QC98" s="54"/>
      <c r="QD98" s="54"/>
      <c r="QE98" s="54"/>
      <c r="QF98" s="54"/>
      <c r="QG98" s="54"/>
      <c r="QH98" s="54"/>
      <c r="QI98" s="54"/>
      <c r="QJ98" s="54"/>
      <c r="QK98" s="54"/>
      <c r="QL98" s="54"/>
      <c r="QM98" s="54"/>
      <c r="QN98" s="54"/>
      <c r="QO98" s="54"/>
      <c r="QP98" s="54"/>
      <c r="QQ98" s="54"/>
      <c r="QR98" s="54"/>
      <c r="QS98" s="54"/>
      <c r="QT98" s="54"/>
      <c r="QU98" s="54"/>
      <c r="QV98" s="54"/>
      <c r="QW98" s="54"/>
      <c r="QX98" s="54"/>
      <c r="QY98" s="54"/>
      <c r="QZ98" s="54"/>
      <c r="RA98" s="54"/>
      <c r="RB98" s="54"/>
      <c r="RC98" s="54"/>
      <c r="RD98" s="54"/>
      <c r="RE98" s="54"/>
      <c r="RF98" s="54"/>
      <c r="RG98" s="54"/>
      <c r="RH98" s="54"/>
      <c r="RI98" s="54"/>
      <c r="RJ98" s="54"/>
      <c r="RK98" s="54"/>
      <c r="RL98" s="54"/>
      <c r="RM98" s="54"/>
      <c r="RN98" s="54"/>
      <c r="RO98" s="54"/>
      <c r="RP98" s="54"/>
      <c r="RQ98" s="54"/>
      <c r="RR98" s="54"/>
      <c r="RS98" s="54"/>
      <c r="RT98" s="54"/>
      <c r="RU98" s="54"/>
      <c r="RV98" s="54"/>
      <c r="RW98" s="54"/>
      <c r="RX98" s="54"/>
      <c r="RY98" s="54"/>
      <c r="RZ98" s="54"/>
      <c r="SA98" s="54"/>
      <c r="SB98" s="54"/>
      <c r="SC98" s="54"/>
      <c r="SD98" s="54"/>
      <c r="SE98" s="54"/>
      <c r="SF98" s="54"/>
      <c r="SG98" s="54"/>
      <c r="SH98" s="54"/>
      <c r="SI98" s="54"/>
      <c r="SJ98" s="54"/>
      <c r="SK98" s="54"/>
      <c r="SL98" s="54"/>
      <c r="SM98" s="54"/>
      <c r="SN98" s="54"/>
      <c r="SO98" s="54"/>
      <c r="SP98" s="54"/>
      <c r="SQ98" s="54"/>
      <c r="SR98" s="54"/>
    </row>
    <row r="99" spans="1:512" ht="15" customHeight="1" x14ac:dyDescent="0.7">
      <c r="A99" s="172"/>
      <c r="B99" s="172"/>
      <c r="C99" s="172"/>
      <c r="D99" s="172"/>
      <c r="E99" s="172"/>
      <c r="F99" s="172"/>
      <c r="G99" s="172"/>
      <c r="I99" s="160" t="s">
        <v>366</v>
      </c>
      <c r="J99" s="161">
        <v>15.88</v>
      </c>
      <c r="K99" s="186"/>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4"/>
      <c r="EX99" s="54"/>
      <c r="EY99" s="54"/>
      <c r="EZ99" s="54"/>
      <c r="FA99" s="54"/>
      <c r="FB99" s="54"/>
      <c r="FC99" s="54"/>
      <c r="FD99" s="54"/>
      <c r="FE99" s="54"/>
      <c r="FF99" s="54"/>
      <c r="FG99" s="54"/>
      <c r="FH99" s="54"/>
      <c r="FI99" s="54"/>
      <c r="FJ99" s="54"/>
      <c r="FK99" s="54"/>
      <c r="FL99" s="54"/>
      <c r="FM99" s="54"/>
      <c r="FN99" s="54"/>
      <c r="FO99" s="54"/>
      <c r="FP99" s="54"/>
      <c r="FQ99" s="54"/>
      <c r="FR99" s="54"/>
      <c r="FS99" s="54"/>
      <c r="FT99" s="54"/>
      <c r="FU99" s="54"/>
      <c r="FV99" s="54"/>
      <c r="FW99" s="54"/>
      <c r="FX99" s="54"/>
      <c r="FY99" s="54"/>
      <c r="FZ99" s="54"/>
      <c r="GA99" s="54"/>
      <c r="GB99" s="54"/>
      <c r="GC99" s="54"/>
      <c r="GD99" s="54"/>
      <c r="GE99" s="54"/>
      <c r="GF99" s="54"/>
      <c r="GG99" s="54"/>
      <c r="GH99" s="54"/>
      <c r="GI99" s="54"/>
      <c r="GJ99" s="54"/>
      <c r="GK99" s="54"/>
      <c r="GL99" s="54"/>
      <c r="GM99" s="54"/>
      <c r="GN99" s="54"/>
      <c r="GO99" s="54"/>
      <c r="GP99" s="54"/>
      <c r="GQ99" s="54"/>
      <c r="GR99" s="54"/>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c r="HU99" s="54"/>
      <c r="HV99" s="54"/>
      <c r="HW99" s="54"/>
      <c r="HX99" s="54"/>
      <c r="HY99" s="54"/>
      <c r="HZ99" s="54"/>
      <c r="IA99" s="54"/>
      <c r="IB99" s="54"/>
      <c r="IC99" s="54"/>
      <c r="ID99" s="54"/>
      <c r="IE99" s="54"/>
      <c r="IF99" s="54"/>
      <c r="IG99" s="54"/>
      <c r="IH99" s="54"/>
      <c r="II99" s="54"/>
      <c r="IJ99" s="54"/>
      <c r="IK99" s="54"/>
      <c r="IL99" s="54"/>
      <c r="IM99" s="54"/>
      <c r="IN99" s="54"/>
      <c r="IO99" s="54"/>
      <c r="IP99" s="54"/>
      <c r="IQ99" s="54"/>
      <c r="IR99" s="54"/>
      <c r="IS99" s="54"/>
      <c r="IT99" s="54"/>
      <c r="IU99" s="54"/>
      <c r="IV99" s="54"/>
      <c r="IW99" s="54"/>
      <c r="IX99" s="54"/>
      <c r="IY99" s="54"/>
      <c r="IZ99" s="54"/>
      <c r="JA99" s="54"/>
      <c r="JB99" s="54"/>
      <c r="JC99" s="54"/>
      <c r="JD99" s="54"/>
      <c r="JE99" s="54"/>
      <c r="JF99" s="54"/>
      <c r="JG99" s="54"/>
      <c r="JH99" s="54"/>
      <c r="JI99" s="54"/>
      <c r="JJ99" s="54"/>
      <c r="JK99" s="54"/>
      <c r="JL99" s="54"/>
      <c r="JM99" s="54"/>
      <c r="JN99" s="54"/>
      <c r="JO99" s="54"/>
      <c r="JP99" s="54"/>
      <c r="JQ99" s="54"/>
      <c r="JR99" s="54"/>
      <c r="JS99" s="54"/>
      <c r="JT99" s="54"/>
      <c r="JU99" s="54"/>
      <c r="JV99" s="54"/>
      <c r="JW99" s="54"/>
      <c r="JX99" s="54"/>
      <c r="JY99" s="54"/>
      <c r="JZ99" s="54"/>
      <c r="KA99" s="54"/>
      <c r="KB99" s="54"/>
      <c r="KC99" s="54"/>
      <c r="KD99" s="54"/>
      <c r="KE99" s="54"/>
      <c r="KF99" s="54"/>
      <c r="KG99" s="54"/>
      <c r="KH99" s="54"/>
      <c r="KI99" s="54"/>
      <c r="KJ99" s="54"/>
      <c r="KK99" s="54"/>
      <c r="KL99" s="54"/>
      <c r="KM99" s="54"/>
      <c r="KN99" s="54"/>
      <c r="KO99" s="54"/>
      <c r="KP99" s="54"/>
      <c r="KQ99" s="54"/>
      <c r="KR99" s="54"/>
      <c r="KS99" s="54"/>
      <c r="KT99" s="54"/>
      <c r="KU99" s="54"/>
      <c r="KV99" s="54"/>
      <c r="KW99" s="54"/>
      <c r="KX99" s="54"/>
      <c r="KY99" s="54"/>
      <c r="KZ99" s="54"/>
      <c r="LA99" s="54"/>
      <c r="LB99" s="54"/>
      <c r="LC99" s="54"/>
      <c r="LD99" s="54"/>
      <c r="LE99" s="54"/>
      <c r="LF99" s="54"/>
      <c r="LG99" s="54"/>
      <c r="LH99" s="54"/>
      <c r="LI99" s="54"/>
      <c r="LJ99" s="54"/>
      <c r="LK99" s="54"/>
      <c r="LL99" s="54"/>
      <c r="LM99" s="54"/>
      <c r="LN99" s="54"/>
      <c r="LO99" s="54"/>
      <c r="LP99" s="54"/>
      <c r="LQ99" s="54"/>
      <c r="LR99" s="54"/>
      <c r="LS99" s="54"/>
      <c r="LT99" s="54"/>
      <c r="LU99" s="54"/>
      <c r="LV99" s="54"/>
      <c r="LW99" s="54"/>
      <c r="LX99" s="54"/>
      <c r="LY99" s="54"/>
      <c r="LZ99" s="54"/>
      <c r="MA99" s="54"/>
      <c r="MB99" s="54"/>
      <c r="MC99" s="54"/>
      <c r="MD99" s="54"/>
      <c r="ME99" s="54"/>
      <c r="MF99" s="54"/>
      <c r="MG99" s="54"/>
      <c r="MH99" s="54"/>
      <c r="MI99" s="54"/>
      <c r="MJ99" s="54"/>
      <c r="MK99" s="54"/>
      <c r="ML99" s="54"/>
      <c r="MM99" s="54"/>
      <c r="MN99" s="54"/>
      <c r="MO99" s="54"/>
      <c r="MP99" s="54"/>
      <c r="MQ99" s="54"/>
      <c r="MR99" s="54"/>
      <c r="MS99" s="54"/>
      <c r="MT99" s="54"/>
      <c r="MU99" s="54"/>
      <c r="MV99" s="54"/>
      <c r="MW99" s="54"/>
      <c r="MX99" s="54"/>
      <c r="MY99" s="54"/>
      <c r="MZ99" s="54"/>
      <c r="NA99" s="54"/>
      <c r="NB99" s="54"/>
      <c r="NC99" s="54"/>
      <c r="ND99" s="54"/>
      <c r="NE99" s="54"/>
      <c r="NF99" s="54"/>
      <c r="NG99" s="54"/>
      <c r="NH99" s="54"/>
      <c r="NI99" s="54"/>
      <c r="NJ99" s="54"/>
      <c r="NK99" s="54"/>
      <c r="NL99" s="54"/>
      <c r="NM99" s="54"/>
      <c r="NN99" s="54"/>
      <c r="NO99" s="54"/>
      <c r="NP99" s="54"/>
      <c r="NQ99" s="54"/>
      <c r="NR99" s="54"/>
      <c r="NS99" s="54"/>
      <c r="NT99" s="54"/>
      <c r="NU99" s="54"/>
      <c r="NV99" s="54"/>
      <c r="NW99" s="54"/>
      <c r="NX99" s="54"/>
      <c r="NY99" s="54"/>
      <c r="NZ99" s="54"/>
      <c r="OA99" s="54"/>
      <c r="OB99" s="54"/>
      <c r="OC99" s="54"/>
      <c r="OD99" s="54"/>
      <c r="OE99" s="54"/>
      <c r="OF99" s="54"/>
      <c r="OG99" s="54"/>
      <c r="OH99" s="54"/>
      <c r="OI99" s="54"/>
      <c r="OJ99" s="54"/>
      <c r="OK99" s="54"/>
      <c r="OL99" s="54"/>
      <c r="OM99" s="54"/>
      <c r="ON99" s="54"/>
      <c r="OO99" s="54"/>
      <c r="OP99" s="54"/>
      <c r="OQ99" s="54"/>
      <c r="OR99" s="54"/>
      <c r="OS99" s="54"/>
      <c r="OT99" s="54"/>
      <c r="OU99" s="54"/>
      <c r="OV99" s="54"/>
      <c r="OW99" s="54"/>
      <c r="OX99" s="54"/>
      <c r="OY99" s="54"/>
      <c r="OZ99" s="54"/>
      <c r="PA99" s="54"/>
      <c r="PB99" s="54"/>
      <c r="PC99" s="54"/>
      <c r="PD99" s="54"/>
      <c r="PE99" s="54"/>
      <c r="PF99" s="54"/>
      <c r="PG99" s="54"/>
      <c r="PH99" s="54"/>
      <c r="PI99" s="54"/>
      <c r="PJ99" s="54"/>
      <c r="PK99" s="54"/>
      <c r="PL99" s="54"/>
      <c r="PM99" s="54"/>
      <c r="PN99" s="54"/>
      <c r="PO99" s="54"/>
      <c r="PP99" s="54"/>
      <c r="PQ99" s="54"/>
      <c r="PR99" s="54"/>
      <c r="PS99" s="54"/>
      <c r="PT99" s="54"/>
      <c r="PU99" s="54"/>
      <c r="PV99" s="54"/>
      <c r="PW99" s="54"/>
      <c r="PX99" s="54"/>
      <c r="PY99" s="54"/>
      <c r="PZ99" s="54"/>
      <c r="QA99" s="54"/>
      <c r="QB99" s="54"/>
      <c r="QC99" s="54"/>
      <c r="QD99" s="54"/>
      <c r="QE99" s="54"/>
      <c r="QF99" s="54"/>
      <c r="QG99" s="54"/>
      <c r="QH99" s="54"/>
      <c r="QI99" s="54"/>
      <c r="QJ99" s="54"/>
      <c r="QK99" s="54"/>
      <c r="QL99" s="54"/>
      <c r="QM99" s="54"/>
      <c r="QN99" s="54"/>
      <c r="QO99" s="54"/>
      <c r="QP99" s="54"/>
      <c r="QQ99" s="54"/>
      <c r="QR99" s="54"/>
      <c r="QS99" s="54"/>
      <c r="QT99" s="54"/>
      <c r="QU99" s="54"/>
      <c r="QV99" s="54"/>
      <c r="QW99" s="54"/>
      <c r="QX99" s="54"/>
      <c r="QY99" s="54"/>
      <c r="QZ99" s="54"/>
      <c r="RA99" s="54"/>
      <c r="RB99" s="54"/>
      <c r="RC99" s="54"/>
      <c r="RD99" s="54"/>
      <c r="RE99" s="54"/>
      <c r="RF99" s="54"/>
      <c r="RG99" s="54"/>
      <c r="RH99" s="54"/>
      <c r="RI99" s="54"/>
      <c r="RJ99" s="54"/>
      <c r="RK99" s="54"/>
      <c r="RL99" s="54"/>
      <c r="RM99" s="54"/>
      <c r="RN99" s="54"/>
      <c r="RO99" s="54"/>
      <c r="RP99" s="54"/>
      <c r="RQ99" s="54"/>
      <c r="RR99" s="54"/>
      <c r="RS99" s="54"/>
      <c r="RT99" s="54"/>
      <c r="RU99" s="54"/>
      <c r="RV99" s="54"/>
      <c r="RW99" s="54"/>
      <c r="RX99" s="54"/>
      <c r="RY99" s="54"/>
      <c r="RZ99" s="54"/>
      <c r="SA99" s="54"/>
      <c r="SB99" s="54"/>
      <c r="SC99" s="54"/>
      <c r="SD99" s="54"/>
      <c r="SE99" s="54"/>
      <c r="SF99" s="54"/>
      <c r="SG99" s="54"/>
      <c r="SH99" s="54"/>
      <c r="SI99" s="54"/>
      <c r="SJ99" s="54"/>
      <c r="SK99" s="54"/>
      <c r="SL99" s="54"/>
      <c r="SM99" s="54"/>
      <c r="SN99" s="54"/>
      <c r="SO99" s="54"/>
      <c r="SP99" s="54"/>
      <c r="SQ99" s="54"/>
      <c r="SR99" s="54"/>
    </row>
    <row r="100" spans="1:512" s="55" customFormat="1" ht="15" customHeight="1" x14ac:dyDescent="0.7">
      <c r="A100" s="173"/>
      <c r="B100" s="173"/>
      <c r="C100" s="173"/>
      <c r="D100" s="173"/>
      <c r="E100" s="173"/>
      <c r="F100" s="173"/>
      <c r="G100" s="173"/>
      <c r="H100" s="74"/>
      <c r="I100" s="162"/>
      <c r="J100" s="163"/>
      <c r="K100" s="187"/>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c r="IX100" s="56"/>
      <c r="IY100" s="56"/>
      <c r="IZ100" s="56"/>
      <c r="JA100" s="56"/>
      <c r="JB100" s="56"/>
      <c r="JC100" s="56"/>
      <c r="JD100" s="56"/>
      <c r="JE100" s="56"/>
      <c r="JF100" s="56"/>
      <c r="JG100" s="56"/>
      <c r="JH100" s="56"/>
      <c r="JI100" s="56"/>
      <c r="JJ100" s="56"/>
      <c r="JK100" s="56"/>
      <c r="JL100" s="56"/>
      <c r="JM100" s="56"/>
      <c r="JN100" s="56"/>
      <c r="JO100" s="56"/>
      <c r="JP100" s="56"/>
      <c r="JQ100" s="56"/>
      <c r="JR100" s="56"/>
      <c r="JS100" s="56"/>
      <c r="JT100" s="56"/>
      <c r="JU100" s="56"/>
      <c r="JV100" s="56"/>
      <c r="JW100" s="56"/>
      <c r="JX100" s="56"/>
      <c r="JY100" s="56"/>
      <c r="JZ100" s="56"/>
      <c r="KA100" s="56"/>
      <c r="KB100" s="56"/>
      <c r="KC100" s="56"/>
      <c r="KD100" s="56"/>
      <c r="KE100" s="56"/>
      <c r="KF100" s="56"/>
      <c r="KG100" s="56"/>
      <c r="KH100" s="56"/>
      <c r="KI100" s="56"/>
      <c r="KJ100" s="56"/>
      <c r="KK100" s="56"/>
      <c r="KL100" s="56"/>
      <c r="KM100" s="56"/>
      <c r="KN100" s="56"/>
      <c r="KO100" s="56"/>
      <c r="KP100" s="56"/>
      <c r="KQ100" s="56"/>
      <c r="KR100" s="56"/>
      <c r="KS100" s="56"/>
      <c r="KT100" s="56"/>
      <c r="KU100" s="56"/>
      <c r="KV100" s="56"/>
      <c r="KW100" s="56"/>
      <c r="KX100" s="56"/>
      <c r="KY100" s="56"/>
      <c r="KZ100" s="56"/>
      <c r="LA100" s="56"/>
      <c r="LB100" s="56"/>
      <c r="LC100" s="56"/>
      <c r="LD100" s="56"/>
      <c r="LE100" s="56"/>
      <c r="LF100" s="56"/>
      <c r="LG100" s="56"/>
      <c r="LH100" s="56"/>
      <c r="LI100" s="56"/>
      <c r="LJ100" s="56"/>
      <c r="LK100" s="56"/>
      <c r="LL100" s="56"/>
      <c r="LM100" s="56"/>
      <c r="LN100" s="56"/>
      <c r="LO100" s="56"/>
      <c r="LP100" s="56"/>
      <c r="LQ100" s="56"/>
      <c r="LR100" s="56"/>
      <c r="LS100" s="56"/>
      <c r="LT100" s="56"/>
      <c r="LU100" s="56"/>
      <c r="LV100" s="56"/>
      <c r="LW100" s="56"/>
      <c r="LX100" s="56"/>
      <c r="LY100" s="56"/>
      <c r="LZ100" s="56"/>
      <c r="MA100" s="56"/>
      <c r="MB100" s="56"/>
      <c r="MC100" s="56"/>
      <c r="MD100" s="56"/>
      <c r="ME100" s="56"/>
      <c r="MF100" s="56"/>
      <c r="MG100" s="56"/>
      <c r="MH100" s="56"/>
      <c r="MI100" s="56"/>
      <c r="MJ100" s="56"/>
      <c r="MK100" s="56"/>
      <c r="ML100" s="56"/>
      <c r="MM100" s="56"/>
      <c r="MN100" s="56"/>
      <c r="MO100" s="56"/>
      <c r="MP100" s="56"/>
      <c r="MQ100" s="56"/>
      <c r="MR100" s="56"/>
      <c r="MS100" s="56"/>
      <c r="MT100" s="56"/>
      <c r="MU100" s="56"/>
      <c r="MV100" s="56"/>
      <c r="MW100" s="56"/>
      <c r="MX100" s="56"/>
      <c r="MY100" s="56"/>
      <c r="MZ100" s="56"/>
      <c r="NA100" s="56"/>
      <c r="NB100" s="56"/>
      <c r="NC100" s="56"/>
      <c r="ND100" s="56"/>
      <c r="NE100" s="56"/>
      <c r="NF100" s="56"/>
      <c r="NG100" s="56"/>
      <c r="NH100" s="56"/>
      <c r="NI100" s="56"/>
      <c r="NJ100" s="56"/>
      <c r="NK100" s="56"/>
      <c r="NL100" s="56"/>
      <c r="NM100" s="56"/>
      <c r="NN100" s="56"/>
      <c r="NO100" s="56"/>
      <c r="NP100" s="56"/>
      <c r="NQ100" s="56"/>
      <c r="NR100" s="56"/>
      <c r="NS100" s="56"/>
      <c r="NT100" s="56"/>
      <c r="NU100" s="56"/>
      <c r="NV100" s="56"/>
      <c r="NW100" s="56"/>
      <c r="NX100" s="56"/>
      <c r="NY100" s="56"/>
      <c r="NZ100" s="56"/>
      <c r="OA100" s="56"/>
      <c r="OB100" s="56"/>
      <c r="OC100" s="56"/>
      <c r="OD100" s="56"/>
      <c r="OE100" s="56"/>
      <c r="OF100" s="56"/>
      <c r="OG100" s="56"/>
      <c r="OH100" s="56"/>
      <c r="OI100" s="56"/>
      <c r="OJ100" s="56"/>
      <c r="OK100" s="56"/>
      <c r="OL100" s="56"/>
      <c r="OM100" s="56"/>
      <c r="ON100" s="56"/>
      <c r="OO100" s="56"/>
      <c r="OP100" s="56"/>
      <c r="OQ100" s="56"/>
      <c r="OR100" s="56"/>
      <c r="OS100" s="56"/>
      <c r="OT100" s="56"/>
      <c r="OU100" s="56"/>
      <c r="OV100" s="56"/>
      <c r="OW100" s="56"/>
      <c r="OX100" s="56"/>
      <c r="OY100" s="56"/>
      <c r="OZ100" s="56"/>
      <c r="PA100" s="56"/>
      <c r="PB100" s="56"/>
      <c r="PC100" s="56"/>
      <c r="PD100" s="56"/>
      <c r="PE100" s="56"/>
      <c r="PF100" s="56"/>
      <c r="PG100" s="56"/>
      <c r="PH100" s="56"/>
      <c r="PI100" s="56"/>
      <c r="PJ100" s="56"/>
      <c r="PK100" s="56"/>
      <c r="PL100" s="56"/>
      <c r="PM100" s="56"/>
      <c r="PN100" s="56"/>
      <c r="PO100" s="56"/>
      <c r="PP100" s="56"/>
      <c r="PQ100" s="56"/>
      <c r="PR100" s="56"/>
      <c r="PS100" s="56"/>
      <c r="PT100" s="56"/>
      <c r="PU100" s="56"/>
      <c r="PV100" s="56"/>
      <c r="PW100" s="56"/>
      <c r="PX100" s="56"/>
      <c r="PY100" s="56"/>
      <c r="PZ100" s="56"/>
      <c r="QA100" s="56"/>
      <c r="QB100" s="56"/>
      <c r="QC100" s="56"/>
      <c r="QD100" s="56"/>
      <c r="QE100" s="56"/>
      <c r="QF100" s="56"/>
      <c r="QG100" s="56"/>
      <c r="QH100" s="56"/>
      <c r="QI100" s="56"/>
      <c r="QJ100" s="56"/>
      <c r="QK100" s="56"/>
      <c r="QL100" s="56"/>
      <c r="QM100" s="56"/>
      <c r="QN100" s="56"/>
      <c r="QO100" s="56"/>
      <c r="QP100" s="56"/>
      <c r="QQ100" s="56"/>
      <c r="QR100" s="56"/>
      <c r="QS100" s="56"/>
      <c r="QT100" s="56"/>
      <c r="QU100" s="56"/>
      <c r="QV100" s="56"/>
      <c r="QW100" s="56"/>
      <c r="QX100" s="56"/>
      <c r="QY100" s="56"/>
      <c r="QZ100" s="56"/>
      <c r="RA100" s="56"/>
      <c r="RB100" s="56"/>
      <c r="RC100" s="56"/>
      <c r="RD100" s="56"/>
      <c r="RE100" s="56"/>
      <c r="RF100" s="56"/>
      <c r="RG100" s="56"/>
      <c r="RH100" s="56"/>
      <c r="RI100" s="56"/>
      <c r="RJ100" s="56"/>
      <c r="RK100" s="56"/>
      <c r="RL100" s="56"/>
      <c r="RM100" s="56"/>
      <c r="RN100" s="56"/>
      <c r="RO100" s="56"/>
      <c r="RP100" s="56"/>
      <c r="RQ100" s="56"/>
      <c r="RR100" s="56"/>
      <c r="RS100" s="56"/>
      <c r="RT100" s="56"/>
      <c r="RU100" s="56"/>
      <c r="RV100" s="56"/>
      <c r="RW100" s="56"/>
      <c r="RX100" s="56"/>
      <c r="RY100" s="56"/>
      <c r="RZ100" s="56"/>
      <c r="SA100" s="56"/>
      <c r="SB100" s="56"/>
      <c r="SC100" s="56"/>
      <c r="SD100" s="56"/>
      <c r="SE100" s="56"/>
      <c r="SF100" s="56"/>
      <c r="SG100" s="56"/>
      <c r="SH100" s="56"/>
      <c r="SI100" s="56"/>
      <c r="SJ100" s="56"/>
      <c r="SK100" s="56"/>
      <c r="SL100" s="56"/>
      <c r="SM100" s="56"/>
      <c r="SN100" s="56"/>
      <c r="SO100" s="56"/>
      <c r="SP100" s="56"/>
      <c r="SQ100" s="56"/>
      <c r="SR100" s="56"/>
    </row>
    <row r="101" spans="1:512" ht="15" customHeight="1" x14ac:dyDescent="0.7">
      <c r="A101" s="171">
        <v>31</v>
      </c>
      <c r="B101" s="171" t="s">
        <v>13</v>
      </c>
      <c r="C101" s="171" t="s">
        <v>344</v>
      </c>
      <c r="D101" s="171"/>
      <c r="E101" s="171" t="s">
        <v>332</v>
      </c>
      <c r="F101" s="171"/>
      <c r="G101" s="188" t="s">
        <v>422</v>
      </c>
      <c r="H101" s="71" t="s">
        <v>423</v>
      </c>
      <c r="I101" s="89" t="s">
        <v>403</v>
      </c>
      <c r="J101" s="90">
        <v>13.05</v>
      </c>
      <c r="K101" s="168">
        <v>13.025</v>
      </c>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c r="CX101" s="54"/>
      <c r="CY101" s="54"/>
      <c r="CZ101" s="54"/>
      <c r="DA101" s="54"/>
      <c r="DB101" s="54"/>
      <c r="DC101" s="54"/>
      <c r="DD101" s="54"/>
      <c r="DE101" s="54"/>
      <c r="DF101" s="54"/>
      <c r="DG101" s="54"/>
      <c r="DH101" s="54"/>
      <c r="DI101" s="54"/>
      <c r="DJ101" s="54"/>
      <c r="DK101" s="54"/>
      <c r="DL101" s="54"/>
      <c r="DM101" s="54"/>
      <c r="DN101" s="54"/>
      <c r="DO101" s="54"/>
      <c r="DP101" s="54"/>
      <c r="DQ101" s="54"/>
      <c r="DR101" s="54"/>
      <c r="DS101" s="54"/>
      <c r="DT101" s="54"/>
      <c r="DU101" s="54"/>
      <c r="DV101" s="54"/>
      <c r="DW101" s="54"/>
      <c r="DX101" s="54"/>
      <c r="DY101" s="54"/>
      <c r="DZ101" s="54"/>
      <c r="EA101" s="54"/>
      <c r="EB101" s="54"/>
      <c r="EC101" s="54"/>
      <c r="ED101" s="54"/>
      <c r="EE101" s="54"/>
      <c r="EF101" s="54"/>
      <c r="EG101" s="54"/>
      <c r="EH101" s="54"/>
      <c r="EI101" s="54"/>
      <c r="EJ101" s="54"/>
      <c r="EK101" s="54"/>
      <c r="EL101" s="54"/>
      <c r="EM101" s="54"/>
      <c r="EN101" s="54"/>
      <c r="EO101" s="54"/>
      <c r="EP101" s="54"/>
      <c r="EQ101" s="54"/>
      <c r="ER101" s="54"/>
      <c r="ES101" s="54"/>
      <c r="ET101" s="54"/>
      <c r="EU101" s="54"/>
      <c r="EV101" s="54"/>
      <c r="EW101" s="54"/>
      <c r="EX101" s="54"/>
      <c r="EY101" s="54"/>
      <c r="EZ101" s="54"/>
      <c r="FA101" s="54"/>
      <c r="FB101" s="54"/>
      <c r="FC101" s="54"/>
      <c r="FD101" s="54"/>
      <c r="FE101" s="54"/>
      <c r="FF101" s="54"/>
      <c r="FG101" s="54"/>
      <c r="FH101" s="54"/>
      <c r="FI101" s="54"/>
      <c r="FJ101" s="54"/>
      <c r="FK101" s="54"/>
      <c r="FL101" s="54"/>
      <c r="FM101" s="54"/>
      <c r="FN101" s="54"/>
      <c r="FO101" s="54"/>
      <c r="FP101" s="54"/>
      <c r="FQ101" s="54"/>
      <c r="FR101" s="54"/>
      <c r="FS101" s="54"/>
      <c r="FT101" s="54"/>
      <c r="FU101" s="54"/>
      <c r="FV101" s="54"/>
      <c r="FW101" s="54"/>
      <c r="FX101" s="54"/>
      <c r="FY101" s="54"/>
      <c r="FZ101" s="54"/>
      <c r="GA101" s="54"/>
      <c r="GB101" s="54"/>
      <c r="GC101" s="54"/>
      <c r="GD101" s="54"/>
      <c r="GE101" s="54"/>
      <c r="GF101" s="54"/>
      <c r="GG101" s="54"/>
      <c r="GH101" s="54"/>
      <c r="GI101" s="54"/>
      <c r="GJ101" s="54"/>
      <c r="GK101" s="54"/>
      <c r="GL101" s="54"/>
      <c r="GM101" s="54"/>
      <c r="GN101" s="54"/>
      <c r="GO101" s="54"/>
      <c r="GP101" s="54"/>
      <c r="GQ101" s="54"/>
      <c r="GR101" s="54"/>
      <c r="GS101" s="54"/>
      <c r="GT101" s="54"/>
      <c r="GU101" s="54"/>
      <c r="GV101" s="54"/>
      <c r="GW101" s="54"/>
      <c r="GX101" s="54"/>
      <c r="GY101" s="54"/>
      <c r="GZ101" s="54"/>
      <c r="HA101" s="54"/>
      <c r="HB101" s="54"/>
      <c r="HC101" s="54"/>
      <c r="HD101" s="54"/>
      <c r="HE101" s="54"/>
      <c r="HF101" s="54"/>
      <c r="HG101" s="54"/>
      <c r="HH101" s="54"/>
      <c r="HI101" s="54"/>
      <c r="HJ101" s="54"/>
      <c r="HK101" s="54"/>
      <c r="HL101" s="54"/>
      <c r="HM101" s="54"/>
      <c r="HN101" s="54"/>
      <c r="HO101" s="54"/>
      <c r="HP101" s="54"/>
      <c r="HQ101" s="54"/>
      <c r="HR101" s="54"/>
      <c r="HS101" s="54"/>
      <c r="HT101" s="54"/>
      <c r="HU101" s="54"/>
      <c r="HV101" s="54"/>
      <c r="HW101" s="54"/>
      <c r="HX101" s="54"/>
      <c r="HY101" s="54"/>
      <c r="HZ101" s="54"/>
      <c r="IA101" s="54"/>
      <c r="IB101" s="54"/>
      <c r="IC101" s="54"/>
      <c r="ID101" s="54"/>
      <c r="IE101" s="54"/>
      <c r="IF101" s="54"/>
      <c r="IG101" s="54"/>
      <c r="IH101" s="54"/>
      <c r="II101" s="54"/>
      <c r="IJ101" s="54"/>
      <c r="IK101" s="54"/>
      <c r="IL101" s="54"/>
      <c r="IM101" s="54"/>
      <c r="IN101" s="54"/>
      <c r="IO101" s="54"/>
      <c r="IP101" s="54"/>
      <c r="IQ101" s="54"/>
      <c r="IR101" s="54"/>
      <c r="IS101" s="54"/>
      <c r="IT101" s="54"/>
      <c r="IU101" s="54"/>
      <c r="IV101" s="54"/>
      <c r="IW101" s="54"/>
      <c r="IX101" s="54"/>
      <c r="IY101" s="54"/>
      <c r="IZ101" s="54"/>
      <c r="JA101" s="54"/>
      <c r="JB101" s="54"/>
      <c r="JC101" s="54"/>
      <c r="JD101" s="54"/>
      <c r="JE101" s="54"/>
      <c r="JF101" s="54"/>
      <c r="JG101" s="54"/>
      <c r="JH101" s="54"/>
      <c r="JI101" s="54"/>
      <c r="JJ101" s="54"/>
      <c r="JK101" s="54"/>
      <c r="JL101" s="54"/>
      <c r="JM101" s="54"/>
      <c r="JN101" s="54"/>
      <c r="JO101" s="54"/>
      <c r="JP101" s="54"/>
      <c r="JQ101" s="54"/>
      <c r="JR101" s="54"/>
      <c r="JS101" s="54"/>
      <c r="JT101" s="54"/>
      <c r="JU101" s="54"/>
      <c r="JV101" s="54"/>
      <c r="JW101" s="54"/>
      <c r="JX101" s="54"/>
      <c r="JY101" s="54"/>
      <c r="JZ101" s="54"/>
      <c r="KA101" s="54"/>
      <c r="KB101" s="54"/>
      <c r="KC101" s="54"/>
      <c r="KD101" s="54"/>
      <c r="KE101" s="54"/>
      <c r="KF101" s="54"/>
      <c r="KG101" s="54"/>
      <c r="KH101" s="54"/>
      <c r="KI101" s="54"/>
      <c r="KJ101" s="54"/>
      <c r="KK101" s="54"/>
      <c r="KL101" s="54"/>
      <c r="KM101" s="54"/>
      <c r="KN101" s="54"/>
      <c r="KO101" s="54"/>
      <c r="KP101" s="54"/>
      <c r="KQ101" s="54"/>
      <c r="KR101" s="54"/>
      <c r="KS101" s="54"/>
      <c r="KT101" s="54"/>
      <c r="KU101" s="54"/>
      <c r="KV101" s="54"/>
      <c r="KW101" s="54"/>
      <c r="KX101" s="54"/>
      <c r="KY101" s="54"/>
      <c r="KZ101" s="54"/>
      <c r="LA101" s="54"/>
      <c r="LB101" s="54"/>
      <c r="LC101" s="54"/>
      <c r="LD101" s="54"/>
      <c r="LE101" s="54"/>
      <c r="LF101" s="54"/>
      <c r="LG101" s="54"/>
      <c r="LH101" s="54"/>
      <c r="LI101" s="54"/>
      <c r="LJ101" s="54"/>
      <c r="LK101" s="54"/>
      <c r="LL101" s="54"/>
      <c r="LM101" s="54"/>
      <c r="LN101" s="54"/>
      <c r="LO101" s="54"/>
      <c r="LP101" s="54"/>
      <c r="LQ101" s="54"/>
      <c r="LR101" s="54"/>
      <c r="LS101" s="54"/>
      <c r="LT101" s="54"/>
      <c r="LU101" s="54"/>
      <c r="LV101" s="54"/>
      <c r="LW101" s="54"/>
      <c r="LX101" s="54"/>
      <c r="LY101" s="54"/>
      <c r="LZ101" s="54"/>
      <c r="MA101" s="54"/>
      <c r="MB101" s="54"/>
      <c r="MC101" s="54"/>
      <c r="MD101" s="54"/>
      <c r="ME101" s="54"/>
      <c r="MF101" s="54"/>
      <c r="MG101" s="54"/>
      <c r="MH101" s="54"/>
      <c r="MI101" s="54"/>
      <c r="MJ101" s="54"/>
      <c r="MK101" s="54"/>
      <c r="ML101" s="54"/>
      <c r="MM101" s="54"/>
      <c r="MN101" s="54"/>
      <c r="MO101" s="54"/>
      <c r="MP101" s="54"/>
      <c r="MQ101" s="54"/>
      <c r="MR101" s="54"/>
      <c r="MS101" s="54"/>
      <c r="MT101" s="54"/>
      <c r="MU101" s="54"/>
      <c r="MV101" s="54"/>
      <c r="MW101" s="54"/>
      <c r="MX101" s="54"/>
      <c r="MY101" s="54"/>
      <c r="MZ101" s="54"/>
      <c r="NA101" s="54"/>
      <c r="NB101" s="54"/>
      <c r="NC101" s="54"/>
      <c r="ND101" s="54"/>
      <c r="NE101" s="54"/>
      <c r="NF101" s="54"/>
      <c r="NG101" s="54"/>
      <c r="NH101" s="54"/>
      <c r="NI101" s="54"/>
      <c r="NJ101" s="54"/>
      <c r="NK101" s="54"/>
      <c r="NL101" s="54"/>
      <c r="NM101" s="54"/>
      <c r="NN101" s="54"/>
      <c r="NO101" s="54"/>
      <c r="NP101" s="54"/>
      <c r="NQ101" s="54"/>
      <c r="NR101" s="54"/>
      <c r="NS101" s="54"/>
      <c r="NT101" s="54"/>
      <c r="NU101" s="54"/>
      <c r="NV101" s="54"/>
      <c r="NW101" s="54"/>
      <c r="NX101" s="54"/>
      <c r="NY101" s="54"/>
      <c r="NZ101" s="54"/>
      <c r="OA101" s="54"/>
      <c r="OB101" s="54"/>
      <c r="OC101" s="54"/>
      <c r="OD101" s="54"/>
      <c r="OE101" s="54"/>
      <c r="OF101" s="54"/>
      <c r="OG101" s="54"/>
      <c r="OH101" s="54"/>
      <c r="OI101" s="54"/>
      <c r="OJ101" s="54"/>
      <c r="OK101" s="54"/>
      <c r="OL101" s="54"/>
      <c r="OM101" s="54"/>
      <c r="ON101" s="54"/>
      <c r="OO101" s="54"/>
      <c r="OP101" s="54"/>
      <c r="OQ101" s="54"/>
      <c r="OR101" s="54"/>
      <c r="OS101" s="54"/>
      <c r="OT101" s="54"/>
      <c r="OU101" s="54"/>
      <c r="OV101" s="54"/>
      <c r="OW101" s="54"/>
      <c r="OX101" s="54"/>
      <c r="OY101" s="54"/>
      <c r="OZ101" s="54"/>
      <c r="PA101" s="54"/>
      <c r="PB101" s="54"/>
      <c r="PC101" s="54"/>
      <c r="PD101" s="54"/>
      <c r="PE101" s="54"/>
      <c r="PF101" s="54"/>
      <c r="PG101" s="54"/>
      <c r="PH101" s="54"/>
      <c r="PI101" s="54"/>
      <c r="PJ101" s="54"/>
      <c r="PK101" s="54"/>
      <c r="PL101" s="54"/>
      <c r="PM101" s="54"/>
      <c r="PN101" s="54"/>
      <c r="PO101" s="54"/>
      <c r="PP101" s="54"/>
      <c r="PQ101" s="54"/>
      <c r="PR101" s="54"/>
      <c r="PS101" s="54"/>
      <c r="PT101" s="54"/>
      <c r="PU101" s="54"/>
      <c r="PV101" s="54"/>
      <c r="PW101" s="54"/>
      <c r="PX101" s="54"/>
      <c r="PY101" s="54"/>
      <c r="PZ101" s="54"/>
      <c r="QA101" s="54"/>
      <c r="QB101" s="54"/>
      <c r="QC101" s="54"/>
      <c r="QD101" s="54"/>
      <c r="QE101" s="54"/>
      <c r="QF101" s="54"/>
      <c r="QG101" s="54"/>
      <c r="QH101" s="54"/>
      <c r="QI101" s="54"/>
      <c r="QJ101" s="54"/>
      <c r="QK101" s="54"/>
      <c r="QL101" s="54"/>
      <c r="QM101" s="54"/>
      <c r="QN101" s="54"/>
      <c r="QO101" s="54"/>
      <c r="QP101" s="54"/>
      <c r="QQ101" s="54"/>
      <c r="QR101" s="54"/>
      <c r="QS101" s="54"/>
      <c r="QT101" s="54"/>
      <c r="QU101" s="54"/>
      <c r="QV101" s="54"/>
      <c r="QW101" s="54"/>
      <c r="QX101" s="54"/>
      <c r="QY101" s="54"/>
      <c r="QZ101" s="54"/>
      <c r="RA101" s="54"/>
      <c r="RB101" s="54"/>
      <c r="RC101" s="54"/>
      <c r="RD101" s="54"/>
      <c r="RE101" s="54"/>
      <c r="RF101" s="54"/>
      <c r="RG101" s="54"/>
      <c r="RH101" s="54"/>
      <c r="RI101" s="54"/>
      <c r="RJ101" s="54"/>
      <c r="RK101" s="54"/>
      <c r="RL101" s="54"/>
      <c r="RM101" s="54"/>
      <c r="RN101" s="54"/>
      <c r="RO101" s="54"/>
      <c r="RP101" s="54"/>
      <c r="RQ101" s="54"/>
      <c r="RR101" s="54"/>
      <c r="RS101" s="54"/>
      <c r="RT101" s="54"/>
      <c r="RU101" s="54"/>
      <c r="RV101" s="54"/>
      <c r="RW101" s="54"/>
      <c r="RX101" s="54"/>
      <c r="RY101" s="54"/>
      <c r="RZ101" s="54"/>
      <c r="SA101" s="54"/>
      <c r="SB101" s="54"/>
      <c r="SC101" s="54"/>
      <c r="SD101" s="54"/>
      <c r="SE101" s="54"/>
      <c r="SF101" s="54"/>
      <c r="SG101" s="54"/>
      <c r="SH101" s="54"/>
      <c r="SI101" s="54"/>
      <c r="SJ101" s="54"/>
      <c r="SK101" s="54"/>
      <c r="SL101" s="54"/>
      <c r="SM101" s="54"/>
      <c r="SN101" s="54"/>
      <c r="SO101" s="54"/>
      <c r="SP101" s="54"/>
      <c r="SQ101" s="54"/>
      <c r="SR101" s="54"/>
    </row>
    <row r="102" spans="1:512" ht="15" customHeight="1" x14ac:dyDescent="0.7">
      <c r="A102" s="172"/>
      <c r="B102" s="172"/>
      <c r="C102" s="172"/>
      <c r="D102" s="172"/>
      <c r="E102" s="172"/>
      <c r="F102" s="172"/>
      <c r="G102" s="172"/>
      <c r="I102" s="89" t="s">
        <v>391</v>
      </c>
      <c r="J102" s="90">
        <v>13</v>
      </c>
      <c r="K102" s="169"/>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c r="CX102" s="54"/>
      <c r="CY102" s="54"/>
      <c r="CZ102" s="54"/>
      <c r="DA102" s="54"/>
      <c r="DB102" s="54"/>
      <c r="DC102" s="54"/>
      <c r="DD102" s="54"/>
      <c r="DE102" s="54"/>
      <c r="DF102" s="54"/>
      <c r="DG102" s="54"/>
      <c r="DH102" s="54"/>
      <c r="DI102" s="54"/>
      <c r="DJ102" s="54"/>
      <c r="DK102" s="54"/>
      <c r="DL102" s="54"/>
      <c r="DM102" s="54"/>
      <c r="DN102" s="54"/>
      <c r="DO102" s="54"/>
      <c r="DP102" s="54"/>
      <c r="DQ102" s="54"/>
      <c r="DR102" s="54"/>
      <c r="DS102" s="54"/>
      <c r="DT102" s="54"/>
      <c r="DU102" s="54"/>
      <c r="DV102" s="54"/>
      <c r="DW102" s="54"/>
      <c r="DX102" s="54"/>
      <c r="DY102" s="54"/>
      <c r="DZ102" s="54"/>
      <c r="EA102" s="54"/>
      <c r="EB102" s="54"/>
      <c r="EC102" s="54"/>
      <c r="ED102" s="54"/>
      <c r="EE102" s="54"/>
      <c r="EF102" s="54"/>
      <c r="EG102" s="54"/>
      <c r="EH102" s="54"/>
      <c r="EI102" s="54"/>
      <c r="EJ102" s="54"/>
      <c r="EK102" s="54"/>
      <c r="EL102" s="54"/>
      <c r="EM102" s="54"/>
      <c r="EN102" s="54"/>
      <c r="EO102" s="54"/>
      <c r="EP102" s="54"/>
      <c r="EQ102" s="54"/>
      <c r="ER102" s="54"/>
      <c r="ES102" s="54"/>
      <c r="ET102" s="54"/>
      <c r="EU102" s="54"/>
      <c r="EV102" s="54"/>
      <c r="EW102" s="54"/>
      <c r="EX102" s="54"/>
      <c r="EY102" s="54"/>
      <c r="EZ102" s="54"/>
      <c r="FA102" s="54"/>
      <c r="FB102" s="54"/>
      <c r="FC102" s="54"/>
      <c r="FD102" s="54"/>
      <c r="FE102" s="54"/>
      <c r="FF102" s="54"/>
      <c r="FG102" s="54"/>
      <c r="FH102" s="54"/>
      <c r="FI102" s="54"/>
      <c r="FJ102" s="54"/>
      <c r="FK102" s="54"/>
      <c r="FL102" s="54"/>
      <c r="FM102" s="54"/>
      <c r="FN102" s="54"/>
      <c r="FO102" s="54"/>
      <c r="FP102" s="54"/>
      <c r="FQ102" s="54"/>
      <c r="FR102" s="54"/>
      <c r="FS102" s="54"/>
      <c r="FT102" s="54"/>
      <c r="FU102" s="54"/>
      <c r="FV102" s="54"/>
      <c r="FW102" s="54"/>
      <c r="FX102" s="54"/>
      <c r="FY102" s="54"/>
      <c r="FZ102" s="54"/>
      <c r="GA102" s="54"/>
      <c r="GB102" s="54"/>
      <c r="GC102" s="54"/>
      <c r="GD102" s="54"/>
      <c r="GE102" s="54"/>
      <c r="GF102" s="54"/>
      <c r="GG102" s="54"/>
      <c r="GH102" s="54"/>
      <c r="GI102" s="54"/>
      <c r="GJ102" s="54"/>
      <c r="GK102" s="54"/>
      <c r="GL102" s="54"/>
      <c r="GM102" s="54"/>
      <c r="GN102" s="54"/>
      <c r="GO102" s="54"/>
      <c r="GP102" s="54"/>
      <c r="GQ102" s="54"/>
      <c r="GR102" s="54"/>
      <c r="GS102" s="54"/>
      <c r="GT102" s="54"/>
      <c r="GU102" s="54"/>
      <c r="GV102" s="54"/>
      <c r="GW102" s="54"/>
      <c r="GX102" s="54"/>
      <c r="GY102" s="54"/>
      <c r="GZ102" s="54"/>
      <c r="HA102" s="54"/>
      <c r="HB102" s="54"/>
      <c r="HC102" s="54"/>
      <c r="HD102" s="54"/>
      <c r="HE102" s="54"/>
      <c r="HF102" s="54"/>
      <c r="HG102" s="54"/>
      <c r="HH102" s="54"/>
      <c r="HI102" s="54"/>
      <c r="HJ102" s="54"/>
      <c r="HK102" s="54"/>
      <c r="HL102" s="54"/>
      <c r="HM102" s="54"/>
      <c r="HN102" s="54"/>
      <c r="HO102" s="54"/>
      <c r="HP102" s="54"/>
      <c r="HQ102" s="54"/>
      <c r="HR102" s="54"/>
      <c r="HS102" s="54"/>
      <c r="HT102" s="54"/>
      <c r="HU102" s="54"/>
      <c r="HV102" s="54"/>
      <c r="HW102" s="54"/>
      <c r="HX102" s="54"/>
      <c r="HY102" s="54"/>
      <c r="HZ102" s="54"/>
      <c r="IA102" s="54"/>
      <c r="IB102" s="54"/>
      <c r="IC102" s="54"/>
      <c r="ID102" s="54"/>
      <c r="IE102" s="54"/>
      <c r="IF102" s="54"/>
      <c r="IG102" s="54"/>
      <c r="IH102" s="54"/>
      <c r="II102" s="54"/>
      <c r="IJ102" s="54"/>
      <c r="IK102" s="54"/>
      <c r="IL102" s="54"/>
      <c r="IM102" s="54"/>
      <c r="IN102" s="54"/>
      <c r="IO102" s="54"/>
      <c r="IP102" s="54"/>
      <c r="IQ102" s="54"/>
      <c r="IR102" s="54"/>
      <c r="IS102" s="54"/>
      <c r="IT102" s="54"/>
      <c r="IU102" s="54"/>
      <c r="IV102" s="54"/>
      <c r="IW102" s="54"/>
      <c r="IX102" s="54"/>
      <c r="IY102" s="54"/>
      <c r="IZ102" s="54"/>
      <c r="JA102" s="54"/>
      <c r="JB102" s="54"/>
      <c r="JC102" s="54"/>
      <c r="JD102" s="54"/>
      <c r="JE102" s="54"/>
      <c r="JF102" s="54"/>
      <c r="JG102" s="54"/>
      <c r="JH102" s="54"/>
      <c r="JI102" s="54"/>
      <c r="JJ102" s="54"/>
      <c r="JK102" s="54"/>
      <c r="JL102" s="54"/>
      <c r="JM102" s="54"/>
      <c r="JN102" s="54"/>
      <c r="JO102" s="54"/>
      <c r="JP102" s="54"/>
      <c r="JQ102" s="54"/>
      <c r="JR102" s="54"/>
      <c r="JS102" s="54"/>
      <c r="JT102" s="54"/>
      <c r="JU102" s="54"/>
      <c r="JV102" s="54"/>
      <c r="JW102" s="54"/>
      <c r="JX102" s="54"/>
      <c r="JY102" s="54"/>
      <c r="JZ102" s="54"/>
      <c r="KA102" s="54"/>
      <c r="KB102" s="54"/>
      <c r="KC102" s="54"/>
      <c r="KD102" s="54"/>
      <c r="KE102" s="54"/>
      <c r="KF102" s="54"/>
      <c r="KG102" s="54"/>
      <c r="KH102" s="54"/>
      <c r="KI102" s="54"/>
      <c r="KJ102" s="54"/>
      <c r="KK102" s="54"/>
      <c r="KL102" s="54"/>
      <c r="KM102" s="54"/>
      <c r="KN102" s="54"/>
      <c r="KO102" s="54"/>
      <c r="KP102" s="54"/>
      <c r="KQ102" s="54"/>
      <c r="KR102" s="54"/>
      <c r="KS102" s="54"/>
      <c r="KT102" s="54"/>
      <c r="KU102" s="54"/>
      <c r="KV102" s="54"/>
      <c r="KW102" s="54"/>
      <c r="KX102" s="54"/>
      <c r="KY102" s="54"/>
      <c r="KZ102" s="54"/>
      <c r="LA102" s="54"/>
      <c r="LB102" s="54"/>
      <c r="LC102" s="54"/>
      <c r="LD102" s="54"/>
      <c r="LE102" s="54"/>
      <c r="LF102" s="54"/>
      <c r="LG102" s="54"/>
      <c r="LH102" s="54"/>
      <c r="LI102" s="54"/>
      <c r="LJ102" s="54"/>
      <c r="LK102" s="54"/>
      <c r="LL102" s="54"/>
      <c r="LM102" s="54"/>
      <c r="LN102" s="54"/>
      <c r="LO102" s="54"/>
      <c r="LP102" s="54"/>
      <c r="LQ102" s="54"/>
      <c r="LR102" s="54"/>
      <c r="LS102" s="54"/>
      <c r="LT102" s="54"/>
      <c r="LU102" s="54"/>
      <c r="LV102" s="54"/>
      <c r="LW102" s="54"/>
      <c r="LX102" s="54"/>
      <c r="LY102" s="54"/>
      <c r="LZ102" s="54"/>
      <c r="MA102" s="54"/>
      <c r="MB102" s="54"/>
      <c r="MC102" s="54"/>
      <c r="MD102" s="54"/>
      <c r="ME102" s="54"/>
      <c r="MF102" s="54"/>
      <c r="MG102" s="54"/>
      <c r="MH102" s="54"/>
      <c r="MI102" s="54"/>
      <c r="MJ102" s="54"/>
      <c r="MK102" s="54"/>
      <c r="ML102" s="54"/>
      <c r="MM102" s="54"/>
      <c r="MN102" s="54"/>
      <c r="MO102" s="54"/>
      <c r="MP102" s="54"/>
      <c r="MQ102" s="54"/>
      <c r="MR102" s="54"/>
      <c r="MS102" s="54"/>
      <c r="MT102" s="54"/>
      <c r="MU102" s="54"/>
      <c r="MV102" s="54"/>
      <c r="MW102" s="54"/>
      <c r="MX102" s="54"/>
      <c r="MY102" s="54"/>
      <c r="MZ102" s="54"/>
      <c r="NA102" s="54"/>
      <c r="NB102" s="54"/>
      <c r="NC102" s="54"/>
      <c r="ND102" s="54"/>
      <c r="NE102" s="54"/>
      <c r="NF102" s="54"/>
      <c r="NG102" s="54"/>
      <c r="NH102" s="54"/>
      <c r="NI102" s="54"/>
      <c r="NJ102" s="54"/>
      <c r="NK102" s="54"/>
      <c r="NL102" s="54"/>
      <c r="NM102" s="54"/>
      <c r="NN102" s="54"/>
      <c r="NO102" s="54"/>
      <c r="NP102" s="54"/>
      <c r="NQ102" s="54"/>
      <c r="NR102" s="54"/>
      <c r="NS102" s="54"/>
      <c r="NT102" s="54"/>
      <c r="NU102" s="54"/>
      <c r="NV102" s="54"/>
      <c r="NW102" s="54"/>
      <c r="NX102" s="54"/>
      <c r="NY102" s="54"/>
      <c r="NZ102" s="54"/>
      <c r="OA102" s="54"/>
      <c r="OB102" s="54"/>
      <c r="OC102" s="54"/>
      <c r="OD102" s="54"/>
      <c r="OE102" s="54"/>
      <c r="OF102" s="54"/>
      <c r="OG102" s="54"/>
      <c r="OH102" s="54"/>
      <c r="OI102" s="54"/>
      <c r="OJ102" s="54"/>
      <c r="OK102" s="54"/>
      <c r="OL102" s="54"/>
      <c r="OM102" s="54"/>
      <c r="ON102" s="54"/>
      <c r="OO102" s="54"/>
      <c r="OP102" s="54"/>
      <c r="OQ102" s="54"/>
      <c r="OR102" s="54"/>
      <c r="OS102" s="54"/>
      <c r="OT102" s="54"/>
      <c r="OU102" s="54"/>
      <c r="OV102" s="54"/>
      <c r="OW102" s="54"/>
      <c r="OX102" s="54"/>
      <c r="OY102" s="54"/>
      <c r="OZ102" s="54"/>
      <c r="PA102" s="54"/>
      <c r="PB102" s="54"/>
      <c r="PC102" s="54"/>
      <c r="PD102" s="54"/>
      <c r="PE102" s="54"/>
      <c r="PF102" s="54"/>
      <c r="PG102" s="54"/>
      <c r="PH102" s="54"/>
      <c r="PI102" s="54"/>
      <c r="PJ102" s="54"/>
      <c r="PK102" s="54"/>
      <c r="PL102" s="54"/>
      <c r="PM102" s="54"/>
      <c r="PN102" s="54"/>
      <c r="PO102" s="54"/>
      <c r="PP102" s="54"/>
      <c r="PQ102" s="54"/>
      <c r="PR102" s="54"/>
      <c r="PS102" s="54"/>
      <c r="PT102" s="54"/>
      <c r="PU102" s="54"/>
      <c r="PV102" s="54"/>
      <c r="PW102" s="54"/>
      <c r="PX102" s="54"/>
      <c r="PY102" s="54"/>
      <c r="PZ102" s="54"/>
      <c r="QA102" s="54"/>
      <c r="QB102" s="54"/>
      <c r="QC102" s="54"/>
      <c r="QD102" s="54"/>
      <c r="QE102" s="54"/>
      <c r="QF102" s="54"/>
      <c r="QG102" s="54"/>
      <c r="QH102" s="54"/>
      <c r="QI102" s="54"/>
      <c r="QJ102" s="54"/>
      <c r="QK102" s="54"/>
      <c r="QL102" s="54"/>
      <c r="QM102" s="54"/>
      <c r="QN102" s="54"/>
      <c r="QO102" s="54"/>
      <c r="QP102" s="54"/>
      <c r="QQ102" s="54"/>
      <c r="QR102" s="54"/>
      <c r="QS102" s="54"/>
      <c r="QT102" s="54"/>
      <c r="QU102" s="54"/>
      <c r="QV102" s="54"/>
      <c r="QW102" s="54"/>
      <c r="QX102" s="54"/>
      <c r="QY102" s="54"/>
      <c r="QZ102" s="54"/>
      <c r="RA102" s="54"/>
      <c r="RB102" s="54"/>
      <c r="RC102" s="54"/>
      <c r="RD102" s="54"/>
      <c r="RE102" s="54"/>
      <c r="RF102" s="54"/>
      <c r="RG102" s="54"/>
      <c r="RH102" s="54"/>
      <c r="RI102" s="54"/>
      <c r="RJ102" s="54"/>
      <c r="RK102" s="54"/>
      <c r="RL102" s="54"/>
      <c r="RM102" s="54"/>
      <c r="RN102" s="54"/>
      <c r="RO102" s="54"/>
      <c r="RP102" s="54"/>
      <c r="RQ102" s="54"/>
      <c r="RR102" s="54"/>
      <c r="RS102" s="54"/>
      <c r="RT102" s="54"/>
      <c r="RU102" s="54"/>
      <c r="RV102" s="54"/>
      <c r="RW102" s="54"/>
      <c r="RX102" s="54"/>
      <c r="RY102" s="54"/>
      <c r="RZ102" s="54"/>
      <c r="SA102" s="54"/>
      <c r="SB102" s="54"/>
      <c r="SC102" s="54"/>
      <c r="SD102" s="54"/>
      <c r="SE102" s="54"/>
      <c r="SF102" s="54"/>
      <c r="SG102" s="54"/>
      <c r="SH102" s="54"/>
      <c r="SI102" s="54"/>
      <c r="SJ102" s="54"/>
      <c r="SK102" s="54"/>
      <c r="SL102" s="54"/>
      <c r="SM102" s="54"/>
      <c r="SN102" s="54"/>
      <c r="SO102" s="54"/>
      <c r="SP102" s="54"/>
      <c r="SQ102" s="54"/>
      <c r="SR102" s="54"/>
    </row>
    <row r="103" spans="1:512" s="55" customFormat="1" ht="15" customHeight="1" x14ac:dyDescent="0.7">
      <c r="A103" s="173"/>
      <c r="B103" s="173"/>
      <c r="C103" s="173"/>
      <c r="D103" s="173"/>
      <c r="E103" s="173"/>
      <c r="F103" s="173"/>
      <c r="G103" s="173"/>
      <c r="H103" s="74"/>
      <c r="I103" s="93"/>
      <c r="J103" s="94"/>
      <c r="K103" s="170"/>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6"/>
      <c r="DG103" s="56"/>
      <c r="DH103" s="56"/>
      <c r="DI103" s="56"/>
      <c r="DJ103" s="56"/>
      <c r="DK103" s="56"/>
      <c r="DL103" s="56"/>
      <c r="DM103" s="56"/>
      <c r="DN103" s="56"/>
      <c r="DO103" s="56"/>
      <c r="DP103" s="56"/>
      <c r="DQ103" s="56"/>
      <c r="DR103" s="56"/>
      <c r="DS103" s="56"/>
      <c r="DT103" s="56"/>
      <c r="DU103" s="56"/>
      <c r="DV103" s="56"/>
      <c r="DW103" s="56"/>
      <c r="DX103" s="56"/>
      <c r="DY103" s="56"/>
      <c r="DZ103" s="56"/>
      <c r="EA103" s="56"/>
      <c r="EB103" s="56"/>
      <c r="EC103" s="56"/>
      <c r="ED103" s="56"/>
      <c r="EE103" s="56"/>
      <c r="EF103" s="56"/>
      <c r="EG103" s="56"/>
      <c r="EH103" s="56"/>
      <c r="EI103" s="56"/>
      <c r="EJ103" s="56"/>
      <c r="EK103" s="56"/>
      <c r="EL103" s="56"/>
      <c r="EM103" s="56"/>
      <c r="EN103" s="56"/>
      <c r="EO103" s="56"/>
      <c r="EP103" s="56"/>
      <c r="EQ103" s="56"/>
      <c r="ER103" s="56"/>
      <c r="ES103" s="56"/>
      <c r="ET103" s="56"/>
      <c r="EU103" s="56"/>
      <c r="EV103" s="56"/>
      <c r="EW103" s="56"/>
      <c r="EX103" s="56"/>
      <c r="EY103" s="56"/>
      <c r="EZ103" s="56"/>
      <c r="FA103" s="56"/>
      <c r="FB103" s="56"/>
      <c r="FC103" s="56"/>
      <c r="FD103" s="56"/>
      <c r="FE103" s="56"/>
      <c r="FF103" s="56"/>
      <c r="FG103" s="56"/>
      <c r="FH103" s="56"/>
      <c r="FI103" s="56"/>
      <c r="FJ103" s="56"/>
      <c r="FK103" s="56"/>
      <c r="FL103" s="56"/>
      <c r="FM103" s="56"/>
      <c r="FN103" s="56"/>
      <c r="FO103" s="56"/>
      <c r="FP103" s="56"/>
      <c r="FQ103" s="56"/>
      <c r="FR103" s="56"/>
      <c r="FS103" s="56"/>
      <c r="FT103" s="56"/>
      <c r="FU103" s="56"/>
      <c r="FV103" s="56"/>
      <c r="FW103" s="56"/>
      <c r="FX103" s="56"/>
      <c r="FY103" s="56"/>
      <c r="FZ103" s="56"/>
      <c r="GA103" s="56"/>
      <c r="GB103" s="56"/>
      <c r="GC103" s="56"/>
      <c r="GD103" s="56"/>
      <c r="GE103" s="56"/>
      <c r="GF103" s="56"/>
      <c r="GG103" s="56"/>
      <c r="GH103" s="56"/>
      <c r="GI103" s="56"/>
      <c r="GJ103" s="56"/>
      <c r="GK103" s="56"/>
      <c r="GL103" s="56"/>
      <c r="GM103" s="56"/>
      <c r="GN103" s="56"/>
      <c r="GO103" s="56"/>
      <c r="GP103" s="56"/>
      <c r="GQ103" s="56"/>
      <c r="GR103" s="56"/>
      <c r="GS103" s="56"/>
      <c r="GT103" s="56"/>
      <c r="GU103" s="56"/>
      <c r="GV103" s="56"/>
      <c r="GW103" s="56"/>
      <c r="GX103" s="56"/>
      <c r="GY103" s="56"/>
      <c r="GZ103" s="56"/>
      <c r="HA103" s="56"/>
      <c r="HB103" s="56"/>
      <c r="HC103" s="56"/>
      <c r="HD103" s="56"/>
      <c r="HE103" s="56"/>
      <c r="HF103" s="56"/>
      <c r="HG103" s="56"/>
      <c r="HH103" s="56"/>
      <c r="HI103" s="56"/>
      <c r="HJ103" s="56"/>
      <c r="HK103" s="56"/>
      <c r="HL103" s="56"/>
      <c r="HM103" s="56"/>
      <c r="HN103" s="56"/>
      <c r="HO103" s="56"/>
      <c r="HP103" s="56"/>
      <c r="HQ103" s="56"/>
      <c r="HR103" s="56"/>
      <c r="HS103" s="56"/>
      <c r="HT103" s="56"/>
      <c r="HU103" s="56"/>
      <c r="HV103" s="56"/>
      <c r="HW103" s="56"/>
      <c r="HX103" s="56"/>
      <c r="HY103" s="56"/>
      <c r="HZ103" s="56"/>
      <c r="IA103" s="56"/>
      <c r="IB103" s="56"/>
      <c r="IC103" s="56"/>
      <c r="ID103" s="56"/>
      <c r="IE103" s="56"/>
      <c r="IF103" s="56"/>
      <c r="IG103" s="56"/>
      <c r="IH103" s="56"/>
      <c r="II103" s="56"/>
      <c r="IJ103" s="56"/>
      <c r="IK103" s="56"/>
      <c r="IL103" s="56"/>
      <c r="IM103" s="56"/>
      <c r="IN103" s="56"/>
      <c r="IO103" s="56"/>
      <c r="IP103" s="56"/>
      <c r="IQ103" s="56"/>
      <c r="IR103" s="56"/>
      <c r="IS103" s="56"/>
      <c r="IT103" s="56"/>
      <c r="IU103" s="56"/>
      <c r="IV103" s="56"/>
      <c r="IW103" s="56"/>
      <c r="IX103" s="56"/>
      <c r="IY103" s="56"/>
      <c r="IZ103" s="56"/>
      <c r="JA103" s="56"/>
      <c r="JB103" s="56"/>
      <c r="JC103" s="56"/>
      <c r="JD103" s="56"/>
      <c r="JE103" s="56"/>
      <c r="JF103" s="56"/>
      <c r="JG103" s="56"/>
      <c r="JH103" s="56"/>
      <c r="JI103" s="56"/>
      <c r="JJ103" s="56"/>
      <c r="JK103" s="56"/>
      <c r="JL103" s="56"/>
      <c r="JM103" s="56"/>
      <c r="JN103" s="56"/>
      <c r="JO103" s="56"/>
      <c r="JP103" s="56"/>
      <c r="JQ103" s="56"/>
      <c r="JR103" s="56"/>
      <c r="JS103" s="56"/>
      <c r="JT103" s="56"/>
      <c r="JU103" s="56"/>
      <c r="JV103" s="56"/>
      <c r="JW103" s="56"/>
      <c r="JX103" s="56"/>
      <c r="JY103" s="56"/>
      <c r="JZ103" s="56"/>
      <c r="KA103" s="56"/>
      <c r="KB103" s="56"/>
      <c r="KC103" s="56"/>
      <c r="KD103" s="56"/>
      <c r="KE103" s="56"/>
      <c r="KF103" s="56"/>
      <c r="KG103" s="56"/>
      <c r="KH103" s="56"/>
      <c r="KI103" s="56"/>
      <c r="KJ103" s="56"/>
      <c r="KK103" s="56"/>
      <c r="KL103" s="56"/>
      <c r="KM103" s="56"/>
      <c r="KN103" s="56"/>
      <c r="KO103" s="56"/>
      <c r="KP103" s="56"/>
      <c r="KQ103" s="56"/>
      <c r="KR103" s="56"/>
      <c r="KS103" s="56"/>
      <c r="KT103" s="56"/>
      <c r="KU103" s="56"/>
      <c r="KV103" s="56"/>
      <c r="KW103" s="56"/>
      <c r="KX103" s="56"/>
      <c r="KY103" s="56"/>
      <c r="KZ103" s="56"/>
      <c r="LA103" s="56"/>
      <c r="LB103" s="56"/>
      <c r="LC103" s="56"/>
      <c r="LD103" s="56"/>
      <c r="LE103" s="56"/>
      <c r="LF103" s="56"/>
      <c r="LG103" s="56"/>
      <c r="LH103" s="56"/>
      <c r="LI103" s="56"/>
      <c r="LJ103" s="56"/>
      <c r="LK103" s="56"/>
      <c r="LL103" s="56"/>
      <c r="LM103" s="56"/>
      <c r="LN103" s="56"/>
      <c r="LO103" s="56"/>
      <c r="LP103" s="56"/>
      <c r="LQ103" s="56"/>
      <c r="LR103" s="56"/>
      <c r="LS103" s="56"/>
      <c r="LT103" s="56"/>
      <c r="LU103" s="56"/>
      <c r="LV103" s="56"/>
      <c r="LW103" s="56"/>
      <c r="LX103" s="56"/>
      <c r="LY103" s="56"/>
      <c r="LZ103" s="56"/>
      <c r="MA103" s="56"/>
      <c r="MB103" s="56"/>
      <c r="MC103" s="56"/>
      <c r="MD103" s="56"/>
      <c r="ME103" s="56"/>
      <c r="MF103" s="56"/>
      <c r="MG103" s="56"/>
      <c r="MH103" s="56"/>
      <c r="MI103" s="56"/>
      <c r="MJ103" s="56"/>
      <c r="MK103" s="56"/>
      <c r="ML103" s="56"/>
      <c r="MM103" s="56"/>
      <c r="MN103" s="56"/>
      <c r="MO103" s="56"/>
      <c r="MP103" s="56"/>
      <c r="MQ103" s="56"/>
      <c r="MR103" s="56"/>
      <c r="MS103" s="56"/>
      <c r="MT103" s="56"/>
      <c r="MU103" s="56"/>
      <c r="MV103" s="56"/>
      <c r="MW103" s="56"/>
      <c r="MX103" s="56"/>
      <c r="MY103" s="56"/>
      <c r="MZ103" s="56"/>
      <c r="NA103" s="56"/>
      <c r="NB103" s="56"/>
      <c r="NC103" s="56"/>
      <c r="ND103" s="56"/>
      <c r="NE103" s="56"/>
      <c r="NF103" s="56"/>
      <c r="NG103" s="56"/>
      <c r="NH103" s="56"/>
      <c r="NI103" s="56"/>
      <c r="NJ103" s="56"/>
      <c r="NK103" s="56"/>
      <c r="NL103" s="56"/>
      <c r="NM103" s="56"/>
      <c r="NN103" s="56"/>
      <c r="NO103" s="56"/>
      <c r="NP103" s="56"/>
      <c r="NQ103" s="56"/>
      <c r="NR103" s="56"/>
      <c r="NS103" s="56"/>
      <c r="NT103" s="56"/>
      <c r="NU103" s="56"/>
      <c r="NV103" s="56"/>
      <c r="NW103" s="56"/>
      <c r="NX103" s="56"/>
      <c r="NY103" s="56"/>
      <c r="NZ103" s="56"/>
      <c r="OA103" s="56"/>
      <c r="OB103" s="56"/>
      <c r="OC103" s="56"/>
      <c r="OD103" s="56"/>
      <c r="OE103" s="56"/>
      <c r="OF103" s="56"/>
      <c r="OG103" s="56"/>
      <c r="OH103" s="56"/>
      <c r="OI103" s="56"/>
      <c r="OJ103" s="56"/>
      <c r="OK103" s="56"/>
      <c r="OL103" s="56"/>
      <c r="OM103" s="56"/>
      <c r="ON103" s="56"/>
      <c r="OO103" s="56"/>
      <c r="OP103" s="56"/>
      <c r="OQ103" s="56"/>
      <c r="OR103" s="56"/>
      <c r="OS103" s="56"/>
      <c r="OT103" s="56"/>
      <c r="OU103" s="56"/>
      <c r="OV103" s="56"/>
      <c r="OW103" s="56"/>
      <c r="OX103" s="56"/>
      <c r="OY103" s="56"/>
      <c r="OZ103" s="56"/>
      <c r="PA103" s="56"/>
      <c r="PB103" s="56"/>
      <c r="PC103" s="56"/>
      <c r="PD103" s="56"/>
      <c r="PE103" s="56"/>
      <c r="PF103" s="56"/>
      <c r="PG103" s="56"/>
      <c r="PH103" s="56"/>
      <c r="PI103" s="56"/>
      <c r="PJ103" s="56"/>
      <c r="PK103" s="56"/>
      <c r="PL103" s="56"/>
      <c r="PM103" s="56"/>
      <c r="PN103" s="56"/>
      <c r="PO103" s="56"/>
      <c r="PP103" s="56"/>
      <c r="PQ103" s="56"/>
      <c r="PR103" s="56"/>
      <c r="PS103" s="56"/>
      <c r="PT103" s="56"/>
      <c r="PU103" s="56"/>
      <c r="PV103" s="56"/>
      <c r="PW103" s="56"/>
      <c r="PX103" s="56"/>
      <c r="PY103" s="56"/>
      <c r="PZ103" s="56"/>
      <c r="QA103" s="56"/>
      <c r="QB103" s="56"/>
      <c r="QC103" s="56"/>
      <c r="QD103" s="56"/>
      <c r="QE103" s="56"/>
      <c r="QF103" s="56"/>
      <c r="QG103" s="56"/>
      <c r="QH103" s="56"/>
      <c r="QI103" s="56"/>
      <c r="QJ103" s="56"/>
      <c r="QK103" s="56"/>
      <c r="QL103" s="56"/>
      <c r="QM103" s="56"/>
      <c r="QN103" s="56"/>
      <c r="QO103" s="56"/>
      <c r="QP103" s="56"/>
      <c r="QQ103" s="56"/>
      <c r="QR103" s="56"/>
      <c r="QS103" s="56"/>
      <c r="QT103" s="56"/>
      <c r="QU103" s="56"/>
      <c r="QV103" s="56"/>
      <c r="QW103" s="56"/>
      <c r="QX103" s="56"/>
      <c r="QY103" s="56"/>
      <c r="QZ103" s="56"/>
      <c r="RA103" s="56"/>
      <c r="RB103" s="56"/>
      <c r="RC103" s="56"/>
      <c r="RD103" s="56"/>
      <c r="RE103" s="56"/>
      <c r="RF103" s="56"/>
      <c r="RG103" s="56"/>
      <c r="RH103" s="56"/>
      <c r="RI103" s="56"/>
      <c r="RJ103" s="56"/>
      <c r="RK103" s="56"/>
      <c r="RL103" s="56"/>
      <c r="RM103" s="56"/>
      <c r="RN103" s="56"/>
      <c r="RO103" s="56"/>
      <c r="RP103" s="56"/>
      <c r="RQ103" s="56"/>
      <c r="RR103" s="56"/>
      <c r="RS103" s="56"/>
      <c r="RT103" s="56"/>
      <c r="RU103" s="56"/>
      <c r="RV103" s="56"/>
      <c r="RW103" s="56"/>
      <c r="RX103" s="56"/>
      <c r="RY103" s="56"/>
      <c r="RZ103" s="56"/>
      <c r="SA103" s="56"/>
      <c r="SB103" s="56"/>
      <c r="SC103" s="56"/>
      <c r="SD103" s="56"/>
      <c r="SE103" s="56"/>
      <c r="SF103" s="56"/>
      <c r="SG103" s="56"/>
      <c r="SH103" s="56"/>
      <c r="SI103" s="56"/>
      <c r="SJ103" s="56"/>
      <c r="SK103" s="56"/>
      <c r="SL103" s="56"/>
      <c r="SM103" s="56"/>
      <c r="SN103" s="56"/>
      <c r="SO103" s="56"/>
      <c r="SP103" s="56"/>
      <c r="SQ103" s="56"/>
      <c r="SR103" s="56"/>
    </row>
    <row r="104" spans="1:512" ht="15" customHeight="1" x14ac:dyDescent="0.7">
      <c r="A104" s="171">
        <v>32</v>
      </c>
      <c r="B104" s="171" t="s">
        <v>50</v>
      </c>
      <c r="C104" s="171" t="s">
        <v>344</v>
      </c>
      <c r="D104" s="171"/>
      <c r="E104" s="171" t="s">
        <v>49</v>
      </c>
      <c r="F104" s="171"/>
      <c r="G104" s="188" t="s">
        <v>424</v>
      </c>
      <c r="H104" s="71" t="s">
        <v>425</v>
      </c>
      <c r="I104" s="72" t="s">
        <v>403</v>
      </c>
      <c r="J104" s="73">
        <v>0.65</v>
      </c>
      <c r="K104" s="189">
        <v>0.6</v>
      </c>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c r="CX104" s="54"/>
      <c r="CY104" s="54"/>
      <c r="CZ104" s="54"/>
      <c r="DA104" s="54"/>
      <c r="DB104" s="54"/>
      <c r="DC104" s="54"/>
      <c r="DD104" s="54"/>
      <c r="DE104" s="54"/>
      <c r="DF104" s="54"/>
      <c r="DG104" s="54"/>
      <c r="DH104" s="54"/>
      <c r="DI104" s="54"/>
      <c r="DJ104" s="54"/>
      <c r="DK104" s="54"/>
      <c r="DL104" s="54"/>
      <c r="DM104" s="54"/>
      <c r="DN104" s="54"/>
      <c r="DO104" s="54"/>
      <c r="DP104" s="54"/>
      <c r="DQ104" s="54"/>
      <c r="DR104" s="54"/>
      <c r="DS104" s="54"/>
      <c r="DT104" s="54"/>
      <c r="DU104" s="54"/>
      <c r="DV104" s="54"/>
      <c r="DW104" s="54"/>
      <c r="DX104" s="54"/>
      <c r="DY104" s="54"/>
      <c r="DZ104" s="54"/>
      <c r="EA104" s="54"/>
      <c r="EB104" s="54"/>
      <c r="EC104" s="54"/>
      <c r="ED104" s="54"/>
      <c r="EE104" s="54"/>
      <c r="EF104" s="54"/>
      <c r="EG104" s="54"/>
      <c r="EH104" s="54"/>
      <c r="EI104" s="54"/>
      <c r="EJ104" s="54"/>
      <c r="EK104" s="54"/>
      <c r="EL104" s="54"/>
      <c r="EM104" s="54"/>
      <c r="EN104" s="54"/>
      <c r="EO104" s="54"/>
      <c r="EP104" s="54"/>
      <c r="EQ104" s="54"/>
      <c r="ER104" s="54"/>
      <c r="ES104" s="54"/>
      <c r="ET104" s="54"/>
      <c r="EU104" s="54"/>
      <c r="EV104" s="54"/>
      <c r="EW104" s="54"/>
      <c r="EX104" s="54"/>
      <c r="EY104" s="54"/>
      <c r="EZ104" s="54"/>
      <c r="FA104" s="54"/>
      <c r="FB104" s="54"/>
      <c r="FC104" s="54"/>
      <c r="FD104" s="54"/>
      <c r="FE104" s="54"/>
      <c r="FF104" s="54"/>
      <c r="FG104" s="54"/>
      <c r="FH104" s="54"/>
      <c r="FI104" s="54"/>
      <c r="FJ104" s="54"/>
      <c r="FK104" s="54"/>
      <c r="FL104" s="54"/>
      <c r="FM104" s="54"/>
      <c r="FN104" s="54"/>
      <c r="FO104" s="54"/>
      <c r="FP104" s="54"/>
      <c r="FQ104" s="54"/>
      <c r="FR104" s="54"/>
      <c r="FS104" s="54"/>
      <c r="FT104" s="54"/>
      <c r="FU104" s="54"/>
      <c r="FV104" s="54"/>
      <c r="FW104" s="54"/>
      <c r="FX104" s="54"/>
      <c r="FY104" s="54"/>
      <c r="FZ104" s="54"/>
      <c r="GA104" s="54"/>
      <c r="GB104" s="54"/>
      <c r="GC104" s="54"/>
      <c r="GD104" s="54"/>
      <c r="GE104" s="54"/>
      <c r="GF104" s="54"/>
      <c r="GG104" s="54"/>
      <c r="GH104" s="54"/>
      <c r="GI104" s="54"/>
      <c r="GJ104" s="54"/>
      <c r="GK104" s="54"/>
      <c r="GL104" s="54"/>
      <c r="GM104" s="54"/>
      <c r="GN104" s="54"/>
      <c r="GO104" s="54"/>
      <c r="GP104" s="54"/>
      <c r="GQ104" s="54"/>
      <c r="GR104" s="54"/>
      <c r="GS104" s="54"/>
      <c r="GT104" s="54"/>
      <c r="GU104" s="54"/>
      <c r="GV104" s="54"/>
      <c r="GW104" s="54"/>
      <c r="GX104" s="54"/>
      <c r="GY104" s="54"/>
      <c r="GZ104" s="54"/>
      <c r="HA104" s="54"/>
      <c r="HB104" s="54"/>
      <c r="HC104" s="54"/>
      <c r="HD104" s="54"/>
      <c r="HE104" s="54"/>
      <c r="HF104" s="54"/>
      <c r="HG104" s="54"/>
      <c r="HH104" s="54"/>
      <c r="HI104" s="54"/>
      <c r="HJ104" s="54"/>
      <c r="HK104" s="54"/>
      <c r="HL104" s="54"/>
      <c r="HM104" s="54"/>
      <c r="HN104" s="54"/>
      <c r="HO104" s="54"/>
      <c r="HP104" s="54"/>
      <c r="HQ104" s="54"/>
      <c r="HR104" s="54"/>
      <c r="HS104" s="54"/>
      <c r="HT104" s="54"/>
      <c r="HU104" s="54"/>
      <c r="HV104" s="54"/>
      <c r="HW104" s="54"/>
      <c r="HX104" s="54"/>
      <c r="HY104" s="54"/>
      <c r="HZ104" s="54"/>
      <c r="IA104" s="54"/>
      <c r="IB104" s="54"/>
      <c r="IC104" s="54"/>
      <c r="ID104" s="54"/>
      <c r="IE104" s="54"/>
      <c r="IF104" s="54"/>
      <c r="IG104" s="54"/>
      <c r="IH104" s="54"/>
      <c r="II104" s="54"/>
      <c r="IJ104" s="54"/>
      <c r="IK104" s="54"/>
      <c r="IL104" s="54"/>
      <c r="IM104" s="54"/>
      <c r="IN104" s="54"/>
      <c r="IO104" s="54"/>
      <c r="IP104" s="54"/>
      <c r="IQ104" s="54"/>
      <c r="IR104" s="54"/>
      <c r="IS104" s="54"/>
      <c r="IT104" s="54"/>
      <c r="IU104" s="54"/>
      <c r="IV104" s="54"/>
      <c r="IW104" s="54"/>
      <c r="IX104" s="54"/>
      <c r="IY104" s="54"/>
      <c r="IZ104" s="54"/>
      <c r="JA104" s="54"/>
      <c r="JB104" s="54"/>
      <c r="JC104" s="54"/>
      <c r="JD104" s="54"/>
      <c r="JE104" s="54"/>
      <c r="JF104" s="54"/>
      <c r="JG104" s="54"/>
      <c r="JH104" s="54"/>
      <c r="JI104" s="54"/>
      <c r="JJ104" s="54"/>
      <c r="JK104" s="54"/>
      <c r="JL104" s="54"/>
      <c r="JM104" s="54"/>
      <c r="JN104" s="54"/>
      <c r="JO104" s="54"/>
      <c r="JP104" s="54"/>
      <c r="JQ104" s="54"/>
      <c r="JR104" s="54"/>
      <c r="JS104" s="54"/>
      <c r="JT104" s="54"/>
      <c r="JU104" s="54"/>
      <c r="JV104" s="54"/>
      <c r="JW104" s="54"/>
      <c r="JX104" s="54"/>
      <c r="JY104" s="54"/>
      <c r="JZ104" s="54"/>
      <c r="KA104" s="54"/>
      <c r="KB104" s="54"/>
      <c r="KC104" s="54"/>
      <c r="KD104" s="54"/>
      <c r="KE104" s="54"/>
      <c r="KF104" s="54"/>
      <c r="KG104" s="54"/>
      <c r="KH104" s="54"/>
      <c r="KI104" s="54"/>
      <c r="KJ104" s="54"/>
      <c r="KK104" s="54"/>
      <c r="KL104" s="54"/>
      <c r="KM104" s="54"/>
      <c r="KN104" s="54"/>
      <c r="KO104" s="54"/>
      <c r="KP104" s="54"/>
      <c r="KQ104" s="54"/>
      <c r="KR104" s="54"/>
      <c r="KS104" s="54"/>
      <c r="KT104" s="54"/>
      <c r="KU104" s="54"/>
      <c r="KV104" s="54"/>
      <c r="KW104" s="54"/>
      <c r="KX104" s="54"/>
      <c r="KY104" s="54"/>
      <c r="KZ104" s="54"/>
      <c r="LA104" s="54"/>
      <c r="LB104" s="54"/>
      <c r="LC104" s="54"/>
      <c r="LD104" s="54"/>
      <c r="LE104" s="54"/>
      <c r="LF104" s="54"/>
      <c r="LG104" s="54"/>
      <c r="LH104" s="54"/>
      <c r="LI104" s="54"/>
      <c r="LJ104" s="54"/>
      <c r="LK104" s="54"/>
      <c r="LL104" s="54"/>
      <c r="LM104" s="54"/>
      <c r="LN104" s="54"/>
      <c r="LO104" s="54"/>
      <c r="LP104" s="54"/>
      <c r="LQ104" s="54"/>
      <c r="LR104" s="54"/>
      <c r="LS104" s="54"/>
      <c r="LT104" s="54"/>
      <c r="LU104" s="54"/>
      <c r="LV104" s="54"/>
      <c r="LW104" s="54"/>
      <c r="LX104" s="54"/>
      <c r="LY104" s="54"/>
      <c r="LZ104" s="54"/>
      <c r="MA104" s="54"/>
      <c r="MB104" s="54"/>
      <c r="MC104" s="54"/>
      <c r="MD104" s="54"/>
      <c r="ME104" s="54"/>
      <c r="MF104" s="54"/>
      <c r="MG104" s="54"/>
      <c r="MH104" s="54"/>
      <c r="MI104" s="54"/>
      <c r="MJ104" s="54"/>
      <c r="MK104" s="54"/>
      <c r="ML104" s="54"/>
      <c r="MM104" s="54"/>
      <c r="MN104" s="54"/>
      <c r="MO104" s="54"/>
      <c r="MP104" s="54"/>
      <c r="MQ104" s="54"/>
      <c r="MR104" s="54"/>
      <c r="MS104" s="54"/>
      <c r="MT104" s="54"/>
      <c r="MU104" s="54"/>
      <c r="MV104" s="54"/>
      <c r="MW104" s="54"/>
      <c r="MX104" s="54"/>
      <c r="MY104" s="54"/>
      <c r="MZ104" s="54"/>
      <c r="NA104" s="54"/>
      <c r="NB104" s="54"/>
      <c r="NC104" s="54"/>
      <c r="ND104" s="54"/>
      <c r="NE104" s="54"/>
      <c r="NF104" s="54"/>
      <c r="NG104" s="54"/>
      <c r="NH104" s="54"/>
      <c r="NI104" s="54"/>
      <c r="NJ104" s="54"/>
      <c r="NK104" s="54"/>
      <c r="NL104" s="54"/>
      <c r="NM104" s="54"/>
      <c r="NN104" s="54"/>
      <c r="NO104" s="54"/>
      <c r="NP104" s="54"/>
      <c r="NQ104" s="54"/>
      <c r="NR104" s="54"/>
      <c r="NS104" s="54"/>
      <c r="NT104" s="54"/>
      <c r="NU104" s="54"/>
      <c r="NV104" s="54"/>
      <c r="NW104" s="54"/>
      <c r="NX104" s="54"/>
      <c r="NY104" s="54"/>
      <c r="NZ104" s="54"/>
      <c r="OA104" s="54"/>
      <c r="OB104" s="54"/>
      <c r="OC104" s="54"/>
      <c r="OD104" s="54"/>
      <c r="OE104" s="54"/>
      <c r="OF104" s="54"/>
      <c r="OG104" s="54"/>
      <c r="OH104" s="54"/>
      <c r="OI104" s="54"/>
      <c r="OJ104" s="54"/>
      <c r="OK104" s="54"/>
      <c r="OL104" s="54"/>
      <c r="OM104" s="54"/>
      <c r="ON104" s="54"/>
      <c r="OO104" s="54"/>
      <c r="OP104" s="54"/>
      <c r="OQ104" s="54"/>
      <c r="OR104" s="54"/>
      <c r="OS104" s="54"/>
      <c r="OT104" s="54"/>
      <c r="OU104" s="54"/>
      <c r="OV104" s="54"/>
      <c r="OW104" s="54"/>
      <c r="OX104" s="54"/>
      <c r="OY104" s="54"/>
      <c r="OZ104" s="54"/>
      <c r="PA104" s="54"/>
      <c r="PB104" s="54"/>
      <c r="PC104" s="54"/>
      <c r="PD104" s="54"/>
      <c r="PE104" s="54"/>
      <c r="PF104" s="54"/>
      <c r="PG104" s="54"/>
      <c r="PH104" s="54"/>
      <c r="PI104" s="54"/>
      <c r="PJ104" s="54"/>
      <c r="PK104" s="54"/>
      <c r="PL104" s="54"/>
      <c r="PM104" s="54"/>
      <c r="PN104" s="54"/>
      <c r="PO104" s="54"/>
      <c r="PP104" s="54"/>
      <c r="PQ104" s="54"/>
      <c r="PR104" s="54"/>
      <c r="PS104" s="54"/>
      <c r="PT104" s="54"/>
      <c r="PU104" s="54"/>
      <c r="PV104" s="54"/>
      <c r="PW104" s="54"/>
      <c r="PX104" s="54"/>
      <c r="PY104" s="54"/>
      <c r="PZ104" s="54"/>
      <c r="QA104" s="54"/>
      <c r="QB104" s="54"/>
      <c r="QC104" s="54"/>
      <c r="QD104" s="54"/>
      <c r="QE104" s="54"/>
      <c r="QF104" s="54"/>
      <c r="QG104" s="54"/>
      <c r="QH104" s="54"/>
      <c r="QI104" s="54"/>
      <c r="QJ104" s="54"/>
      <c r="QK104" s="54"/>
      <c r="QL104" s="54"/>
      <c r="QM104" s="54"/>
      <c r="QN104" s="54"/>
      <c r="QO104" s="54"/>
      <c r="QP104" s="54"/>
      <c r="QQ104" s="54"/>
      <c r="QR104" s="54"/>
      <c r="QS104" s="54"/>
      <c r="QT104" s="54"/>
      <c r="QU104" s="54"/>
      <c r="QV104" s="54"/>
      <c r="QW104" s="54"/>
      <c r="QX104" s="54"/>
      <c r="QY104" s="54"/>
      <c r="QZ104" s="54"/>
      <c r="RA104" s="54"/>
      <c r="RB104" s="54"/>
      <c r="RC104" s="54"/>
      <c r="RD104" s="54"/>
      <c r="RE104" s="54"/>
      <c r="RF104" s="54"/>
      <c r="RG104" s="54"/>
      <c r="RH104" s="54"/>
      <c r="RI104" s="54"/>
      <c r="RJ104" s="54"/>
      <c r="RK104" s="54"/>
      <c r="RL104" s="54"/>
      <c r="RM104" s="54"/>
      <c r="RN104" s="54"/>
      <c r="RO104" s="54"/>
      <c r="RP104" s="54"/>
      <c r="RQ104" s="54"/>
      <c r="RR104" s="54"/>
      <c r="RS104" s="54"/>
      <c r="RT104" s="54"/>
      <c r="RU104" s="54"/>
      <c r="RV104" s="54"/>
      <c r="RW104" s="54"/>
      <c r="RX104" s="54"/>
      <c r="RY104" s="54"/>
      <c r="RZ104" s="54"/>
      <c r="SA104" s="54"/>
      <c r="SB104" s="54"/>
      <c r="SC104" s="54"/>
      <c r="SD104" s="54"/>
      <c r="SE104" s="54"/>
      <c r="SF104" s="54"/>
      <c r="SG104" s="54"/>
      <c r="SH104" s="54"/>
      <c r="SI104" s="54"/>
      <c r="SJ104" s="54"/>
      <c r="SK104" s="54"/>
      <c r="SL104" s="54"/>
      <c r="SM104" s="54"/>
      <c r="SN104" s="54"/>
      <c r="SO104" s="54"/>
      <c r="SP104" s="54"/>
      <c r="SQ104" s="54"/>
      <c r="SR104" s="54"/>
    </row>
    <row r="105" spans="1:512" ht="15" customHeight="1" x14ac:dyDescent="0.7">
      <c r="A105" s="172"/>
      <c r="B105" s="172"/>
      <c r="C105" s="172"/>
      <c r="D105" s="172"/>
      <c r="E105" s="172"/>
      <c r="F105" s="172"/>
      <c r="G105" s="172"/>
      <c r="I105" s="72" t="s">
        <v>404</v>
      </c>
      <c r="J105" s="73">
        <v>0.54999999999999993</v>
      </c>
      <c r="K105" s="190"/>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c r="CX105" s="54"/>
      <c r="CY105" s="54"/>
      <c r="CZ105" s="54"/>
      <c r="DA105" s="54"/>
      <c r="DB105" s="54"/>
      <c r="DC105" s="54"/>
      <c r="DD105" s="54"/>
      <c r="DE105" s="54"/>
      <c r="DF105" s="54"/>
      <c r="DG105" s="54"/>
      <c r="DH105" s="54"/>
      <c r="DI105" s="54"/>
      <c r="DJ105" s="54"/>
      <c r="DK105" s="54"/>
      <c r="DL105" s="54"/>
      <c r="DM105" s="54"/>
      <c r="DN105" s="54"/>
      <c r="DO105" s="54"/>
      <c r="DP105" s="54"/>
      <c r="DQ105" s="54"/>
      <c r="DR105" s="54"/>
      <c r="DS105" s="54"/>
      <c r="DT105" s="54"/>
      <c r="DU105" s="54"/>
      <c r="DV105" s="54"/>
      <c r="DW105" s="54"/>
      <c r="DX105" s="54"/>
      <c r="DY105" s="54"/>
      <c r="DZ105" s="54"/>
      <c r="EA105" s="54"/>
      <c r="EB105" s="54"/>
      <c r="EC105" s="54"/>
      <c r="ED105" s="54"/>
      <c r="EE105" s="54"/>
      <c r="EF105" s="54"/>
      <c r="EG105" s="54"/>
      <c r="EH105" s="54"/>
      <c r="EI105" s="54"/>
      <c r="EJ105" s="54"/>
      <c r="EK105" s="54"/>
      <c r="EL105" s="54"/>
      <c r="EM105" s="54"/>
      <c r="EN105" s="54"/>
      <c r="EO105" s="54"/>
      <c r="EP105" s="54"/>
      <c r="EQ105" s="54"/>
      <c r="ER105" s="54"/>
      <c r="ES105" s="54"/>
      <c r="ET105" s="54"/>
      <c r="EU105" s="54"/>
      <c r="EV105" s="54"/>
      <c r="EW105" s="54"/>
      <c r="EX105" s="54"/>
      <c r="EY105" s="54"/>
      <c r="EZ105" s="54"/>
      <c r="FA105" s="54"/>
      <c r="FB105" s="54"/>
      <c r="FC105" s="54"/>
      <c r="FD105" s="54"/>
      <c r="FE105" s="54"/>
      <c r="FF105" s="54"/>
      <c r="FG105" s="54"/>
      <c r="FH105" s="54"/>
      <c r="FI105" s="54"/>
      <c r="FJ105" s="54"/>
      <c r="FK105" s="54"/>
      <c r="FL105" s="54"/>
      <c r="FM105" s="54"/>
      <c r="FN105" s="54"/>
      <c r="FO105" s="54"/>
      <c r="FP105" s="54"/>
      <c r="FQ105" s="54"/>
      <c r="FR105" s="54"/>
      <c r="FS105" s="54"/>
      <c r="FT105" s="54"/>
      <c r="FU105" s="54"/>
      <c r="FV105" s="54"/>
      <c r="FW105" s="54"/>
      <c r="FX105" s="54"/>
      <c r="FY105" s="54"/>
      <c r="FZ105" s="54"/>
      <c r="GA105" s="54"/>
      <c r="GB105" s="54"/>
      <c r="GC105" s="54"/>
      <c r="GD105" s="54"/>
      <c r="GE105" s="54"/>
      <c r="GF105" s="54"/>
      <c r="GG105" s="54"/>
      <c r="GH105" s="54"/>
      <c r="GI105" s="54"/>
      <c r="GJ105" s="54"/>
      <c r="GK105" s="54"/>
      <c r="GL105" s="54"/>
      <c r="GM105" s="54"/>
      <c r="GN105" s="54"/>
      <c r="GO105" s="54"/>
      <c r="GP105" s="54"/>
      <c r="GQ105" s="54"/>
      <c r="GR105" s="54"/>
      <c r="GS105" s="54"/>
      <c r="GT105" s="54"/>
      <c r="GU105" s="54"/>
      <c r="GV105" s="54"/>
      <c r="GW105" s="54"/>
      <c r="GX105" s="54"/>
      <c r="GY105" s="54"/>
      <c r="GZ105" s="54"/>
      <c r="HA105" s="54"/>
      <c r="HB105" s="54"/>
      <c r="HC105" s="54"/>
      <c r="HD105" s="54"/>
      <c r="HE105" s="54"/>
      <c r="HF105" s="54"/>
      <c r="HG105" s="54"/>
      <c r="HH105" s="54"/>
      <c r="HI105" s="54"/>
      <c r="HJ105" s="54"/>
      <c r="HK105" s="54"/>
      <c r="HL105" s="54"/>
      <c r="HM105" s="54"/>
      <c r="HN105" s="54"/>
      <c r="HO105" s="54"/>
      <c r="HP105" s="54"/>
      <c r="HQ105" s="54"/>
      <c r="HR105" s="54"/>
      <c r="HS105" s="54"/>
      <c r="HT105" s="54"/>
      <c r="HU105" s="54"/>
      <c r="HV105" s="54"/>
      <c r="HW105" s="54"/>
      <c r="HX105" s="54"/>
      <c r="HY105" s="54"/>
      <c r="HZ105" s="54"/>
      <c r="IA105" s="54"/>
      <c r="IB105" s="54"/>
      <c r="IC105" s="54"/>
      <c r="ID105" s="54"/>
      <c r="IE105" s="54"/>
      <c r="IF105" s="54"/>
      <c r="IG105" s="54"/>
      <c r="IH105" s="54"/>
      <c r="II105" s="54"/>
      <c r="IJ105" s="54"/>
      <c r="IK105" s="54"/>
      <c r="IL105" s="54"/>
      <c r="IM105" s="54"/>
      <c r="IN105" s="54"/>
      <c r="IO105" s="54"/>
      <c r="IP105" s="54"/>
      <c r="IQ105" s="54"/>
      <c r="IR105" s="54"/>
      <c r="IS105" s="54"/>
      <c r="IT105" s="54"/>
      <c r="IU105" s="54"/>
      <c r="IV105" s="54"/>
      <c r="IW105" s="54"/>
      <c r="IX105" s="54"/>
      <c r="IY105" s="54"/>
      <c r="IZ105" s="54"/>
      <c r="JA105" s="54"/>
      <c r="JB105" s="54"/>
      <c r="JC105" s="54"/>
      <c r="JD105" s="54"/>
      <c r="JE105" s="54"/>
      <c r="JF105" s="54"/>
      <c r="JG105" s="54"/>
      <c r="JH105" s="54"/>
      <c r="JI105" s="54"/>
      <c r="JJ105" s="54"/>
      <c r="JK105" s="54"/>
      <c r="JL105" s="54"/>
      <c r="JM105" s="54"/>
      <c r="JN105" s="54"/>
      <c r="JO105" s="54"/>
      <c r="JP105" s="54"/>
      <c r="JQ105" s="54"/>
      <c r="JR105" s="54"/>
      <c r="JS105" s="54"/>
      <c r="JT105" s="54"/>
      <c r="JU105" s="54"/>
      <c r="JV105" s="54"/>
      <c r="JW105" s="54"/>
      <c r="JX105" s="54"/>
      <c r="JY105" s="54"/>
      <c r="JZ105" s="54"/>
      <c r="KA105" s="54"/>
      <c r="KB105" s="54"/>
      <c r="KC105" s="54"/>
      <c r="KD105" s="54"/>
      <c r="KE105" s="54"/>
      <c r="KF105" s="54"/>
      <c r="KG105" s="54"/>
      <c r="KH105" s="54"/>
      <c r="KI105" s="54"/>
      <c r="KJ105" s="54"/>
      <c r="KK105" s="54"/>
      <c r="KL105" s="54"/>
      <c r="KM105" s="54"/>
      <c r="KN105" s="54"/>
      <c r="KO105" s="54"/>
      <c r="KP105" s="54"/>
      <c r="KQ105" s="54"/>
      <c r="KR105" s="54"/>
      <c r="KS105" s="54"/>
      <c r="KT105" s="54"/>
      <c r="KU105" s="54"/>
      <c r="KV105" s="54"/>
      <c r="KW105" s="54"/>
      <c r="KX105" s="54"/>
      <c r="KY105" s="54"/>
      <c r="KZ105" s="54"/>
      <c r="LA105" s="54"/>
      <c r="LB105" s="54"/>
      <c r="LC105" s="54"/>
      <c r="LD105" s="54"/>
      <c r="LE105" s="54"/>
      <c r="LF105" s="54"/>
      <c r="LG105" s="54"/>
      <c r="LH105" s="54"/>
      <c r="LI105" s="54"/>
      <c r="LJ105" s="54"/>
      <c r="LK105" s="54"/>
      <c r="LL105" s="54"/>
      <c r="LM105" s="54"/>
      <c r="LN105" s="54"/>
      <c r="LO105" s="54"/>
      <c r="LP105" s="54"/>
      <c r="LQ105" s="54"/>
      <c r="LR105" s="54"/>
      <c r="LS105" s="54"/>
      <c r="LT105" s="54"/>
      <c r="LU105" s="54"/>
      <c r="LV105" s="54"/>
      <c r="LW105" s="54"/>
      <c r="LX105" s="54"/>
      <c r="LY105" s="54"/>
      <c r="LZ105" s="54"/>
      <c r="MA105" s="54"/>
      <c r="MB105" s="54"/>
      <c r="MC105" s="54"/>
      <c r="MD105" s="54"/>
      <c r="ME105" s="54"/>
      <c r="MF105" s="54"/>
      <c r="MG105" s="54"/>
      <c r="MH105" s="54"/>
      <c r="MI105" s="54"/>
      <c r="MJ105" s="54"/>
      <c r="MK105" s="54"/>
      <c r="ML105" s="54"/>
      <c r="MM105" s="54"/>
      <c r="MN105" s="54"/>
      <c r="MO105" s="54"/>
      <c r="MP105" s="54"/>
      <c r="MQ105" s="54"/>
      <c r="MR105" s="54"/>
      <c r="MS105" s="54"/>
      <c r="MT105" s="54"/>
      <c r="MU105" s="54"/>
      <c r="MV105" s="54"/>
      <c r="MW105" s="54"/>
      <c r="MX105" s="54"/>
      <c r="MY105" s="54"/>
      <c r="MZ105" s="54"/>
      <c r="NA105" s="54"/>
      <c r="NB105" s="54"/>
      <c r="NC105" s="54"/>
      <c r="ND105" s="54"/>
      <c r="NE105" s="54"/>
      <c r="NF105" s="54"/>
      <c r="NG105" s="54"/>
      <c r="NH105" s="54"/>
      <c r="NI105" s="54"/>
      <c r="NJ105" s="54"/>
      <c r="NK105" s="54"/>
      <c r="NL105" s="54"/>
      <c r="NM105" s="54"/>
      <c r="NN105" s="54"/>
      <c r="NO105" s="54"/>
      <c r="NP105" s="54"/>
      <c r="NQ105" s="54"/>
      <c r="NR105" s="54"/>
      <c r="NS105" s="54"/>
      <c r="NT105" s="54"/>
      <c r="NU105" s="54"/>
      <c r="NV105" s="54"/>
      <c r="NW105" s="54"/>
      <c r="NX105" s="54"/>
      <c r="NY105" s="54"/>
      <c r="NZ105" s="54"/>
      <c r="OA105" s="54"/>
      <c r="OB105" s="54"/>
      <c r="OC105" s="54"/>
      <c r="OD105" s="54"/>
      <c r="OE105" s="54"/>
      <c r="OF105" s="54"/>
      <c r="OG105" s="54"/>
      <c r="OH105" s="54"/>
      <c r="OI105" s="54"/>
      <c r="OJ105" s="54"/>
      <c r="OK105" s="54"/>
      <c r="OL105" s="54"/>
      <c r="OM105" s="54"/>
      <c r="ON105" s="54"/>
      <c r="OO105" s="54"/>
      <c r="OP105" s="54"/>
      <c r="OQ105" s="54"/>
      <c r="OR105" s="54"/>
      <c r="OS105" s="54"/>
      <c r="OT105" s="54"/>
      <c r="OU105" s="54"/>
      <c r="OV105" s="54"/>
      <c r="OW105" s="54"/>
      <c r="OX105" s="54"/>
      <c r="OY105" s="54"/>
      <c r="OZ105" s="54"/>
      <c r="PA105" s="54"/>
      <c r="PB105" s="54"/>
      <c r="PC105" s="54"/>
      <c r="PD105" s="54"/>
      <c r="PE105" s="54"/>
      <c r="PF105" s="54"/>
      <c r="PG105" s="54"/>
      <c r="PH105" s="54"/>
      <c r="PI105" s="54"/>
      <c r="PJ105" s="54"/>
      <c r="PK105" s="54"/>
      <c r="PL105" s="54"/>
      <c r="PM105" s="54"/>
      <c r="PN105" s="54"/>
      <c r="PO105" s="54"/>
      <c r="PP105" s="54"/>
      <c r="PQ105" s="54"/>
      <c r="PR105" s="54"/>
      <c r="PS105" s="54"/>
      <c r="PT105" s="54"/>
      <c r="PU105" s="54"/>
      <c r="PV105" s="54"/>
      <c r="PW105" s="54"/>
      <c r="PX105" s="54"/>
      <c r="PY105" s="54"/>
      <c r="PZ105" s="54"/>
      <c r="QA105" s="54"/>
      <c r="QB105" s="54"/>
      <c r="QC105" s="54"/>
      <c r="QD105" s="54"/>
      <c r="QE105" s="54"/>
      <c r="QF105" s="54"/>
      <c r="QG105" s="54"/>
      <c r="QH105" s="54"/>
      <c r="QI105" s="54"/>
      <c r="QJ105" s="54"/>
      <c r="QK105" s="54"/>
      <c r="QL105" s="54"/>
      <c r="QM105" s="54"/>
      <c r="QN105" s="54"/>
      <c r="QO105" s="54"/>
      <c r="QP105" s="54"/>
      <c r="QQ105" s="54"/>
      <c r="QR105" s="54"/>
      <c r="QS105" s="54"/>
      <c r="QT105" s="54"/>
      <c r="QU105" s="54"/>
      <c r="QV105" s="54"/>
      <c r="QW105" s="54"/>
      <c r="QX105" s="54"/>
      <c r="QY105" s="54"/>
      <c r="QZ105" s="54"/>
      <c r="RA105" s="54"/>
      <c r="RB105" s="54"/>
      <c r="RC105" s="54"/>
      <c r="RD105" s="54"/>
      <c r="RE105" s="54"/>
      <c r="RF105" s="54"/>
      <c r="RG105" s="54"/>
      <c r="RH105" s="54"/>
      <c r="RI105" s="54"/>
      <c r="RJ105" s="54"/>
      <c r="RK105" s="54"/>
      <c r="RL105" s="54"/>
      <c r="RM105" s="54"/>
      <c r="RN105" s="54"/>
      <c r="RO105" s="54"/>
      <c r="RP105" s="54"/>
      <c r="RQ105" s="54"/>
      <c r="RR105" s="54"/>
      <c r="RS105" s="54"/>
      <c r="RT105" s="54"/>
      <c r="RU105" s="54"/>
      <c r="RV105" s="54"/>
      <c r="RW105" s="54"/>
      <c r="RX105" s="54"/>
      <c r="RY105" s="54"/>
      <c r="RZ105" s="54"/>
      <c r="SA105" s="54"/>
      <c r="SB105" s="54"/>
      <c r="SC105" s="54"/>
      <c r="SD105" s="54"/>
      <c r="SE105" s="54"/>
      <c r="SF105" s="54"/>
      <c r="SG105" s="54"/>
      <c r="SH105" s="54"/>
      <c r="SI105" s="54"/>
      <c r="SJ105" s="54"/>
      <c r="SK105" s="54"/>
      <c r="SL105" s="54"/>
      <c r="SM105" s="54"/>
      <c r="SN105" s="54"/>
      <c r="SO105" s="54"/>
      <c r="SP105" s="54"/>
      <c r="SQ105" s="54"/>
      <c r="SR105" s="54"/>
    </row>
    <row r="106" spans="1:512" s="55" customFormat="1" ht="15" customHeight="1" x14ac:dyDescent="0.7">
      <c r="A106" s="173"/>
      <c r="B106" s="173"/>
      <c r="C106" s="173"/>
      <c r="D106" s="173"/>
      <c r="E106" s="173"/>
      <c r="F106" s="173"/>
      <c r="G106" s="173"/>
      <c r="H106" s="74"/>
      <c r="I106" s="75"/>
      <c r="J106" s="76"/>
      <c r="K106" s="191"/>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c r="IX106" s="56"/>
      <c r="IY106" s="56"/>
      <c r="IZ106" s="56"/>
      <c r="JA106" s="56"/>
      <c r="JB106" s="56"/>
      <c r="JC106" s="56"/>
      <c r="JD106" s="56"/>
      <c r="JE106" s="56"/>
      <c r="JF106" s="56"/>
      <c r="JG106" s="56"/>
      <c r="JH106" s="56"/>
      <c r="JI106" s="56"/>
      <c r="JJ106" s="56"/>
      <c r="JK106" s="56"/>
      <c r="JL106" s="56"/>
      <c r="JM106" s="56"/>
      <c r="JN106" s="56"/>
      <c r="JO106" s="56"/>
      <c r="JP106" s="56"/>
      <c r="JQ106" s="56"/>
      <c r="JR106" s="56"/>
      <c r="JS106" s="56"/>
      <c r="JT106" s="56"/>
      <c r="JU106" s="56"/>
      <c r="JV106" s="56"/>
      <c r="JW106" s="56"/>
      <c r="JX106" s="56"/>
      <c r="JY106" s="56"/>
      <c r="JZ106" s="56"/>
      <c r="KA106" s="56"/>
      <c r="KB106" s="56"/>
      <c r="KC106" s="56"/>
      <c r="KD106" s="56"/>
      <c r="KE106" s="56"/>
      <c r="KF106" s="56"/>
      <c r="KG106" s="56"/>
      <c r="KH106" s="56"/>
      <c r="KI106" s="56"/>
      <c r="KJ106" s="56"/>
      <c r="KK106" s="56"/>
      <c r="KL106" s="56"/>
      <c r="KM106" s="56"/>
      <c r="KN106" s="56"/>
      <c r="KO106" s="56"/>
      <c r="KP106" s="56"/>
      <c r="KQ106" s="56"/>
      <c r="KR106" s="56"/>
      <c r="KS106" s="56"/>
      <c r="KT106" s="56"/>
      <c r="KU106" s="56"/>
      <c r="KV106" s="56"/>
      <c r="KW106" s="56"/>
      <c r="KX106" s="56"/>
      <c r="KY106" s="56"/>
      <c r="KZ106" s="56"/>
      <c r="LA106" s="56"/>
      <c r="LB106" s="56"/>
      <c r="LC106" s="56"/>
      <c r="LD106" s="56"/>
      <c r="LE106" s="56"/>
      <c r="LF106" s="56"/>
      <c r="LG106" s="56"/>
      <c r="LH106" s="56"/>
      <c r="LI106" s="56"/>
      <c r="LJ106" s="56"/>
      <c r="LK106" s="56"/>
      <c r="LL106" s="56"/>
      <c r="LM106" s="56"/>
      <c r="LN106" s="56"/>
      <c r="LO106" s="56"/>
      <c r="LP106" s="56"/>
      <c r="LQ106" s="56"/>
      <c r="LR106" s="56"/>
      <c r="LS106" s="56"/>
      <c r="LT106" s="56"/>
      <c r="LU106" s="56"/>
      <c r="LV106" s="56"/>
      <c r="LW106" s="56"/>
      <c r="LX106" s="56"/>
      <c r="LY106" s="56"/>
      <c r="LZ106" s="56"/>
      <c r="MA106" s="56"/>
      <c r="MB106" s="56"/>
      <c r="MC106" s="56"/>
      <c r="MD106" s="56"/>
      <c r="ME106" s="56"/>
      <c r="MF106" s="56"/>
      <c r="MG106" s="56"/>
      <c r="MH106" s="56"/>
      <c r="MI106" s="56"/>
      <c r="MJ106" s="56"/>
      <c r="MK106" s="56"/>
      <c r="ML106" s="56"/>
      <c r="MM106" s="56"/>
      <c r="MN106" s="56"/>
      <c r="MO106" s="56"/>
      <c r="MP106" s="56"/>
      <c r="MQ106" s="56"/>
      <c r="MR106" s="56"/>
      <c r="MS106" s="56"/>
      <c r="MT106" s="56"/>
      <c r="MU106" s="56"/>
      <c r="MV106" s="56"/>
      <c r="MW106" s="56"/>
      <c r="MX106" s="56"/>
      <c r="MY106" s="56"/>
      <c r="MZ106" s="56"/>
      <c r="NA106" s="56"/>
      <c r="NB106" s="56"/>
      <c r="NC106" s="56"/>
      <c r="ND106" s="56"/>
      <c r="NE106" s="56"/>
      <c r="NF106" s="56"/>
      <c r="NG106" s="56"/>
      <c r="NH106" s="56"/>
      <c r="NI106" s="56"/>
      <c r="NJ106" s="56"/>
      <c r="NK106" s="56"/>
      <c r="NL106" s="56"/>
      <c r="NM106" s="56"/>
      <c r="NN106" s="56"/>
      <c r="NO106" s="56"/>
      <c r="NP106" s="56"/>
      <c r="NQ106" s="56"/>
      <c r="NR106" s="56"/>
      <c r="NS106" s="56"/>
      <c r="NT106" s="56"/>
      <c r="NU106" s="56"/>
      <c r="NV106" s="56"/>
      <c r="NW106" s="56"/>
      <c r="NX106" s="56"/>
      <c r="NY106" s="56"/>
      <c r="NZ106" s="56"/>
      <c r="OA106" s="56"/>
      <c r="OB106" s="56"/>
      <c r="OC106" s="56"/>
      <c r="OD106" s="56"/>
      <c r="OE106" s="56"/>
      <c r="OF106" s="56"/>
      <c r="OG106" s="56"/>
      <c r="OH106" s="56"/>
      <c r="OI106" s="56"/>
      <c r="OJ106" s="56"/>
      <c r="OK106" s="56"/>
      <c r="OL106" s="56"/>
      <c r="OM106" s="56"/>
      <c r="ON106" s="56"/>
      <c r="OO106" s="56"/>
      <c r="OP106" s="56"/>
      <c r="OQ106" s="56"/>
      <c r="OR106" s="56"/>
      <c r="OS106" s="56"/>
      <c r="OT106" s="56"/>
      <c r="OU106" s="56"/>
      <c r="OV106" s="56"/>
      <c r="OW106" s="56"/>
      <c r="OX106" s="56"/>
      <c r="OY106" s="56"/>
      <c r="OZ106" s="56"/>
      <c r="PA106" s="56"/>
      <c r="PB106" s="56"/>
      <c r="PC106" s="56"/>
      <c r="PD106" s="56"/>
      <c r="PE106" s="56"/>
      <c r="PF106" s="56"/>
      <c r="PG106" s="56"/>
      <c r="PH106" s="56"/>
      <c r="PI106" s="56"/>
      <c r="PJ106" s="56"/>
      <c r="PK106" s="56"/>
      <c r="PL106" s="56"/>
      <c r="PM106" s="56"/>
      <c r="PN106" s="56"/>
      <c r="PO106" s="56"/>
      <c r="PP106" s="56"/>
      <c r="PQ106" s="56"/>
      <c r="PR106" s="56"/>
      <c r="PS106" s="56"/>
      <c r="PT106" s="56"/>
      <c r="PU106" s="56"/>
      <c r="PV106" s="56"/>
      <c r="PW106" s="56"/>
      <c r="PX106" s="56"/>
      <c r="PY106" s="56"/>
      <c r="PZ106" s="56"/>
      <c r="QA106" s="56"/>
      <c r="QB106" s="56"/>
      <c r="QC106" s="56"/>
      <c r="QD106" s="56"/>
      <c r="QE106" s="56"/>
      <c r="QF106" s="56"/>
      <c r="QG106" s="56"/>
      <c r="QH106" s="56"/>
      <c r="QI106" s="56"/>
      <c r="QJ106" s="56"/>
      <c r="QK106" s="56"/>
      <c r="QL106" s="56"/>
      <c r="QM106" s="56"/>
      <c r="QN106" s="56"/>
      <c r="QO106" s="56"/>
      <c r="QP106" s="56"/>
      <c r="QQ106" s="56"/>
      <c r="QR106" s="56"/>
      <c r="QS106" s="56"/>
      <c r="QT106" s="56"/>
      <c r="QU106" s="56"/>
      <c r="QV106" s="56"/>
      <c r="QW106" s="56"/>
      <c r="QX106" s="56"/>
      <c r="QY106" s="56"/>
      <c r="QZ106" s="56"/>
      <c r="RA106" s="56"/>
      <c r="RB106" s="56"/>
      <c r="RC106" s="56"/>
      <c r="RD106" s="56"/>
      <c r="RE106" s="56"/>
      <c r="RF106" s="56"/>
      <c r="RG106" s="56"/>
      <c r="RH106" s="56"/>
      <c r="RI106" s="56"/>
      <c r="RJ106" s="56"/>
      <c r="RK106" s="56"/>
      <c r="RL106" s="56"/>
      <c r="RM106" s="56"/>
      <c r="RN106" s="56"/>
      <c r="RO106" s="56"/>
      <c r="RP106" s="56"/>
      <c r="RQ106" s="56"/>
      <c r="RR106" s="56"/>
      <c r="RS106" s="56"/>
      <c r="RT106" s="56"/>
      <c r="RU106" s="56"/>
      <c r="RV106" s="56"/>
      <c r="RW106" s="56"/>
      <c r="RX106" s="56"/>
      <c r="RY106" s="56"/>
      <c r="RZ106" s="56"/>
      <c r="SA106" s="56"/>
      <c r="SB106" s="56"/>
      <c r="SC106" s="56"/>
      <c r="SD106" s="56"/>
      <c r="SE106" s="56"/>
      <c r="SF106" s="56"/>
      <c r="SG106" s="56"/>
      <c r="SH106" s="56"/>
      <c r="SI106" s="56"/>
      <c r="SJ106" s="56"/>
      <c r="SK106" s="56"/>
      <c r="SL106" s="56"/>
      <c r="SM106" s="56"/>
      <c r="SN106" s="56"/>
      <c r="SO106" s="56"/>
      <c r="SP106" s="56"/>
      <c r="SQ106" s="56"/>
      <c r="SR106" s="56"/>
    </row>
    <row r="107" spans="1:512" s="165" customFormat="1" ht="15" customHeight="1" x14ac:dyDescent="0.7">
      <c r="A107" s="171">
        <v>33</v>
      </c>
      <c r="B107" s="171" t="s">
        <v>87</v>
      </c>
      <c r="C107" s="171" t="s">
        <v>384</v>
      </c>
      <c r="D107" s="171"/>
      <c r="E107" s="171" t="s">
        <v>41</v>
      </c>
      <c r="F107" s="171"/>
      <c r="G107" s="188" t="s">
        <v>426</v>
      </c>
      <c r="H107" s="71" t="s">
        <v>427</v>
      </c>
      <c r="I107" s="160" t="s">
        <v>391</v>
      </c>
      <c r="J107" s="161">
        <v>0.02</v>
      </c>
      <c r="K107" s="185">
        <v>0.01</v>
      </c>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4"/>
      <c r="AI107" s="164"/>
      <c r="AJ107" s="164"/>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c r="BT107" s="164"/>
      <c r="BU107" s="164"/>
      <c r="BV107" s="164"/>
      <c r="BW107" s="164"/>
      <c r="BX107" s="164"/>
      <c r="BY107" s="164"/>
      <c r="BZ107" s="164"/>
      <c r="CA107" s="164"/>
      <c r="CB107" s="164"/>
      <c r="CC107" s="164"/>
      <c r="CD107" s="164"/>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164"/>
      <c r="ES107" s="164"/>
      <c r="ET107" s="164"/>
      <c r="EU107" s="164"/>
      <c r="EV107" s="164"/>
      <c r="EW107" s="164"/>
      <c r="EX107" s="164"/>
      <c r="EY107" s="164"/>
      <c r="EZ107" s="164"/>
      <c r="FA107" s="164"/>
      <c r="FB107" s="164"/>
      <c r="FC107" s="164"/>
      <c r="FD107" s="164"/>
      <c r="FE107" s="164"/>
      <c r="FF107" s="164"/>
      <c r="FG107" s="164"/>
      <c r="FH107" s="164"/>
      <c r="FI107" s="164"/>
      <c r="FJ107" s="164"/>
      <c r="FK107" s="164"/>
      <c r="FL107" s="164"/>
      <c r="FM107" s="164"/>
      <c r="FN107" s="164"/>
      <c r="FO107" s="164"/>
      <c r="FP107" s="164"/>
      <c r="FQ107" s="164"/>
      <c r="FR107" s="164"/>
      <c r="FS107" s="164"/>
      <c r="FT107" s="164"/>
      <c r="FU107" s="164"/>
      <c r="FV107" s="164"/>
      <c r="FW107" s="164"/>
      <c r="FX107" s="164"/>
      <c r="FY107" s="164"/>
      <c r="FZ107" s="164"/>
      <c r="GA107" s="164"/>
      <c r="GB107" s="164"/>
      <c r="GC107" s="164"/>
      <c r="GD107" s="164"/>
      <c r="GE107" s="164"/>
      <c r="GF107" s="164"/>
      <c r="GG107" s="164"/>
      <c r="GH107" s="164"/>
      <c r="GI107" s="164"/>
      <c r="GJ107" s="164"/>
      <c r="GK107" s="164"/>
      <c r="GL107" s="164"/>
      <c r="GM107" s="164"/>
      <c r="GN107" s="164"/>
      <c r="GO107" s="164"/>
      <c r="GP107" s="164"/>
      <c r="GQ107" s="164"/>
      <c r="GR107" s="164"/>
      <c r="GS107" s="164"/>
      <c r="GT107" s="164"/>
      <c r="GU107" s="164"/>
      <c r="GV107" s="164"/>
      <c r="GW107" s="164"/>
      <c r="GX107" s="164"/>
      <c r="GY107" s="164"/>
      <c r="GZ107" s="164"/>
      <c r="HA107" s="164"/>
      <c r="HB107" s="164"/>
      <c r="HC107" s="164"/>
      <c r="HD107" s="164"/>
      <c r="HE107" s="164"/>
      <c r="HF107" s="164"/>
      <c r="HG107" s="164"/>
      <c r="HH107" s="164"/>
      <c r="HI107" s="164"/>
      <c r="HJ107" s="164"/>
      <c r="HK107" s="164"/>
      <c r="HL107" s="164"/>
      <c r="HM107" s="164"/>
      <c r="HN107" s="164"/>
      <c r="HO107" s="164"/>
      <c r="HP107" s="164"/>
      <c r="HQ107" s="164"/>
      <c r="HR107" s="164"/>
      <c r="HS107" s="164"/>
      <c r="HT107" s="164"/>
      <c r="HU107" s="164"/>
      <c r="HV107" s="164"/>
      <c r="HW107" s="164"/>
      <c r="HX107" s="164"/>
      <c r="HY107" s="164"/>
      <c r="HZ107" s="164"/>
      <c r="IA107" s="164"/>
      <c r="IB107" s="164"/>
      <c r="IC107" s="164"/>
      <c r="ID107" s="164"/>
      <c r="IE107" s="164"/>
      <c r="IF107" s="164"/>
      <c r="IG107" s="164"/>
      <c r="IH107" s="164"/>
      <c r="II107" s="164"/>
      <c r="IJ107" s="164"/>
      <c r="IK107" s="164"/>
      <c r="IL107" s="164"/>
      <c r="IM107" s="164"/>
      <c r="IN107" s="164"/>
      <c r="IO107" s="164"/>
      <c r="IP107" s="164"/>
      <c r="IQ107" s="164"/>
      <c r="IR107" s="164"/>
      <c r="IS107" s="164"/>
      <c r="IT107" s="164"/>
      <c r="IU107" s="164"/>
      <c r="IV107" s="164"/>
      <c r="IW107" s="164"/>
      <c r="IX107" s="164"/>
      <c r="IY107" s="164"/>
      <c r="IZ107" s="164"/>
      <c r="JA107" s="164"/>
      <c r="JB107" s="164"/>
      <c r="JC107" s="164"/>
      <c r="JD107" s="164"/>
      <c r="JE107" s="164"/>
      <c r="JF107" s="164"/>
      <c r="JG107" s="164"/>
      <c r="JH107" s="164"/>
      <c r="JI107" s="164"/>
      <c r="JJ107" s="164"/>
      <c r="JK107" s="164"/>
      <c r="JL107" s="164"/>
      <c r="JM107" s="164"/>
      <c r="JN107" s="164"/>
      <c r="JO107" s="164"/>
      <c r="JP107" s="164"/>
      <c r="JQ107" s="164"/>
      <c r="JR107" s="164"/>
      <c r="JS107" s="164"/>
      <c r="JT107" s="164"/>
      <c r="JU107" s="164"/>
      <c r="JV107" s="164"/>
      <c r="JW107" s="164"/>
      <c r="JX107" s="164"/>
      <c r="JY107" s="164"/>
      <c r="JZ107" s="164"/>
      <c r="KA107" s="164"/>
      <c r="KB107" s="164"/>
      <c r="KC107" s="164"/>
      <c r="KD107" s="164"/>
      <c r="KE107" s="164"/>
      <c r="KF107" s="164"/>
      <c r="KG107" s="164"/>
      <c r="KH107" s="164"/>
      <c r="KI107" s="164"/>
      <c r="KJ107" s="164"/>
      <c r="KK107" s="164"/>
      <c r="KL107" s="164"/>
      <c r="KM107" s="164"/>
      <c r="KN107" s="164"/>
      <c r="KO107" s="164"/>
      <c r="KP107" s="164"/>
      <c r="KQ107" s="164"/>
      <c r="KR107" s="164"/>
      <c r="KS107" s="164"/>
      <c r="KT107" s="164"/>
      <c r="KU107" s="164"/>
      <c r="KV107" s="164"/>
      <c r="KW107" s="164"/>
      <c r="KX107" s="164"/>
      <c r="KY107" s="164"/>
      <c r="KZ107" s="164"/>
      <c r="LA107" s="164"/>
      <c r="LB107" s="164"/>
      <c r="LC107" s="164"/>
      <c r="LD107" s="164"/>
      <c r="LE107" s="164"/>
      <c r="LF107" s="164"/>
      <c r="LG107" s="164"/>
      <c r="LH107" s="164"/>
      <c r="LI107" s="164"/>
      <c r="LJ107" s="164"/>
      <c r="LK107" s="164"/>
      <c r="LL107" s="164"/>
      <c r="LM107" s="164"/>
      <c r="LN107" s="164"/>
      <c r="LO107" s="164"/>
      <c r="LP107" s="164"/>
      <c r="LQ107" s="164"/>
      <c r="LR107" s="164"/>
      <c r="LS107" s="164"/>
      <c r="LT107" s="164"/>
      <c r="LU107" s="164"/>
      <c r="LV107" s="164"/>
      <c r="LW107" s="164"/>
      <c r="LX107" s="164"/>
      <c r="LY107" s="164"/>
      <c r="LZ107" s="164"/>
      <c r="MA107" s="164"/>
      <c r="MB107" s="164"/>
      <c r="MC107" s="164"/>
      <c r="MD107" s="164"/>
      <c r="ME107" s="164"/>
      <c r="MF107" s="164"/>
      <c r="MG107" s="164"/>
      <c r="MH107" s="164"/>
      <c r="MI107" s="164"/>
      <c r="MJ107" s="164"/>
      <c r="MK107" s="164"/>
      <c r="ML107" s="164"/>
      <c r="MM107" s="164"/>
      <c r="MN107" s="164"/>
      <c r="MO107" s="164"/>
      <c r="MP107" s="164"/>
      <c r="MQ107" s="164"/>
      <c r="MR107" s="164"/>
      <c r="MS107" s="164"/>
      <c r="MT107" s="164"/>
      <c r="MU107" s="164"/>
      <c r="MV107" s="164"/>
      <c r="MW107" s="164"/>
      <c r="MX107" s="164"/>
      <c r="MY107" s="164"/>
      <c r="MZ107" s="164"/>
      <c r="NA107" s="164"/>
      <c r="NB107" s="164"/>
      <c r="NC107" s="164"/>
      <c r="ND107" s="164"/>
      <c r="NE107" s="164"/>
      <c r="NF107" s="164"/>
      <c r="NG107" s="164"/>
      <c r="NH107" s="164"/>
      <c r="NI107" s="164"/>
      <c r="NJ107" s="164"/>
      <c r="NK107" s="164"/>
      <c r="NL107" s="164"/>
      <c r="NM107" s="164"/>
      <c r="NN107" s="164"/>
      <c r="NO107" s="164"/>
      <c r="NP107" s="164"/>
      <c r="NQ107" s="164"/>
      <c r="NR107" s="164"/>
      <c r="NS107" s="164"/>
      <c r="NT107" s="164"/>
      <c r="NU107" s="164"/>
      <c r="NV107" s="164"/>
      <c r="NW107" s="164"/>
      <c r="NX107" s="164"/>
      <c r="NY107" s="164"/>
      <c r="NZ107" s="164"/>
      <c r="OA107" s="164"/>
      <c r="OB107" s="164"/>
      <c r="OC107" s="164"/>
      <c r="OD107" s="164"/>
      <c r="OE107" s="164"/>
      <c r="OF107" s="164"/>
      <c r="OG107" s="164"/>
      <c r="OH107" s="164"/>
      <c r="OI107" s="164"/>
      <c r="OJ107" s="164"/>
      <c r="OK107" s="164"/>
      <c r="OL107" s="164"/>
      <c r="OM107" s="164"/>
      <c r="ON107" s="164"/>
      <c r="OO107" s="164"/>
      <c r="OP107" s="164"/>
      <c r="OQ107" s="164"/>
      <c r="OR107" s="164"/>
      <c r="OS107" s="164"/>
      <c r="OT107" s="164"/>
      <c r="OU107" s="164"/>
      <c r="OV107" s="164"/>
      <c r="OW107" s="164"/>
      <c r="OX107" s="164"/>
      <c r="OY107" s="164"/>
      <c r="OZ107" s="164"/>
      <c r="PA107" s="164"/>
      <c r="PB107" s="164"/>
      <c r="PC107" s="164"/>
      <c r="PD107" s="164"/>
      <c r="PE107" s="164"/>
      <c r="PF107" s="164"/>
      <c r="PG107" s="164"/>
      <c r="PH107" s="164"/>
      <c r="PI107" s="164"/>
      <c r="PJ107" s="164"/>
      <c r="PK107" s="164"/>
      <c r="PL107" s="164"/>
      <c r="PM107" s="164"/>
      <c r="PN107" s="164"/>
      <c r="PO107" s="164"/>
      <c r="PP107" s="164"/>
      <c r="PQ107" s="164"/>
      <c r="PR107" s="164"/>
      <c r="PS107" s="164"/>
      <c r="PT107" s="164"/>
      <c r="PU107" s="164"/>
      <c r="PV107" s="164"/>
      <c r="PW107" s="164"/>
      <c r="PX107" s="164"/>
      <c r="PY107" s="164"/>
      <c r="PZ107" s="164"/>
      <c r="QA107" s="164"/>
      <c r="QB107" s="164"/>
      <c r="QC107" s="164"/>
      <c r="QD107" s="164"/>
      <c r="QE107" s="164"/>
      <c r="QF107" s="164"/>
      <c r="QG107" s="164"/>
      <c r="QH107" s="164"/>
      <c r="QI107" s="164"/>
      <c r="QJ107" s="164"/>
      <c r="QK107" s="164"/>
      <c r="QL107" s="164"/>
      <c r="QM107" s="164"/>
      <c r="QN107" s="164"/>
      <c r="QO107" s="164"/>
      <c r="QP107" s="164"/>
      <c r="QQ107" s="164"/>
      <c r="QR107" s="164"/>
      <c r="QS107" s="164"/>
      <c r="QT107" s="164"/>
      <c r="QU107" s="164"/>
      <c r="QV107" s="164"/>
      <c r="QW107" s="164"/>
      <c r="QX107" s="164"/>
      <c r="QY107" s="164"/>
      <c r="QZ107" s="164"/>
      <c r="RA107" s="164"/>
      <c r="RB107" s="164"/>
      <c r="RC107" s="164"/>
      <c r="RD107" s="164"/>
      <c r="RE107" s="164"/>
      <c r="RF107" s="164"/>
      <c r="RG107" s="164"/>
      <c r="RH107" s="164"/>
      <c r="RI107" s="164"/>
      <c r="RJ107" s="164"/>
      <c r="RK107" s="164"/>
      <c r="RL107" s="164"/>
      <c r="RM107" s="164"/>
      <c r="RN107" s="164"/>
      <c r="RO107" s="164"/>
      <c r="RP107" s="164"/>
      <c r="RQ107" s="164"/>
      <c r="RR107" s="164"/>
      <c r="RS107" s="164"/>
      <c r="RT107" s="164"/>
      <c r="RU107" s="164"/>
      <c r="RV107" s="164"/>
      <c r="RW107" s="164"/>
      <c r="RX107" s="164"/>
      <c r="RY107" s="164"/>
      <c r="RZ107" s="164"/>
      <c r="SA107" s="164"/>
      <c r="SB107" s="164"/>
      <c r="SC107" s="164"/>
      <c r="SD107" s="164"/>
      <c r="SE107" s="164"/>
      <c r="SF107" s="164"/>
      <c r="SG107" s="164"/>
      <c r="SH107" s="164"/>
      <c r="SI107" s="164"/>
      <c r="SJ107" s="164"/>
      <c r="SK107" s="164"/>
      <c r="SL107" s="164"/>
      <c r="SM107" s="164"/>
      <c r="SN107" s="164"/>
      <c r="SO107" s="164"/>
      <c r="SP107" s="164"/>
      <c r="SQ107" s="164"/>
      <c r="SR107" s="164"/>
    </row>
    <row r="108" spans="1:512" s="165" customFormat="1" ht="15" customHeight="1" x14ac:dyDescent="0.7">
      <c r="A108" s="172"/>
      <c r="B108" s="172"/>
      <c r="C108" s="172"/>
      <c r="D108" s="172"/>
      <c r="E108" s="172"/>
      <c r="F108" s="172"/>
      <c r="G108" s="172"/>
      <c r="H108" s="62"/>
      <c r="I108" s="160" t="s">
        <v>366</v>
      </c>
      <c r="J108" s="161">
        <v>0</v>
      </c>
      <c r="K108" s="186"/>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164"/>
      <c r="ES108" s="164"/>
      <c r="ET108" s="164"/>
      <c r="EU108" s="164"/>
      <c r="EV108" s="164"/>
      <c r="EW108" s="164"/>
      <c r="EX108" s="164"/>
      <c r="EY108" s="164"/>
      <c r="EZ108" s="164"/>
      <c r="FA108" s="164"/>
      <c r="FB108" s="164"/>
      <c r="FC108" s="164"/>
      <c r="FD108" s="164"/>
      <c r="FE108" s="164"/>
      <c r="FF108" s="164"/>
      <c r="FG108" s="164"/>
      <c r="FH108" s="164"/>
      <c r="FI108" s="164"/>
      <c r="FJ108" s="164"/>
      <c r="FK108" s="164"/>
      <c r="FL108" s="164"/>
      <c r="FM108" s="164"/>
      <c r="FN108" s="164"/>
      <c r="FO108" s="164"/>
      <c r="FP108" s="164"/>
      <c r="FQ108" s="164"/>
      <c r="FR108" s="164"/>
      <c r="FS108" s="164"/>
      <c r="FT108" s="164"/>
      <c r="FU108" s="164"/>
      <c r="FV108" s="164"/>
      <c r="FW108" s="164"/>
      <c r="FX108" s="164"/>
      <c r="FY108" s="164"/>
      <c r="FZ108" s="164"/>
      <c r="GA108" s="164"/>
      <c r="GB108" s="164"/>
      <c r="GC108" s="164"/>
      <c r="GD108" s="164"/>
      <c r="GE108" s="164"/>
      <c r="GF108" s="164"/>
      <c r="GG108" s="164"/>
      <c r="GH108" s="164"/>
      <c r="GI108" s="164"/>
      <c r="GJ108" s="164"/>
      <c r="GK108" s="164"/>
      <c r="GL108" s="164"/>
      <c r="GM108" s="164"/>
      <c r="GN108" s="164"/>
      <c r="GO108" s="164"/>
      <c r="GP108" s="164"/>
      <c r="GQ108" s="164"/>
      <c r="GR108" s="164"/>
      <c r="GS108" s="164"/>
      <c r="GT108" s="164"/>
      <c r="GU108" s="164"/>
      <c r="GV108" s="164"/>
      <c r="GW108" s="164"/>
      <c r="GX108" s="164"/>
      <c r="GY108" s="164"/>
      <c r="GZ108" s="164"/>
      <c r="HA108" s="164"/>
      <c r="HB108" s="164"/>
      <c r="HC108" s="164"/>
      <c r="HD108" s="164"/>
      <c r="HE108" s="164"/>
      <c r="HF108" s="164"/>
      <c r="HG108" s="164"/>
      <c r="HH108" s="164"/>
      <c r="HI108" s="164"/>
      <c r="HJ108" s="164"/>
      <c r="HK108" s="164"/>
      <c r="HL108" s="164"/>
      <c r="HM108" s="164"/>
      <c r="HN108" s="164"/>
      <c r="HO108" s="164"/>
      <c r="HP108" s="164"/>
      <c r="HQ108" s="164"/>
      <c r="HR108" s="164"/>
      <c r="HS108" s="164"/>
      <c r="HT108" s="164"/>
      <c r="HU108" s="164"/>
      <c r="HV108" s="164"/>
      <c r="HW108" s="164"/>
      <c r="HX108" s="164"/>
      <c r="HY108" s="164"/>
      <c r="HZ108" s="164"/>
      <c r="IA108" s="164"/>
      <c r="IB108" s="164"/>
      <c r="IC108" s="164"/>
      <c r="ID108" s="164"/>
      <c r="IE108" s="164"/>
      <c r="IF108" s="164"/>
      <c r="IG108" s="164"/>
      <c r="IH108" s="164"/>
      <c r="II108" s="164"/>
      <c r="IJ108" s="164"/>
      <c r="IK108" s="164"/>
      <c r="IL108" s="164"/>
      <c r="IM108" s="164"/>
      <c r="IN108" s="164"/>
      <c r="IO108" s="164"/>
      <c r="IP108" s="164"/>
      <c r="IQ108" s="164"/>
      <c r="IR108" s="164"/>
      <c r="IS108" s="164"/>
      <c r="IT108" s="164"/>
      <c r="IU108" s="164"/>
      <c r="IV108" s="164"/>
      <c r="IW108" s="164"/>
      <c r="IX108" s="164"/>
      <c r="IY108" s="164"/>
      <c r="IZ108" s="164"/>
      <c r="JA108" s="164"/>
      <c r="JB108" s="164"/>
      <c r="JC108" s="164"/>
      <c r="JD108" s="164"/>
      <c r="JE108" s="164"/>
      <c r="JF108" s="164"/>
      <c r="JG108" s="164"/>
      <c r="JH108" s="164"/>
      <c r="JI108" s="164"/>
      <c r="JJ108" s="164"/>
      <c r="JK108" s="164"/>
      <c r="JL108" s="164"/>
      <c r="JM108" s="164"/>
      <c r="JN108" s="164"/>
      <c r="JO108" s="164"/>
      <c r="JP108" s="164"/>
      <c r="JQ108" s="164"/>
      <c r="JR108" s="164"/>
      <c r="JS108" s="164"/>
      <c r="JT108" s="164"/>
      <c r="JU108" s="164"/>
      <c r="JV108" s="164"/>
      <c r="JW108" s="164"/>
      <c r="JX108" s="164"/>
      <c r="JY108" s="164"/>
      <c r="JZ108" s="164"/>
      <c r="KA108" s="164"/>
      <c r="KB108" s="164"/>
      <c r="KC108" s="164"/>
      <c r="KD108" s="164"/>
      <c r="KE108" s="164"/>
      <c r="KF108" s="164"/>
      <c r="KG108" s="164"/>
      <c r="KH108" s="164"/>
      <c r="KI108" s="164"/>
      <c r="KJ108" s="164"/>
      <c r="KK108" s="164"/>
      <c r="KL108" s="164"/>
      <c r="KM108" s="164"/>
      <c r="KN108" s="164"/>
      <c r="KO108" s="164"/>
      <c r="KP108" s="164"/>
      <c r="KQ108" s="164"/>
      <c r="KR108" s="164"/>
      <c r="KS108" s="164"/>
      <c r="KT108" s="164"/>
      <c r="KU108" s="164"/>
      <c r="KV108" s="164"/>
      <c r="KW108" s="164"/>
      <c r="KX108" s="164"/>
      <c r="KY108" s="164"/>
      <c r="KZ108" s="164"/>
      <c r="LA108" s="164"/>
      <c r="LB108" s="164"/>
      <c r="LC108" s="164"/>
      <c r="LD108" s="164"/>
      <c r="LE108" s="164"/>
      <c r="LF108" s="164"/>
      <c r="LG108" s="164"/>
      <c r="LH108" s="164"/>
      <c r="LI108" s="164"/>
      <c r="LJ108" s="164"/>
      <c r="LK108" s="164"/>
      <c r="LL108" s="164"/>
      <c r="LM108" s="164"/>
      <c r="LN108" s="164"/>
      <c r="LO108" s="164"/>
      <c r="LP108" s="164"/>
      <c r="LQ108" s="164"/>
      <c r="LR108" s="164"/>
      <c r="LS108" s="164"/>
      <c r="LT108" s="164"/>
      <c r="LU108" s="164"/>
      <c r="LV108" s="164"/>
      <c r="LW108" s="164"/>
      <c r="LX108" s="164"/>
      <c r="LY108" s="164"/>
      <c r="LZ108" s="164"/>
      <c r="MA108" s="164"/>
      <c r="MB108" s="164"/>
      <c r="MC108" s="164"/>
      <c r="MD108" s="164"/>
      <c r="ME108" s="164"/>
      <c r="MF108" s="164"/>
      <c r="MG108" s="164"/>
      <c r="MH108" s="164"/>
      <c r="MI108" s="164"/>
      <c r="MJ108" s="164"/>
      <c r="MK108" s="164"/>
      <c r="ML108" s="164"/>
      <c r="MM108" s="164"/>
      <c r="MN108" s="164"/>
      <c r="MO108" s="164"/>
      <c r="MP108" s="164"/>
      <c r="MQ108" s="164"/>
      <c r="MR108" s="164"/>
      <c r="MS108" s="164"/>
      <c r="MT108" s="164"/>
      <c r="MU108" s="164"/>
      <c r="MV108" s="164"/>
      <c r="MW108" s="164"/>
      <c r="MX108" s="164"/>
      <c r="MY108" s="164"/>
      <c r="MZ108" s="164"/>
      <c r="NA108" s="164"/>
      <c r="NB108" s="164"/>
      <c r="NC108" s="164"/>
      <c r="ND108" s="164"/>
      <c r="NE108" s="164"/>
      <c r="NF108" s="164"/>
      <c r="NG108" s="164"/>
      <c r="NH108" s="164"/>
      <c r="NI108" s="164"/>
      <c r="NJ108" s="164"/>
      <c r="NK108" s="164"/>
      <c r="NL108" s="164"/>
      <c r="NM108" s="164"/>
      <c r="NN108" s="164"/>
      <c r="NO108" s="164"/>
      <c r="NP108" s="164"/>
      <c r="NQ108" s="164"/>
      <c r="NR108" s="164"/>
      <c r="NS108" s="164"/>
      <c r="NT108" s="164"/>
      <c r="NU108" s="164"/>
      <c r="NV108" s="164"/>
      <c r="NW108" s="164"/>
      <c r="NX108" s="164"/>
      <c r="NY108" s="164"/>
      <c r="NZ108" s="164"/>
      <c r="OA108" s="164"/>
      <c r="OB108" s="164"/>
      <c r="OC108" s="164"/>
      <c r="OD108" s="164"/>
      <c r="OE108" s="164"/>
      <c r="OF108" s="164"/>
      <c r="OG108" s="164"/>
      <c r="OH108" s="164"/>
      <c r="OI108" s="164"/>
      <c r="OJ108" s="164"/>
      <c r="OK108" s="164"/>
      <c r="OL108" s="164"/>
      <c r="OM108" s="164"/>
      <c r="ON108" s="164"/>
      <c r="OO108" s="164"/>
      <c r="OP108" s="164"/>
      <c r="OQ108" s="164"/>
      <c r="OR108" s="164"/>
      <c r="OS108" s="164"/>
      <c r="OT108" s="164"/>
      <c r="OU108" s="164"/>
      <c r="OV108" s="164"/>
      <c r="OW108" s="164"/>
      <c r="OX108" s="164"/>
      <c r="OY108" s="164"/>
      <c r="OZ108" s="164"/>
      <c r="PA108" s="164"/>
      <c r="PB108" s="164"/>
      <c r="PC108" s="164"/>
      <c r="PD108" s="164"/>
      <c r="PE108" s="164"/>
      <c r="PF108" s="164"/>
      <c r="PG108" s="164"/>
      <c r="PH108" s="164"/>
      <c r="PI108" s="164"/>
      <c r="PJ108" s="164"/>
      <c r="PK108" s="164"/>
      <c r="PL108" s="164"/>
      <c r="PM108" s="164"/>
      <c r="PN108" s="164"/>
      <c r="PO108" s="164"/>
      <c r="PP108" s="164"/>
      <c r="PQ108" s="164"/>
      <c r="PR108" s="164"/>
      <c r="PS108" s="164"/>
      <c r="PT108" s="164"/>
      <c r="PU108" s="164"/>
      <c r="PV108" s="164"/>
      <c r="PW108" s="164"/>
      <c r="PX108" s="164"/>
      <c r="PY108" s="164"/>
      <c r="PZ108" s="164"/>
      <c r="QA108" s="164"/>
      <c r="QB108" s="164"/>
      <c r="QC108" s="164"/>
      <c r="QD108" s="164"/>
      <c r="QE108" s="164"/>
      <c r="QF108" s="164"/>
      <c r="QG108" s="164"/>
      <c r="QH108" s="164"/>
      <c r="QI108" s="164"/>
      <c r="QJ108" s="164"/>
      <c r="QK108" s="164"/>
      <c r="QL108" s="164"/>
      <c r="QM108" s="164"/>
      <c r="QN108" s="164"/>
      <c r="QO108" s="164"/>
      <c r="QP108" s="164"/>
      <c r="QQ108" s="164"/>
      <c r="QR108" s="164"/>
      <c r="QS108" s="164"/>
      <c r="QT108" s="164"/>
      <c r="QU108" s="164"/>
      <c r="QV108" s="164"/>
      <c r="QW108" s="164"/>
      <c r="QX108" s="164"/>
      <c r="QY108" s="164"/>
      <c r="QZ108" s="164"/>
      <c r="RA108" s="164"/>
      <c r="RB108" s="164"/>
      <c r="RC108" s="164"/>
      <c r="RD108" s="164"/>
      <c r="RE108" s="164"/>
      <c r="RF108" s="164"/>
      <c r="RG108" s="164"/>
      <c r="RH108" s="164"/>
      <c r="RI108" s="164"/>
      <c r="RJ108" s="164"/>
      <c r="RK108" s="164"/>
      <c r="RL108" s="164"/>
      <c r="RM108" s="164"/>
      <c r="RN108" s="164"/>
      <c r="RO108" s="164"/>
      <c r="RP108" s="164"/>
      <c r="RQ108" s="164"/>
      <c r="RR108" s="164"/>
      <c r="RS108" s="164"/>
      <c r="RT108" s="164"/>
      <c r="RU108" s="164"/>
      <c r="RV108" s="164"/>
      <c r="RW108" s="164"/>
      <c r="RX108" s="164"/>
      <c r="RY108" s="164"/>
      <c r="RZ108" s="164"/>
      <c r="SA108" s="164"/>
      <c r="SB108" s="164"/>
      <c r="SC108" s="164"/>
      <c r="SD108" s="164"/>
      <c r="SE108" s="164"/>
      <c r="SF108" s="164"/>
      <c r="SG108" s="164"/>
      <c r="SH108" s="164"/>
      <c r="SI108" s="164"/>
      <c r="SJ108" s="164"/>
      <c r="SK108" s="164"/>
      <c r="SL108" s="164"/>
      <c r="SM108" s="164"/>
      <c r="SN108" s="164"/>
      <c r="SO108" s="164"/>
      <c r="SP108" s="164"/>
      <c r="SQ108" s="164"/>
      <c r="SR108" s="164"/>
    </row>
    <row r="109" spans="1:512" s="167" customFormat="1" ht="15" customHeight="1" x14ac:dyDescent="0.7">
      <c r="A109" s="173"/>
      <c r="B109" s="173"/>
      <c r="C109" s="173"/>
      <c r="D109" s="173"/>
      <c r="E109" s="173"/>
      <c r="F109" s="173"/>
      <c r="G109" s="173"/>
      <c r="H109" s="74"/>
      <c r="I109" s="162"/>
      <c r="J109" s="163"/>
      <c r="K109" s="187"/>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c r="BP109" s="166"/>
      <c r="BQ109" s="166"/>
      <c r="BR109" s="166"/>
      <c r="BS109" s="166"/>
      <c r="BT109" s="166"/>
      <c r="BU109" s="166"/>
      <c r="BV109" s="166"/>
      <c r="BW109" s="166"/>
      <c r="BX109" s="166"/>
      <c r="BY109" s="166"/>
      <c r="BZ109" s="166"/>
      <c r="CA109" s="166"/>
      <c r="CB109" s="166"/>
      <c r="CC109" s="166"/>
      <c r="CD109" s="166"/>
      <c r="CE109" s="166"/>
      <c r="CF109" s="166"/>
      <c r="CG109" s="166"/>
      <c r="CH109" s="166"/>
      <c r="CI109" s="166"/>
      <c r="CJ109" s="166"/>
      <c r="CK109" s="166"/>
      <c r="CL109" s="166"/>
      <c r="CM109" s="166"/>
      <c r="CN109" s="166"/>
      <c r="CO109" s="166"/>
      <c r="CP109" s="166"/>
      <c r="CQ109" s="166"/>
      <c r="CR109" s="166"/>
      <c r="CS109" s="166"/>
      <c r="CT109" s="166"/>
      <c r="CU109" s="166"/>
      <c r="CV109" s="166"/>
      <c r="CW109" s="166"/>
      <c r="CX109" s="166"/>
      <c r="CY109" s="166"/>
      <c r="CZ109" s="166"/>
      <c r="DA109" s="166"/>
      <c r="DB109" s="166"/>
      <c r="DC109" s="166"/>
      <c r="DD109" s="166"/>
      <c r="DE109" s="166"/>
      <c r="DF109" s="166"/>
      <c r="DG109" s="166"/>
      <c r="DH109" s="166"/>
      <c r="DI109" s="166"/>
      <c r="DJ109" s="166"/>
      <c r="DK109" s="166"/>
      <c r="DL109" s="166"/>
      <c r="DM109" s="166"/>
      <c r="DN109" s="166"/>
      <c r="DO109" s="166"/>
      <c r="DP109" s="166"/>
      <c r="DQ109" s="166"/>
      <c r="DR109" s="166"/>
      <c r="DS109" s="166"/>
      <c r="DT109" s="166"/>
      <c r="DU109" s="166"/>
      <c r="DV109" s="166"/>
      <c r="DW109" s="166"/>
      <c r="DX109" s="166"/>
      <c r="DY109" s="166"/>
      <c r="DZ109" s="166"/>
      <c r="EA109" s="166"/>
      <c r="EB109" s="166"/>
      <c r="EC109" s="166"/>
      <c r="ED109" s="166"/>
      <c r="EE109" s="166"/>
      <c r="EF109" s="166"/>
      <c r="EG109" s="166"/>
      <c r="EH109" s="166"/>
      <c r="EI109" s="166"/>
      <c r="EJ109" s="166"/>
      <c r="EK109" s="166"/>
      <c r="EL109" s="166"/>
      <c r="EM109" s="166"/>
      <c r="EN109" s="166"/>
      <c r="EO109" s="166"/>
      <c r="EP109" s="166"/>
      <c r="EQ109" s="166"/>
      <c r="ER109" s="166"/>
      <c r="ES109" s="166"/>
      <c r="ET109" s="166"/>
      <c r="EU109" s="166"/>
      <c r="EV109" s="166"/>
      <c r="EW109" s="166"/>
      <c r="EX109" s="166"/>
      <c r="EY109" s="166"/>
      <c r="EZ109" s="166"/>
      <c r="FA109" s="166"/>
      <c r="FB109" s="166"/>
      <c r="FC109" s="166"/>
      <c r="FD109" s="166"/>
      <c r="FE109" s="166"/>
      <c r="FF109" s="166"/>
      <c r="FG109" s="166"/>
      <c r="FH109" s="166"/>
      <c r="FI109" s="166"/>
      <c r="FJ109" s="166"/>
      <c r="FK109" s="166"/>
      <c r="FL109" s="166"/>
      <c r="FM109" s="166"/>
      <c r="FN109" s="166"/>
      <c r="FO109" s="166"/>
      <c r="FP109" s="166"/>
      <c r="FQ109" s="166"/>
      <c r="FR109" s="166"/>
      <c r="FS109" s="166"/>
      <c r="FT109" s="166"/>
      <c r="FU109" s="166"/>
      <c r="FV109" s="166"/>
      <c r="FW109" s="166"/>
      <c r="FX109" s="166"/>
      <c r="FY109" s="166"/>
      <c r="FZ109" s="166"/>
      <c r="GA109" s="166"/>
      <c r="GB109" s="166"/>
      <c r="GC109" s="166"/>
      <c r="GD109" s="166"/>
      <c r="GE109" s="166"/>
      <c r="GF109" s="166"/>
      <c r="GG109" s="166"/>
      <c r="GH109" s="166"/>
      <c r="GI109" s="166"/>
      <c r="GJ109" s="166"/>
      <c r="GK109" s="166"/>
      <c r="GL109" s="166"/>
      <c r="GM109" s="166"/>
      <c r="GN109" s="166"/>
      <c r="GO109" s="166"/>
      <c r="GP109" s="166"/>
      <c r="GQ109" s="166"/>
      <c r="GR109" s="166"/>
      <c r="GS109" s="166"/>
      <c r="GT109" s="166"/>
      <c r="GU109" s="166"/>
      <c r="GV109" s="166"/>
      <c r="GW109" s="166"/>
      <c r="GX109" s="166"/>
      <c r="GY109" s="166"/>
      <c r="GZ109" s="166"/>
      <c r="HA109" s="166"/>
      <c r="HB109" s="166"/>
      <c r="HC109" s="166"/>
      <c r="HD109" s="166"/>
      <c r="HE109" s="166"/>
      <c r="HF109" s="166"/>
      <c r="HG109" s="166"/>
      <c r="HH109" s="166"/>
      <c r="HI109" s="166"/>
      <c r="HJ109" s="166"/>
      <c r="HK109" s="166"/>
      <c r="HL109" s="166"/>
      <c r="HM109" s="166"/>
      <c r="HN109" s="166"/>
      <c r="HO109" s="166"/>
      <c r="HP109" s="166"/>
      <c r="HQ109" s="166"/>
      <c r="HR109" s="166"/>
      <c r="HS109" s="166"/>
      <c r="HT109" s="166"/>
      <c r="HU109" s="166"/>
      <c r="HV109" s="166"/>
      <c r="HW109" s="166"/>
      <c r="HX109" s="166"/>
      <c r="HY109" s="166"/>
      <c r="HZ109" s="166"/>
      <c r="IA109" s="166"/>
      <c r="IB109" s="166"/>
      <c r="IC109" s="166"/>
      <c r="ID109" s="166"/>
      <c r="IE109" s="166"/>
      <c r="IF109" s="166"/>
      <c r="IG109" s="166"/>
      <c r="IH109" s="166"/>
      <c r="II109" s="166"/>
      <c r="IJ109" s="166"/>
      <c r="IK109" s="166"/>
      <c r="IL109" s="166"/>
      <c r="IM109" s="166"/>
      <c r="IN109" s="166"/>
      <c r="IO109" s="166"/>
      <c r="IP109" s="166"/>
      <c r="IQ109" s="166"/>
      <c r="IR109" s="166"/>
      <c r="IS109" s="166"/>
      <c r="IT109" s="166"/>
      <c r="IU109" s="166"/>
      <c r="IV109" s="166"/>
      <c r="IW109" s="166"/>
      <c r="IX109" s="166"/>
      <c r="IY109" s="166"/>
      <c r="IZ109" s="166"/>
      <c r="JA109" s="166"/>
      <c r="JB109" s="166"/>
      <c r="JC109" s="166"/>
      <c r="JD109" s="166"/>
      <c r="JE109" s="166"/>
      <c r="JF109" s="166"/>
      <c r="JG109" s="166"/>
      <c r="JH109" s="166"/>
      <c r="JI109" s="166"/>
      <c r="JJ109" s="166"/>
      <c r="JK109" s="166"/>
      <c r="JL109" s="166"/>
      <c r="JM109" s="166"/>
      <c r="JN109" s="166"/>
      <c r="JO109" s="166"/>
      <c r="JP109" s="166"/>
      <c r="JQ109" s="166"/>
      <c r="JR109" s="166"/>
      <c r="JS109" s="166"/>
      <c r="JT109" s="166"/>
      <c r="JU109" s="166"/>
      <c r="JV109" s="166"/>
      <c r="JW109" s="166"/>
      <c r="JX109" s="166"/>
      <c r="JY109" s="166"/>
      <c r="JZ109" s="166"/>
      <c r="KA109" s="166"/>
      <c r="KB109" s="166"/>
      <c r="KC109" s="166"/>
      <c r="KD109" s="166"/>
      <c r="KE109" s="166"/>
      <c r="KF109" s="166"/>
      <c r="KG109" s="166"/>
      <c r="KH109" s="166"/>
      <c r="KI109" s="166"/>
      <c r="KJ109" s="166"/>
      <c r="KK109" s="166"/>
      <c r="KL109" s="166"/>
      <c r="KM109" s="166"/>
      <c r="KN109" s="166"/>
      <c r="KO109" s="166"/>
      <c r="KP109" s="166"/>
      <c r="KQ109" s="166"/>
      <c r="KR109" s="166"/>
      <c r="KS109" s="166"/>
      <c r="KT109" s="166"/>
      <c r="KU109" s="166"/>
      <c r="KV109" s="166"/>
      <c r="KW109" s="166"/>
      <c r="KX109" s="166"/>
      <c r="KY109" s="166"/>
      <c r="KZ109" s="166"/>
      <c r="LA109" s="166"/>
      <c r="LB109" s="166"/>
      <c r="LC109" s="166"/>
      <c r="LD109" s="166"/>
      <c r="LE109" s="166"/>
      <c r="LF109" s="166"/>
      <c r="LG109" s="166"/>
      <c r="LH109" s="166"/>
      <c r="LI109" s="166"/>
      <c r="LJ109" s="166"/>
      <c r="LK109" s="166"/>
      <c r="LL109" s="166"/>
      <c r="LM109" s="166"/>
      <c r="LN109" s="166"/>
      <c r="LO109" s="166"/>
      <c r="LP109" s="166"/>
      <c r="LQ109" s="166"/>
      <c r="LR109" s="166"/>
      <c r="LS109" s="166"/>
      <c r="LT109" s="166"/>
      <c r="LU109" s="166"/>
      <c r="LV109" s="166"/>
      <c r="LW109" s="166"/>
      <c r="LX109" s="166"/>
      <c r="LY109" s="166"/>
      <c r="LZ109" s="166"/>
      <c r="MA109" s="166"/>
      <c r="MB109" s="166"/>
      <c r="MC109" s="166"/>
      <c r="MD109" s="166"/>
      <c r="ME109" s="166"/>
      <c r="MF109" s="166"/>
      <c r="MG109" s="166"/>
      <c r="MH109" s="166"/>
      <c r="MI109" s="166"/>
      <c r="MJ109" s="166"/>
      <c r="MK109" s="166"/>
      <c r="ML109" s="166"/>
      <c r="MM109" s="166"/>
      <c r="MN109" s="166"/>
      <c r="MO109" s="166"/>
      <c r="MP109" s="166"/>
      <c r="MQ109" s="166"/>
      <c r="MR109" s="166"/>
      <c r="MS109" s="166"/>
      <c r="MT109" s="166"/>
      <c r="MU109" s="166"/>
      <c r="MV109" s="166"/>
      <c r="MW109" s="166"/>
      <c r="MX109" s="166"/>
      <c r="MY109" s="166"/>
      <c r="MZ109" s="166"/>
      <c r="NA109" s="166"/>
      <c r="NB109" s="166"/>
      <c r="NC109" s="166"/>
      <c r="ND109" s="166"/>
      <c r="NE109" s="166"/>
      <c r="NF109" s="166"/>
      <c r="NG109" s="166"/>
      <c r="NH109" s="166"/>
      <c r="NI109" s="166"/>
      <c r="NJ109" s="166"/>
      <c r="NK109" s="166"/>
      <c r="NL109" s="166"/>
      <c r="NM109" s="166"/>
      <c r="NN109" s="166"/>
      <c r="NO109" s="166"/>
      <c r="NP109" s="166"/>
      <c r="NQ109" s="166"/>
      <c r="NR109" s="166"/>
      <c r="NS109" s="166"/>
      <c r="NT109" s="166"/>
      <c r="NU109" s="166"/>
      <c r="NV109" s="166"/>
      <c r="NW109" s="166"/>
      <c r="NX109" s="166"/>
      <c r="NY109" s="166"/>
      <c r="NZ109" s="166"/>
      <c r="OA109" s="166"/>
      <c r="OB109" s="166"/>
      <c r="OC109" s="166"/>
      <c r="OD109" s="166"/>
      <c r="OE109" s="166"/>
      <c r="OF109" s="166"/>
      <c r="OG109" s="166"/>
      <c r="OH109" s="166"/>
      <c r="OI109" s="166"/>
      <c r="OJ109" s="166"/>
      <c r="OK109" s="166"/>
      <c r="OL109" s="166"/>
      <c r="OM109" s="166"/>
      <c r="ON109" s="166"/>
      <c r="OO109" s="166"/>
      <c r="OP109" s="166"/>
      <c r="OQ109" s="166"/>
      <c r="OR109" s="166"/>
      <c r="OS109" s="166"/>
      <c r="OT109" s="166"/>
      <c r="OU109" s="166"/>
      <c r="OV109" s="166"/>
      <c r="OW109" s="166"/>
      <c r="OX109" s="166"/>
      <c r="OY109" s="166"/>
      <c r="OZ109" s="166"/>
      <c r="PA109" s="166"/>
      <c r="PB109" s="166"/>
      <c r="PC109" s="166"/>
      <c r="PD109" s="166"/>
      <c r="PE109" s="166"/>
      <c r="PF109" s="166"/>
      <c r="PG109" s="166"/>
      <c r="PH109" s="166"/>
      <c r="PI109" s="166"/>
      <c r="PJ109" s="166"/>
      <c r="PK109" s="166"/>
      <c r="PL109" s="166"/>
      <c r="PM109" s="166"/>
      <c r="PN109" s="166"/>
      <c r="PO109" s="166"/>
      <c r="PP109" s="166"/>
      <c r="PQ109" s="166"/>
      <c r="PR109" s="166"/>
      <c r="PS109" s="166"/>
      <c r="PT109" s="166"/>
      <c r="PU109" s="166"/>
      <c r="PV109" s="166"/>
      <c r="PW109" s="166"/>
      <c r="PX109" s="166"/>
      <c r="PY109" s="166"/>
      <c r="PZ109" s="166"/>
      <c r="QA109" s="166"/>
      <c r="QB109" s="166"/>
      <c r="QC109" s="166"/>
      <c r="QD109" s="166"/>
      <c r="QE109" s="166"/>
      <c r="QF109" s="166"/>
      <c r="QG109" s="166"/>
      <c r="QH109" s="166"/>
      <c r="QI109" s="166"/>
      <c r="QJ109" s="166"/>
      <c r="QK109" s="166"/>
      <c r="QL109" s="166"/>
      <c r="QM109" s="166"/>
      <c r="QN109" s="166"/>
      <c r="QO109" s="166"/>
      <c r="QP109" s="166"/>
      <c r="QQ109" s="166"/>
      <c r="QR109" s="166"/>
      <c r="QS109" s="166"/>
      <c r="QT109" s="166"/>
      <c r="QU109" s="166"/>
      <c r="QV109" s="166"/>
      <c r="QW109" s="166"/>
      <c r="QX109" s="166"/>
      <c r="QY109" s="166"/>
      <c r="QZ109" s="166"/>
      <c r="RA109" s="166"/>
      <c r="RB109" s="166"/>
      <c r="RC109" s="166"/>
      <c r="RD109" s="166"/>
      <c r="RE109" s="166"/>
      <c r="RF109" s="166"/>
      <c r="RG109" s="166"/>
      <c r="RH109" s="166"/>
      <c r="RI109" s="166"/>
      <c r="RJ109" s="166"/>
      <c r="RK109" s="166"/>
      <c r="RL109" s="166"/>
      <c r="RM109" s="166"/>
      <c r="RN109" s="166"/>
      <c r="RO109" s="166"/>
      <c r="RP109" s="166"/>
      <c r="RQ109" s="166"/>
      <c r="RR109" s="166"/>
      <c r="RS109" s="166"/>
      <c r="RT109" s="166"/>
      <c r="RU109" s="166"/>
      <c r="RV109" s="166"/>
      <c r="RW109" s="166"/>
      <c r="RX109" s="166"/>
      <c r="RY109" s="166"/>
      <c r="RZ109" s="166"/>
      <c r="SA109" s="166"/>
      <c r="SB109" s="166"/>
      <c r="SC109" s="166"/>
      <c r="SD109" s="166"/>
      <c r="SE109" s="166"/>
      <c r="SF109" s="166"/>
      <c r="SG109" s="166"/>
      <c r="SH109" s="166"/>
      <c r="SI109" s="166"/>
      <c r="SJ109" s="166"/>
      <c r="SK109" s="166"/>
      <c r="SL109" s="166"/>
      <c r="SM109" s="166"/>
      <c r="SN109" s="166"/>
      <c r="SO109" s="166"/>
      <c r="SP109" s="166"/>
      <c r="SQ109" s="166"/>
      <c r="SR109" s="166"/>
    </row>
    <row r="110" spans="1:512" s="165" customFormat="1" ht="15" customHeight="1" x14ac:dyDescent="0.7">
      <c r="A110" s="171">
        <v>34</v>
      </c>
      <c r="B110" s="171" t="s">
        <v>85</v>
      </c>
      <c r="C110" s="171" t="s">
        <v>409</v>
      </c>
      <c r="D110" s="171"/>
      <c r="E110" s="171" t="s">
        <v>41</v>
      </c>
      <c r="F110" s="171"/>
      <c r="G110" s="188" t="s">
        <v>426</v>
      </c>
      <c r="H110" s="71" t="s">
        <v>427</v>
      </c>
      <c r="I110" s="160" t="s">
        <v>391</v>
      </c>
      <c r="J110" s="161">
        <v>0.02</v>
      </c>
      <c r="K110" s="185">
        <v>0.01</v>
      </c>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c r="AH110" s="164"/>
      <c r="AI110" s="164"/>
      <c r="AJ110" s="164"/>
      <c r="AK110" s="164"/>
      <c r="AL110" s="164"/>
      <c r="AM110" s="164"/>
      <c r="AN110" s="164"/>
      <c r="AO110" s="164"/>
      <c r="AP110" s="164"/>
      <c r="AQ110" s="164"/>
      <c r="AR110" s="164"/>
      <c r="AS110" s="164"/>
      <c r="AT110" s="164"/>
      <c r="AU110" s="164"/>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c r="BT110" s="164"/>
      <c r="BU110" s="164"/>
      <c r="BV110" s="164"/>
      <c r="BW110" s="164"/>
      <c r="BX110" s="164"/>
      <c r="BY110" s="164"/>
      <c r="BZ110" s="164"/>
      <c r="CA110" s="164"/>
      <c r="CB110" s="164"/>
      <c r="CC110" s="164"/>
      <c r="CD110" s="164"/>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164"/>
      <c r="ES110" s="164"/>
      <c r="ET110" s="164"/>
      <c r="EU110" s="164"/>
      <c r="EV110" s="164"/>
      <c r="EW110" s="164"/>
      <c r="EX110" s="164"/>
      <c r="EY110" s="164"/>
      <c r="EZ110" s="164"/>
      <c r="FA110" s="164"/>
      <c r="FB110" s="164"/>
      <c r="FC110" s="164"/>
      <c r="FD110" s="164"/>
      <c r="FE110" s="164"/>
      <c r="FF110" s="164"/>
      <c r="FG110" s="164"/>
      <c r="FH110" s="164"/>
      <c r="FI110" s="164"/>
      <c r="FJ110" s="164"/>
      <c r="FK110" s="164"/>
      <c r="FL110" s="164"/>
      <c r="FM110" s="164"/>
      <c r="FN110" s="164"/>
      <c r="FO110" s="164"/>
      <c r="FP110" s="164"/>
      <c r="FQ110" s="164"/>
      <c r="FR110" s="164"/>
      <c r="FS110" s="164"/>
      <c r="FT110" s="164"/>
      <c r="FU110" s="164"/>
      <c r="FV110" s="164"/>
      <c r="FW110" s="164"/>
      <c r="FX110" s="164"/>
      <c r="FY110" s="164"/>
      <c r="FZ110" s="164"/>
      <c r="GA110" s="164"/>
      <c r="GB110" s="164"/>
      <c r="GC110" s="164"/>
      <c r="GD110" s="164"/>
      <c r="GE110" s="164"/>
      <c r="GF110" s="164"/>
      <c r="GG110" s="164"/>
      <c r="GH110" s="164"/>
      <c r="GI110" s="164"/>
      <c r="GJ110" s="164"/>
      <c r="GK110" s="164"/>
      <c r="GL110" s="164"/>
      <c r="GM110" s="164"/>
      <c r="GN110" s="164"/>
      <c r="GO110" s="164"/>
      <c r="GP110" s="164"/>
      <c r="GQ110" s="164"/>
      <c r="GR110" s="164"/>
      <c r="GS110" s="164"/>
      <c r="GT110" s="164"/>
      <c r="GU110" s="164"/>
      <c r="GV110" s="164"/>
      <c r="GW110" s="164"/>
      <c r="GX110" s="164"/>
      <c r="GY110" s="164"/>
      <c r="GZ110" s="164"/>
      <c r="HA110" s="164"/>
      <c r="HB110" s="164"/>
      <c r="HC110" s="164"/>
      <c r="HD110" s="164"/>
      <c r="HE110" s="164"/>
      <c r="HF110" s="164"/>
      <c r="HG110" s="164"/>
      <c r="HH110" s="164"/>
      <c r="HI110" s="164"/>
      <c r="HJ110" s="164"/>
      <c r="HK110" s="164"/>
      <c r="HL110" s="164"/>
      <c r="HM110" s="164"/>
      <c r="HN110" s="164"/>
      <c r="HO110" s="164"/>
      <c r="HP110" s="164"/>
      <c r="HQ110" s="164"/>
      <c r="HR110" s="164"/>
      <c r="HS110" s="164"/>
      <c r="HT110" s="164"/>
      <c r="HU110" s="164"/>
      <c r="HV110" s="164"/>
      <c r="HW110" s="164"/>
      <c r="HX110" s="164"/>
      <c r="HY110" s="164"/>
      <c r="HZ110" s="164"/>
      <c r="IA110" s="164"/>
      <c r="IB110" s="164"/>
      <c r="IC110" s="164"/>
      <c r="ID110" s="164"/>
      <c r="IE110" s="164"/>
      <c r="IF110" s="164"/>
      <c r="IG110" s="164"/>
      <c r="IH110" s="164"/>
      <c r="II110" s="164"/>
      <c r="IJ110" s="164"/>
      <c r="IK110" s="164"/>
      <c r="IL110" s="164"/>
      <c r="IM110" s="164"/>
      <c r="IN110" s="164"/>
      <c r="IO110" s="164"/>
      <c r="IP110" s="164"/>
      <c r="IQ110" s="164"/>
      <c r="IR110" s="164"/>
      <c r="IS110" s="164"/>
      <c r="IT110" s="164"/>
      <c r="IU110" s="164"/>
      <c r="IV110" s="164"/>
      <c r="IW110" s="164"/>
      <c r="IX110" s="164"/>
      <c r="IY110" s="164"/>
      <c r="IZ110" s="164"/>
      <c r="JA110" s="164"/>
      <c r="JB110" s="164"/>
      <c r="JC110" s="164"/>
      <c r="JD110" s="164"/>
      <c r="JE110" s="164"/>
      <c r="JF110" s="164"/>
      <c r="JG110" s="164"/>
      <c r="JH110" s="164"/>
      <c r="JI110" s="164"/>
      <c r="JJ110" s="164"/>
      <c r="JK110" s="164"/>
      <c r="JL110" s="164"/>
      <c r="JM110" s="164"/>
      <c r="JN110" s="164"/>
      <c r="JO110" s="164"/>
      <c r="JP110" s="164"/>
      <c r="JQ110" s="164"/>
      <c r="JR110" s="164"/>
      <c r="JS110" s="164"/>
      <c r="JT110" s="164"/>
      <c r="JU110" s="164"/>
      <c r="JV110" s="164"/>
      <c r="JW110" s="164"/>
      <c r="JX110" s="164"/>
      <c r="JY110" s="164"/>
      <c r="JZ110" s="164"/>
      <c r="KA110" s="164"/>
      <c r="KB110" s="164"/>
      <c r="KC110" s="164"/>
      <c r="KD110" s="164"/>
      <c r="KE110" s="164"/>
      <c r="KF110" s="164"/>
      <c r="KG110" s="164"/>
      <c r="KH110" s="164"/>
      <c r="KI110" s="164"/>
      <c r="KJ110" s="164"/>
      <c r="KK110" s="164"/>
      <c r="KL110" s="164"/>
      <c r="KM110" s="164"/>
      <c r="KN110" s="164"/>
      <c r="KO110" s="164"/>
      <c r="KP110" s="164"/>
      <c r="KQ110" s="164"/>
      <c r="KR110" s="164"/>
      <c r="KS110" s="164"/>
      <c r="KT110" s="164"/>
      <c r="KU110" s="164"/>
      <c r="KV110" s="164"/>
      <c r="KW110" s="164"/>
      <c r="KX110" s="164"/>
      <c r="KY110" s="164"/>
      <c r="KZ110" s="164"/>
      <c r="LA110" s="164"/>
      <c r="LB110" s="164"/>
      <c r="LC110" s="164"/>
      <c r="LD110" s="164"/>
      <c r="LE110" s="164"/>
      <c r="LF110" s="164"/>
      <c r="LG110" s="164"/>
      <c r="LH110" s="164"/>
      <c r="LI110" s="164"/>
      <c r="LJ110" s="164"/>
      <c r="LK110" s="164"/>
      <c r="LL110" s="164"/>
      <c r="LM110" s="164"/>
      <c r="LN110" s="164"/>
      <c r="LO110" s="164"/>
      <c r="LP110" s="164"/>
      <c r="LQ110" s="164"/>
      <c r="LR110" s="164"/>
      <c r="LS110" s="164"/>
      <c r="LT110" s="164"/>
      <c r="LU110" s="164"/>
      <c r="LV110" s="164"/>
      <c r="LW110" s="164"/>
      <c r="LX110" s="164"/>
      <c r="LY110" s="164"/>
      <c r="LZ110" s="164"/>
      <c r="MA110" s="164"/>
      <c r="MB110" s="164"/>
      <c r="MC110" s="164"/>
      <c r="MD110" s="164"/>
      <c r="ME110" s="164"/>
      <c r="MF110" s="164"/>
      <c r="MG110" s="164"/>
      <c r="MH110" s="164"/>
      <c r="MI110" s="164"/>
      <c r="MJ110" s="164"/>
      <c r="MK110" s="164"/>
      <c r="ML110" s="164"/>
      <c r="MM110" s="164"/>
      <c r="MN110" s="164"/>
      <c r="MO110" s="164"/>
      <c r="MP110" s="164"/>
      <c r="MQ110" s="164"/>
      <c r="MR110" s="164"/>
      <c r="MS110" s="164"/>
      <c r="MT110" s="164"/>
      <c r="MU110" s="164"/>
      <c r="MV110" s="164"/>
      <c r="MW110" s="164"/>
      <c r="MX110" s="164"/>
      <c r="MY110" s="164"/>
      <c r="MZ110" s="164"/>
      <c r="NA110" s="164"/>
      <c r="NB110" s="164"/>
      <c r="NC110" s="164"/>
      <c r="ND110" s="164"/>
      <c r="NE110" s="164"/>
      <c r="NF110" s="164"/>
      <c r="NG110" s="164"/>
      <c r="NH110" s="164"/>
      <c r="NI110" s="164"/>
      <c r="NJ110" s="164"/>
      <c r="NK110" s="164"/>
      <c r="NL110" s="164"/>
      <c r="NM110" s="164"/>
      <c r="NN110" s="164"/>
      <c r="NO110" s="164"/>
      <c r="NP110" s="164"/>
      <c r="NQ110" s="164"/>
      <c r="NR110" s="164"/>
      <c r="NS110" s="164"/>
      <c r="NT110" s="164"/>
      <c r="NU110" s="164"/>
      <c r="NV110" s="164"/>
      <c r="NW110" s="164"/>
      <c r="NX110" s="164"/>
      <c r="NY110" s="164"/>
      <c r="NZ110" s="164"/>
      <c r="OA110" s="164"/>
      <c r="OB110" s="164"/>
      <c r="OC110" s="164"/>
      <c r="OD110" s="164"/>
      <c r="OE110" s="164"/>
      <c r="OF110" s="164"/>
      <c r="OG110" s="164"/>
      <c r="OH110" s="164"/>
      <c r="OI110" s="164"/>
      <c r="OJ110" s="164"/>
      <c r="OK110" s="164"/>
      <c r="OL110" s="164"/>
      <c r="OM110" s="164"/>
      <c r="ON110" s="164"/>
      <c r="OO110" s="164"/>
      <c r="OP110" s="164"/>
      <c r="OQ110" s="164"/>
      <c r="OR110" s="164"/>
      <c r="OS110" s="164"/>
      <c r="OT110" s="164"/>
      <c r="OU110" s="164"/>
      <c r="OV110" s="164"/>
      <c r="OW110" s="164"/>
      <c r="OX110" s="164"/>
      <c r="OY110" s="164"/>
      <c r="OZ110" s="164"/>
      <c r="PA110" s="164"/>
      <c r="PB110" s="164"/>
      <c r="PC110" s="164"/>
      <c r="PD110" s="164"/>
      <c r="PE110" s="164"/>
      <c r="PF110" s="164"/>
      <c r="PG110" s="164"/>
      <c r="PH110" s="164"/>
      <c r="PI110" s="164"/>
      <c r="PJ110" s="164"/>
      <c r="PK110" s="164"/>
      <c r="PL110" s="164"/>
      <c r="PM110" s="164"/>
      <c r="PN110" s="164"/>
      <c r="PO110" s="164"/>
      <c r="PP110" s="164"/>
      <c r="PQ110" s="164"/>
      <c r="PR110" s="164"/>
      <c r="PS110" s="164"/>
      <c r="PT110" s="164"/>
      <c r="PU110" s="164"/>
      <c r="PV110" s="164"/>
      <c r="PW110" s="164"/>
      <c r="PX110" s="164"/>
      <c r="PY110" s="164"/>
      <c r="PZ110" s="164"/>
      <c r="QA110" s="164"/>
      <c r="QB110" s="164"/>
      <c r="QC110" s="164"/>
      <c r="QD110" s="164"/>
      <c r="QE110" s="164"/>
      <c r="QF110" s="164"/>
      <c r="QG110" s="164"/>
      <c r="QH110" s="164"/>
      <c r="QI110" s="164"/>
      <c r="QJ110" s="164"/>
      <c r="QK110" s="164"/>
      <c r="QL110" s="164"/>
      <c r="QM110" s="164"/>
      <c r="QN110" s="164"/>
      <c r="QO110" s="164"/>
      <c r="QP110" s="164"/>
      <c r="QQ110" s="164"/>
      <c r="QR110" s="164"/>
      <c r="QS110" s="164"/>
      <c r="QT110" s="164"/>
      <c r="QU110" s="164"/>
      <c r="QV110" s="164"/>
      <c r="QW110" s="164"/>
      <c r="QX110" s="164"/>
      <c r="QY110" s="164"/>
      <c r="QZ110" s="164"/>
      <c r="RA110" s="164"/>
      <c r="RB110" s="164"/>
      <c r="RC110" s="164"/>
      <c r="RD110" s="164"/>
      <c r="RE110" s="164"/>
      <c r="RF110" s="164"/>
      <c r="RG110" s="164"/>
      <c r="RH110" s="164"/>
      <c r="RI110" s="164"/>
      <c r="RJ110" s="164"/>
      <c r="RK110" s="164"/>
      <c r="RL110" s="164"/>
      <c r="RM110" s="164"/>
      <c r="RN110" s="164"/>
      <c r="RO110" s="164"/>
      <c r="RP110" s="164"/>
      <c r="RQ110" s="164"/>
      <c r="RR110" s="164"/>
      <c r="RS110" s="164"/>
      <c r="RT110" s="164"/>
      <c r="RU110" s="164"/>
      <c r="RV110" s="164"/>
      <c r="RW110" s="164"/>
      <c r="RX110" s="164"/>
      <c r="RY110" s="164"/>
      <c r="RZ110" s="164"/>
      <c r="SA110" s="164"/>
      <c r="SB110" s="164"/>
      <c r="SC110" s="164"/>
      <c r="SD110" s="164"/>
      <c r="SE110" s="164"/>
      <c r="SF110" s="164"/>
      <c r="SG110" s="164"/>
      <c r="SH110" s="164"/>
      <c r="SI110" s="164"/>
      <c r="SJ110" s="164"/>
      <c r="SK110" s="164"/>
      <c r="SL110" s="164"/>
      <c r="SM110" s="164"/>
      <c r="SN110" s="164"/>
      <c r="SO110" s="164"/>
      <c r="SP110" s="164"/>
      <c r="SQ110" s="164"/>
      <c r="SR110" s="164"/>
    </row>
    <row r="111" spans="1:512" s="165" customFormat="1" ht="15" customHeight="1" x14ac:dyDescent="0.7">
      <c r="A111" s="172"/>
      <c r="B111" s="172"/>
      <c r="C111" s="172"/>
      <c r="D111" s="172"/>
      <c r="E111" s="172"/>
      <c r="F111" s="172"/>
      <c r="G111" s="172"/>
      <c r="H111" s="62"/>
      <c r="I111" s="160" t="s">
        <v>366</v>
      </c>
      <c r="J111" s="161">
        <v>0</v>
      </c>
      <c r="K111" s="186"/>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c r="AH111" s="164"/>
      <c r="AI111" s="164"/>
      <c r="AJ111" s="164"/>
      <c r="AK111" s="164"/>
      <c r="AL111" s="164"/>
      <c r="AM111" s="164"/>
      <c r="AN111" s="164"/>
      <c r="AO111" s="164"/>
      <c r="AP111" s="164"/>
      <c r="AQ111" s="164"/>
      <c r="AR111" s="164"/>
      <c r="AS111" s="164"/>
      <c r="AT111" s="164"/>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c r="FY111" s="164"/>
      <c r="FZ111" s="164"/>
      <c r="GA111" s="164"/>
      <c r="GB111" s="164"/>
      <c r="GC111" s="164"/>
      <c r="GD111" s="164"/>
      <c r="GE111" s="164"/>
      <c r="GF111" s="164"/>
      <c r="GG111" s="164"/>
      <c r="GH111" s="164"/>
      <c r="GI111" s="164"/>
      <c r="GJ111" s="164"/>
      <c r="GK111" s="164"/>
      <c r="GL111" s="164"/>
      <c r="GM111" s="164"/>
      <c r="GN111" s="164"/>
      <c r="GO111" s="164"/>
      <c r="GP111" s="164"/>
      <c r="GQ111" s="164"/>
      <c r="GR111" s="164"/>
      <c r="GS111" s="164"/>
      <c r="GT111" s="164"/>
      <c r="GU111" s="164"/>
      <c r="GV111" s="164"/>
      <c r="GW111" s="164"/>
      <c r="GX111" s="164"/>
      <c r="GY111" s="164"/>
      <c r="GZ111" s="164"/>
      <c r="HA111" s="164"/>
      <c r="HB111" s="164"/>
      <c r="HC111" s="164"/>
      <c r="HD111" s="164"/>
      <c r="HE111" s="164"/>
      <c r="HF111" s="164"/>
      <c r="HG111" s="164"/>
      <c r="HH111" s="164"/>
      <c r="HI111" s="164"/>
      <c r="HJ111" s="164"/>
      <c r="HK111" s="164"/>
      <c r="HL111" s="164"/>
      <c r="HM111" s="164"/>
      <c r="HN111" s="164"/>
      <c r="HO111" s="164"/>
      <c r="HP111" s="164"/>
      <c r="HQ111" s="164"/>
      <c r="HR111" s="164"/>
      <c r="HS111" s="164"/>
      <c r="HT111" s="164"/>
      <c r="HU111" s="164"/>
      <c r="HV111" s="164"/>
      <c r="HW111" s="164"/>
      <c r="HX111" s="164"/>
      <c r="HY111" s="164"/>
      <c r="HZ111" s="164"/>
      <c r="IA111" s="164"/>
      <c r="IB111" s="164"/>
      <c r="IC111" s="164"/>
      <c r="ID111" s="164"/>
      <c r="IE111" s="164"/>
      <c r="IF111" s="164"/>
      <c r="IG111" s="164"/>
      <c r="IH111" s="164"/>
      <c r="II111" s="164"/>
      <c r="IJ111" s="164"/>
      <c r="IK111" s="164"/>
      <c r="IL111" s="164"/>
      <c r="IM111" s="164"/>
      <c r="IN111" s="164"/>
      <c r="IO111" s="164"/>
      <c r="IP111" s="164"/>
      <c r="IQ111" s="164"/>
      <c r="IR111" s="164"/>
      <c r="IS111" s="164"/>
      <c r="IT111" s="164"/>
      <c r="IU111" s="164"/>
      <c r="IV111" s="164"/>
      <c r="IW111" s="164"/>
      <c r="IX111" s="164"/>
      <c r="IY111" s="164"/>
      <c r="IZ111" s="164"/>
      <c r="JA111" s="164"/>
      <c r="JB111" s="164"/>
      <c r="JC111" s="164"/>
      <c r="JD111" s="164"/>
      <c r="JE111" s="164"/>
      <c r="JF111" s="164"/>
      <c r="JG111" s="164"/>
      <c r="JH111" s="164"/>
      <c r="JI111" s="164"/>
      <c r="JJ111" s="164"/>
      <c r="JK111" s="164"/>
      <c r="JL111" s="164"/>
      <c r="JM111" s="164"/>
      <c r="JN111" s="164"/>
      <c r="JO111" s="164"/>
      <c r="JP111" s="164"/>
      <c r="JQ111" s="164"/>
      <c r="JR111" s="164"/>
      <c r="JS111" s="164"/>
      <c r="JT111" s="164"/>
      <c r="JU111" s="164"/>
      <c r="JV111" s="164"/>
      <c r="JW111" s="164"/>
      <c r="JX111" s="164"/>
      <c r="JY111" s="164"/>
      <c r="JZ111" s="164"/>
      <c r="KA111" s="164"/>
      <c r="KB111" s="164"/>
      <c r="KC111" s="164"/>
      <c r="KD111" s="164"/>
      <c r="KE111" s="164"/>
      <c r="KF111" s="164"/>
      <c r="KG111" s="164"/>
      <c r="KH111" s="164"/>
      <c r="KI111" s="164"/>
      <c r="KJ111" s="164"/>
      <c r="KK111" s="164"/>
      <c r="KL111" s="164"/>
      <c r="KM111" s="164"/>
      <c r="KN111" s="164"/>
      <c r="KO111" s="164"/>
      <c r="KP111" s="164"/>
      <c r="KQ111" s="164"/>
      <c r="KR111" s="164"/>
      <c r="KS111" s="164"/>
      <c r="KT111" s="164"/>
      <c r="KU111" s="164"/>
      <c r="KV111" s="164"/>
      <c r="KW111" s="164"/>
      <c r="KX111" s="164"/>
      <c r="KY111" s="164"/>
      <c r="KZ111" s="164"/>
      <c r="LA111" s="164"/>
      <c r="LB111" s="164"/>
      <c r="LC111" s="164"/>
      <c r="LD111" s="164"/>
      <c r="LE111" s="164"/>
      <c r="LF111" s="164"/>
      <c r="LG111" s="164"/>
      <c r="LH111" s="164"/>
      <c r="LI111" s="164"/>
      <c r="LJ111" s="164"/>
      <c r="LK111" s="164"/>
      <c r="LL111" s="164"/>
      <c r="LM111" s="164"/>
      <c r="LN111" s="164"/>
      <c r="LO111" s="164"/>
      <c r="LP111" s="164"/>
      <c r="LQ111" s="164"/>
      <c r="LR111" s="164"/>
      <c r="LS111" s="164"/>
      <c r="LT111" s="164"/>
      <c r="LU111" s="164"/>
      <c r="LV111" s="164"/>
      <c r="LW111" s="164"/>
      <c r="LX111" s="164"/>
      <c r="LY111" s="164"/>
      <c r="LZ111" s="164"/>
      <c r="MA111" s="164"/>
      <c r="MB111" s="164"/>
      <c r="MC111" s="164"/>
      <c r="MD111" s="164"/>
      <c r="ME111" s="164"/>
      <c r="MF111" s="164"/>
      <c r="MG111" s="164"/>
      <c r="MH111" s="164"/>
      <c r="MI111" s="164"/>
      <c r="MJ111" s="164"/>
      <c r="MK111" s="164"/>
      <c r="ML111" s="164"/>
      <c r="MM111" s="164"/>
      <c r="MN111" s="164"/>
      <c r="MO111" s="164"/>
      <c r="MP111" s="164"/>
      <c r="MQ111" s="164"/>
      <c r="MR111" s="164"/>
      <c r="MS111" s="164"/>
      <c r="MT111" s="164"/>
      <c r="MU111" s="164"/>
      <c r="MV111" s="164"/>
      <c r="MW111" s="164"/>
      <c r="MX111" s="164"/>
      <c r="MY111" s="164"/>
      <c r="MZ111" s="164"/>
      <c r="NA111" s="164"/>
      <c r="NB111" s="164"/>
      <c r="NC111" s="164"/>
      <c r="ND111" s="164"/>
      <c r="NE111" s="164"/>
      <c r="NF111" s="164"/>
      <c r="NG111" s="164"/>
      <c r="NH111" s="164"/>
      <c r="NI111" s="164"/>
      <c r="NJ111" s="164"/>
      <c r="NK111" s="164"/>
      <c r="NL111" s="164"/>
      <c r="NM111" s="164"/>
      <c r="NN111" s="164"/>
      <c r="NO111" s="164"/>
      <c r="NP111" s="164"/>
      <c r="NQ111" s="164"/>
      <c r="NR111" s="164"/>
      <c r="NS111" s="164"/>
      <c r="NT111" s="164"/>
      <c r="NU111" s="164"/>
      <c r="NV111" s="164"/>
      <c r="NW111" s="164"/>
      <c r="NX111" s="164"/>
      <c r="NY111" s="164"/>
      <c r="NZ111" s="164"/>
      <c r="OA111" s="164"/>
      <c r="OB111" s="164"/>
      <c r="OC111" s="164"/>
      <c r="OD111" s="164"/>
      <c r="OE111" s="164"/>
      <c r="OF111" s="164"/>
      <c r="OG111" s="164"/>
      <c r="OH111" s="164"/>
      <c r="OI111" s="164"/>
      <c r="OJ111" s="164"/>
      <c r="OK111" s="164"/>
      <c r="OL111" s="164"/>
      <c r="OM111" s="164"/>
      <c r="ON111" s="164"/>
      <c r="OO111" s="164"/>
      <c r="OP111" s="164"/>
      <c r="OQ111" s="164"/>
      <c r="OR111" s="164"/>
      <c r="OS111" s="164"/>
      <c r="OT111" s="164"/>
      <c r="OU111" s="164"/>
      <c r="OV111" s="164"/>
      <c r="OW111" s="164"/>
      <c r="OX111" s="164"/>
      <c r="OY111" s="164"/>
      <c r="OZ111" s="164"/>
      <c r="PA111" s="164"/>
      <c r="PB111" s="164"/>
      <c r="PC111" s="164"/>
      <c r="PD111" s="164"/>
      <c r="PE111" s="164"/>
      <c r="PF111" s="164"/>
      <c r="PG111" s="164"/>
      <c r="PH111" s="164"/>
      <c r="PI111" s="164"/>
      <c r="PJ111" s="164"/>
      <c r="PK111" s="164"/>
      <c r="PL111" s="164"/>
      <c r="PM111" s="164"/>
      <c r="PN111" s="164"/>
      <c r="PO111" s="164"/>
      <c r="PP111" s="164"/>
      <c r="PQ111" s="164"/>
      <c r="PR111" s="164"/>
      <c r="PS111" s="164"/>
      <c r="PT111" s="164"/>
      <c r="PU111" s="164"/>
      <c r="PV111" s="164"/>
      <c r="PW111" s="164"/>
      <c r="PX111" s="164"/>
      <c r="PY111" s="164"/>
      <c r="PZ111" s="164"/>
      <c r="QA111" s="164"/>
      <c r="QB111" s="164"/>
      <c r="QC111" s="164"/>
      <c r="QD111" s="164"/>
      <c r="QE111" s="164"/>
      <c r="QF111" s="164"/>
      <c r="QG111" s="164"/>
      <c r="QH111" s="164"/>
      <c r="QI111" s="164"/>
      <c r="QJ111" s="164"/>
      <c r="QK111" s="164"/>
      <c r="QL111" s="164"/>
      <c r="QM111" s="164"/>
      <c r="QN111" s="164"/>
      <c r="QO111" s="164"/>
      <c r="QP111" s="164"/>
      <c r="QQ111" s="164"/>
      <c r="QR111" s="164"/>
      <c r="QS111" s="164"/>
      <c r="QT111" s="164"/>
      <c r="QU111" s="164"/>
      <c r="QV111" s="164"/>
      <c r="QW111" s="164"/>
      <c r="QX111" s="164"/>
      <c r="QY111" s="164"/>
      <c r="QZ111" s="164"/>
      <c r="RA111" s="164"/>
      <c r="RB111" s="164"/>
      <c r="RC111" s="164"/>
      <c r="RD111" s="164"/>
      <c r="RE111" s="164"/>
      <c r="RF111" s="164"/>
      <c r="RG111" s="164"/>
      <c r="RH111" s="164"/>
      <c r="RI111" s="164"/>
      <c r="RJ111" s="164"/>
      <c r="RK111" s="164"/>
      <c r="RL111" s="164"/>
      <c r="RM111" s="164"/>
      <c r="RN111" s="164"/>
      <c r="RO111" s="164"/>
      <c r="RP111" s="164"/>
      <c r="RQ111" s="164"/>
      <c r="RR111" s="164"/>
      <c r="RS111" s="164"/>
      <c r="RT111" s="164"/>
      <c r="RU111" s="164"/>
      <c r="RV111" s="164"/>
      <c r="RW111" s="164"/>
      <c r="RX111" s="164"/>
      <c r="RY111" s="164"/>
      <c r="RZ111" s="164"/>
      <c r="SA111" s="164"/>
      <c r="SB111" s="164"/>
      <c r="SC111" s="164"/>
      <c r="SD111" s="164"/>
      <c r="SE111" s="164"/>
      <c r="SF111" s="164"/>
      <c r="SG111" s="164"/>
      <c r="SH111" s="164"/>
      <c r="SI111" s="164"/>
      <c r="SJ111" s="164"/>
      <c r="SK111" s="164"/>
      <c r="SL111" s="164"/>
      <c r="SM111" s="164"/>
      <c r="SN111" s="164"/>
      <c r="SO111" s="164"/>
      <c r="SP111" s="164"/>
      <c r="SQ111" s="164"/>
      <c r="SR111" s="164"/>
    </row>
    <row r="112" spans="1:512" s="167" customFormat="1" ht="15" customHeight="1" x14ac:dyDescent="0.7">
      <c r="A112" s="173"/>
      <c r="B112" s="173"/>
      <c r="C112" s="173"/>
      <c r="D112" s="173"/>
      <c r="E112" s="173"/>
      <c r="F112" s="173"/>
      <c r="G112" s="173"/>
      <c r="H112" s="74"/>
      <c r="I112" s="162"/>
      <c r="J112" s="163"/>
      <c r="K112" s="187"/>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c r="BI112" s="166"/>
      <c r="BJ112" s="166"/>
      <c r="BK112" s="166"/>
      <c r="BL112" s="166"/>
      <c r="BM112" s="166"/>
      <c r="BN112" s="166"/>
      <c r="BO112" s="166"/>
      <c r="BP112" s="166"/>
      <c r="BQ112" s="166"/>
      <c r="BR112" s="166"/>
      <c r="BS112" s="166"/>
      <c r="BT112" s="166"/>
      <c r="BU112" s="166"/>
      <c r="BV112" s="166"/>
      <c r="BW112" s="166"/>
      <c r="BX112" s="166"/>
      <c r="BY112" s="166"/>
      <c r="BZ112" s="166"/>
      <c r="CA112" s="166"/>
      <c r="CB112" s="166"/>
      <c r="CC112" s="166"/>
      <c r="CD112" s="166"/>
      <c r="CE112" s="166"/>
      <c r="CF112" s="166"/>
      <c r="CG112" s="166"/>
      <c r="CH112" s="166"/>
      <c r="CI112" s="166"/>
      <c r="CJ112" s="166"/>
      <c r="CK112" s="166"/>
      <c r="CL112" s="166"/>
      <c r="CM112" s="166"/>
      <c r="CN112" s="166"/>
      <c r="CO112" s="166"/>
      <c r="CP112" s="166"/>
      <c r="CQ112" s="166"/>
      <c r="CR112" s="166"/>
      <c r="CS112" s="166"/>
      <c r="CT112" s="166"/>
      <c r="CU112" s="166"/>
      <c r="CV112" s="166"/>
      <c r="CW112" s="166"/>
      <c r="CX112" s="166"/>
      <c r="CY112" s="166"/>
      <c r="CZ112" s="166"/>
      <c r="DA112" s="166"/>
      <c r="DB112" s="166"/>
      <c r="DC112" s="166"/>
      <c r="DD112" s="166"/>
      <c r="DE112" s="166"/>
      <c r="DF112" s="166"/>
      <c r="DG112" s="166"/>
      <c r="DH112" s="166"/>
      <c r="DI112" s="166"/>
      <c r="DJ112" s="166"/>
      <c r="DK112" s="166"/>
      <c r="DL112" s="166"/>
      <c r="DM112" s="166"/>
      <c r="DN112" s="166"/>
      <c r="DO112" s="166"/>
      <c r="DP112" s="166"/>
      <c r="DQ112" s="166"/>
      <c r="DR112" s="166"/>
      <c r="DS112" s="166"/>
      <c r="DT112" s="166"/>
      <c r="DU112" s="166"/>
      <c r="DV112" s="166"/>
      <c r="DW112" s="166"/>
      <c r="DX112" s="166"/>
      <c r="DY112" s="166"/>
      <c r="DZ112" s="166"/>
      <c r="EA112" s="166"/>
      <c r="EB112" s="166"/>
      <c r="EC112" s="166"/>
      <c r="ED112" s="166"/>
      <c r="EE112" s="166"/>
      <c r="EF112" s="166"/>
      <c r="EG112" s="166"/>
      <c r="EH112" s="166"/>
      <c r="EI112" s="166"/>
      <c r="EJ112" s="166"/>
      <c r="EK112" s="166"/>
      <c r="EL112" s="166"/>
      <c r="EM112" s="166"/>
      <c r="EN112" s="166"/>
      <c r="EO112" s="166"/>
      <c r="EP112" s="166"/>
      <c r="EQ112" s="166"/>
      <c r="ER112" s="166"/>
      <c r="ES112" s="166"/>
      <c r="ET112" s="166"/>
      <c r="EU112" s="166"/>
      <c r="EV112" s="166"/>
      <c r="EW112" s="166"/>
      <c r="EX112" s="166"/>
      <c r="EY112" s="166"/>
      <c r="EZ112" s="166"/>
      <c r="FA112" s="166"/>
      <c r="FB112" s="166"/>
      <c r="FC112" s="166"/>
      <c r="FD112" s="166"/>
      <c r="FE112" s="166"/>
      <c r="FF112" s="166"/>
      <c r="FG112" s="166"/>
      <c r="FH112" s="166"/>
      <c r="FI112" s="166"/>
      <c r="FJ112" s="166"/>
      <c r="FK112" s="166"/>
      <c r="FL112" s="166"/>
      <c r="FM112" s="166"/>
      <c r="FN112" s="166"/>
      <c r="FO112" s="166"/>
      <c r="FP112" s="166"/>
      <c r="FQ112" s="166"/>
      <c r="FR112" s="166"/>
      <c r="FS112" s="166"/>
      <c r="FT112" s="166"/>
      <c r="FU112" s="166"/>
      <c r="FV112" s="166"/>
      <c r="FW112" s="166"/>
      <c r="FX112" s="166"/>
      <c r="FY112" s="166"/>
      <c r="FZ112" s="166"/>
      <c r="GA112" s="166"/>
      <c r="GB112" s="166"/>
      <c r="GC112" s="166"/>
      <c r="GD112" s="166"/>
      <c r="GE112" s="166"/>
      <c r="GF112" s="166"/>
      <c r="GG112" s="166"/>
      <c r="GH112" s="166"/>
      <c r="GI112" s="166"/>
      <c r="GJ112" s="166"/>
      <c r="GK112" s="166"/>
      <c r="GL112" s="166"/>
      <c r="GM112" s="166"/>
      <c r="GN112" s="166"/>
      <c r="GO112" s="166"/>
      <c r="GP112" s="166"/>
      <c r="GQ112" s="166"/>
      <c r="GR112" s="166"/>
      <c r="GS112" s="166"/>
      <c r="GT112" s="166"/>
      <c r="GU112" s="166"/>
      <c r="GV112" s="166"/>
      <c r="GW112" s="166"/>
      <c r="GX112" s="166"/>
      <c r="GY112" s="166"/>
      <c r="GZ112" s="166"/>
      <c r="HA112" s="166"/>
      <c r="HB112" s="166"/>
      <c r="HC112" s="166"/>
      <c r="HD112" s="166"/>
      <c r="HE112" s="166"/>
      <c r="HF112" s="166"/>
      <c r="HG112" s="166"/>
      <c r="HH112" s="166"/>
      <c r="HI112" s="166"/>
      <c r="HJ112" s="166"/>
      <c r="HK112" s="166"/>
      <c r="HL112" s="166"/>
      <c r="HM112" s="166"/>
      <c r="HN112" s="166"/>
      <c r="HO112" s="166"/>
      <c r="HP112" s="166"/>
      <c r="HQ112" s="166"/>
      <c r="HR112" s="166"/>
      <c r="HS112" s="166"/>
      <c r="HT112" s="166"/>
      <c r="HU112" s="166"/>
      <c r="HV112" s="166"/>
      <c r="HW112" s="166"/>
      <c r="HX112" s="166"/>
      <c r="HY112" s="166"/>
      <c r="HZ112" s="166"/>
      <c r="IA112" s="166"/>
      <c r="IB112" s="166"/>
      <c r="IC112" s="166"/>
      <c r="ID112" s="166"/>
      <c r="IE112" s="166"/>
      <c r="IF112" s="166"/>
      <c r="IG112" s="166"/>
      <c r="IH112" s="166"/>
      <c r="II112" s="166"/>
      <c r="IJ112" s="166"/>
      <c r="IK112" s="166"/>
      <c r="IL112" s="166"/>
      <c r="IM112" s="166"/>
      <c r="IN112" s="166"/>
      <c r="IO112" s="166"/>
      <c r="IP112" s="166"/>
      <c r="IQ112" s="166"/>
      <c r="IR112" s="166"/>
      <c r="IS112" s="166"/>
      <c r="IT112" s="166"/>
      <c r="IU112" s="166"/>
      <c r="IV112" s="166"/>
      <c r="IW112" s="166"/>
      <c r="IX112" s="166"/>
      <c r="IY112" s="166"/>
      <c r="IZ112" s="166"/>
      <c r="JA112" s="166"/>
      <c r="JB112" s="166"/>
      <c r="JC112" s="166"/>
      <c r="JD112" s="166"/>
      <c r="JE112" s="166"/>
      <c r="JF112" s="166"/>
      <c r="JG112" s="166"/>
      <c r="JH112" s="166"/>
      <c r="JI112" s="166"/>
      <c r="JJ112" s="166"/>
      <c r="JK112" s="166"/>
      <c r="JL112" s="166"/>
      <c r="JM112" s="166"/>
      <c r="JN112" s="166"/>
      <c r="JO112" s="166"/>
      <c r="JP112" s="166"/>
      <c r="JQ112" s="166"/>
      <c r="JR112" s="166"/>
      <c r="JS112" s="166"/>
      <c r="JT112" s="166"/>
      <c r="JU112" s="166"/>
      <c r="JV112" s="166"/>
      <c r="JW112" s="166"/>
      <c r="JX112" s="166"/>
      <c r="JY112" s="166"/>
      <c r="JZ112" s="166"/>
      <c r="KA112" s="166"/>
      <c r="KB112" s="166"/>
      <c r="KC112" s="166"/>
      <c r="KD112" s="166"/>
      <c r="KE112" s="166"/>
      <c r="KF112" s="166"/>
      <c r="KG112" s="166"/>
      <c r="KH112" s="166"/>
      <c r="KI112" s="166"/>
      <c r="KJ112" s="166"/>
      <c r="KK112" s="166"/>
      <c r="KL112" s="166"/>
      <c r="KM112" s="166"/>
      <c r="KN112" s="166"/>
      <c r="KO112" s="166"/>
      <c r="KP112" s="166"/>
      <c r="KQ112" s="166"/>
      <c r="KR112" s="166"/>
      <c r="KS112" s="166"/>
      <c r="KT112" s="166"/>
      <c r="KU112" s="166"/>
      <c r="KV112" s="166"/>
      <c r="KW112" s="166"/>
      <c r="KX112" s="166"/>
      <c r="KY112" s="166"/>
      <c r="KZ112" s="166"/>
      <c r="LA112" s="166"/>
      <c r="LB112" s="166"/>
      <c r="LC112" s="166"/>
      <c r="LD112" s="166"/>
      <c r="LE112" s="166"/>
      <c r="LF112" s="166"/>
      <c r="LG112" s="166"/>
      <c r="LH112" s="166"/>
      <c r="LI112" s="166"/>
      <c r="LJ112" s="166"/>
      <c r="LK112" s="166"/>
      <c r="LL112" s="166"/>
      <c r="LM112" s="166"/>
      <c r="LN112" s="166"/>
      <c r="LO112" s="166"/>
      <c r="LP112" s="166"/>
      <c r="LQ112" s="166"/>
      <c r="LR112" s="166"/>
      <c r="LS112" s="166"/>
      <c r="LT112" s="166"/>
      <c r="LU112" s="166"/>
      <c r="LV112" s="166"/>
      <c r="LW112" s="166"/>
      <c r="LX112" s="166"/>
      <c r="LY112" s="166"/>
      <c r="LZ112" s="166"/>
      <c r="MA112" s="166"/>
      <c r="MB112" s="166"/>
      <c r="MC112" s="166"/>
      <c r="MD112" s="166"/>
      <c r="ME112" s="166"/>
      <c r="MF112" s="166"/>
      <c r="MG112" s="166"/>
      <c r="MH112" s="166"/>
      <c r="MI112" s="166"/>
      <c r="MJ112" s="166"/>
      <c r="MK112" s="166"/>
      <c r="ML112" s="166"/>
      <c r="MM112" s="166"/>
      <c r="MN112" s="166"/>
      <c r="MO112" s="166"/>
      <c r="MP112" s="166"/>
      <c r="MQ112" s="166"/>
      <c r="MR112" s="166"/>
      <c r="MS112" s="166"/>
      <c r="MT112" s="166"/>
      <c r="MU112" s="166"/>
      <c r="MV112" s="166"/>
      <c r="MW112" s="166"/>
      <c r="MX112" s="166"/>
      <c r="MY112" s="166"/>
      <c r="MZ112" s="166"/>
      <c r="NA112" s="166"/>
      <c r="NB112" s="166"/>
      <c r="NC112" s="166"/>
      <c r="ND112" s="166"/>
      <c r="NE112" s="166"/>
      <c r="NF112" s="166"/>
      <c r="NG112" s="166"/>
      <c r="NH112" s="166"/>
      <c r="NI112" s="166"/>
      <c r="NJ112" s="166"/>
      <c r="NK112" s="166"/>
      <c r="NL112" s="166"/>
      <c r="NM112" s="166"/>
      <c r="NN112" s="166"/>
      <c r="NO112" s="166"/>
      <c r="NP112" s="166"/>
      <c r="NQ112" s="166"/>
      <c r="NR112" s="166"/>
      <c r="NS112" s="166"/>
      <c r="NT112" s="166"/>
      <c r="NU112" s="166"/>
      <c r="NV112" s="166"/>
      <c r="NW112" s="166"/>
      <c r="NX112" s="166"/>
      <c r="NY112" s="166"/>
      <c r="NZ112" s="166"/>
      <c r="OA112" s="166"/>
      <c r="OB112" s="166"/>
      <c r="OC112" s="166"/>
      <c r="OD112" s="166"/>
      <c r="OE112" s="166"/>
      <c r="OF112" s="166"/>
      <c r="OG112" s="166"/>
      <c r="OH112" s="166"/>
      <c r="OI112" s="166"/>
      <c r="OJ112" s="166"/>
      <c r="OK112" s="166"/>
      <c r="OL112" s="166"/>
      <c r="OM112" s="166"/>
      <c r="ON112" s="166"/>
      <c r="OO112" s="166"/>
      <c r="OP112" s="166"/>
      <c r="OQ112" s="166"/>
      <c r="OR112" s="166"/>
      <c r="OS112" s="166"/>
      <c r="OT112" s="166"/>
      <c r="OU112" s="166"/>
      <c r="OV112" s="166"/>
      <c r="OW112" s="166"/>
      <c r="OX112" s="166"/>
      <c r="OY112" s="166"/>
      <c r="OZ112" s="166"/>
      <c r="PA112" s="166"/>
      <c r="PB112" s="166"/>
      <c r="PC112" s="166"/>
      <c r="PD112" s="166"/>
      <c r="PE112" s="166"/>
      <c r="PF112" s="166"/>
      <c r="PG112" s="166"/>
      <c r="PH112" s="166"/>
      <c r="PI112" s="166"/>
      <c r="PJ112" s="166"/>
      <c r="PK112" s="166"/>
      <c r="PL112" s="166"/>
      <c r="PM112" s="166"/>
      <c r="PN112" s="166"/>
      <c r="PO112" s="166"/>
      <c r="PP112" s="166"/>
      <c r="PQ112" s="166"/>
      <c r="PR112" s="166"/>
      <c r="PS112" s="166"/>
      <c r="PT112" s="166"/>
      <c r="PU112" s="166"/>
      <c r="PV112" s="166"/>
      <c r="PW112" s="166"/>
      <c r="PX112" s="166"/>
      <c r="PY112" s="166"/>
      <c r="PZ112" s="166"/>
      <c r="QA112" s="166"/>
      <c r="QB112" s="166"/>
      <c r="QC112" s="166"/>
      <c r="QD112" s="166"/>
      <c r="QE112" s="166"/>
      <c r="QF112" s="166"/>
      <c r="QG112" s="166"/>
      <c r="QH112" s="166"/>
      <c r="QI112" s="166"/>
      <c r="QJ112" s="166"/>
      <c r="QK112" s="166"/>
      <c r="QL112" s="166"/>
      <c r="QM112" s="166"/>
      <c r="QN112" s="166"/>
      <c r="QO112" s="166"/>
      <c r="QP112" s="166"/>
      <c r="QQ112" s="166"/>
      <c r="QR112" s="166"/>
      <c r="QS112" s="166"/>
      <c r="QT112" s="166"/>
      <c r="QU112" s="166"/>
      <c r="QV112" s="166"/>
      <c r="QW112" s="166"/>
      <c r="QX112" s="166"/>
      <c r="QY112" s="166"/>
      <c r="QZ112" s="166"/>
      <c r="RA112" s="166"/>
      <c r="RB112" s="166"/>
      <c r="RC112" s="166"/>
      <c r="RD112" s="166"/>
      <c r="RE112" s="166"/>
      <c r="RF112" s="166"/>
      <c r="RG112" s="166"/>
      <c r="RH112" s="166"/>
      <c r="RI112" s="166"/>
      <c r="RJ112" s="166"/>
      <c r="RK112" s="166"/>
      <c r="RL112" s="166"/>
      <c r="RM112" s="166"/>
      <c r="RN112" s="166"/>
      <c r="RO112" s="166"/>
      <c r="RP112" s="166"/>
      <c r="RQ112" s="166"/>
      <c r="RR112" s="166"/>
      <c r="RS112" s="166"/>
      <c r="RT112" s="166"/>
      <c r="RU112" s="166"/>
      <c r="RV112" s="166"/>
      <c r="RW112" s="166"/>
      <c r="RX112" s="166"/>
      <c r="RY112" s="166"/>
      <c r="RZ112" s="166"/>
      <c r="SA112" s="166"/>
      <c r="SB112" s="166"/>
      <c r="SC112" s="166"/>
      <c r="SD112" s="166"/>
      <c r="SE112" s="166"/>
      <c r="SF112" s="166"/>
      <c r="SG112" s="166"/>
      <c r="SH112" s="166"/>
      <c r="SI112" s="166"/>
      <c r="SJ112" s="166"/>
      <c r="SK112" s="166"/>
      <c r="SL112" s="166"/>
      <c r="SM112" s="166"/>
      <c r="SN112" s="166"/>
      <c r="SO112" s="166"/>
      <c r="SP112" s="166"/>
      <c r="SQ112" s="166"/>
      <c r="SR112" s="166"/>
    </row>
    <row r="113" spans="1:512" s="165" customFormat="1" ht="15" customHeight="1" x14ac:dyDescent="0.7">
      <c r="A113" s="171">
        <v>35</v>
      </c>
      <c r="B113" s="171" t="s">
        <v>86</v>
      </c>
      <c r="C113" s="171" t="s">
        <v>428</v>
      </c>
      <c r="D113" s="171"/>
      <c r="E113" s="171" t="s">
        <v>41</v>
      </c>
      <c r="F113" s="171"/>
      <c r="G113" s="188" t="s">
        <v>429</v>
      </c>
      <c r="H113" s="71" t="s">
        <v>427</v>
      </c>
      <c r="I113" s="160" t="s">
        <v>391</v>
      </c>
      <c r="J113" s="161">
        <v>0.02</v>
      </c>
      <c r="K113" s="185">
        <v>0.01</v>
      </c>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c r="AH113" s="164"/>
      <c r="AI113" s="164"/>
      <c r="AJ113" s="164"/>
      <c r="AK113" s="164"/>
      <c r="AL113" s="164"/>
      <c r="AM113" s="164"/>
      <c r="AN113" s="164"/>
      <c r="AO113" s="164"/>
      <c r="AP113" s="164"/>
      <c r="AQ113" s="164"/>
      <c r="AR113" s="164"/>
      <c r="AS113" s="164"/>
      <c r="AT113" s="164"/>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164"/>
      <c r="ES113" s="164"/>
      <c r="ET113" s="164"/>
      <c r="EU113" s="164"/>
      <c r="EV113" s="164"/>
      <c r="EW113" s="164"/>
      <c r="EX113" s="164"/>
      <c r="EY113" s="164"/>
      <c r="EZ113" s="164"/>
      <c r="FA113" s="164"/>
      <c r="FB113" s="164"/>
      <c r="FC113" s="164"/>
      <c r="FD113" s="164"/>
      <c r="FE113" s="164"/>
      <c r="FF113" s="164"/>
      <c r="FG113" s="164"/>
      <c r="FH113" s="164"/>
      <c r="FI113" s="164"/>
      <c r="FJ113" s="164"/>
      <c r="FK113" s="164"/>
      <c r="FL113" s="164"/>
      <c r="FM113" s="164"/>
      <c r="FN113" s="164"/>
      <c r="FO113" s="164"/>
      <c r="FP113" s="164"/>
      <c r="FQ113" s="164"/>
      <c r="FR113" s="164"/>
      <c r="FS113" s="164"/>
      <c r="FT113" s="164"/>
      <c r="FU113" s="164"/>
      <c r="FV113" s="164"/>
      <c r="FW113" s="164"/>
      <c r="FX113" s="164"/>
      <c r="FY113" s="164"/>
      <c r="FZ113" s="164"/>
      <c r="GA113" s="164"/>
      <c r="GB113" s="164"/>
      <c r="GC113" s="164"/>
      <c r="GD113" s="164"/>
      <c r="GE113" s="164"/>
      <c r="GF113" s="164"/>
      <c r="GG113" s="164"/>
      <c r="GH113" s="164"/>
      <c r="GI113" s="164"/>
      <c r="GJ113" s="164"/>
      <c r="GK113" s="164"/>
      <c r="GL113" s="164"/>
      <c r="GM113" s="164"/>
      <c r="GN113" s="164"/>
      <c r="GO113" s="164"/>
      <c r="GP113" s="164"/>
      <c r="GQ113" s="164"/>
      <c r="GR113" s="164"/>
      <c r="GS113" s="164"/>
      <c r="GT113" s="164"/>
      <c r="GU113" s="164"/>
      <c r="GV113" s="164"/>
      <c r="GW113" s="164"/>
      <c r="GX113" s="164"/>
      <c r="GY113" s="164"/>
      <c r="GZ113" s="164"/>
      <c r="HA113" s="164"/>
      <c r="HB113" s="164"/>
      <c r="HC113" s="164"/>
      <c r="HD113" s="164"/>
      <c r="HE113" s="164"/>
      <c r="HF113" s="164"/>
      <c r="HG113" s="164"/>
      <c r="HH113" s="164"/>
      <c r="HI113" s="164"/>
      <c r="HJ113" s="164"/>
      <c r="HK113" s="164"/>
      <c r="HL113" s="164"/>
      <c r="HM113" s="164"/>
      <c r="HN113" s="164"/>
      <c r="HO113" s="164"/>
      <c r="HP113" s="164"/>
      <c r="HQ113" s="164"/>
      <c r="HR113" s="164"/>
      <c r="HS113" s="164"/>
      <c r="HT113" s="164"/>
      <c r="HU113" s="164"/>
      <c r="HV113" s="164"/>
      <c r="HW113" s="164"/>
      <c r="HX113" s="164"/>
      <c r="HY113" s="164"/>
      <c r="HZ113" s="164"/>
      <c r="IA113" s="164"/>
      <c r="IB113" s="164"/>
      <c r="IC113" s="164"/>
      <c r="ID113" s="164"/>
      <c r="IE113" s="164"/>
      <c r="IF113" s="164"/>
      <c r="IG113" s="164"/>
      <c r="IH113" s="164"/>
      <c r="II113" s="164"/>
      <c r="IJ113" s="164"/>
      <c r="IK113" s="164"/>
      <c r="IL113" s="164"/>
      <c r="IM113" s="164"/>
      <c r="IN113" s="164"/>
      <c r="IO113" s="164"/>
      <c r="IP113" s="164"/>
      <c r="IQ113" s="164"/>
      <c r="IR113" s="164"/>
      <c r="IS113" s="164"/>
      <c r="IT113" s="164"/>
      <c r="IU113" s="164"/>
      <c r="IV113" s="164"/>
      <c r="IW113" s="164"/>
      <c r="IX113" s="164"/>
      <c r="IY113" s="164"/>
      <c r="IZ113" s="164"/>
      <c r="JA113" s="164"/>
      <c r="JB113" s="164"/>
      <c r="JC113" s="164"/>
      <c r="JD113" s="164"/>
      <c r="JE113" s="164"/>
      <c r="JF113" s="164"/>
      <c r="JG113" s="164"/>
      <c r="JH113" s="164"/>
      <c r="JI113" s="164"/>
      <c r="JJ113" s="164"/>
      <c r="JK113" s="164"/>
      <c r="JL113" s="164"/>
      <c r="JM113" s="164"/>
      <c r="JN113" s="164"/>
      <c r="JO113" s="164"/>
      <c r="JP113" s="164"/>
      <c r="JQ113" s="164"/>
      <c r="JR113" s="164"/>
      <c r="JS113" s="164"/>
      <c r="JT113" s="164"/>
      <c r="JU113" s="164"/>
      <c r="JV113" s="164"/>
      <c r="JW113" s="164"/>
      <c r="JX113" s="164"/>
      <c r="JY113" s="164"/>
      <c r="JZ113" s="164"/>
      <c r="KA113" s="164"/>
      <c r="KB113" s="164"/>
      <c r="KC113" s="164"/>
      <c r="KD113" s="164"/>
      <c r="KE113" s="164"/>
      <c r="KF113" s="164"/>
      <c r="KG113" s="164"/>
      <c r="KH113" s="164"/>
      <c r="KI113" s="164"/>
      <c r="KJ113" s="164"/>
      <c r="KK113" s="164"/>
      <c r="KL113" s="164"/>
      <c r="KM113" s="164"/>
      <c r="KN113" s="164"/>
      <c r="KO113" s="164"/>
      <c r="KP113" s="164"/>
      <c r="KQ113" s="164"/>
      <c r="KR113" s="164"/>
      <c r="KS113" s="164"/>
      <c r="KT113" s="164"/>
      <c r="KU113" s="164"/>
      <c r="KV113" s="164"/>
      <c r="KW113" s="164"/>
      <c r="KX113" s="164"/>
      <c r="KY113" s="164"/>
      <c r="KZ113" s="164"/>
      <c r="LA113" s="164"/>
      <c r="LB113" s="164"/>
      <c r="LC113" s="164"/>
      <c r="LD113" s="164"/>
      <c r="LE113" s="164"/>
      <c r="LF113" s="164"/>
      <c r="LG113" s="164"/>
      <c r="LH113" s="164"/>
      <c r="LI113" s="164"/>
      <c r="LJ113" s="164"/>
      <c r="LK113" s="164"/>
      <c r="LL113" s="164"/>
      <c r="LM113" s="164"/>
      <c r="LN113" s="164"/>
      <c r="LO113" s="164"/>
      <c r="LP113" s="164"/>
      <c r="LQ113" s="164"/>
      <c r="LR113" s="164"/>
      <c r="LS113" s="164"/>
      <c r="LT113" s="164"/>
      <c r="LU113" s="164"/>
      <c r="LV113" s="164"/>
      <c r="LW113" s="164"/>
      <c r="LX113" s="164"/>
      <c r="LY113" s="164"/>
      <c r="LZ113" s="164"/>
      <c r="MA113" s="164"/>
      <c r="MB113" s="164"/>
      <c r="MC113" s="164"/>
      <c r="MD113" s="164"/>
      <c r="ME113" s="164"/>
      <c r="MF113" s="164"/>
      <c r="MG113" s="164"/>
      <c r="MH113" s="164"/>
      <c r="MI113" s="164"/>
      <c r="MJ113" s="164"/>
      <c r="MK113" s="164"/>
      <c r="ML113" s="164"/>
      <c r="MM113" s="164"/>
      <c r="MN113" s="164"/>
      <c r="MO113" s="164"/>
      <c r="MP113" s="164"/>
      <c r="MQ113" s="164"/>
      <c r="MR113" s="164"/>
      <c r="MS113" s="164"/>
      <c r="MT113" s="164"/>
      <c r="MU113" s="164"/>
      <c r="MV113" s="164"/>
      <c r="MW113" s="164"/>
      <c r="MX113" s="164"/>
      <c r="MY113" s="164"/>
      <c r="MZ113" s="164"/>
      <c r="NA113" s="164"/>
      <c r="NB113" s="164"/>
      <c r="NC113" s="164"/>
      <c r="ND113" s="164"/>
      <c r="NE113" s="164"/>
      <c r="NF113" s="164"/>
      <c r="NG113" s="164"/>
      <c r="NH113" s="164"/>
      <c r="NI113" s="164"/>
      <c r="NJ113" s="164"/>
      <c r="NK113" s="164"/>
      <c r="NL113" s="164"/>
      <c r="NM113" s="164"/>
      <c r="NN113" s="164"/>
      <c r="NO113" s="164"/>
      <c r="NP113" s="164"/>
      <c r="NQ113" s="164"/>
      <c r="NR113" s="164"/>
      <c r="NS113" s="164"/>
      <c r="NT113" s="164"/>
      <c r="NU113" s="164"/>
      <c r="NV113" s="164"/>
      <c r="NW113" s="164"/>
      <c r="NX113" s="164"/>
      <c r="NY113" s="164"/>
      <c r="NZ113" s="164"/>
      <c r="OA113" s="164"/>
      <c r="OB113" s="164"/>
      <c r="OC113" s="164"/>
      <c r="OD113" s="164"/>
      <c r="OE113" s="164"/>
      <c r="OF113" s="164"/>
      <c r="OG113" s="164"/>
      <c r="OH113" s="164"/>
      <c r="OI113" s="164"/>
      <c r="OJ113" s="164"/>
      <c r="OK113" s="164"/>
      <c r="OL113" s="164"/>
      <c r="OM113" s="164"/>
      <c r="ON113" s="164"/>
      <c r="OO113" s="164"/>
      <c r="OP113" s="164"/>
      <c r="OQ113" s="164"/>
      <c r="OR113" s="164"/>
      <c r="OS113" s="164"/>
      <c r="OT113" s="164"/>
      <c r="OU113" s="164"/>
      <c r="OV113" s="164"/>
      <c r="OW113" s="164"/>
      <c r="OX113" s="164"/>
      <c r="OY113" s="164"/>
      <c r="OZ113" s="164"/>
      <c r="PA113" s="164"/>
      <c r="PB113" s="164"/>
      <c r="PC113" s="164"/>
      <c r="PD113" s="164"/>
      <c r="PE113" s="164"/>
      <c r="PF113" s="164"/>
      <c r="PG113" s="164"/>
      <c r="PH113" s="164"/>
      <c r="PI113" s="164"/>
      <c r="PJ113" s="164"/>
      <c r="PK113" s="164"/>
      <c r="PL113" s="164"/>
      <c r="PM113" s="164"/>
      <c r="PN113" s="164"/>
      <c r="PO113" s="164"/>
      <c r="PP113" s="164"/>
      <c r="PQ113" s="164"/>
      <c r="PR113" s="164"/>
      <c r="PS113" s="164"/>
      <c r="PT113" s="164"/>
      <c r="PU113" s="164"/>
      <c r="PV113" s="164"/>
      <c r="PW113" s="164"/>
      <c r="PX113" s="164"/>
      <c r="PY113" s="164"/>
      <c r="PZ113" s="164"/>
      <c r="QA113" s="164"/>
      <c r="QB113" s="164"/>
      <c r="QC113" s="164"/>
      <c r="QD113" s="164"/>
      <c r="QE113" s="164"/>
      <c r="QF113" s="164"/>
      <c r="QG113" s="164"/>
      <c r="QH113" s="164"/>
      <c r="QI113" s="164"/>
      <c r="QJ113" s="164"/>
      <c r="QK113" s="164"/>
      <c r="QL113" s="164"/>
      <c r="QM113" s="164"/>
      <c r="QN113" s="164"/>
      <c r="QO113" s="164"/>
      <c r="QP113" s="164"/>
      <c r="QQ113" s="164"/>
      <c r="QR113" s="164"/>
      <c r="QS113" s="164"/>
      <c r="QT113" s="164"/>
      <c r="QU113" s="164"/>
      <c r="QV113" s="164"/>
      <c r="QW113" s="164"/>
      <c r="QX113" s="164"/>
      <c r="QY113" s="164"/>
      <c r="QZ113" s="164"/>
      <c r="RA113" s="164"/>
      <c r="RB113" s="164"/>
      <c r="RC113" s="164"/>
      <c r="RD113" s="164"/>
      <c r="RE113" s="164"/>
      <c r="RF113" s="164"/>
      <c r="RG113" s="164"/>
      <c r="RH113" s="164"/>
      <c r="RI113" s="164"/>
      <c r="RJ113" s="164"/>
      <c r="RK113" s="164"/>
      <c r="RL113" s="164"/>
      <c r="RM113" s="164"/>
      <c r="RN113" s="164"/>
      <c r="RO113" s="164"/>
      <c r="RP113" s="164"/>
      <c r="RQ113" s="164"/>
      <c r="RR113" s="164"/>
      <c r="RS113" s="164"/>
      <c r="RT113" s="164"/>
      <c r="RU113" s="164"/>
      <c r="RV113" s="164"/>
      <c r="RW113" s="164"/>
      <c r="RX113" s="164"/>
      <c r="RY113" s="164"/>
      <c r="RZ113" s="164"/>
      <c r="SA113" s="164"/>
      <c r="SB113" s="164"/>
      <c r="SC113" s="164"/>
      <c r="SD113" s="164"/>
      <c r="SE113" s="164"/>
      <c r="SF113" s="164"/>
      <c r="SG113" s="164"/>
      <c r="SH113" s="164"/>
      <c r="SI113" s="164"/>
      <c r="SJ113" s="164"/>
      <c r="SK113" s="164"/>
      <c r="SL113" s="164"/>
      <c r="SM113" s="164"/>
      <c r="SN113" s="164"/>
      <c r="SO113" s="164"/>
      <c r="SP113" s="164"/>
      <c r="SQ113" s="164"/>
      <c r="SR113" s="164"/>
    </row>
    <row r="114" spans="1:512" s="165" customFormat="1" ht="15" customHeight="1" x14ac:dyDescent="0.7">
      <c r="A114" s="172"/>
      <c r="B114" s="172"/>
      <c r="C114" s="172"/>
      <c r="D114" s="172"/>
      <c r="E114" s="172"/>
      <c r="F114" s="172"/>
      <c r="G114" s="172"/>
      <c r="H114" s="62"/>
      <c r="I114" s="160" t="s">
        <v>366</v>
      </c>
      <c r="J114" s="161">
        <v>0</v>
      </c>
      <c r="K114" s="186"/>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c r="AH114" s="164"/>
      <c r="AI114" s="164"/>
      <c r="AJ114" s="164"/>
      <c r="AK114" s="164"/>
      <c r="AL114" s="164"/>
      <c r="AM114" s="164"/>
      <c r="AN114" s="164"/>
      <c r="AO114" s="164"/>
      <c r="AP114" s="164"/>
      <c r="AQ114" s="164"/>
      <c r="AR114" s="164"/>
      <c r="AS114" s="164"/>
      <c r="AT114" s="164"/>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164"/>
      <c r="ES114" s="164"/>
      <c r="ET114" s="164"/>
      <c r="EU114" s="164"/>
      <c r="EV114" s="164"/>
      <c r="EW114" s="164"/>
      <c r="EX114" s="164"/>
      <c r="EY114" s="164"/>
      <c r="EZ114" s="164"/>
      <c r="FA114" s="164"/>
      <c r="FB114" s="164"/>
      <c r="FC114" s="164"/>
      <c r="FD114" s="164"/>
      <c r="FE114" s="164"/>
      <c r="FF114" s="164"/>
      <c r="FG114" s="164"/>
      <c r="FH114" s="164"/>
      <c r="FI114" s="164"/>
      <c r="FJ114" s="164"/>
      <c r="FK114" s="164"/>
      <c r="FL114" s="164"/>
      <c r="FM114" s="164"/>
      <c r="FN114" s="164"/>
      <c r="FO114" s="164"/>
      <c r="FP114" s="164"/>
      <c r="FQ114" s="164"/>
      <c r="FR114" s="164"/>
      <c r="FS114" s="164"/>
      <c r="FT114" s="164"/>
      <c r="FU114" s="164"/>
      <c r="FV114" s="164"/>
      <c r="FW114" s="164"/>
      <c r="FX114" s="164"/>
      <c r="FY114" s="164"/>
      <c r="FZ114" s="164"/>
      <c r="GA114" s="164"/>
      <c r="GB114" s="164"/>
      <c r="GC114" s="164"/>
      <c r="GD114" s="164"/>
      <c r="GE114" s="164"/>
      <c r="GF114" s="164"/>
      <c r="GG114" s="164"/>
      <c r="GH114" s="164"/>
      <c r="GI114" s="164"/>
      <c r="GJ114" s="164"/>
      <c r="GK114" s="164"/>
      <c r="GL114" s="164"/>
      <c r="GM114" s="164"/>
      <c r="GN114" s="164"/>
      <c r="GO114" s="164"/>
      <c r="GP114" s="164"/>
      <c r="GQ114" s="164"/>
      <c r="GR114" s="164"/>
      <c r="GS114" s="164"/>
      <c r="GT114" s="164"/>
      <c r="GU114" s="164"/>
      <c r="GV114" s="164"/>
      <c r="GW114" s="164"/>
      <c r="GX114" s="164"/>
      <c r="GY114" s="164"/>
      <c r="GZ114" s="164"/>
      <c r="HA114" s="164"/>
      <c r="HB114" s="164"/>
      <c r="HC114" s="164"/>
      <c r="HD114" s="164"/>
      <c r="HE114" s="164"/>
      <c r="HF114" s="164"/>
      <c r="HG114" s="164"/>
      <c r="HH114" s="164"/>
      <c r="HI114" s="164"/>
      <c r="HJ114" s="164"/>
      <c r="HK114" s="164"/>
      <c r="HL114" s="164"/>
      <c r="HM114" s="164"/>
      <c r="HN114" s="164"/>
      <c r="HO114" s="164"/>
      <c r="HP114" s="164"/>
      <c r="HQ114" s="164"/>
      <c r="HR114" s="164"/>
      <c r="HS114" s="164"/>
      <c r="HT114" s="164"/>
      <c r="HU114" s="164"/>
      <c r="HV114" s="164"/>
      <c r="HW114" s="164"/>
      <c r="HX114" s="164"/>
      <c r="HY114" s="164"/>
      <c r="HZ114" s="164"/>
      <c r="IA114" s="164"/>
      <c r="IB114" s="164"/>
      <c r="IC114" s="164"/>
      <c r="ID114" s="164"/>
      <c r="IE114" s="164"/>
      <c r="IF114" s="164"/>
      <c r="IG114" s="164"/>
      <c r="IH114" s="164"/>
      <c r="II114" s="164"/>
      <c r="IJ114" s="164"/>
      <c r="IK114" s="164"/>
      <c r="IL114" s="164"/>
      <c r="IM114" s="164"/>
      <c r="IN114" s="164"/>
      <c r="IO114" s="164"/>
      <c r="IP114" s="164"/>
      <c r="IQ114" s="164"/>
      <c r="IR114" s="164"/>
      <c r="IS114" s="164"/>
      <c r="IT114" s="164"/>
      <c r="IU114" s="164"/>
      <c r="IV114" s="164"/>
      <c r="IW114" s="164"/>
      <c r="IX114" s="164"/>
      <c r="IY114" s="164"/>
      <c r="IZ114" s="164"/>
      <c r="JA114" s="164"/>
      <c r="JB114" s="164"/>
      <c r="JC114" s="164"/>
      <c r="JD114" s="164"/>
      <c r="JE114" s="164"/>
      <c r="JF114" s="164"/>
      <c r="JG114" s="164"/>
      <c r="JH114" s="164"/>
      <c r="JI114" s="164"/>
      <c r="JJ114" s="164"/>
      <c r="JK114" s="164"/>
      <c r="JL114" s="164"/>
      <c r="JM114" s="164"/>
      <c r="JN114" s="164"/>
      <c r="JO114" s="164"/>
      <c r="JP114" s="164"/>
      <c r="JQ114" s="164"/>
      <c r="JR114" s="164"/>
      <c r="JS114" s="164"/>
      <c r="JT114" s="164"/>
      <c r="JU114" s="164"/>
      <c r="JV114" s="164"/>
      <c r="JW114" s="164"/>
      <c r="JX114" s="164"/>
      <c r="JY114" s="164"/>
      <c r="JZ114" s="164"/>
      <c r="KA114" s="164"/>
      <c r="KB114" s="164"/>
      <c r="KC114" s="164"/>
      <c r="KD114" s="164"/>
      <c r="KE114" s="164"/>
      <c r="KF114" s="164"/>
      <c r="KG114" s="164"/>
      <c r="KH114" s="164"/>
      <c r="KI114" s="164"/>
      <c r="KJ114" s="164"/>
      <c r="KK114" s="164"/>
      <c r="KL114" s="164"/>
      <c r="KM114" s="164"/>
      <c r="KN114" s="164"/>
      <c r="KO114" s="164"/>
      <c r="KP114" s="164"/>
      <c r="KQ114" s="164"/>
      <c r="KR114" s="164"/>
      <c r="KS114" s="164"/>
      <c r="KT114" s="164"/>
      <c r="KU114" s="164"/>
      <c r="KV114" s="164"/>
      <c r="KW114" s="164"/>
      <c r="KX114" s="164"/>
      <c r="KY114" s="164"/>
      <c r="KZ114" s="164"/>
      <c r="LA114" s="164"/>
      <c r="LB114" s="164"/>
      <c r="LC114" s="164"/>
      <c r="LD114" s="164"/>
      <c r="LE114" s="164"/>
      <c r="LF114" s="164"/>
      <c r="LG114" s="164"/>
      <c r="LH114" s="164"/>
      <c r="LI114" s="164"/>
      <c r="LJ114" s="164"/>
      <c r="LK114" s="164"/>
      <c r="LL114" s="164"/>
      <c r="LM114" s="164"/>
      <c r="LN114" s="164"/>
      <c r="LO114" s="164"/>
      <c r="LP114" s="164"/>
      <c r="LQ114" s="164"/>
      <c r="LR114" s="164"/>
      <c r="LS114" s="164"/>
      <c r="LT114" s="164"/>
      <c r="LU114" s="164"/>
      <c r="LV114" s="164"/>
      <c r="LW114" s="164"/>
      <c r="LX114" s="164"/>
      <c r="LY114" s="164"/>
      <c r="LZ114" s="164"/>
      <c r="MA114" s="164"/>
      <c r="MB114" s="164"/>
      <c r="MC114" s="164"/>
      <c r="MD114" s="164"/>
      <c r="ME114" s="164"/>
      <c r="MF114" s="164"/>
      <c r="MG114" s="164"/>
      <c r="MH114" s="164"/>
      <c r="MI114" s="164"/>
      <c r="MJ114" s="164"/>
      <c r="MK114" s="164"/>
      <c r="ML114" s="164"/>
      <c r="MM114" s="164"/>
      <c r="MN114" s="164"/>
      <c r="MO114" s="164"/>
      <c r="MP114" s="164"/>
      <c r="MQ114" s="164"/>
      <c r="MR114" s="164"/>
      <c r="MS114" s="164"/>
      <c r="MT114" s="164"/>
      <c r="MU114" s="164"/>
      <c r="MV114" s="164"/>
      <c r="MW114" s="164"/>
      <c r="MX114" s="164"/>
      <c r="MY114" s="164"/>
      <c r="MZ114" s="164"/>
      <c r="NA114" s="164"/>
      <c r="NB114" s="164"/>
      <c r="NC114" s="164"/>
      <c r="ND114" s="164"/>
      <c r="NE114" s="164"/>
      <c r="NF114" s="164"/>
      <c r="NG114" s="164"/>
      <c r="NH114" s="164"/>
      <c r="NI114" s="164"/>
      <c r="NJ114" s="164"/>
      <c r="NK114" s="164"/>
      <c r="NL114" s="164"/>
      <c r="NM114" s="164"/>
      <c r="NN114" s="164"/>
      <c r="NO114" s="164"/>
      <c r="NP114" s="164"/>
      <c r="NQ114" s="164"/>
      <c r="NR114" s="164"/>
      <c r="NS114" s="164"/>
      <c r="NT114" s="164"/>
      <c r="NU114" s="164"/>
      <c r="NV114" s="164"/>
      <c r="NW114" s="164"/>
      <c r="NX114" s="164"/>
      <c r="NY114" s="164"/>
      <c r="NZ114" s="164"/>
      <c r="OA114" s="164"/>
      <c r="OB114" s="164"/>
      <c r="OC114" s="164"/>
      <c r="OD114" s="164"/>
      <c r="OE114" s="164"/>
      <c r="OF114" s="164"/>
      <c r="OG114" s="164"/>
      <c r="OH114" s="164"/>
      <c r="OI114" s="164"/>
      <c r="OJ114" s="164"/>
      <c r="OK114" s="164"/>
      <c r="OL114" s="164"/>
      <c r="OM114" s="164"/>
      <c r="ON114" s="164"/>
      <c r="OO114" s="164"/>
      <c r="OP114" s="164"/>
      <c r="OQ114" s="164"/>
      <c r="OR114" s="164"/>
      <c r="OS114" s="164"/>
      <c r="OT114" s="164"/>
      <c r="OU114" s="164"/>
      <c r="OV114" s="164"/>
      <c r="OW114" s="164"/>
      <c r="OX114" s="164"/>
      <c r="OY114" s="164"/>
      <c r="OZ114" s="164"/>
      <c r="PA114" s="164"/>
      <c r="PB114" s="164"/>
      <c r="PC114" s="164"/>
      <c r="PD114" s="164"/>
      <c r="PE114" s="164"/>
      <c r="PF114" s="164"/>
      <c r="PG114" s="164"/>
      <c r="PH114" s="164"/>
      <c r="PI114" s="164"/>
      <c r="PJ114" s="164"/>
      <c r="PK114" s="164"/>
      <c r="PL114" s="164"/>
      <c r="PM114" s="164"/>
      <c r="PN114" s="164"/>
      <c r="PO114" s="164"/>
      <c r="PP114" s="164"/>
      <c r="PQ114" s="164"/>
      <c r="PR114" s="164"/>
      <c r="PS114" s="164"/>
      <c r="PT114" s="164"/>
      <c r="PU114" s="164"/>
      <c r="PV114" s="164"/>
      <c r="PW114" s="164"/>
      <c r="PX114" s="164"/>
      <c r="PY114" s="164"/>
      <c r="PZ114" s="164"/>
      <c r="QA114" s="164"/>
      <c r="QB114" s="164"/>
      <c r="QC114" s="164"/>
      <c r="QD114" s="164"/>
      <c r="QE114" s="164"/>
      <c r="QF114" s="164"/>
      <c r="QG114" s="164"/>
      <c r="QH114" s="164"/>
      <c r="QI114" s="164"/>
      <c r="QJ114" s="164"/>
      <c r="QK114" s="164"/>
      <c r="QL114" s="164"/>
      <c r="QM114" s="164"/>
      <c r="QN114" s="164"/>
      <c r="QO114" s="164"/>
      <c r="QP114" s="164"/>
      <c r="QQ114" s="164"/>
      <c r="QR114" s="164"/>
      <c r="QS114" s="164"/>
      <c r="QT114" s="164"/>
      <c r="QU114" s="164"/>
      <c r="QV114" s="164"/>
      <c r="QW114" s="164"/>
      <c r="QX114" s="164"/>
      <c r="QY114" s="164"/>
      <c r="QZ114" s="164"/>
      <c r="RA114" s="164"/>
      <c r="RB114" s="164"/>
      <c r="RC114" s="164"/>
      <c r="RD114" s="164"/>
      <c r="RE114" s="164"/>
      <c r="RF114" s="164"/>
      <c r="RG114" s="164"/>
      <c r="RH114" s="164"/>
      <c r="RI114" s="164"/>
      <c r="RJ114" s="164"/>
      <c r="RK114" s="164"/>
      <c r="RL114" s="164"/>
      <c r="RM114" s="164"/>
      <c r="RN114" s="164"/>
      <c r="RO114" s="164"/>
      <c r="RP114" s="164"/>
      <c r="RQ114" s="164"/>
      <c r="RR114" s="164"/>
      <c r="RS114" s="164"/>
      <c r="RT114" s="164"/>
      <c r="RU114" s="164"/>
      <c r="RV114" s="164"/>
      <c r="RW114" s="164"/>
      <c r="RX114" s="164"/>
      <c r="RY114" s="164"/>
      <c r="RZ114" s="164"/>
      <c r="SA114" s="164"/>
      <c r="SB114" s="164"/>
      <c r="SC114" s="164"/>
      <c r="SD114" s="164"/>
      <c r="SE114" s="164"/>
      <c r="SF114" s="164"/>
      <c r="SG114" s="164"/>
      <c r="SH114" s="164"/>
      <c r="SI114" s="164"/>
      <c r="SJ114" s="164"/>
      <c r="SK114" s="164"/>
      <c r="SL114" s="164"/>
      <c r="SM114" s="164"/>
      <c r="SN114" s="164"/>
      <c r="SO114" s="164"/>
      <c r="SP114" s="164"/>
      <c r="SQ114" s="164"/>
      <c r="SR114" s="164"/>
    </row>
    <row r="115" spans="1:512" s="167" customFormat="1" ht="15" customHeight="1" x14ac:dyDescent="0.7">
      <c r="A115" s="173"/>
      <c r="B115" s="173"/>
      <c r="C115" s="173"/>
      <c r="D115" s="173"/>
      <c r="E115" s="173"/>
      <c r="F115" s="173"/>
      <c r="G115" s="173"/>
      <c r="H115" s="74"/>
      <c r="I115" s="162"/>
      <c r="J115" s="163"/>
      <c r="K115" s="187"/>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6"/>
      <c r="BS115" s="166"/>
      <c r="BT115" s="166"/>
      <c r="BU115" s="166"/>
      <c r="BV115" s="166"/>
      <c r="BW115" s="166"/>
      <c r="BX115" s="166"/>
      <c r="BY115" s="166"/>
      <c r="BZ115" s="166"/>
      <c r="CA115" s="166"/>
      <c r="CB115" s="166"/>
      <c r="CC115" s="166"/>
      <c r="CD115" s="166"/>
      <c r="CE115" s="166"/>
      <c r="CF115" s="166"/>
      <c r="CG115" s="166"/>
      <c r="CH115" s="166"/>
      <c r="CI115" s="166"/>
      <c r="CJ115" s="166"/>
      <c r="CK115" s="166"/>
      <c r="CL115" s="166"/>
      <c r="CM115" s="166"/>
      <c r="CN115" s="166"/>
      <c r="CO115" s="166"/>
      <c r="CP115" s="166"/>
      <c r="CQ115" s="166"/>
      <c r="CR115" s="166"/>
      <c r="CS115" s="166"/>
      <c r="CT115" s="166"/>
      <c r="CU115" s="166"/>
      <c r="CV115" s="166"/>
      <c r="CW115" s="166"/>
      <c r="CX115" s="166"/>
      <c r="CY115" s="166"/>
      <c r="CZ115" s="166"/>
      <c r="DA115" s="166"/>
      <c r="DB115" s="166"/>
      <c r="DC115" s="166"/>
      <c r="DD115" s="166"/>
      <c r="DE115" s="166"/>
      <c r="DF115" s="166"/>
      <c r="DG115" s="166"/>
      <c r="DH115" s="166"/>
      <c r="DI115" s="166"/>
      <c r="DJ115" s="166"/>
      <c r="DK115" s="166"/>
      <c r="DL115" s="166"/>
      <c r="DM115" s="166"/>
      <c r="DN115" s="166"/>
      <c r="DO115" s="166"/>
      <c r="DP115" s="166"/>
      <c r="DQ115" s="166"/>
      <c r="DR115" s="166"/>
      <c r="DS115" s="166"/>
      <c r="DT115" s="166"/>
      <c r="DU115" s="166"/>
      <c r="DV115" s="166"/>
      <c r="DW115" s="166"/>
      <c r="DX115" s="166"/>
      <c r="DY115" s="166"/>
      <c r="DZ115" s="166"/>
      <c r="EA115" s="166"/>
      <c r="EB115" s="166"/>
      <c r="EC115" s="166"/>
      <c r="ED115" s="166"/>
      <c r="EE115" s="166"/>
      <c r="EF115" s="166"/>
      <c r="EG115" s="166"/>
      <c r="EH115" s="166"/>
      <c r="EI115" s="166"/>
      <c r="EJ115" s="166"/>
      <c r="EK115" s="166"/>
      <c r="EL115" s="166"/>
      <c r="EM115" s="166"/>
      <c r="EN115" s="166"/>
      <c r="EO115" s="166"/>
      <c r="EP115" s="166"/>
      <c r="EQ115" s="166"/>
      <c r="ER115" s="166"/>
      <c r="ES115" s="166"/>
      <c r="ET115" s="166"/>
      <c r="EU115" s="166"/>
      <c r="EV115" s="166"/>
      <c r="EW115" s="166"/>
      <c r="EX115" s="166"/>
      <c r="EY115" s="166"/>
      <c r="EZ115" s="166"/>
      <c r="FA115" s="166"/>
      <c r="FB115" s="166"/>
      <c r="FC115" s="166"/>
      <c r="FD115" s="166"/>
      <c r="FE115" s="166"/>
      <c r="FF115" s="166"/>
      <c r="FG115" s="166"/>
      <c r="FH115" s="166"/>
      <c r="FI115" s="166"/>
      <c r="FJ115" s="166"/>
      <c r="FK115" s="166"/>
      <c r="FL115" s="166"/>
      <c r="FM115" s="166"/>
      <c r="FN115" s="166"/>
      <c r="FO115" s="166"/>
      <c r="FP115" s="166"/>
      <c r="FQ115" s="166"/>
      <c r="FR115" s="166"/>
      <c r="FS115" s="166"/>
      <c r="FT115" s="166"/>
      <c r="FU115" s="166"/>
      <c r="FV115" s="166"/>
      <c r="FW115" s="166"/>
      <c r="FX115" s="166"/>
      <c r="FY115" s="166"/>
      <c r="FZ115" s="166"/>
      <c r="GA115" s="166"/>
      <c r="GB115" s="166"/>
      <c r="GC115" s="166"/>
      <c r="GD115" s="166"/>
      <c r="GE115" s="166"/>
      <c r="GF115" s="166"/>
      <c r="GG115" s="166"/>
      <c r="GH115" s="166"/>
      <c r="GI115" s="166"/>
      <c r="GJ115" s="166"/>
      <c r="GK115" s="166"/>
      <c r="GL115" s="166"/>
      <c r="GM115" s="166"/>
      <c r="GN115" s="166"/>
      <c r="GO115" s="166"/>
      <c r="GP115" s="166"/>
      <c r="GQ115" s="166"/>
      <c r="GR115" s="166"/>
      <c r="GS115" s="166"/>
      <c r="GT115" s="166"/>
      <c r="GU115" s="166"/>
      <c r="GV115" s="166"/>
      <c r="GW115" s="166"/>
      <c r="GX115" s="166"/>
      <c r="GY115" s="166"/>
      <c r="GZ115" s="166"/>
      <c r="HA115" s="166"/>
      <c r="HB115" s="166"/>
      <c r="HC115" s="166"/>
      <c r="HD115" s="166"/>
      <c r="HE115" s="166"/>
      <c r="HF115" s="166"/>
      <c r="HG115" s="166"/>
      <c r="HH115" s="166"/>
      <c r="HI115" s="166"/>
      <c r="HJ115" s="166"/>
      <c r="HK115" s="166"/>
      <c r="HL115" s="166"/>
      <c r="HM115" s="166"/>
      <c r="HN115" s="166"/>
      <c r="HO115" s="166"/>
      <c r="HP115" s="166"/>
      <c r="HQ115" s="166"/>
      <c r="HR115" s="166"/>
      <c r="HS115" s="166"/>
      <c r="HT115" s="166"/>
      <c r="HU115" s="166"/>
      <c r="HV115" s="166"/>
      <c r="HW115" s="166"/>
      <c r="HX115" s="166"/>
      <c r="HY115" s="166"/>
      <c r="HZ115" s="166"/>
      <c r="IA115" s="166"/>
      <c r="IB115" s="166"/>
      <c r="IC115" s="166"/>
      <c r="ID115" s="166"/>
      <c r="IE115" s="166"/>
      <c r="IF115" s="166"/>
      <c r="IG115" s="166"/>
      <c r="IH115" s="166"/>
      <c r="II115" s="166"/>
      <c r="IJ115" s="166"/>
      <c r="IK115" s="166"/>
      <c r="IL115" s="166"/>
      <c r="IM115" s="166"/>
      <c r="IN115" s="166"/>
      <c r="IO115" s="166"/>
      <c r="IP115" s="166"/>
      <c r="IQ115" s="166"/>
      <c r="IR115" s="166"/>
      <c r="IS115" s="166"/>
      <c r="IT115" s="166"/>
      <c r="IU115" s="166"/>
      <c r="IV115" s="166"/>
      <c r="IW115" s="166"/>
      <c r="IX115" s="166"/>
      <c r="IY115" s="166"/>
      <c r="IZ115" s="166"/>
      <c r="JA115" s="166"/>
      <c r="JB115" s="166"/>
      <c r="JC115" s="166"/>
      <c r="JD115" s="166"/>
      <c r="JE115" s="166"/>
      <c r="JF115" s="166"/>
      <c r="JG115" s="166"/>
      <c r="JH115" s="166"/>
      <c r="JI115" s="166"/>
      <c r="JJ115" s="166"/>
      <c r="JK115" s="166"/>
      <c r="JL115" s="166"/>
      <c r="JM115" s="166"/>
      <c r="JN115" s="166"/>
      <c r="JO115" s="166"/>
      <c r="JP115" s="166"/>
      <c r="JQ115" s="166"/>
      <c r="JR115" s="166"/>
      <c r="JS115" s="166"/>
      <c r="JT115" s="166"/>
      <c r="JU115" s="166"/>
      <c r="JV115" s="166"/>
      <c r="JW115" s="166"/>
      <c r="JX115" s="166"/>
      <c r="JY115" s="166"/>
      <c r="JZ115" s="166"/>
      <c r="KA115" s="166"/>
      <c r="KB115" s="166"/>
      <c r="KC115" s="166"/>
      <c r="KD115" s="166"/>
      <c r="KE115" s="166"/>
      <c r="KF115" s="166"/>
      <c r="KG115" s="166"/>
      <c r="KH115" s="166"/>
      <c r="KI115" s="166"/>
      <c r="KJ115" s="166"/>
      <c r="KK115" s="166"/>
      <c r="KL115" s="166"/>
      <c r="KM115" s="166"/>
      <c r="KN115" s="166"/>
      <c r="KO115" s="166"/>
      <c r="KP115" s="166"/>
      <c r="KQ115" s="166"/>
      <c r="KR115" s="166"/>
      <c r="KS115" s="166"/>
      <c r="KT115" s="166"/>
      <c r="KU115" s="166"/>
      <c r="KV115" s="166"/>
      <c r="KW115" s="166"/>
      <c r="KX115" s="166"/>
      <c r="KY115" s="166"/>
      <c r="KZ115" s="166"/>
      <c r="LA115" s="166"/>
      <c r="LB115" s="166"/>
      <c r="LC115" s="166"/>
      <c r="LD115" s="166"/>
      <c r="LE115" s="166"/>
      <c r="LF115" s="166"/>
      <c r="LG115" s="166"/>
      <c r="LH115" s="166"/>
      <c r="LI115" s="166"/>
      <c r="LJ115" s="166"/>
      <c r="LK115" s="166"/>
      <c r="LL115" s="166"/>
      <c r="LM115" s="166"/>
      <c r="LN115" s="166"/>
      <c r="LO115" s="166"/>
      <c r="LP115" s="166"/>
      <c r="LQ115" s="166"/>
      <c r="LR115" s="166"/>
      <c r="LS115" s="166"/>
      <c r="LT115" s="166"/>
      <c r="LU115" s="166"/>
      <c r="LV115" s="166"/>
      <c r="LW115" s="166"/>
      <c r="LX115" s="166"/>
      <c r="LY115" s="166"/>
      <c r="LZ115" s="166"/>
      <c r="MA115" s="166"/>
      <c r="MB115" s="166"/>
      <c r="MC115" s="166"/>
      <c r="MD115" s="166"/>
      <c r="ME115" s="166"/>
      <c r="MF115" s="166"/>
      <c r="MG115" s="166"/>
      <c r="MH115" s="166"/>
      <c r="MI115" s="166"/>
      <c r="MJ115" s="166"/>
      <c r="MK115" s="166"/>
      <c r="ML115" s="166"/>
      <c r="MM115" s="166"/>
      <c r="MN115" s="166"/>
      <c r="MO115" s="166"/>
      <c r="MP115" s="166"/>
      <c r="MQ115" s="166"/>
      <c r="MR115" s="166"/>
      <c r="MS115" s="166"/>
      <c r="MT115" s="166"/>
      <c r="MU115" s="166"/>
      <c r="MV115" s="166"/>
      <c r="MW115" s="166"/>
      <c r="MX115" s="166"/>
      <c r="MY115" s="166"/>
      <c r="MZ115" s="166"/>
      <c r="NA115" s="166"/>
      <c r="NB115" s="166"/>
      <c r="NC115" s="166"/>
      <c r="ND115" s="166"/>
      <c r="NE115" s="166"/>
      <c r="NF115" s="166"/>
      <c r="NG115" s="166"/>
      <c r="NH115" s="166"/>
      <c r="NI115" s="166"/>
      <c r="NJ115" s="166"/>
      <c r="NK115" s="166"/>
      <c r="NL115" s="166"/>
      <c r="NM115" s="166"/>
      <c r="NN115" s="166"/>
      <c r="NO115" s="166"/>
      <c r="NP115" s="166"/>
      <c r="NQ115" s="166"/>
      <c r="NR115" s="166"/>
      <c r="NS115" s="166"/>
      <c r="NT115" s="166"/>
      <c r="NU115" s="166"/>
      <c r="NV115" s="166"/>
      <c r="NW115" s="166"/>
      <c r="NX115" s="166"/>
      <c r="NY115" s="166"/>
      <c r="NZ115" s="166"/>
      <c r="OA115" s="166"/>
      <c r="OB115" s="166"/>
      <c r="OC115" s="166"/>
      <c r="OD115" s="166"/>
      <c r="OE115" s="166"/>
      <c r="OF115" s="166"/>
      <c r="OG115" s="166"/>
      <c r="OH115" s="166"/>
      <c r="OI115" s="166"/>
      <c r="OJ115" s="166"/>
      <c r="OK115" s="166"/>
      <c r="OL115" s="166"/>
      <c r="OM115" s="166"/>
      <c r="ON115" s="166"/>
      <c r="OO115" s="166"/>
      <c r="OP115" s="166"/>
      <c r="OQ115" s="166"/>
      <c r="OR115" s="166"/>
      <c r="OS115" s="166"/>
      <c r="OT115" s="166"/>
      <c r="OU115" s="166"/>
      <c r="OV115" s="166"/>
      <c r="OW115" s="166"/>
      <c r="OX115" s="166"/>
      <c r="OY115" s="166"/>
      <c r="OZ115" s="166"/>
      <c r="PA115" s="166"/>
      <c r="PB115" s="166"/>
      <c r="PC115" s="166"/>
      <c r="PD115" s="166"/>
      <c r="PE115" s="166"/>
      <c r="PF115" s="166"/>
      <c r="PG115" s="166"/>
      <c r="PH115" s="166"/>
      <c r="PI115" s="166"/>
      <c r="PJ115" s="166"/>
      <c r="PK115" s="166"/>
      <c r="PL115" s="166"/>
      <c r="PM115" s="166"/>
      <c r="PN115" s="166"/>
      <c r="PO115" s="166"/>
      <c r="PP115" s="166"/>
      <c r="PQ115" s="166"/>
      <c r="PR115" s="166"/>
      <c r="PS115" s="166"/>
      <c r="PT115" s="166"/>
      <c r="PU115" s="166"/>
      <c r="PV115" s="166"/>
      <c r="PW115" s="166"/>
      <c r="PX115" s="166"/>
      <c r="PY115" s="166"/>
      <c r="PZ115" s="166"/>
      <c r="QA115" s="166"/>
      <c r="QB115" s="166"/>
      <c r="QC115" s="166"/>
      <c r="QD115" s="166"/>
      <c r="QE115" s="166"/>
      <c r="QF115" s="166"/>
      <c r="QG115" s="166"/>
      <c r="QH115" s="166"/>
      <c r="QI115" s="166"/>
      <c r="QJ115" s="166"/>
      <c r="QK115" s="166"/>
      <c r="QL115" s="166"/>
      <c r="QM115" s="166"/>
      <c r="QN115" s="166"/>
      <c r="QO115" s="166"/>
      <c r="QP115" s="166"/>
      <c r="QQ115" s="166"/>
      <c r="QR115" s="166"/>
      <c r="QS115" s="166"/>
      <c r="QT115" s="166"/>
      <c r="QU115" s="166"/>
      <c r="QV115" s="166"/>
      <c r="QW115" s="166"/>
      <c r="QX115" s="166"/>
      <c r="QY115" s="166"/>
      <c r="QZ115" s="166"/>
      <c r="RA115" s="166"/>
      <c r="RB115" s="166"/>
      <c r="RC115" s="166"/>
      <c r="RD115" s="166"/>
      <c r="RE115" s="166"/>
      <c r="RF115" s="166"/>
      <c r="RG115" s="166"/>
      <c r="RH115" s="166"/>
      <c r="RI115" s="166"/>
      <c r="RJ115" s="166"/>
      <c r="RK115" s="166"/>
      <c r="RL115" s="166"/>
      <c r="RM115" s="166"/>
      <c r="RN115" s="166"/>
      <c r="RO115" s="166"/>
      <c r="RP115" s="166"/>
      <c r="RQ115" s="166"/>
      <c r="RR115" s="166"/>
      <c r="RS115" s="166"/>
      <c r="RT115" s="166"/>
      <c r="RU115" s="166"/>
      <c r="RV115" s="166"/>
      <c r="RW115" s="166"/>
      <c r="RX115" s="166"/>
      <c r="RY115" s="166"/>
      <c r="RZ115" s="166"/>
      <c r="SA115" s="166"/>
      <c r="SB115" s="166"/>
      <c r="SC115" s="166"/>
      <c r="SD115" s="166"/>
      <c r="SE115" s="166"/>
      <c r="SF115" s="166"/>
      <c r="SG115" s="166"/>
      <c r="SH115" s="166"/>
      <c r="SI115" s="166"/>
      <c r="SJ115" s="166"/>
      <c r="SK115" s="166"/>
      <c r="SL115" s="166"/>
      <c r="SM115" s="166"/>
      <c r="SN115" s="166"/>
      <c r="SO115" s="166"/>
      <c r="SP115" s="166"/>
      <c r="SQ115" s="166"/>
      <c r="SR115" s="166"/>
    </row>
    <row r="116" spans="1:512" s="165" customFormat="1" ht="15" customHeight="1" x14ac:dyDescent="0.7">
      <c r="A116" s="171">
        <v>36</v>
      </c>
      <c r="B116" s="171" t="s">
        <v>89</v>
      </c>
      <c r="C116" s="171" t="s">
        <v>430</v>
      </c>
      <c r="D116" s="171"/>
      <c r="E116" s="171" t="s">
        <v>41</v>
      </c>
      <c r="F116" s="171"/>
      <c r="G116" s="188" t="s">
        <v>426</v>
      </c>
      <c r="H116" s="71" t="s">
        <v>427</v>
      </c>
      <c r="I116" s="160" t="s">
        <v>391</v>
      </c>
      <c r="J116" s="161">
        <v>0.02</v>
      </c>
      <c r="K116" s="185">
        <v>0.01</v>
      </c>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c r="AH116" s="164"/>
      <c r="AI116" s="164"/>
      <c r="AJ116" s="164"/>
      <c r="AK116" s="164"/>
      <c r="AL116" s="164"/>
      <c r="AM116" s="164"/>
      <c r="AN116" s="164"/>
      <c r="AO116" s="164"/>
      <c r="AP116" s="164"/>
      <c r="AQ116" s="164"/>
      <c r="AR116" s="164"/>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164"/>
      <c r="ES116" s="164"/>
      <c r="ET116" s="164"/>
      <c r="EU116" s="164"/>
      <c r="EV116" s="164"/>
      <c r="EW116" s="164"/>
      <c r="EX116" s="164"/>
      <c r="EY116" s="164"/>
      <c r="EZ116" s="164"/>
      <c r="FA116" s="164"/>
      <c r="FB116" s="164"/>
      <c r="FC116" s="164"/>
      <c r="FD116" s="164"/>
      <c r="FE116" s="164"/>
      <c r="FF116" s="164"/>
      <c r="FG116" s="164"/>
      <c r="FH116" s="164"/>
      <c r="FI116" s="164"/>
      <c r="FJ116" s="164"/>
      <c r="FK116" s="164"/>
      <c r="FL116" s="164"/>
      <c r="FM116" s="164"/>
      <c r="FN116" s="164"/>
      <c r="FO116" s="164"/>
      <c r="FP116" s="164"/>
      <c r="FQ116" s="164"/>
      <c r="FR116" s="164"/>
      <c r="FS116" s="164"/>
      <c r="FT116" s="164"/>
      <c r="FU116" s="164"/>
      <c r="FV116" s="164"/>
      <c r="FW116" s="164"/>
      <c r="FX116" s="164"/>
      <c r="FY116" s="164"/>
      <c r="FZ116" s="164"/>
      <c r="GA116" s="164"/>
      <c r="GB116" s="164"/>
      <c r="GC116" s="164"/>
      <c r="GD116" s="164"/>
      <c r="GE116" s="164"/>
      <c r="GF116" s="164"/>
      <c r="GG116" s="164"/>
      <c r="GH116" s="164"/>
      <c r="GI116" s="164"/>
      <c r="GJ116" s="164"/>
      <c r="GK116" s="164"/>
      <c r="GL116" s="164"/>
      <c r="GM116" s="164"/>
      <c r="GN116" s="164"/>
      <c r="GO116" s="164"/>
      <c r="GP116" s="164"/>
      <c r="GQ116" s="164"/>
      <c r="GR116" s="164"/>
      <c r="GS116" s="164"/>
      <c r="GT116" s="164"/>
      <c r="GU116" s="164"/>
      <c r="GV116" s="164"/>
      <c r="GW116" s="164"/>
      <c r="GX116" s="164"/>
      <c r="GY116" s="164"/>
      <c r="GZ116" s="164"/>
      <c r="HA116" s="164"/>
      <c r="HB116" s="164"/>
      <c r="HC116" s="164"/>
      <c r="HD116" s="164"/>
      <c r="HE116" s="164"/>
      <c r="HF116" s="164"/>
      <c r="HG116" s="164"/>
      <c r="HH116" s="164"/>
      <c r="HI116" s="164"/>
      <c r="HJ116" s="164"/>
      <c r="HK116" s="164"/>
      <c r="HL116" s="164"/>
      <c r="HM116" s="164"/>
      <c r="HN116" s="164"/>
      <c r="HO116" s="164"/>
      <c r="HP116" s="164"/>
      <c r="HQ116" s="164"/>
      <c r="HR116" s="164"/>
      <c r="HS116" s="164"/>
      <c r="HT116" s="164"/>
      <c r="HU116" s="164"/>
      <c r="HV116" s="164"/>
      <c r="HW116" s="164"/>
      <c r="HX116" s="164"/>
      <c r="HY116" s="164"/>
      <c r="HZ116" s="164"/>
      <c r="IA116" s="164"/>
      <c r="IB116" s="164"/>
      <c r="IC116" s="164"/>
      <c r="ID116" s="164"/>
      <c r="IE116" s="164"/>
      <c r="IF116" s="164"/>
      <c r="IG116" s="164"/>
      <c r="IH116" s="164"/>
      <c r="II116" s="164"/>
      <c r="IJ116" s="164"/>
      <c r="IK116" s="164"/>
      <c r="IL116" s="164"/>
      <c r="IM116" s="164"/>
      <c r="IN116" s="164"/>
      <c r="IO116" s="164"/>
      <c r="IP116" s="164"/>
      <c r="IQ116" s="164"/>
      <c r="IR116" s="164"/>
      <c r="IS116" s="164"/>
      <c r="IT116" s="164"/>
      <c r="IU116" s="164"/>
      <c r="IV116" s="164"/>
      <c r="IW116" s="164"/>
      <c r="IX116" s="164"/>
      <c r="IY116" s="164"/>
      <c r="IZ116" s="164"/>
      <c r="JA116" s="164"/>
      <c r="JB116" s="164"/>
      <c r="JC116" s="164"/>
      <c r="JD116" s="164"/>
      <c r="JE116" s="164"/>
      <c r="JF116" s="164"/>
      <c r="JG116" s="164"/>
      <c r="JH116" s="164"/>
      <c r="JI116" s="164"/>
      <c r="JJ116" s="164"/>
      <c r="JK116" s="164"/>
      <c r="JL116" s="164"/>
      <c r="JM116" s="164"/>
      <c r="JN116" s="164"/>
      <c r="JO116" s="164"/>
      <c r="JP116" s="164"/>
      <c r="JQ116" s="164"/>
      <c r="JR116" s="164"/>
      <c r="JS116" s="164"/>
      <c r="JT116" s="164"/>
      <c r="JU116" s="164"/>
      <c r="JV116" s="164"/>
      <c r="JW116" s="164"/>
      <c r="JX116" s="164"/>
      <c r="JY116" s="164"/>
      <c r="JZ116" s="164"/>
      <c r="KA116" s="164"/>
      <c r="KB116" s="164"/>
      <c r="KC116" s="164"/>
      <c r="KD116" s="164"/>
      <c r="KE116" s="164"/>
      <c r="KF116" s="164"/>
      <c r="KG116" s="164"/>
      <c r="KH116" s="164"/>
      <c r="KI116" s="164"/>
      <c r="KJ116" s="164"/>
      <c r="KK116" s="164"/>
      <c r="KL116" s="164"/>
      <c r="KM116" s="164"/>
      <c r="KN116" s="164"/>
      <c r="KO116" s="164"/>
      <c r="KP116" s="164"/>
      <c r="KQ116" s="164"/>
      <c r="KR116" s="164"/>
      <c r="KS116" s="164"/>
      <c r="KT116" s="164"/>
      <c r="KU116" s="164"/>
      <c r="KV116" s="164"/>
      <c r="KW116" s="164"/>
      <c r="KX116" s="164"/>
      <c r="KY116" s="164"/>
      <c r="KZ116" s="164"/>
      <c r="LA116" s="164"/>
      <c r="LB116" s="164"/>
      <c r="LC116" s="164"/>
      <c r="LD116" s="164"/>
      <c r="LE116" s="164"/>
      <c r="LF116" s="164"/>
      <c r="LG116" s="164"/>
      <c r="LH116" s="164"/>
      <c r="LI116" s="164"/>
      <c r="LJ116" s="164"/>
      <c r="LK116" s="164"/>
      <c r="LL116" s="164"/>
      <c r="LM116" s="164"/>
      <c r="LN116" s="164"/>
      <c r="LO116" s="164"/>
      <c r="LP116" s="164"/>
      <c r="LQ116" s="164"/>
      <c r="LR116" s="164"/>
      <c r="LS116" s="164"/>
      <c r="LT116" s="164"/>
      <c r="LU116" s="164"/>
      <c r="LV116" s="164"/>
      <c r="LW116" s="164"/>
      <c r="LX116" s="164"/>
      <c r="LY116" s="164"/>
      <c r="LZ116" s="164"/>
      <c r="MA116" s="164"/>
      <c r="MB116" s="164"/>
      <c r="MC116" s="164"/>
      <c r="MD116" s="164"/>
      <c r="ME116" s="164"/>
      <c r="MF116" s="164"/>
      <c r="MG116" s="164"/>
      <c r="MH116" s="164"/>
      <c r="MI116" s="164"/>
      <c r="MJ116" s="164"/>
      <c r="MK116" s="164"/>
      <c r="ML116" s="164"/>
      <c r="MM116" s="164"/>
      <c r="MN116" s="164"/>
      <c r="MO116" s="164"/>
      <c r="MP116" s="164"/>
      <c r="MQ116" s="164"/>
      <c r="MR116" s="164"/>
      <c r="MS116" s="164"/>
      <c r="MT116" s="164"/>
      <c r="MU116" s="164"/>
      <c r="MV116" s="164"/>
      <c r="MW116" s="164"/>
      <c r="MX116" s="164"/>
      <c r="MY116" s="164"/>
      <c r="MZ116" s="164"/>
      <c r="NA116" s="164"/>
      <c r="NB116" s="164"/>
      <c r="NC116" s="164"/>
      <c r="ND116" s="164"/>
      <c r="NE116" s="164"/>
      <c r="NF116" s="164"/>
      <c r="NG116" s="164"/>
      <c r="NH116" s="164"/>
      <c r="NI116" s="164"/>
      <c r="NJ116" s="164"/>
      <c r="NK116" s="164"/>
      <c r="NL116" s="164"/>
      <c r="NM116" s="164"/>
      <c r="NN116" s="164"/>
      <c r="NO116" s="164"/>
      <c r="NP116" s="164"/>
      <c r="NQ116" s="164"/>
      <c r="NR116" s="164"/>
      <c r="NS116" s="164"/>
      <c r="NT116" s="164"/>
      <c r="NU116" s="164"/>
      <c r="NV116" s="164"/>
      <c r="NW116" s="164"/>
      <c r="NX116" s="164"/>
      <c r="NY116" s="164"/>
      <c r="NZ116" s="164"/>
      <c r="OA116" s="164"/>
      <c r="OB116" s="164"/>
      <c r="OC116" s="164"/>
      <c r="OD116" s="164"/>
      <c r="OE116" s="164"/>
      <c r="OF116" s="164"/>
      <c r="OG116" s="164"/>
      <c r="OH116" s="164"/>
      <c r="OI116" s="164"/>
      <c r="OJ116" s="164"/>
      <c r="OK116" s="164"/>
      <c r="OL116" s="164"/>
      <c r="OM116" s="164"/>
      <c r="ON116" s="164"/>
      <c r="OO116" s="164"/>
      <c r="OP116" s="164"/>
      <c r="OQ116" s="164"/>
      <c r="OR116" s="164"/>
      <c r="OS116" s="164"/>
      <c r="OT116" s="164"/>
      <c r="OU116" s="164"/>
      <c r="OV116" s="164"/>
      <c r="OW116" s="164"/>
      <c r="OX116" s="164"/>
      <c r="OY116" s="164"/>
      <c r="OZ116" s="164"/>
      <c r="PA116" s="164"/>
      <c r="PB116" s="164"/>
      <c r="PC116" s="164"/>
      <c r="PD116" s="164"/>
      <c r="PE116" s="164"/>
      <c r="PF116" s="164"/>
      <c r="PG116" s="164"/>
      <c r="PH116" s="164"/>
      <c r="PI116" s="164"/>
      <c r="PJ116" s="164"/>
      <c r="PK116" s="164"/>
      <c r="PL116" s="164"/>
      <c r="PM116" s="164"/>
      <c r="PN116" s="164"/>
      <c r="PO116" s="164"/>
      <c r="PP116" s="164"/>
      <c r="PQ116" s="164"/>
      <c r="PR116" s="164"/>
      <c r="PS116" s="164"/>
      <c r="PT116" s="164"/>
      <c r="PU116" s="164"/>
      <c r="PV116" s="164"/>
      <c r="PW116" s="164"/>
      <c r="PX116" s="164"/>
      <c r="PY116" s="164"/>
      <c r="PZ116" s="164"/>
      <c r="QA116" s="164"/>
      <c r="QB116" s="164"/>
      <c r="QC116" s="164"/>
      <c r="QD116" s="164"/>
      <c r="QE116" s="164"/>
      <c r="QF116" s="164"/>
      <c r="QG116" s="164"/>
      <c r="QH116" s="164"/>
      <c r="QI116" s="164"/>
      <c r="QJ116" s="164"/>
      <c r="QK116" s="164"/>
      <c r="QL116" s="164"/>
      <c r="QM116" s="164"/>
      <c r="QN116" s="164"/>
      <c r="QO116" s="164"/>
      <c r="QP116" s="164"/>
      <c r="QQ116" s="164"/>
      <c r="QR116" s="164"/>
      <c r="QS116" s="164"/>
      <c r="QT116" s="164"/>
      <c r="QU116" s="164"/>
      <c r="QV116" s="164"/>
      <c r="QW116" s="164"/>
      <c r="QX116" s="164"/>
      <c r="QY116" s="164"/>
      <c r="QZ116" s="164"/>
      <c r="RA116" s="164"/>
      <c r="RB116" s="164"/>
      <c r="RC116" s="164"/>
      <c r="RD116" s="164"/>
      <c r="RE116" s="164"/>
      <c r="RF116" s="164"/>
      <c r="RG116" s="164"/>
      <c r="RH116" s="164"/>
      <c r="RI116" s="164"/>
      <c r="RJ116" s="164"/>
      <c r="RK116" s="164"/>
      <c r="RL116" s="164"/>
      <c r="RM116" s="164"/>
      <c r="RN116" s="164"/>
      <c r="RO116" s="164"/>
      <c r="RP116" s="164"/>
      <c r="RQ116" s="164"/>
      <c r="RR116" s="164"/>
      <c r="RS116" s="164"/>
      <c r="RT116" s="164"/>
      <c r="RU116" s="164"/>
      <c r="RV116" s="164"/>
      <c r="RW116" s="164"/>
      <c r="RX116" s="164"/>
      <c r="RY116" s="164"/>
      <c r="RZ116" s="164"/>
      <c r="SA116" s="164"/>
      <c r="SB116" s="164"/>
      <c r="SC116" s="164"/>
      <c r="SD116" s="164"/>
      <c r="SE116" s="164"/>
      <c r="SF116" s="164"/>
      <c r="SG116" s="164"/>
      <c r="SH116" s="164"/>
      <c r="SI116" s="164"/>
      <c r="SJ116" s="164"/>
      <c r="SK116" s="164"/>
      <c r="SL116" s="164"/>
      <c r="SM116" s="164"/>
      <c r="SN116" s="164"/>
      <c r="SO116" s="164"/>
      <c r="SP116" s="164"/>
      <c r="SQ116" s="164"/>
      <c r="SR116" s="164"/>
    </row>
    <row r="117" spans="1:512" s="165" customFormat="1" ht="15" customHeight="1" x14ac:dyDescent="0.7">
      <c r="A117" s="172"/>
      <c r="B117" s="172"/>
      <c r="C117" s="172"/>
      <c r="D117" s="172"/>
      <c r="E117" s="172"/>
      <c r="F117" s="172"/>
      <c r="G117" s="172"/>
      <c r="H117" s="62"/>
      <c r="I117" s="160" t="s">
        <v>366</v>
      </c>
      <c r="J117" s="161">
        <v>0</v>
      </c>
      <c r="K117" s="186"/>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c r="BT117" s="164"/>
      <c r="BU117" s="164"/>
      <c r="BV117" s="164"/>
      <c r="BW117" s="164"/>
      <c r="BX117" s="164"/>
      <c r="BY117" s="164"/>
      <c r="BZ117" s="164"/>
      <c r="CA117" s="164"/>
      <c r="CB117" s="164"/>
      <c r="CC117" s="164"/>
      <c r="CD117" s="164"/>
      <c r="CE117" s="164"/>
      <c r="CF117" s="164"/>
      <c r="CG117" s="164"/>
      <c r="CH117" s="164"/>
      <c r="CI117" s="164"/>
      <c r="CJ117" s="164"/>
      <c r="CK117" s="164"/>
      <c r="CL117" s="164"/>
      <c r="CM117" s="164"/>
      <c r="CN117" s="164"/>
      <c r="CO117" s="164"/>
      <c r="CP117" s="164"/>
      <c r="CQ117" s="164"/>
      <c r="CR117" s="164"/>
      <c r="CS117" s="164"/>
      <c r="CT117" s="164"/>
      <c r="CU117" s="164"/>
      <c r="CV117" s="164"/>
      <c r="CW117" s="164"/>
      <c r="CX117" s="164"/>
      <c r="CY117" s="164"/>
      <c r="CZ117" s="164"/>
      <c r="DA117" s="164"/>
      <c r="DB117" s="164"/>
      <c r="DC117" s="164"/>
      <c r="DD117" s="164"/>
      <c r="DE117" s="164"/>
      <c r="DF117" s="164"/>
      <c r="DG117" s="164"/>
      <c r="DH117" s="164"/>
      <c r="DI117" s="164"/>
      <c r="DJ117" s="164"/>
      <c r="DK117" s="164"/>
      <c r="DL117" s="164"/>
      <c r="DM117" s="164"/>
      <c r="DN117" s="164"/>
      <c r="DO117" s="164"/>
      <c r="DP117" s="164"/>
      <c r="DQ117" s="164"/>
      <c r="DR117" s="164"/>
      <c r="DS117" s="164"/>
      <c r="DT117" s="164"/>
      <c r="DU117" s="164"/>
      <c r="DV117" s="164"/>
      <c r="DW117" s="164"/>
      <c r="DX117" s="164"/>
      <c r="DY117" s="164"/>
      <c r="DZ117" s="164"/>
      <c r="EA117" s="164"/>
      <c r="EB117" s="164"/>
      <c r="EC117" s="164"/>
      <c r="ED117" s="164"/>
      <c r="EE117" s="164"/>
      <c r="EF117" s="164"/>
      <c r="EG117" s="164"/>
      <c r="EH117" s="164"/>
      <c r="EI117" s="164"/>
      <c r="EJ117" s="164"/>
      <c r="EK117" s="164"/>
      <c r="EL117" s="164"/>
      <c r="EM117" s="164"/>
      <c r="EN117" s="164"/>
      <c r="EO117" s="164"/>
      <c r="EP117" s="164"/>
      <c r="EQ117" s="164"/>
      <c r="ER117" s="164"/>
      <c r="ES117" s="164"/>
      <c r="ET117" s="164"/>
      <c r="EU117" s="164"/>
      <c r="EV117" s="164"/>
      <c r="EW117" s="164"/>
      <c r="EX117" s="164"/>
      <c r="EY117" s="164"/>
      <c r="EZ117" s="164"/>
      <c r="FA117" s="164"/>
      <c r="FB117" s="164"/>
      <c r="FC117" s="164"/>
      <c r="FD117" s="164"/>
      <c r="FE117" s="164"/>
      <c r="FF117" s="164"/>
      <c r="FG117" s="164"/>
      <c r="FH117" s="164"/>
      <c r="FI117" s="164"/>
      <c r="FJ117" s="164"/>
      <c r="FK117" s="164"/>
      <c r="FL117" s="164"/>
      <c r="FM117" s="164"/>
      <c r="FN117" s="164"/>
      <c r="FO117" s="164"/>
      <c r="FP117" s="164"/>
      <c r="FQ117" s="164"/>
      <c r="FR117" s="164"/>
      <c r="FS117" s="164"/>
      <c r="FT117" s="164"/>
      <c r="FU117" s="164"/>
      <c r="FV117" s="164"/>
      <c r="FW117" s="164"/>
      <c r="FX117" s="164"/>
      <c r="FY117" s="164"/>
      <c r="FZ117" s="164"/>
      <c r="GA117" s="164"/>
      <c r="GB117" s="164"/>
      <c r="GC117" s="164"/>
      <c r="GD117" s="164"/>
      <c r="GE117" s="164"/>
      <c r="GF117" s="164"/>
      <c r="GG117" s="164"/>
      <c r="GH117" s="164"/>
      <c r="GI117" s="164"/>
      <c r="GJ117" s="164"/>
      <c r="GK117" s="164"/>
      <c r="GL117" s="164"/>
      <c r="GM117" s="164"/>
      <c r="GN117" s="164"/>
      <c r="GO117" s="164"/>
      <c r="GP117" s="164"/>
      <c r="GQ117" s="164"/>
      <c r="GR117" s="164"/>
      <c r="GS117" s="164"/>
      <c r="GT117" s="164"/>
      <c r="GU117" s="164"/>
      <c r="GV117" s="164"/>
      <c r="GW117" s="164"/>
      <c r="GX117" s="164"/>
      <c r="GY117" s="164"/>
      <c r="GZ117" s="164"/>
      <c r="HA117" s="164"/>
      <c r="HB117" s="164"/>
      <c r="HC117" s="164"/>
      <c r="HD117" s="164"/>
      <c r="HE117" s="164"/>
      <c r="HF117" s="164"/>
      <c r="HG117" s="164"/>
      <c r="HH117" s="164"/>
      <c r="HI117" s="164"/>
      <c r="HJ117" s="164"/>
      <c r="HK117" s="164"/>
      <c r="HL117" s="164"/>
      <c r="HM117" s="164"/>
      <c r="HN117" s="164"/>
      <c r="HO117" s="164"/>
      <c r="HP117" s="164"/>
      <c r="HQ117" s="164"/>
      <c r="HR117" s="164"/>
      <c r="HS117" s="164"/>
      <c r="HT117" s="164"/>
      <c r="HU117" s="164"/>
      <c r="HV117" s="164"/>
      <c r="HW117" s="164"/>
      <c r="HX117" s="164"/>
      <c r="HY117" s="164"/>
      <c r="HZ117" s="164"/>
      <c r="IA117" s="164"/>
      <c r="IB117" s="164"/>
      <c r="IC117" s="164"/>
      <c r="ID117" s="164"/>
      <c r="IE117" s="164"/>
      <c r="IF117" s="164"/>
      <c r="IG117" s="164"/>
      <c r="IH117" s="164"/>
      <c r="II117" s="164"/>
      <c r="IJ117" s="164"/>
      <c r="IK117" s="164"/>
      <c r="IL117" s="164"/>
      <c r="IM117" s="164"/>
      <c r="IN117" s="164"/>
      <c r="IO117" s="164"/>
      <c r="IP117" s="164"/>
      <c r="IQ117" s="164"/>
      <c r="IR117" s="164"/>
      <c r="IS117" s="164"/>
      <c r="IT117" s="164"/>
      <c r="IU117" s="164"/>
      <c r="IV117" s="164"/>
      <c r="IW117" s="164"/>
      <c r="IX117" s="164"/>
      <c r="IY117" s="164"/>
      <c r="IZ117" s="164"/>
      <c r="JA117" s="164"/>
      <c r="JB117" s="164"/>
      <c r="JC117" s="164"/>
      <c r="JD117" s="164"/>
      <c r="JE117" s="164"/>
      <c r="JF117" s="164"/>
      <c r="JG117" s="164"/>
      <c r="JH117" s="164"/>
      <c r="JI117" s="164"/>
      <c r="JJ117" s="164"/>
      <c r="JK117" s="164"/>
      <c r="JL117" s="164"/>
      <c r="JM117" s="164"/>
      <c r="JN117" s="164"/>
      <c r="JO117" s="164"/>
      <c r="JP117" s="164"/>
      <c r="JQ117" s="164"/>
      <c r="JR117" s="164"/>
      <c r="JS117" s="164"/>
      <c r="JT117" s="164"/>
      <c r="JU117" s="164"/>
      <c r="JV117" s="164"/>
      <c r="JW117" s="164"/>
      <c r="JX117" s="164"/>
      <c r="JY117" s="164"/>
      <c r="JZ117" s="164"/>
      <c r="KA117" s="164"/>
      <c r="KB117" s="164"/>
      <c r="KC117" s="164"/>
      <c r="KD117" s="164"/>
      <c r="KE117" s="164"/>
      <c r="KF117" s="164"/>
      <c r="KG117" s="164"/>
      <c r="KH117" s="164"/>
      <c r="KI117" s="164"/>
      <c r="KJ117" s="164"/>
      <c r="KK117" s="164"/>
      <c r="KL117" s="164"/>
      <c r="KM117" s="164"/>
      <c r="KN117" s="164"/>
      <c r="KO117" s="164"/>
      <c r="KP117" s="164"/>
      <c r="KQ117" s="164"/>
      <c r="KR117" s="164"/>
      <c r="KS117" s="164"/>
      <c r="KT117" s="164"/>
      <c r="KU117" s="164"/>
      <c r="KV117" s="164"/>
      <c r="KW117" s="164"/>
      <c r="KX117" s="164"/>
      <c r="KY117" s="164"/>
      <c r="KZ117" s="164"/>
      <c r="LA117" s="164"/>
      <c r="LB117" s="164"/>
      <c r="LC117" s="164"/>
      <c r="LD117" s="164"/>
      <c r="LE117" s="164"/>
      <c r="LF117" s="164"/>
      <c r="LG117" s="164"/>
      <c r="LH117" s="164"/>
      <c r="LI117" s="164"/>
      <c r="LJ117" s="164"/>
      <c r="LK117" s="164"/>
      <c r="LL117" s="164"/>
      <c r="LM117" s="164"/>
      <c r="LN117" s="164"/>
      <c r="LO117" s="164"/>
      <c r="LP117" s="164"/>
      <c r="LQ117" s="164"/>
      <c r="LR117" s="164"/>
      <c r="LS117" s="164"/>
      <c r="LT117" s="164"/>
      <c r="LU117" s="164"/>
      <c r="LV117" s="164"/>
      <c r="LW117" s="164"/>
      <c r="LX117" s="164"/>
      <c r="LY117" s="164"/>
      <c r="LZ117" s="164"/>
      <c r="MA117" s="164"/>
      <c r="MB117" s="164"/>
      <c r="MC117" s="164"/>
      <c r="MD117" s="164"/>
      <c r="ME117" s="164"/>
      <c r="MF117" s="164"/>
      <c r="MG117" s="164"/>
      <c r="MH117" s="164"/>
      <c r="MI117" s="164"/>
      <c r="MJ117" s="164"/>
      <c r="MK117" s="164"/>
      <c r="ML117" s="164"/>
      <c r="MM117" s="164"/>
      <c r="MN117" s="164"/>
      <c r="MO117" s="164"/>
      <c r="MP117" s="164"/>
      <c r="MQ117" s="164"/>
      <c r="MR117" s="164"/>
      <c r="MS117" s="164"/>
      <c r="MT117" s="164"/>
      <c r="MU117" s="164"/>
      <c r="MV117" s="164"/>
      <c r="MW117" s="164"/>
      <c r="MX117" s="164"/>
      <c r="MY117" s="164"/>
      <c r="MZ117" s="164"/>
      <c r="NA117" s="164"/>
      <c r="NB117" s="164"/>
      <c r="NC117" s="164"/>
      <c r="ND117" s="164"/>
      <c r="NE117" s="164"/>
      <c r="NF117" s="164"/>
      <c r="NG117" s="164"/>
      <c r="NH117" s="164"/>
      <c r="NI117" s="164"/>
      <c r="NJ117" s="164"/>
      <c r="NK117" s="164"/>
      <c r="NL117" s="164"/>
      <c r="NM117" s="164"/>
      <c r="NN117" s="164"/>
      <c r="NO117" s="164"/>
      <c r="NP117" s="164"/>
      <c r="NQ117" s="164"/>
      <c r="NR117" s="164"/>
      <c r="NS117" s="164"/>
      <c r="NT117" s="164"/>
      <c r="NU117" s="164"/>
      <c r="NV117" s="164"/>
      <c r="NW117" s="164"/>
      <c r="NX117" s="164"/>
      <c r="NY117" s="164"/>
      <c r="NZ117" s="164"/>
      <c r="OA117" s="164"/>
      <c r="OB117" s="164"/>
      <c r="OC117" s="164"/>
      <c r="OD117" s="164"/>
      <c r="OE117" s="164"/>
      <c r="OF117" s="164"/>
      <c r="OG117" s="164"/>
      <c r="OH117" s="164"/>
      <c r="OI117" s="164"/>
      <c r="OJ117" s="164"/>
      <c r="OK117" s="164"/>
      <c r="OL117" s="164"/>
      <c r="OM117" s="164"/>
      <c r="ON117" s="164"/>
      <c r="OO117" s="164"/>
      <c r="OP117" s="164"/>
      <c r="OQ117" s="164"/>
      <c r="OR117" s="164"/>
      <c r="OS117" s="164"/>
      <c r="OT117" s="164"/>
      <c r="OU117" s="164"/>
      <c r="OV117" s="164"/>
      <c r="OW117" s="164"/>
      <c r="OX117" s="164"/>
      <c r="OY117" s="164"/>
      <c r="OZ117" s="164"/>
      <c r="PA117" s="164"/>
      <c r="PB117" s="164"/>
      <c r="PC117" s="164"/>
      <c r="PD117" s="164"/>
      <c r="PE117" s="164"/>
      <c r="PF117" s="164"/>
      <c r="PG117" s="164"/>
      <c r="PH117" s="164"/>
      <c r="PI117" s="164"/>
      <c r="PJ117" s="164"/>
      <c r="PK117" s="164"/>
      <c r="PL117" s="164"/>
      <c r="PM117" s="164"/>
      <c r="PN117" s="164"/>
      <c r="PO117" s="164"/>
      <c r="PP117" s="164"/>
      <c r="PQ117" s="164"/>
      <c r="PR117" s="164"/>
      <c r="PS117" s="164"/>
      <c r="PT117" s="164"/>
      <c r="PU117" s="164"/>
      <c r="PV117" s="164"/>
      <c r="PW117" s="164"/>
      <c r="PX117" s="164"/>
      <c r="PY117" s="164"/>
      <c r="PZ117" s="164"/>
      <c r="QA117" s="164"/>
      <c r="QB117" s="164"/>
      <c r="QC117" s="164"/>
      <c r="QD117" s="164"/>
      <c r="QE117" s="164"/>
      <c r="QF117" s="164"/>
      <c r="QG117" s="164"/>
      <c r="QH117" s="164"/>
      <c r="QI117" s="164"/>
      <c r="QJ117" s="164"/>
      <c r="QK117" s="164"/>
      <c r="QL117" s="164"/>
      <c r="QM117" s="164"/>
      <c r="QN117" s="164"/>
      <c r="QO117" s="164"/>
      <c r="QP117" s="164"/>
      <c r="QQ117" s="164"/>
      <c r="QR117" s="164"/>
      <c r="QS117" s="164"/>
      <c r="QT117" s="164"/>
      <c r="QU117" s="164"/>
      <c r="QV117" s="164"/>
      <c r="QW117" s="164"/>
      <c r="QX117" s="164"/>
      <c r="QY117" s="164"/>
      <c r="QZ117" s="164"/>
      <c r="RA117" s="164"/>
      <c r="RB117" s="164"/>
      <c r="RC117" s="164"/>
      <c r="RD117" s="164"/>
      <c r="RE117" s="164"/>
      <c r="RF117" s="164"/>
      <c r="RG117" s="164"/>
      <c r="RH117" s="164"/>
      <c r="RI117" s="164"/>
      <c r="RJ117" s="164"/>
      <c r="RK117" s="164"/>
      <c r="RL117" s="164"/>
      <c r="RM117" s="164"/>
      <c r="RN117" s="164"/>
      <c r="RO117" s="164"/>
      <c r="RP117" s="164"/>
      <c r="RQ117" s="164"/>
      <c r="RR117" s="164"/>
      <c r="RS117" s="164"/>
      <c r="RT117" s="164"/>
      <c r="RU117" s="164"/>
      <c r="RV117" s="164"/>
      <c r="RW117" s="164"/>
      <c r="RX117" s="164"/>
      <c r="RY117" s="164"/>
      <c r="RZ117" s="164"/>
      <c r="SA117" s="164"/>
      <c r="SB117" s="164"/>
      <c r="SC117" s="164"/>
      <c r="SD117" s="164"/>
      <c r="SE117" s="164"/>
      <c r="SF117" s="164"/>
      <c r="SG117" s="164"/>
      <c r="SH117" s="164"/>
      <c r="SI117" s="164"/>
      <c r="SJ117" s="164"/>
      <c r="SK117" s="164"/>
      <c r="SL117" s="164"/>
      <c r="SM117" s="164"/>
      <c r="SN117" s="164"/>
      <c r="SO117" s="164"/>
      <c r="SP117" s="164"/>
      <c r="SQ117" s="164"/>
      <c r="SR117" s="164"/>
    </row>
    <row r="118" spans="1:512" s="167" customFormat="1" ht="15" customHeight="1" x14ac:dyDescent="0.7">
      <c r="A118" s="173"/>
      <c r="B118" s="173"/>
      <c r="C118" s="173"/>
      <c r="D118" s="173"/>
      <c r="E118" s="173"/>
      <c r="F118" s="173"/>
      <c r="G118" s="173"/>
      <c r="H118" s="74"/>
      <c r="I118" s="162"/>
      <c r="J118" s="163"/>
      <c r="K118" s="187"/>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c r="AP118" s="166"/>
      <c r="AQ118" s="166"/>
      <c r="AR118" s="166"/>
      <c r="AS118" s="166"/>
      <c r="AT118" s="166"/>
      <c r="AU118" s="166"/>
      <c r="AV118" s="166"/>
      <c r="AW118" s="166"/>
      <c r="AX118" s="166"/>
      <c r="AY118" s="166"/>
      <c r="AZ118" s="166"/>
      <c r="BA118" s="166"/>
      <c r="BB118" s="166"/>
      <c r="BC118" s="166"/>
      <c r="BD118" s="166"/>
      <c r="BE118" s="166"/>
      <c r="BF118" s="166"/>
      <c r="BG118" s="166"/>
      <c r="BH118" s="166"/>
      <c r="BI118" s="166"/>
      <c r="BJ118" s="166"/>
      <c r="BK118" s="166"/>
      <c r="BL118" s="166"/>
      <c r="BM118" s="166"/>
      <c r="BN118" s="166"/>
      <c r="BO118" s="166"/>
      <c r="BP118" s="166"/>
      <c r="BQ118" s="166"/>
      <c r="BR118" s="166"/>
      <c r="BS118" s="166"/>
      <c r="BT118" s="166"/>
      <c r="BU118" s="166"/>
      <c r="BV118" s="166"/>
      <c r="BW118" s="166"/>
      <c r="BX118" s="166"/>
      <c r="BY118" s="166"/>
      <c r="BZ118" s="166"/>
      <c r="CA118" s="166"/>
      <c r="CB118" s="166"/>
      <c r="CC118" s="166"/>
      <c r="CD118" s="166"/>
      <c r="CE118" s="166"/>
      <c r="CF118" s="166"/>
      <c r="CG118" s="166"/>
      <c r="CH118" s="166"/>
      <c r="CI118" s="166"/>
      <c r="CJ118" s="166"/>
      <c r="CK118" s="166"/>
      <c r="CL118" s="166"/>
      <c r="CM118" s="166"/>
      <c r="CN118" s="166"/>
      <c r="CO118" s="166"/>
      <c r="CP118" s="166"/>
      <c r="CQ118" s="166"/>
      <c r="CR118" s="166"/>
      <c r="CS118" s="166"/>
      <c r="CT118" s="166"/>
      <c r="CU118" s="166"/>
      <c r="CV118" s="166"/>
      <c r="CW118" s="166"/>
      <c r="CX118" s="166"/>
      <c r="CY118" s="166"/>
      <c r="CZ118" s="166"/>
      <c r="DA118" s="166"/>
      <c r="DB118" s="166"/>
      <c r="DC118" s="166"/>
      <c r="DD118" s="166"/>
      <c r="DE118" s="166"/>
      <c r="DF118" s="166"/>
      <c r="DG118" s="166"/>
      <c r="DH118" s="166"/>
      <c r="DI118" s="166"/>
      <c r="DJ118" s="166"/>
      <c r="DK118" s="166"/>
      <c r="DL118" s="166"/>
      <c r="DM118" s="166"/>
      <c r="DN118" s="166"/>
      <c r="DO118" s="166"/>
      <c r="DP118" s="166"/>
      <c r="DQ118" s="166"/>
      <c r="DR118" s="166"/>
      <c r="DS118" s="166"/>
      <c r="DT118" s="166"/>
      <c r="DU118" s="166"/>
      <c r="DV118" s="166"/>
      <c r="DW118" s="166"/>
      <c r="DX118" s="166"/>
      <c r="DY118" s="166"/>
      <c r="DZ118" s="166"/>
      <c r="EA118" s="166"/>
      <c r="EB118" s="166"/>
      <c r="EC118" s="166"/>
      <c r="ED118" s="166"/>
      <c r="EE118" s="166"/>
      <c r="EF118" s="166"/>
      <c r="EG118" s="166"/>
      <c r="EH118" s="166"/>
      <c r="EI118" s="166"/>
      <c r="EJ118" s="166"/>
      <c r="EK118" s="166"/>
      <c r="EL118" s="166"/>
      <c r="EM118" s="166"/>
      <c r="EN118" s="166"/>
      <c r="EO118" s="166"/>
      <c r="EP118" s="166"/>
      <c r="EQ118" s="166"/>
      <c r="ER118" s="166"/>
      <c r="ES118" s="166"/>
      <c r="ET118" s="166"/>
      <c r="EU118" s="166"/>
      <c r="EV118" s="166"/>
      <c r="EW118" s="166"/>
      <c r="EX118" s="166"/>
      <c r="EY118" s="166"/>
      <c r="EZ118" s="166"/>
      <c r="FA118" s="166"/>
      <c r="FB118" s="166"/>
      <c r="FC118" s="166"/>
      <c r="FD118" s="166"/>
      <c r="FE118" s="166"/>
      <c r="FF118" s="166"/>
      <c r="FG118" s="166"/>
      <c r="FH118" s="166"/>
      <c r="FI118" s="166"/>
      <c r="FJ118" s="166"/>
      <c r="FK118" s="166"/>
      <c r="FL118" s="166"/>
      <c r="FM118" s="166"/>
      <c r="FN118" s="166"/>
      <c r="FO118" s="166"/>
      <c r="FP118" s="166"/>
      <c r="FQ118" s="166"/>
      <c r="FR118" s="166"/>
      <c r="FS118" s="166"/>
      <c r="FT118" s="166"/>
      <c r="FU118" s="166"/>
      <c r="FV118" s="166"/>
      <c r="FW118" s="166"/>
      <c r="FX118" s="166"/>
      <c r="FY118" s="166"/>
      <c r="FZ118" s="166"/>
      <c r="GA118" s="166"/>
      <c r="GB118" s="166"/>
      <c r="GC118" s="166"/>
      <c r="GD118" s="166"/>
      <c r="GE118" s="166"/>
      <c r="GF118" s="166"/>
      <c r="GG118" s="166"/>
      <c r="GH118" s="166"/>
      <c r="GI118" s="166"/>
      <c r="GJ118" s="166"/>
      <c r="GK118" s="166"/>
      <c r="GL118" s="166"/>
      <c r="GM118" s="166"/>
      <c r="GN118" s="166"/>
      <c r="GO118" s="166"/>
      <c r="GP118" s="166"/>
      <c r="GQ118" s="166"/>
      <c r="GR118" s="166"/>
      <c r="GS118" s="166"/>
      <c r="GT118" s="166"/>
      <c r="GU118" s="166"/>
      <c r="GV118" s="166"/>
      <c r="GW118" s="166"/>
      <c r="GX118" s="166"/>
      <c r="GY118" s="166"/>
      <c r="GZ118" s="166"/>
      <c r="HA118" s="166"/>
      <c r="HB118" s="166"/>
      <c r="HC118" s="166"/>
      <c r="HD118" s="166"/>
      <c r="HE118" s="166"/>
      <c r="HF118" s="166"/>
      <c r="HG118" s="166"/>
      <c r="HH118" s="166"/>
      <c r="HI118" s="166"/>
      <c r="HJ118" s="166"/>
      <c r="HK118" s="166"/>
      <c r="HL118" s="166"/>
      <c r="HM118" s="166"/>
      <c r="HN118" s="166"/>
      <c r="HO118" s="166"/>
      <c r="HP118" s="166"/>
      <c r="HQ118" s="166"/>
      <c r="HR118" s="166"/>
      <c r="HS118" s="166"/>
      <c r="HT118" s="166"/>
      <c r="HU118" s="166"/>
      <c r="HV118" s="166"/>
      <c r="HW118" s="166"/>
      <c r="HX118" s="166"/>
      <c r="HY118" s="166"/>
      <c r="HZ118" s="166"/>
      <c r="IA118" s="166"/>
      <c r="IB118" s="166"/>
      <c r="IC118" s="166"/>
      <c r="ID118" s="166"/>
      <c r="IE118" s="166"/>
      <c r="IF118" s="166"/>
      <c r="IG118" s="166"/>
      <c r="IH118" s="166"/>
      <c r="II118" s="166"/>
      <c r="IJ118" s="166"/>
      <c r="IK118" s="166"/>
      <c r="IL118" s="166"/>
      <c r="IM118" s="166"/>
      <c r="IN118" s="166"/>
      <c r="IO118" s="166"/>
      <c r="IP118" s="166"/>
      <c r="IQ118" s="166"/>
      <c r="IR118" s="166"/>
      <c r="IS118" s="166"/>
      <c r="IT118" s="166"/>
      <c r="IU118" s="166"/>
      <c r="IV118" s="166"/>
      <c r="IW118" s="166"/>
      <c r="IX118" s="166"/>
      <c r="IY118" s="166"/>
      <c r="IZ118" s="166"/>
      <c r="JA118" s="166"/>
      <c r="JB118" s="166"/>
      <c r="JC118" s="166"/>
      <c r="JD118" s="166"/>
      <c r="JE118" s="166"/>
      <c r="JF118" s="166"/>
      <c r="JG118" s="166"/>
      <c r="JH118" s="166"/>
      <c r="JI118" s="166"/>
      <c r="JJ118" s="166"/>
      <c r="JK118" s="166"/>
      <c r="JL118" s="166"/>
      <c r="JM118" s="166"/>
      <c r="JN118" s="166"/>
      <c r="JO118" s="166"/>
      <c r="JP118" s="166"/>
      <c r="JQ118" s="166"/>
      <c r="JR118" s="166"/>
      <c r="JS118" s="166"/>
      <c r="JT118" s="166"/>
      <c r="JU118" s="166"/>
      <c r="JV118" s="166"/>
      <c r="JW118" s="166"/>
      <c r="JX118" s="166"/>
      <c r="JY118" s="166"/>
      <c r="JZ118" s="166"/>
      <c r="KA118" s="166"/>
      <c r="KB118" s="166"/>
      <c r="KC118" s="166"/>
      <c r="KD118" s="166"/>
      <c r="KE118" s="166"/>
      <c r="KF118" s="166"/>
      <c r="KG118" s="166"/>
      <c r="KH118" s="166"/>
      <c r="KI118" s="166"/>
      <c r="KJ118" s="166"/>
      <c r="KK118" s="166"/>
      <c r="KL118" s="166"/>
      <c r="KM118" s="166"/>
      <c r="KN118" s="166"/>
      <c r="KO118" s="166"/>
      <c r="KP118" s="166"/>
      <c r="KQ118" s="166"/>
      <c r="KR118" s="166"/>
      <c r="KS118" s="166"/>
      <c r="KT118" s="166"/>
      <c r="KU118" s="166"/>
      <c r="KV118" s="166"/>
      <c r="KW118" s="166"/>
      <c r="KX118" s="166"/>
      <c r="KY118" s="166"/>
      <c r="KZ118" s="166"/>
      <c r="LA118" s="166"/>
      <c r="LB118" s="166"/>
      <c r="LC118" s="166"/>
      <c r="LD118" s="166"/>
      <c r="LE118" s="166"/>
      <c r="LF118" s="166"/>
      <c r="LG118" s="166"/>
      <c r="LH118" s="166"/>
      <c r="LI118" s="166"/>
      <c r="LJ118" s="166"/>
      <c r="LK118" s="166"/>
      <c r="LL118" s="166"/>
      <c r="LM118" s="166"/>
      <c r="LN118" s="166"/>
      <c r="LO118" s="166"/>
      <c r="LP118" s="166"/>
      <c r="LQ118" s="166"/>
      <c r="LR118" s="166"/>
      <c r="LS118" s="166"/>
      <c r="LT118" s="166"/>
      <c r="LU118" s="166"/>
      <c r="LV118" s="166"/>
      <c r="LW118" s="166"/>
      <c r="LX118" s="166"/>
      <c r="LY118" s="166"/>
      <c r="LZ118" s="166"/>
      <c r="MA118" s="166"/>
      <c r="MB118" s="166"/>
      <c r="MC118" s="166"/>
      <c r="MD118" s="166"/>
      <c r="ME118" s="166"/>
      <c r="MF118" s="166"/>
      <c r="MG118" s="166"/>
      <c r="MH118" s="166"/>
      <c r="MI118" s="166"/>
      <c r="MJ118" s="166"/>
      <c r="MK118" s="166"/>
      <c r="ML118" s="166"/>
      <c r="MM118" s="166"/>
      <c r="MN118" s="166"/>
      <c r="MO118" s="166"/>
      <c r="MP118" s="166"/>
      <c r="MQ118" s="166"/>
      <c r="MR118" s="166"/>
      <c r="MS118" s="166"/>
      <c r="MT118" s="166"/>
      <c r="MU118" s="166"/>
      <c r="MV118" s="166"/>
      <c r="MW118" s="166"/>
      <c r="MX118" s="166"/>
      <c r="MY118" s="166"/>
      <c r="MZ118" s="166"/>
      <c r="NA118" s="166"/>
      <c r="NB118" s="166"/>
      <c r="NC118" s="166"/>
      <c r="ND118" s="166"/>
      <c r="NE118" s="166"/>
      <c r="NF118" s="166"/>
      <c r="NG118" s="166"/>
      <c r="NH118" s="166"/>
      <c r="NI118" s="166"/>
      <c r="NJ118" s="166"/>
      <c r="NK118" s="166"/>
      <c r="NL118" s="166"/>
      <c r="NM118" s="166"/>
      <c r="NN118" s="166"/>
      <c r="NO118" s="166"/>
      <c r="NP118" s="166"/>
      <c r="NQ118" s="166"/>
      <c r="NR118" s="166"/>
      <c r="NS118" s="166"/>
      <c r="NT118" s="166"/>
      <c r="NU118" s="166"/>
      <c r="NV118" s="166"/>
      <c r="NW118" s="166"/>
      <c r="NX118" s="166"/>
      <c r="NY118" s="166"/>
      <c r="NZ118" s="166"/>
      <c r="OA118" s="166"/>
      <c r="OB118" s="166"/>
      <c r="OC118" s="166"/>
      <c r="OD118" s="166"/>
      <c r="OE118" s="166"/>
      <c r="OF118" s="166"/>
      <c r="OG118" s="166"/>
      <c r="OH118" s="166"/>
      <c r="OI118" s="166"/>
      <c r="OJ118" s="166"/>
      <c r="OK118" s="166"/>
      <c r="OL118" s="166"/>
      <c r="OM118" s="166"/>
      <c r="ON118" s="166"/>
      <c r="OO118" s="166"/>
      <c r="OP118" s="166"/>
      <c r="OQ118" s="166"/>
      <c r="OR118" s="166"/>
      <c r="OS118" s="166"/>
      <c r="OT118" s="166"/>
      <c r="OU118" s="166"/>
      <c r="OV118" s="166"/>
      <c r="OW118" s="166"/>
      <c r="OX118" s="166"/>
      <c r="OY118" s="166"/>
      <c r="OZ118" s="166"/>
      <c r="PA118" s="166"/>
      <c r="PB118" s="166"/>
      <c r="PC118" s="166"/>
      <c r="PD118" s="166"/>
      <c r="PE118" s="166"/>
      <c r="PF118" s="166"/>
      <c r="PG118" s="166"/>
      <c r="PH118" s="166"/>
      <c r="PI118" s="166"/>
      <c r="PJ118" s="166"/>
      <c r="PK118" s="166"/>
      <c r="PL118" s="166"/>
      <c r="PM118" s="166"/>
      <c r="PN118" s="166"/>
      <c r="PO118" s="166"/>
      <c r="PP118" s="166"/>
      <c r="PQ118" s="166"/>
      <c r="PR118" s="166"/>
      <c r="PS118" s="166"/>
      <c r="PT118" s="166"/>
      <c r="PU118" s="166"/>
      <c r="PV118" s="166"/>
      <c r="PW118" s="166"/>
      <c r="PX118" s="166"/>
      <c r="PY118" s="166"/>
      <c r="PZ118" s="166"/>
      <c r="QA118" s="166"/>
      <c r="QB118" s="166"/>
      <c r="QC118" s="166"/>
      <c r="QD118" s="166"/>
      <c r="QE118" s="166"/>
      <c r="QF118" s="166"/>
      <c r="QG118" s="166"/>
      <c r="QH118" s="166"/>
      <c r="QI118" s="166"/>
      <c r="QJ118" s="166"/>
      <c r="QK118" s="166"/>
      <c r="QL118" s="166"/>
      <c r="QM118" s="166"/>
      <c r="QN118" s="166"/>
      <c r="QO118" s="166"/>
      <c r="QP118" s="166"/>
      <c r="QQ118" s="166"/>
      <c r="QR118" s="166"/>
      <c r="QS118" s="166"/>
      <c r="QT118" s="166"/>
      <c r="QU118" s="166"/>
      <c r="QV118" s="166"/>
      <c r="QW118" s="166"/>
      <c r="QX118" s="166"/>
      <c r="QY118" s="166"/>
      <c r="QZ118" s="166"/>
      <c r="RA118" s="166"/>
      <c r="RB118" s="166"/>
      <c r="RC118" s="166"/>
      <c r="RD118" s="166"/>
      <c r="RE118" s="166"/>
      <c r="RF118" s="166"/>
      <c r="RG118" s="166"/>
      <c r="RH118" s="166"/>
      <c r="RI118" s="166"/>
      <c r="RJ118" s="166"/>
      <c r="RK118" s="166"/>
      <c r="RL118" s="166"/>
      <c r="RM118" s="166"/>
      <c r="RN118" s="166"/>
      <c r="RO118" s="166"/>
      <c r="RP118" s="166"/>
      <c r="RQ118" s="166"/>
      <c r="RR118" s="166"/>
      <c r="RS118" s="166"/>
      <c r="RT118" s="166"/>
      <c r="RU118" s="166"/>
      <c r="RV118" s="166"/>
      <c r="RW118" s="166"/>
      <c r="RX118" s="166"/>
      <c r="RY118" s="166"/>
      <c r="RZ118" s="166"/>
      <c r="SA118" s="166"/>
      <c r="SB118" s="166"/>
      <c r="SC118" s="166"/>
      <c r="SD118" s="166"/>
      <c r="SE118" s="166"/>
      <c r="SF118" s="166"/>
      <c r="SG118" s="166"/>
      <c r="SH118" s="166"/>
      <c r="SI118" s="166"/>
      <c r="SJ118" s="166"/>
      <c r="SK118" s="166"/>
      <c r="SL118" s="166"/>
      <c r="SM118" s="166"/>
      <c r="SN118" s="166"/>
      <c r="SO118" s="166"/>
      <c r="SP118" s="166"/>
      <c r="SQ118" s="166"/>
      <c r="SR118" s="166"/>
    </row>
    <row r="119" spans="1:512" s="165" customFormat="1" ht="15" customHeight="1" x14ac:dyDescent="0.7">
      <c r="A119" s="171">
        <v>37</v>
      </c>
      <c r="B119" s="171" t="s">
        <v>88</v>
      </c>
      <c r="C119" s="171" t="s">
        <v>431</v>
      </c>
      <c r="D119" s="171"/>
      <c r="E119" s="171" t="s">
        <v>41</v>
      </c>
      <c r="F119" s="171"/>
      <c r="G119" s="188" t="s">
        <v>426</v>
      </c>
      <c r="H119" s="71" t="s">
        <v>427</v>
      </c>
      <c r="I119" s="160" t="s">
        <v>391</v>
      </c>
      <c r="J119" s="161">
        <v>0.02</v>
      </c>
      <c r="K119" s="185">
        <v>0.01</v>
      </c>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c r="CS119" s="164"/>
      <c r="CT119" s="164"/>
      <c r="CU119" s="164"/>
      <c r="CV119" s="164"/>
      <c r="CW119" s="164"/>
      <c r="CX119" s="164"/>
      <c r="CY119" s="164"/>
      <c r="CZ119" s="164"/>
      <c r="DA119" s="164"/>
      <c r="DB119" s="164"/>
      <c r="DC119" s="164"/>
      <c r="DD119" s="164"/>
      <c r="DE119" s="164"/>
      <c r="DF119" s="164"/>
      <c r="DG119" s="164"/>
      <c r="DH119" s="164"/>
      <c r="DI119" s="164"/>
      <c r="DJ119" s="164"/>
      <c r="DK119" s="164"/>
      <c r="DL119" s="164"/>
      <c r="DM119" s="164"/>
      <c r="DN119" s="164"/>
      <c r="DO119" s="164"/>
      <c r="DP119" s="164"/>
      <c r="DQ119" s="164"/>
      <c r="DR119" s="164"/>
      <c r="DS119" s="164"/>
      <c r="DT119" s="164"/>
      <c r="DU119" s="164"/>
      <c r="DV119" s="164"/>
      <c r="DW119" s="164"/>
      <c r="DX119" s="164"/>
      <c r="DY119" s="164"/>
      <c r="DZ119" s="164"/>
      <c r="EA119" s="164"/>
      <c r="EB119" s="164"/>
      <c r="EC119" s="164"/>
      <c r="ED119" s="164"/>
      <c r="EE119" s="164"/>
      <c r="EF119" s="164"/>
      <c r="EG119" s="164"/>
      <c r="EH119" s="164"/>
      <c r="EI119" s="164"/>
      <c r="EJ119" s="164"/>
      <c r="EK119" s="164"/>
      <c r="EL119" s="164"/>
      <c r="EM119" s="164"/>
      <c r="EN119" s="164"/>
      <c r="EO119" s="164"/>
      <c r="EP119" s="164"/>
      <c r="EQ119" s="164"/>
      <c r="ER119" s="164"/>
      <c r="ES119" s="164"/>
      <c r="ET119" s="164"/>
      <c r="EU119" s="164"/>
      <c r="EV119" s="164"/>
      <c r="EW119" s="164"/>
      <c r="EX119" s="164"/>
      <c r="EY119" s="164"/>
      <c r="EZ119" s="164"/>
      <c r="FA119" s="164"/>
      <c r="FB119" s="164"/>
      <c r="FC119" s="164"/>
      <c r="FD119" s="164"/>
      <c r="FE119" s="164"/>
      <c r="FF119" s="164"/>
      <c r="FG119" s="164"/>
      <c r="FH119" s="164"/>
      <c r="FI119" s="164"/>
      <c r="FJ119" s="164"/>
      <c r="FK119" s="164"/>
      <c r="FL119" s="164"/>
      <c r="FM119" s="164"/>
      <c r="FN119" s="164"/>
      <c r="FO119" s="164"/>
      <c r="FP119" s="164"/>
      <c r="FQ119" s="164"/>
      <c r="FR119" s="164"/>
      <c r="FS119" s="164"/>
      <c r="FT119" s="164"/>
      <c r="FU119" s="164"/>
      <c r="FV119" s="164"/>
      <c r="FW119" s="164"/>
      <c r="FX119" s="164"/>
      <c r="FY119" s="164"/>
      <c r="FZ119" s="164"/>
      <c r="GA119" s="164"/>
      <c r="GB119" s="164"/>
      <c r="GC119" s="164"/>
      <c r="GD119" s="164"/>
      <c r="GE119" s="164"/>
      <c r="GF119" s="164"/>
      <c r="GG119" s="164"/>
      <c r="GH119" s="164"/>
      <c r="GI119" s="164"/>
      <c r="GJ119" s="164"/>
      <c r="GK119" s="164"/>
      <c r="GL119" s="164"/>
      <c r="GM119" s="164"/>
      <c r="GN119" s="164"/>
      <c r="GO119" s="164"/>
      <c r="GP119" s="164"/>
      <c r="GQ119" s="164"/>
      <c r="GR119" s="164"/>
      <c r="GS119" s="164"/>
      <c r="GT119" s="164"/>
      <c r="GU119" s="164"/>
      <c r="GV119" s="164"/>
      <c r="GW119" s="164"/>
      <c r="GX119" s="164"/>
      <c r="GY119" s="164"/>
      <c r="GZ119" s="164"/>
      <c r="HA119" s="164"/>
      <c r="HB119" s="164"/>
      <c r="HC119" s="164"/>
      <c r="HD119" s="164"/>
      <c r="HE119" s="164"/>
      <c r="HF119" s="164"/>
      <c r="HG119" s="164"/>
      <c r="HH119" s="164"/>
      <c r="HI119" s="164"/>
      <c r="HJ119" s="164"/>
      <c r="HK119" s="164"/>
      <c r="HL119" s="164"/>
      <c r="HM119" s="164"/>
      <c r="HN119" s="164"/>
      <c r="HO119" s="164"/>
      <c r="HP119" s="164"/>
      <c r="HQ119" s="164"/>
      <c r="HR119" s="164"/>
      <c r="HS119" s="164"/>
      <c r="HT119" s="164"/>
      <c r="HU119" s="164"/>
      <c r="HV119" s="164"/>
      <c r="HW119" s="164"/>
      <c r="HX119" s="164"/>
      <c r="HY119" s="164"/>
      <c r="HZ119" s="164"/>
      <c r="IA119" s="164"/>
      <c r="IB119" s="164"/>
      <c r="IC119" s="164"/>
      <c r="ID119" s="164"/>
      <c r="IE119" s="164"/>
      <c r="IF119" s="164"/>
      <c r="IG119" s="164"/>
      <c r="IH119" s="164"/>
      <c r="II119" s="164"/>
      <c r="IJ119" s="164"/>
      <c r="IK119" s="164"/>
      <c r="IL119" s="164"/>
      <c r="IM119" s="164"/>
      <c r="IN119" s="164"/>
      <c r="IO119" s="164"/>
      <c r="IP119" s="164"/>
      <c r="IQ119" s="164"/>
      <c r="IR119" s="164"/>
      <c r="IS119" s="164"/>
      <c r="IT119" s="164"/>
      <c r="IU119" s="164"/>
      <c r="IV119" s="164"/>
      <c r="IW119" s="164"/>
      <c r="IX119" s="164"/>
      <c r="IY119" s="164"/>
      <c r="IZ119" s="164"/>
      <c r="JA119" s="164"/>
      <c r="JB119" s="164"/>
      <c r="JC119" s="164"/>
      <c r="JD119" s="164"/>
      <c r="JE119" s="164"/>
      <c r="JF119" s="164"/>
      <c r="JG119" s="164"/>
      <c r="JH119" s="164"/>
      <c r="JI119" s="164"/>
      <c r="JJ119" s="164"/>
      <c r="JK119" s="164"/>
      <c r="JL119" s="164"/>
      <c r="JM119" s="164"/>
      <c r="JN119" s="164"/>
      <c r="JO119" s="164"/>
      <c r="JP119" s="164"/>
      <c r="JQ119" s="164"/>
      <c r="JR119" s="164"/>
      <c r="JS119" s="164"/>
      <c r="JT119" s="164"/>
      <c r="JU119" s="164"/>
      <c r="JV119" s="164"/>
      <c r="JW119" s="164"/>
      <c r="JX119" s="164"/>
      <c r="JY119" s="164"/>
      <c r="JZ119" s="164"/>
      <c r="KA119" s="164"/>
      <c r="KB119" s="164"/>
      <c r="KC119" s="164"/>
      <c r="KD119" s="164"/>
      <c r="KE119" s="164"/>
      <c r="KF119" s="164"/>
      <c r="KG119" s="164"/>
      <c r="KH119" s="164"/>
      <c r="KI119" s="164"/>
      <c r="KJ119" s="164"/>
      <c r="KK119" s="164"/>
      <c r="KL119" s="164"/>
      <c r="KM119" s="164"/>
      <c r="KN119" s="164"/>
      <c r="KO119" s="164"/>
      <c r="KP119" s="164"/>
      <c r="KQ119" s="164"/>
      <c r="KR119" s="164"/>
      <c r="KS119" s="164"/>
      <c r="KT119" s="164"/>
      <c r="KU119" s="164"/>
      <c r="KV119" s="164"/>
      <c r="KW119" s="164"/>
      <c r="KX119" s="164"/>
      <c r="KY119" s="164"/>
      <c r="KZ119" s="164"/>
      <c r="LA119" s="164"/>
      <c r="LB119" s="164"/>
      <c r="LC119" s="164"/>
      <c r="LD119" s="164"/>
      <c r="LE119" s="164"/>
      <c r="LF119" s="164"/>
      <c r="LG119" s="164"/>
      <c r="LH119" s="164"/>
      <c r="LI119" s="164"/>
      <c r="LJ119" s="164"/>
      <c r="LK119" s="164"/>
      <c r="LL119" s="164"/>
      <c r="LM119" s="164"/>
      <c r="LN119" s="164"/>
      <c r="LO119" s="164"/>
      <c r="LP119" s="164"/>
      <c r="LQ119" s="164"/>
      <c r="LR119" s="164"/>
      <c r="LS119" s="164"/>
      <c r="LT119" s="164"/>
      <c r="LU119" s="164"/>
      <c r="LV119" s="164"/>
      <c r="LW119" s="164"/>
      <c r="LX119" s="164"/>
      <c r="LY119" s="164"/>
      <c r="LZ119" s="164"/>
      <c r="MA119" s="164"/>
      <c r="MB119" s="164"/>
      <c r="MC119" s="164"/>
      <c r="MD119" s="164"/>
      <c r="ME119" s="164"/>
      <c r="MF119" s="164"/>
      <c r="MG119" s="164"/>
      <c r="MH119" s="164"/>
      <c r="MI119" s="164"/>
      <c r="MJ119" s="164"/>
      <c r="MK119" s="164"/>
      <c r="ML119" s="164"/>
      <c r="MM119" s="164"/>
      <c r="MN119" s="164"/>
      <c r="MO119" s="164"/>
      <c r="MP119" s="164"/>
      <c r="MQ119" s="164"/>
      <c r="MR119" s="164"/>
      <c r="MS119" s="164"/>
      <c r="MT119" s="164"/>
      <c r="MU119" s="164"/>
      <c r="MV119" s="164"/>
      <c r="MW119" s="164"/>
      <c r="MX119" s="164"/>
      <c r="MY119" s="164"/>
      <c r="MZ119" s="164"/>
      <c r="NA119" s="164"/>
      <c r="NB119" s="164"/>
      <c r="NC119" s="164"/>
      <c r="ND119" s="164"/>
      <c r="NE119" s="164"/>
      <c r="NF119" s="164"/>
      <c r="NG119" s="164"/>
      <c r="NH119" s="164"/>
      <c r="NI119" s="164"/>
      <c r="NJ119" s="164"/>
      <c r="NK119" s="164"/>
      <c r="NL119" s="164"/>
      <c r="NM119" s="164"/>
      <c r="NN119" s="164"/>
      <c r="NO119" s="164"/>
      <c r="NP119" s="164"/>
      <c r="NQ119" s="164"/>
      <c r="NR119" s="164"/>
      <c r="NS119" s="164"/>
      <c r="NT119" s="164"/>
      <c r="NU119" s="164"/>
      <c r="NV119" s="164"/>
      <c r="NW119" s="164"/>
      <c r="NX119" s="164"/>
      <c r="NY119" s="164"/>
      <c r="NZ119" s="164"/>
      <c r="OA119" s="164"/>
      <c r="OB119" s="164"/>
      <c r="OC119" s="164"/>
      <c r="OD119" s="164"/>
      <c r="OE119" s="164"/>
      <c r="OF119" s="164"/>
      <c r="OG119" s="164"/>
      <c r="OH119" s="164"/>
      <c r="OI119" s="164"/>
      <c r="OJ119" s="164"/>
      <c r="OK119" s="164"/>
      <c r="OL119" s="164"/>
      <c r="OM119" s="164"/>
      <c r="ON119" s="164"/>
      <c r="OO119" s="164"/>
      <c r="OP119" s="164"/>
      <c r="OQ119" s="164"/>
      <c r="OR119" s="164"/>
      <c r="OS119" s="164"/>
      <c r="OT119" s="164"/>
      <c r="OU119" s="164"/>
      <c r="OV119" s="164"/>
      <c r="OW119" s="164"/>
      <c r="OX119" s="164"/>
      <c r="OY119" s="164"/>
      <c r="OZ119" s="164"/>
      <c r="PA119" s="164"/>
      <c r="PB119" s="164"/>
      <c r="PC119" s="164"/>
      <c r="PD119" s="164"/>
      <c r="PE119" s="164"/>
      <c r="PF119" s="164"/>
      <c r="PG119" s="164"/>
      <c r="PH119" s="164"/>
      <c r="PI119" s="164"/>
      <c r="PJ119" s="164"/>
      <c r="PK119" s="164"/>
      <c r="PL119" s="164"/>
      <c r="PM119" s="164"/>
      <c r="PN119" s="164"/>
      <c r="PO119" s="164"/>
      <c r="PP119" s="164"/>
      <c r="PQ119" s="164"/>
      <c r="PR119" s="164"/>
      <c r="PS119" s="164"/>
      <c r="PT119" s="164"/>
      <c r="PU119" s="164"/>
      <c r="PV119" s="164"/>
      <c r="PW119" s="164"/>
      <c r="PX119" s="164"/>
      <c r="PY119" s="164"/>
      <c r="PZ119" s="164"/>
      <c r="QA119" s="164"/>
      <c r="QB119" s="164"/>
      <c r="QC119" s="164"/>
      <c r="QD119" s="164"/>
      <c r="QE119" s="164"/>
      <c r="QF119" s="164"/>
      <c r="QG119" s="164"/>
      <c r="QH119" s="164"/>
      <c r="QI119" s="164"/>
      <c r="QJ119" s="164"/>
      <c r="QK119" s="164"/>
      <c r="QL119" s="164"/>
      <c r="QM119" s="164"/>
      <c r="QN119" s="164"/>
      <c r="QO119" s="164"/>
      <c r="QP119" s="164"/>
      <c r="QQ119" s="164"/>
      <c r="QR119" s="164"/>
      <c r="QS119" s="164"/>
      <c r="QT119" s="164"/>
      <c r="QU119" s="164"/>
      <c r="QV119" s="164"/>
      <c r="QW119" s="164"/>
      <c r="QX119" s="164"/>
      <c r="QY119" s="164"/>
      <c r="QZ119" s="164"/>
      <c r="RA119" s="164"/>
      <c r="RB119" s="164"/>
      <c r="RC119" s="164"/>
      <c r="RD119" s="164"/>
      <c r="RE119" s="164"/>
      <c r="RF119" s="164"/>
      <c r="RG119" s="164"/>
      <c r="RH119" s="164"/>
      <c r="RI119" s="164"/>
      <c r="RJ119" s="164"/>
      <c r="RK119" s="164"/>
      <c r="RL119" s="164"/>
      <c r="RM119" s="164"/>
      <c r="RN119" s="164"/>
      <c r="RO119" s="164"/>
      <c r="RP119" s="164"/>
      <c r="RQ119" s="164"/>
      <c r="RR119" s="164"/>
      <c r="RS119" s="164"/>
      <c r="RT119" s="164"/>
      <c r="RU119" s="164"/>
      <c r="RV119" s="164"/>
      <c r="RW119" s="164"/>
      <c r="RX119" s="164"/>
      <c r="RY119" s="164"/>
      <c r="RZ119" s="164"/>
      <c r="SA119" s="164"/>
      <c r="SB119" s="164"/>
      <c r="SC119" s="164"/>
      <c r="SD119" s="164"/>
      <c r="SE119" s="164"/>
      <c r="SF119" s="164"/>
      <c r="SG119" s="164"/>
      <c r="SH119" s="164"/>
      <c r="SI119" s="164"/>
      <c r="SJ119" s="164"/>
      <c r="SK119" s="164"/>
      <c r="SL119" s="164"/>
      <c r="SM119" s="164"/>
      <c r="SN119" s="164"/>
      <c r="SO119" s="164"/>
      <c r="SP119" s="164"/>
      <c r="SQ119" s="164"/>
      <c r="SR119" s="164"/>
    </row>
    <row r="120" spans="1:512" s="165" customFormat="1" ht="15" customHeight="1" x14ac:dyDescent="0.7">
      <c r="A120" s="172"/>
      <c r="B120" s="172"/>
      <c r="C120" s="172"/>
      <c r="D120" s="172"/>
      <c r="E120" s="172"/>
      <c r="F120" s="172"/>
      <c r="G120" s="172"/>
      <c r="H120" s="62"/>
      <c r="I120" s="160" t="s">
        <v>366</v>
      </c>
      <c r="J120" s="161">
        <v>0</v>
      </c>
      <c r="K120" s="186"/>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64"/>
      <c r="CH120" s="164"/>
      <c r="CI120" s="164"/>
      <c r="CJ120" s="164"/>
      <c r="CK120" s="164"/>
      <c r="CL120" s="164"/>
      <c r="CM120" s="164"/>
      <c r="CN120" s="164"/>
      <c r="CO120" s="164"/>
      <c r="CP120" s="164"/>
      <c r="CQ120" s="164"/>
      <c r="CR120" s="164"/>
      <c r="CS120" s="164"/>
      <c r="CT120" s="164"/>
      <c r="CU120" s="164"/>
      <c r="CV120" s="164"/>
      <c r="CW120" s="164"/>
      <c r="CX120" s="164"/>
      <c r="CY120" s="164"/>
      <c r="CZ120" s="164"/>
      <c r="DA120" s="164"/>
      <c r="DB120" s="164"/>
      <c r="DC120" s="164"/>
      <c r="DD120" s="164"/>
      <c r="DE120" s="164"/>
      <c r="DF120" s="164"/>
      <c r="DG120" s="164"/>
      <c r="DH120" s="164"/>
      <c r="DI120" s="164"/>
      <c r="DJ120" s="164"/>
      <c r="DK120" s="164"/>
      <c r="DL120" s="164"/>
      <c r="DM120" s="164"/>
      <c r="DN120" s="164"/>
      <c r="DO120" s="164"/>
      <c r="DP120" s="164"/>
      <c r="DQ120" s="164"/>
      <c r="DR120" s="164"/>
      <c r="DS120" s="164"/>
      <c r="DT120" s="164"/>
      <c r="DU120" s="164"/>
      <c r="DV120" s="164"/>
      <c r="DW120" s="164"/>
      <c r="DX120" s="164"/>
      <c r="DY120" s="164"/>
      <c r="DZ120" s="164"/>
      <c r="EA120" s="164"/>
      <c r="EB120" s="164"/>
      <c r="EC120" s="164"/>
      <c r="ED120" s="164"/>
      <c r="EE120" s="164"/>
      <c r="EF120" s="164"/>
      <c r="EG120" s="164"/>
      <c r="EH120" s="164"/>
      <c r="EI120" s="164"/>
      <c r="EJ120" s="164"/>
      <c r="EK120" s="164"/>
      <c r="EL120" s="164"/>
      <c r="EM120" s="164"/>
      <c r="EN120" s="164"/>
      <c r="EO120" s="164"/>
      <c r="EP120" s="164"/>
      <c r="EQ120" s="164"/>
      <c r="ER120" s="164"/>
      <c r="ES120" s="164"/>
      <c r="ET120" s="164"/>
      <c r="EU120" s="164"/>
      <c r="EV120" s="164"/>
      <c r="EW120" s="164"/>
      <c r="EX120" s="164"/>
      <c r="EY120" s="164"/>
      <c r="EZ120" s="164"/>
      <c r="FA120" s="164"/>
      <c r="FB120" s="164"/>
      <c r="FC120" s="164"/>
      <c r="FD120" s="164"/>
      <c r="FE120" s="164"/>
      <c r="FF120" s="164"/>
      <c r="FG120" s="164"/>
      <c r="FH120" s="164"/>
      <c r="FI120" s="164"/>
      <c r="FJ120" s="164"/>
      <c r="FK120" s="164"/>
      <c r="FL120" s="164"/>
      <c r="FM120" s="164"/>
      <c r="FN120" s="164"/>
      <c r="FO120" s="164"/>
      <c r="FP120" s="164"/>
      <c r="FQ120" s="164"/>
      <c r="FR120" s="164"/>
      <c r="FS120" s="164"/>
      <c r="FT120" s="164"/>
      <c r="FU120" s="164"/>
      <c r="FV120" s="164"/>
      <c r="FW120" s="164"/>
      <c r="FX120" s="164"/>
      <c r="FY120" s="164"/>
      <c r="FZ120" s="164"/>
      <c r="GA120" s="164"/>
      <c r="GB120" s="164"/>
      <c r="GC120" s="164"/>
      <c r="GD120" s="164"/>
      <c r="GE120" s="164"/>
      <c r="GF120" s="164"/>
      <c r="GG120" s="164"/>
      <c r="GH120" s="164"/>
      <c r="GI120" s="164"/>
      <c r="GJ120" s="164"/>
      <c r="GK120" s="164"/>
      <c r="GL120" s="164"/>
      <c r="GM120" s="164"/>
      <c r="GN120" s="164"/>
      <c r="GO120" s="164"/>
      <c r="GP120" s="164"/>
      <c r="GQ120" s="164"/>
      <c r="GR120" s="164"/>
      <c r="GS120" s="164"/>
      <c r="GT120" s="164"/>
      <c r="GU120" s="164"/>
      <c r="GV120" s="164"/>
      <c r="GW120" s="164"/>
      <c r="GX120" s="164"/>
      <c r="GY120" s="164"/>
      <c r="GZ120" s="164"/>
      <c r="HA120" s="164"/>
      <c r="HB120" s="164"/>
      <c r="HC120" s="164"/>
      <c r="HD120" s="164"/>
      <c r="HE120" s="164"/>
      <c r="HF120" s="164"/>
      <c r="HG120" s="164"/>
      <c r="HH120" s="164"/>
      <c r="HI120" s="164"/>
      <c r="HJ120" s="164"/>
      <c r="HK120" s="164"/>
      <c r="HL120" s="164"/>
      <c r="HM120" s="164"/>
      <c r="HN120" s="164"/>
      <c r="HO120" s="164"/>
      <c r="HP120" s="164"/>
      <c r="HQ120" s="164"/>
      <c r="HR120" s="164"/>
      <c r="HS120" s="164"/>
      <c r="HT120" s="164"/>
      <c r="HU120" s="164"/>
      <c r="HV120" s="164"/>
      <c r="HW120" s="164"/>
      <c r="HX120" s="164"/>
      <c r="HY120" s="164"/>
      <c r="HZ120" s="164"/>
      <c r="IA120" s="164"/>
      <c r="IB120" s="164"/>
      <c r="IC120" s="164"/>
      <c r="ID120" s="164"/>
      <c r="IE120" s="164"/>
      <c r="IF120" s="164"/>
      <c r="IG120" s="164"/>
      <c r="IH120" s="164"/>
      <c r="II120" s="164"/>
      <c r="IJ120" s="164"/>
      <c r="IK120" s="164"/>
      <c r="IL120" s="164"/>
      <c r="IM120" s="164"/>
      <c r="IN120" s="164"/>
      <c r="IO120" s="164"/>
      <c r="IP120" s="164"/>
      <c r="IQ120" s="164"/>
      <c r="IR120" s="164"/>
      <c r="IS120" s="164"/>
      <c r="IT120" s="164"/>
      <c r="IU120" s="164"/>
      <c r="IV120" s="164"/>
      <c r="IW120" s="164"/>
      <c r="IX120" s="164"/>
      <c r="IY120" s="164"/>
      <c r="IZ120" s="164"/>
      <c r="JA120" s="164"/>
      <c r="JB120" s="164"/>
      <c r="JC120" s="164"/>
      <c r="JD120" s="164"/>
      <c r="JE120" s="164"/>
      <c r="JF120" s="164"/>
      <c r="JG120" s="164"/>
      <c r="JH120" s="164"/>
      <c r="JI120" s="164"/>
      <c r="JJ120" s="164"/>
      <c r="JK120" s="164"/>
      <c r="JL120" s="164"/>
      <c r="JM120" s="164"/>
      <c r="JN120" s="164"/>
      <c r="JO120" s="164"/>
      <c r="JP120" s="164"/>
      <c r="JQ120" s="164"/>
      <c r="JR120" s="164"/>
      <c r="JS120" s="164"/>
      <c r="JT120" s="164"/>
      <c r="JU120" s="164"/>
      <c r="JV120" s="164"/>
      <c r="JW120" s="164"/>
      <c r="JX120" s="164"/>
      <c r="JY120" s="164"/>
      <c r="JZ120" s="164"/>
      <c r="KA120" s="164"/>
      <c r="KB120" s="164"/>
      <c r="KC120" s="164"/>
      <c r="KD120" s="164"/>
      <c r="KE120" s="164"/>
      <c r="KF120" s="164"/>
      <c r="KG120" s="164"/>
      <c r="KH120" s="164"/>
      <c r="KI120" s="164"/>
      <c r="KJ120" s="164"/>
      <c r="KK120" s="164"/>
      <c r="KL120" s="164"/>
      <c r="KM120" s="164"/>
      <c r="KN120" s="164"/>
      <c r="KO120" s="164"/>
      <c r="KP120" s="164"/>
      <c r="KQ120" s="164"/>
      <c r="KR120" s="164"/>
      <c r="KS120" s="164"/>
      <c r="KT120" s="164"/>
      <c r="KU120" s="164"/>
      <c r="KV120" s="164"/>
      <c r="KW120" s="164"/>
      <c r="KX120" s="164"/>
      <c r="KY120" s="164"/>
      <c r="KZ120" s="164"/>
      <c r="LA120" s="164"/>
      <c r="LB120" s="164"/>
      <c r="LC120" s="164"/>
      <c r="LD120" s="164"/>
      <c r="LE120" s="164"/>
      <c r="LF120" s="164"/>
      <c r="LG120" s="164"/>
      <c r="LH120" s="164"/>
      <c r="LI120" s="164"/>
      <c r="LJ120" s="164"/>
      <c r="LK120" s="164"/>
      <c r="LL120" s="164"/>
      <c r="LM120" s="164"/>
      <c r="LN120" s="164"/>
      <c r="LO120" s="164"/>
      <c r="LP120" s="164"/>
      <c r="LQ120" s="164"/>
      <c r="LR120" s="164"/>
      <c r="LS120" s="164"/>
      <c r="LT120" s="164"/>
      <c r="LU120" s="164"/>
      <c r="LV120" s="164"/>
      <c r="LW120" s="164"/>
      <c r="LX120" s="164"/>
      <c r="LY120" s="164"/>
      <c r="LZ120" s="164"/>
      <c r="MA120" s="164"/>
      <c r="MB120" s="164"/>
      <c r="MC120" s="164"/>
      <c r="MD120" s="164"/>
      <c r="ME120" s="164"/>
      <c r="MF120" s="164"/>
      <c r="MG120" s="164"/>
      <c r="MH120" s="164"/>
      <c r="MI120" s="164"/>
      <c r="MJ120" s="164"/>
      <c r="MK120" s="164"/>
      <c r="ML120" s="164"/>
      <c r="MM120" s="164"/>
      <c r="MN120" s="164"/>
      <c r="MO120" s="164"/>
      <c r="MP120" s="164"/>
      <c r="MQ120" s="164"/>
      <c r="MR120" s="164"/>
      <c r="MS120" s="164"/>
      <c r="MT120" s="164"/>
      <c r="MU120" s="164"/>
      <c r="MV120" s="164"/>
      <c r="MW120" s="164"/>
      <c r="MX120" s="164"/>
      <c r="MY120" s="164"/>
      <c r="MZ120" s="164"/>
      <c r="NA120" s="164"/>
      <c r="NB120" s="164"/>
      <c r="NC120" s="164"/>
      <c r="ND120" s="164"/>
      <c r="NE120" s="164"/>
      <c r="NF120" s="164"/>
      <c r="NG120" s="164"/>
      <c r="NH120" s="164"/>
      <c r="NI120" s="164"/>
      <c r="NJ120" s="164"/>
      <c r="NK120" s="164"/>
      <c r="NL120" s="164"/>
      <c r="NM120" s="164"/>
      <c r="NN120" s="164"/>
      <c r="NO120" s="164"/>
      <c r="NP120" s="164"/>
      <c r="NQ120" s="164"/>
      <c r="NR120" s="164"/>
      <c r="NS120" s="164"/>
      <c r="NT120" s="164"/>
      <c r="NU120" s="164"/>
      <c r="NV120" s="164"/>
      <c r="NW120" s="164"/>
      <c r="NX120" s="164"/>
      <c r="NY120" s="164"/>
      <c r="NZ120" s="164"/>
      <c r="OA120" s="164"/>
      <c r="OB120" s="164"/>
      <c r="OC120" s="164"/>
      <c r="OD120" s="164"/>
      <c r="OE120" s="164"/>
      <c r="OF120" s="164"/>
      <c r="OG120" s="164"/>
      <c r="OH120" s="164"/>
      <c r="OI120" s="164"/>
      <c r="OJ120" s="164"/>
      <c r="OK120" s="164"/>
      <c r="OL120" s="164"/>
      <c r="OM120" s="164"/>
      <c r="ON120" s="164"/>
      <c r="OO120" s="164"/>
      <c r="OP120" s="164"/>
      <c r="OQ120" s="164"/>
      <c r="OR120" s="164"/>
      <c r="OS120" s="164"/>
      <c r="OT120" s="164"/>
      <c r="OU120" s="164"/>
      <c r="OV120" s="164"/>
      <c r="OW120" s="164"/>
      <c r="OX120" s="164"/>
      <c r="OY120" s="164"/>
      <c r="OZ120" s="164"/>
      <c r="PA120" s="164"/>
      <c r="PB120" s="164"/>
      <c r="PC120" s="164"/>
      <c r="PD120" s="164"/>
      <c r="PE120" s="164"/>
      <c r="PF120" s="164"/>
      <c r="PG120" s="164"/>
      <c r="PH120" s="164"/>
      <c r="PI120" s="164"/>
      <c r="PJ120" s="164"/>
      <c r="PK120" s="164"/>
      <c r="PL120" s="164"/>
      <c r="PM120" s="164"/>
      <c r="PN120" s="164"/>
      <c r="PO120" s="164"/>
      <c r="PP120" s="164"/>
      <c r="PQ120" s="164"/>
      <c r="PR120" s="164"/>
      <c r="PS120" s="164"/>
      <c r="PT120" s="164"/>
      <c r="PU120" s="164"/>
      <c r="PV120" s="164"/>
      <c r="PW120" s="164"/>
      <c r="PX120" s="164"/>
      <c r="PY120" s="164"/>
      <c r="PZ120" s="164"/>
      <c r="QA120" s="164"/>
      <c r="QB120" s="164"/>
      <c r="QC120" s="164"/>
      <c r="QD120" s="164"/>
      <c r="QE120" s="164"/>
      <c r="QF120" s="164"/>
      <c r="QG120" s="164"/>
      <c r="QH120" s="164"/>
      <c r="QI120" s="164"/>
      <c r="QJ120" s="164"/>
      <c r="QK120" s="164"/>
      <c r="QL120" s="164"/>
      <c r="QM120" s="164"/>
      <c r="QN120" s="164"/>
      <c r="QO120" s="164"/>
      <c r="QP120" s="164"/>
      <c r="QQ120" s="164"/>
      <c r="QR120" s="164"/>
      <c r="QS120" s="164"/>
      <c r="QT120" s="164"/>
      <c r="QU120" s="164"/>
      <c r="QV120" s="164"/>
      <c r="QW120" s="164"/>
      <c r="QX120" s="164"/>
      <c r="QY120" s="164"/>
      <c r="QZ120" s="164"/>
      <c r="RA120" s="164"/>
      <c r="RB120" s="164"/>
      <c r="RC120" s="164"/>
      <c r="RD120" s="164"/>
      <c r="RE120" s="164"/>
      <c r="RF120" s="164"/>
      <c r="RG120" s="164"/>
      <c r="RH120" s="164"/>
      <c r="RI120" s="164"/>
      <c r="RJ120" s="164"/>
      <c r="RK120" s="164"/>
      <c r="RL120" s="164"/>
      <c r="RM120" s="164"/>
      <c r="RN120" s="164"/>
      <c r="RO120" s="164"/>
      <c r="RP120" s="164"/>
      <c r="RQ120" s="164"/>
      <c r="RR120" s="164"/>
      <c r="RS120" s="164"/>
      <c r="RT120" s="164"/>
      <c r="RU120" s="164"/>
      <c r="RV120" s="164"/>
      <c r="RW120" s="164"/>
      <c r="RX120" s="164"/>
      <c r="RY120" s="164"/>
      <c r="RZ120" s="164"/>
      <c r="SA120" s="164"/>
      <c r="SB120" s="164"/>
      <c r="SC120" s="164"/>
      <c r="SD120" s="164"/>
      <c r="SE120" s="164"/>
      <c r="SF120" s="164"/>
      <c r="SG120" s="164"/>
      <c r="SH120" s="164"/>
      <c r="SI120" s="164"/>
      <c r="SJ120" s="164"/>
      <c r="SK120" s="164"/>
      <c r="SL120" s="164"/>
      <c r="SM120" s="164"/>
      <c r="SN120" s="164"/>
      <c r="SO120" s="164"/>
      <c r="SP120" s="164"/>
      <c r="SQ120" s="164"/>
      <c r="SR120" s="164"/>
    </row>
    <row r="121" spans="1:512" s="167" customFormat="1" ht="15" customHeight="1" x14ac:dyDescent="0.7">
      <c r="A121" s="173"/>
      <c r="B121" s="173"/>
      <c r="C121" s="173"/>
      <c r="D121" s="173"/>
      <c r="E121" s="173"/>
      <c r="F121" s="173"/>
      <c r="G121" s="173"/>
      <c r="H121" s="74"/>
      <c r="I121" s="162"/>
      <c r="J121" s="163"/>
      <c r="K121" s="187"/>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c r="BI121" s="166"/>
      <c r="BJ121" s="166"/>
      <c r="BK121" s="166"/>
      <c r="BL121" s="166"/>
      <c r="BM121" s="166"/>
      <c r="BN121" s="166"/>
      <c r="BO121" s="166"/>
      <c r="BP121" s="166"/>
      <c r="BQ121" s="166"/>
      <c r="BR121" s="166"/>
      <c r="BS121" s="166"/>
      <c r="BT121" s="166"/>
      <c r="BU121" s="166"/>
      <c r="BV121" s="166"/>
      <c r="BW121" s="166"/>
      <c r="BX121" s="166"/>
      <c r="BY121" s="166"/>
      <c r="BZ121" s="166"/>
      <c r="CA121" s="166"/>
      <c r="CB121" s="166"/>
      <c r="CC121" s="166"/>
      <c r="CD121" s="166"/>
      <c r="CE121" s="166"/>
      <c r="CF121" s="166"/>
      <c r="CG121" s="166"/>
      <c r="CH121" s="166"/>
      <c r="CI121" s="166"/>
      <c r="CJ121" s="166"/>
      <c r="CK121" s="166"/>
      <c r="CL121" s="166"/>
      <c r="CM121" s="166"/>
      <c r="CN121" s="166"/>
      <c r="CO121" s="166"/>
      <c r="CP121" s="166"/>
      <c r="CQ121" s="166"/>
      <c r="CR121" s="166"/>
      <c r="CS121" s="166"/>
      <c r="CT121" s="166"/>
      <c r="CU121" s="166"/>
      <c r="CV121" s="166"/>
      <c r="CW121" s="166"/>
      <c r="CX121" s="166"/>
      <c r="CY121" s="166"/>
      <c r="CZ121" s="166"/>
      <c r="DA121" s="166"/>
      <c r="DB121" s="166"/>
      <c r="DC121" s="166"/>
      <c r="DD121" s="166"/>
      <c r="DE121" s="166"/>
      <c r="DF121" s="166"/>
      <c r="DG121" s="166"/>
      <c r="DH121" s="166"/>
      <c r="DI121" s="166"/>
      <c r="DJ121" s="166"/>
      <c r="DK121" s="166"/>
      <c r="DL121" s="166"/>
      <c r="DM121" s="166"/>
      <c r="DN121" s="166"/>
      <c r="DO121" s="166"/>
      <c r="DP121" s="166"/>
      <c r="DQ121" s="166"/>
      <c r="DR121" s="166"/>
      <c r="DS121" s="166"/>
      <c r="DT121" s="166"/>
      <c r="DU121" s="166"/>
      <c r="DV121" s="166"/>
      <c r="DW121" s="166"/>
      <c r="DX121" s="166"/>
      <c r="DY121" s="166"/>
      <c r="DZ121" s="166"/>
      <c r="EA121" s="166"/>
      <c r="EB121" s="166"/>
      <c r="EC121" s="166"/>
      <c r="ED121" s="166"/>
      <c r="EE121" s="166"/>
      <c r="EF121" s="166"/>
      <c r="EG121" s="166"/>
      <c r="EH121" s="166"/>
      <c r="EI121" s="166"/>
      <c r="EJ121" s="166"/>
      <c r="EK121" s="166"/>
      <c r="EL121" s="166"/>
      <c r="EM121" s="166"/>
      <c r="EN121" s="166"/>
      <c r="EO121" s="166"/>
      <c r="EP121" s="166"/>
      <c r="EQ121" s="166"/>
      <c r="ER121" s="166"/>
      <c r="ES121" s="166"/>
      <c r="ET121" s="166"/>
      <c r="EU121" s="166"/>
      <c r="EV121" s="166"/>
      <c r="EW121" s="166"/>
      <c r="EX121" s="166"/>
      <c r="EY121" s="166"/>
      <c r="EZ121" s="166"/>
      <c r="FA121" s="166"/>
      <c r="FB121" s="166"/>
      <c r="FC121" s="166"/>
      <c r="FD121" s="166"/>
      <c r="FE121" s="166"/>
      <c r="FF121" s="166"/>
      <c r="FG121" s="166"/>
      <c r="FH121" s="166"/>
      <c r="FI121" s="166"/>
      <c r="FJ121" s="166"/>
      <c r="FK121" s="166"/>
      <c r="FL121" s="166"/>
      <c r="FM121" s="166"/>
      <c r="FN121" s="166"/>
      <c r="FO121" s="166"/>
      <c r="FP121" s="166"/>
      <c r="FQ121" s="166"/>
      <c r="FR121" s="166"/>
      <c r="FS121" s="166"/>
      <c r="FT121" s="166"/>
      <c r="FU121" s="166"/>
      <c r="FV121" s="166"/>
      <c r="FW121" s="166"/>
      <c r="FX121" s="166"/>
      <c r="FY121" s="166"/>
      <c r="FZ121" s="166"/>
      <c r="GA121" s="166"/>
      <c r="GB121" s="166"/>
      <c r="GC121" s="166"/>
      <c r="GD121" s="166"/>
      <c r="GE121" s="166"/>
      <c r="GF121" s="166"/>
      <c r="GG121" s="166"/>
      <c r="GH121" s="166"/>
      <c r="GI121" s="166"/>
      <c r="GJ121" s="166"/>
      <c r="GK121" s="166"/>
      <c r="GL121" s="166"/>
      <c r="GM121" s="166"/>
      <c r="GN121" s="166"/>
      <c r="GO121" s="166"/>
      <c r="GP121" s="166"/>
      <c r="GQ121" s="166"/>
      <c r="GR121" s="166"/>
      <c r="GS121" s="166"/>
      <c r="GT121" s="166"/>
      <c r="GU121" s="166"/>
      <c r="GV121" s="166"/>
      <c r="GW121" s="166"/>
      <c r="GX121" s="166"/>
      <c r="GY121" s="166"/>
      <c r="GZ121" s="166"/>
      <c r="HA121" s="166"/>
      <c r="HB121" s="166"/>
      <c r="HC121" s="166"/>
      <c r="HD121" s="166"/>
      <c r="HE121" s="166"/>
      <c r="HF121" s="166"/>
      <c r="HG121" s="166"/>
      <c r="HH121" s="166"/>
      <c r="HI121" s="166"/>
      <c r="HJ121" s="166"/>
      <c r="HK121" s="166"/>
      <c r="HL121" s="166"/>
      <c r="HM121" s="166"/>
      <c r="HN121" s="166"/>
      <c r="HO121" s="166"/>
      <c r="HP121" s="166"/>
      <c r="HQ121" s="166"/>
      <c r="HR121" s="166"/>
      <c r="HS121" s="166"/>
      <c r="HT121" s="166"/>
      <c r="HU121" s="166"/>
      <c r="HV121" s="166"/>
      <c r="HW121" s="166"/>
      <c r="HX121" s="166"/>
      <c r="HY121" s="166"/>
      <c r="HZ121" s="166"/>
      <c r="IA121" s="166"/>
      <c r="IB121" s="166"/>
      <c r="IC121" s="166"/>
      <c r="ID121" s="166"/>
      <c r="IE121" s="166"/>
      <c r="IF121" s="166"/>
      <c r="IG121" s="166"/>
      <c r="IH121" s="166"/>
      <c r="II121" s="166"/>
      <c r="IJ121" s="166"/>
      <c r="IK121" s="166"/>
      <c r="IL121" s="166"/>
      <c r="IM121" s="166"/>
      <c r="IN121" s="166"/>
      <c r="IO121" s="166"/>
      <c r="IP121" s="166"/>
      <c r="IQ121" s="166"/>
      <c r="IR121" s="166"/>
      <c r="IS121" s="166"/>
      <c r="IT121" s="166"/>
      <c r="IU121" s="166"/>
      <c r="IV121" s="166"/>
      <c r="IW121" s="166"/>
      <c r="IX121" s="166"/>
      <c r="IY121" s="166"/>
      <c r="IZ121" s="166"/>
      <c r="JA121" s="166"/>
      <c r="JB121" s="166"/>
      <c r="JC121" s="166"/>
      <c r="JD121" s="166"/>
      <c r="JE121" s="166"/>
      <c r="JF121" s="166"/>
      <c r="JG121" s="166"/>
      <c r="JH121" s="166"/>
      <c r="JI121" s="166"/>
      <c r="JJ121" s="166"/>
      <c r="JK121" s="166"/>
      <c r="JL121" s="166"/>
      <c r="JM121" s="166"/>
      <c r="JN121" s="166"/>
      <c r="JO121" s="166"/>
      <c r="JP121" s="166"/>
      <c r="JQ121" s="166"/>
      <c r="JR121" s="166"/>
      <c r="JS121" s="166"/>
      <c r="JT121" s="166"/>
      <c r="JU121" s="166"/>
      <c r="JV121" s="166"/>
      <c r="JW121" s="166"/>
      <c r="JX121" s="166"/>
      <c r="JY121" s="166"/>
      <c r="JZ121" s="166"/>
      <c r="KA121" s="166"/>
      <c r="KB121" s="166"/>
      <c r="KC121" s="166"/>
      <c r="KD121" s="166"/>
      <c r="KE121" s="166"/>
      <c r="KF121" s="166"/>
      <c r="KG121" s="166"/>
      <c r="KH121" s="166"/>
      <c r="KI121" s="166"/>
      <c r="KJ121" s="166"/>
      <c r="KK121" s="166"/>
      <c r="KL121" s="166"/>
      <c r="KM121" s="166"/>
      <c r="KN121" s="166"/>
      <c r="KO121" s="166"/>
      <c r="KP121" s="166"/>
      <c r="KQ121" s="166"/>
      <c r="KR121" s="166"/>
      <c r="KS121" s="166"/>
      <c r="KT121" s="166"/>
      <c r="KU121" s="166"/>
      <c r="KV121" s="166"/>
      <c r="KW121" s="166"/>
      <c r="KX121" s="166"/>
      <c r="KY121" s="166"/>
      <c r="KZ121" s="166"/>
      <c r="LA121" s="166"/>
      <c r="LB121" s="166"/>
      <c r="LC121" s="166"/>
      <c r="LD121" s="166"/>
      <c r="LE121" s="166"/>
      <c r="LF121" s="166"/>
      <c r="LG121" s="166"/>
      <c r="LH121" s="166"/>
      <c r="LI121" s="166"/>
      <c r="LJ121" s="166"/>
      <c r="LK121" s="166"/>
      <c r="LL121" s="166"/>
      <c r="LM121" s="166"/>
      <c r="LN121" s="166"/>
      <c r="LO121" s="166"/>
      <c r="LP121" s="166"/>
      <c r="LQ121" s="166"/>
      <c r="LR121" s="166"/>
      <c r="LS121" s="166"/>
      <c r="LT121" s="166"/>
      <c r="LU121" s="166"/>
      <c r="LV121" s="166"/>
      <c r="LW121" s="166"/>
      <c r="LX121" s="166"/>
      <c r="LY121" s="166"/>
      <c r="LZ121" s="166"/>
      <c r="MA121" s="166"/>
      <c r="MB121" s="166"/>
      <c r="MC121" s="166"/>
      <c r="MD121" s="166"/>
      <c r="ME121" s="166"/>
      <c r="MF121" s="166"/>
      <c r="MG121" s="166"/>
      <c r="MH121" s="166"/>
      <c r="MI121" s="166"/>
      <c r="MJ121" s="166"/>
      <c r="MK121" s="166"/>
      <c r="ML121" s="166"/>
      <c r="MM121" s="166"/>
      <c r="MN121" s="166"/>
      <c r="MO121" s="166"/>
      <c r="MP121" s="166"/>
      <c r="MQ121" s="166"/>
      <c r="MR121" s="166"/>
      <c r="MS121" s="166"/>
      <c r="MT121" s="166"/>
      <c r="MU121" s="166"/>
      <c r="MV121" s="166"/>
      <c r="MW121" s="166"/>
      <c r="MX121" s="166"/>
      <c r="MY121" s="166"/>
      <c r="MZ121" s="166"/>
      <c r="NA121" s="166"/>
      <c r="NB121" s="166"/>
      <c r="NC121" s="166"/>
      <c r="ND121" s="166"/>
      <c r="NE121" s="166"/>
      <c r="NF121" s="166"/>
      <c r="NG121" s="166"/>
      <c r="NH121" s="166"/>
      <c r="NI121" s="166"/>
      <c r="NJ121" s="166"/>
      <c r="NK121" s="166"/>
      <c r="NL121" s="166"/>
      <c r="NM121" s="166"/>
      <c r="NN121" s="166"/>
      <c r="NO121" s="166"/>
      <c r="NP121" s="166"/>
      <c r="NQ121" s="166"/>
      <c r="NR121" s="166"/>
      <c r="NS121" s="166"/>
      <c r="NT121" s="166"/>
      <c r="NU121" s="166"/>
      <c r="NV121" s="166"/>
      <c r="NW121" s="166"/>
      <c r="NX121" s="166"/>
      <c r="NY121" s="166"/>
      <c r="NZ121" s="166"/>
      <c r="OA121" s="166"/>
      <c r="OB121" s="166"/>
      <c r="OC121" s="166"/>
      <c r="OD121" s="166"/>
      <c r="OE121" s="166"/>
      <c r="OF121" s="166"/>
      <c r="OG121" s="166"/>
      <c r="OH121" s="166"/>
      <c r="OI121" s="166"/>
      <c r="OJ121" s="166"/>
      <c r="OK121" s="166"/>
      <c r="OL121" s="166"/>
      <c r="OM121" s="166"/>
      <c r="ON121" s="166"/>
      <c r="OO121" s="166"/>
      <c r="OP121" s="166"/>
      <c r="OQ121" s="166"/>
      <c r="OR121" s="166"/>
      <c r="OS121" s="166"/>
      <c r="OT121" s="166"/>
      <c r="OU121" s="166"/>
      <c r="OV121" s="166"/>
      <c r="OW121" s="166"/>
      <c r="OX121" s="166"/>
      <c r="OY121" s="166"/>
      <c r="OZ121" s="166"/>
      <c r="PA121" s="166"/>
      <c r="PB121" s="166"/>
      <c r="PC121" s="166"/>
      <c r="PD121" s="166"/>
      <c r="PE121" s="166"/>
      <c r="PF121" s="166"/>
      <c r="PG121" s="166"/>
      <c r="PH121" s="166"/>
      <c r="PI121" s="166"/>
      <c r="PJ121" s="166"/>
      <c r="PK121" s="166"/>
      <c r="PL121" s="166"/>
      <c r="PM121" s="166"/>
      <c r="PN121" s="166"/>
      <c r="PO121" s="166"/>
      <c r="PP121" s="166"/>
      <c r="PQ121" s="166"/>
      <c r="PR121" s="166"/>
      <c r="PS121" s="166"/>
      <c r="PT121" s="166"/>
      <c r="PU121" s="166"/>
      <c r="PV121" s="166"/>
      <c r="PW121" s="166"/>
      <c r="PX121" s="166"/>
      <c r="PY121" s="166"/>
      <c r="PZ121" s="166"/>
      <c r="QA121" s="166"/>
      <c r="QB121" s="166"/>
      <c r="QC121" s="166"/>
      <c r="QD121" s="166"/>
      <c r="QE121" s="166"/>
      <c r="QF121" s="166"/>
      <c r="QG121" s="166"/>
      <c r="QH121" s="166"/>
      <c r="QI121" s="166"/>
      <c r="QJ121" s="166"/>
      <c r="QK121" s="166"/>
      <c r="QL121" s="166"/>
      <c r="QM121" s="166"/>
      <c r="QN121" s="166"/>
      <c r="QO121" s="166"/>
      <c r="QP121" s="166"/>
      <c r="QQ121" s="166"/>
      <c r="QR121" s="166"/>
      <c r="QS121" s="166"/>
      <c r="QT121" s="166"/>
      <c r="QU121" s="166"/>
      <c r="QV121" s="166"/>
      <c r="QW121" s="166"/>
      <c r="QX121" s="166"/>
      <c r="QY121" s="166"/>
      <c r="QZ121" s="166"/>
      <c r="RA121" s="166"/>
      <c r="RB121" s="166"/>
      <c r="RC121" s="166"/>
      <c r="RD121" s="166"/>
      <c r="RE121" s="166"/>
      <c r="RF121" s="166"/>
      <c r="RG121" s="166"/>
      <c r="RH121" s="166"/>
      <c r="RI121" s="166"/>
      <c r="RJ121" s="166"/>
      <c r="RK121" s="166"/>
      <c r="RL121" s="166"/>
      <c r="RM121" s="166"/>
      <c r="RN121" s="166"/>
      <c r="RO121" s="166"/>
      <c r="RP121" s="166"/>
      <c r="RQ121" s="166"/>
      <c r="RR121" s="166"/>
      <c r="RS121" s="166"/>
      <c r="RT121" s="166"/>
      <c r="RU121" s="166"/>
      <c r="RV121" s="166"/>
      <c r="RW121" s="166"/>
      <c r="RX121" s="166"/>
      <c r="RY121" s="166"/>
      <c r="RZ121" s="166"/>
      <c r="SA121" s="166"/>
      <c r="SB121" s="166"/>
      <c r="SC121" s="166"/>
      <c r="SD121" s="166"/>
      <c r="SE121" s="166"/>
      <c r="SF121" s="166"/>
      <c r="SG121" s="166"/>
      <c r="SH121" s="166"/>
      <c r="SI121" s="166"/>
      <c r="SJ121" s="166"/>
      <c r="SK121" s="166"/>
      <c r="SL121" s="166"/>
      <c r="SM121" s="166"/>
      <c r="SN121" s="166"/>
      <c r="SO121" s="166"/>
      <c r="SP121" s="166"/>
      <c r="SQ121" s="166"/>
      <c r="SR121" s="166"/>
    </row>
    <row r="122" spans="1:512" s="165" customFormat="1" ht="15" customHeight="1" x14ac:dyDescent="0.7">
      <c r="A122" s="171">
        <v>38</v>
      </c>
      <c r="B122" s="171" t="s">
        <v>432</v>
      </c>
      <c r="C122" s="171" t="s">
        <v>433</v>
      </c>
      <c r="D122" s="171"/>
      <c r="E122" s="171" t="s">
        <v>41</v>
      </c>
      <c r="F122" s="171"/>
      <c r="G122" s="188" t="s">
        <v>426</v>
      </c>
      <c r="H122" s="71" t="s">
        <v>427</v>
      </c>
      <c r="I122" s="160" t="s">
        <v>391</v>
      </c>
      <c r="J122" s="161">
        <v>0.02</v>
      </c>
      <c r="K122" s="185">
        <v>0.01</v>
      </c>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c r="AH122" s="164"/>
      <c r="AI122" s="164"/>
      <c r="AJ122" s="164"/>
      <c r="AK122" s="164"/>
      <c r="AL122" s="164"/>
      <c r="AM122" s="164"/>
      <c r="AN122" s="164"/>
      <c r="AO122" s="164"/>
      <c r="AP122" s="164"/>
      <c r="AQ122" s="164"/>
      <c r="AR122" s="164"/>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c r="BT122" s="164"/>
      <c r="BU122" s="164"/>
      <c r="BV122" s="164"/>
      <c r="BW122" s="164"/>
      <c r="BX122" s="164"/>
      <c r="BY122" s="164"/>
      <c r="BZ122" s="164"/>
      <c r="CA122" s="164"/>
      <c r="CB122" s="164"/>
      <c r="CC122" s="164"/>
      <c r="CD122" s="164"/>
      <c r="CE122" s="164"/>
      <c r="CF122" s="164"/>
      <c r="CG122" s="164"/>
      <c r="CH122" s="164"/>
      <c r="CI122" s="164"/>
      <c r="CJ122" s="164"/>
      <c r="CK122" s="164"/>
      <c r="CL122" s="164"/>
      <c r="CM122" s="164"/>
      <c r="CN122" s="164"/>
      <c r="CO122" s="164"/>
      <c r="CP122" s="164"/>
      <c r="CQ122" s="164"/>
      <c r="CR122" s="164"/>
      <c r="CS122" s="164"/>
      <c r="CT122" s="164"/>
      <c r="CU122" s="164"/>
      <c r="CV122" s="164"/>
      <c r="CW122" s="164"/>
      <c r="CX122" s="164"/>
      <c r="CY122" s="164"/>
      <c r="CZ122" s="164"/>
      <c r="DA122" s="164"/>
      <c r="DB122" s="164"/>
      <c r="DC122" s="164"/>
      <c r="DD122" s="164"/>
      <c r="DE122" s="164"/>
      <c r="DF122" s="164"/>
      <c r="DG122" s="164"/>
      <c r="DH122" s="164"/>
      <c r="DI122" s="164"/>
      <c r="DJ122" s="164"/>
      <c r="DK122" s="164"/>
      <c r="DL122" s="164"/>
      <c r="DM122" s="164"/>
      <c r="DN122" s="164"/>
      <c r="DO122" s="164"/>
      <c r="DP122" s="164"/>
      <c r="DQ122" s="164"/>
      <c r="DR122" s="164"/>
      <c r="DS122" s="164"/>
      <c r="DT122" s="164"/>
      <c r="DU122" s="164"/>
      <c r="DV122" s="164"/>
      <c r="DW122" s="164"/>
      <c r="DX122" s="164"/>
      <c r="DY122" s="164"/>
      <c r="DZ122" s="164"/>
      <c r="EA122" s="164"/>
      <c r="EB122" s="164"/>
      <c r="EC122" s="164"/>
      <c r="ED122" s="164"/>
      <c r="EE122" s="164"/>
      <c r="EF122" s="164"/>
      <c r="EG122" s="164"/>
      <c r="EH122" s="164"/>
      <c r="EI122" s="164"/>
      <c r="EJ122" s="164"/>
      <c r="EK122" s="164"/>
      <c r="EL122" s="164"/>
      <c r="EM122" s="164"/>
      <c r="EN122" s="164"/>
      <c r="EO122" s="164"/>
      <c r="EP122" s="164"/>
      <c r="EQ122" s="164"/>
      <c r="ER122" s="164"/>
      <c r="ES122" s="164"/>
      <c r="ET122" s="164"/>
      <c r="EU122" s="164"/>
      <c r="EV122" s="164"/>
      <c r="EW122" s="164"/>
      <c r="EX122" s="164"/>
      <c r="EY122" s="164"/>
      <c r="EZ122" s="164"/>
      <c r="FA122" s="164"/>
      <c r="FB122" s="164"/>
      <c r="FC122" s="164"/>
      <c r="FD122" s="164"/>
      <c r="FE122" s="164"/>
      <c r="FF122" s="164"/>
      <c r="FG122" s="164"/>
      <c r="FH122" s="164"/>
      <c r="FI122" s="164"/>
      <c r="FJ122" s="164"/>
      <c r="FK122" s="164"/>
      <c r="FL122" s="164"/>
      <c r="FM122" s="164"/>
      <c r="FN122" s="164"/>
      <c r="FO122" s="164"/>
      <c r="FP122" s="164"/>
      <c r="FQ122" s="164"/>
      <c r="FR122" s="164"/>
      <c r="FS122" s="164"/>
      <c r="FT122" s="164"/>
      <c r="FU122" s="164"/>
      <c r="FV122" s="164"/>
      <c r="FW122" s="164"/>
      <c r="FX122" s="164"/>
      <c r="FY122" s="164"/>
      <c r="FZ122" s="164"/>
      <c r="GA122" s="164"/>
      <c r="GB122" s="164"/>
      <c r="GC122" s="164"/>
      <c r="GD122" s="164"/>
      <c r="GE122" s="164"/>
      <c r="GF122" s="164"/>
      <c r="GG122" s="164"/>
      <c r="GH122" s="164"/>
      <c r="GI122" s="164"/>
      <c r="GJ122" s="164"/>
      <c r="GK122" s="164"/>
      <c r="GL122" s="164"/>
      <c r="GM122" s="164"/>
      <c r="GN122" s="164"/>
      <c r="GO122" s="164"/>
      <c r="GP122" s="164"/>
      <c r="GQ122" s="164"/>
      <c r="GR122" s="164"/>
      <c r="GS122" s="164"/>
      <c r="GT122" s="164"/>
      <c r="GU122" s="164"/>
      <c r="GV122" s="164"/>
      <c r="GW122" s="164"/>
      <c r="GX122" s="164"/>
      <c r="GY122" s="164"/>
      <c r="GZ122" s="164"/>
      <c r="HA122" s="164"/>
      <c r="HB122" s="164"/>
      <c r="HC122" s="164"/>
      <c r="HD122" s="164"/>
      <c r="HE122" s="164"/>
      <c r="HF122" s="164"/>
      <c r="HG122" s="164"/>
      <c r="HH122" s="164"/>
      <c r="HI122" s="164"/>
      <c r="HJ122" s="164"/>
      <c r="HK122" s="164"/>
      <c r="HL122" s="164"/>
      <c r="HM122" s="164"/>
      <c r="HN122" s="164"/>
      <c r="HO122" s="164"/>
      <c r="HP122" s="164"/>
      <c r="HQ122" s="164"/>
      <c r="HR122" s="164"/>
      <c r="HS122" s="164"/>
      <c r="HT122" s="164"/>
      <c r="HU122" s="164"/>
      <c r="HV122" s="164"/>
      <c r="HW122" s="164"/>
      <c r="HX122" s="164"/>
      <c r="HY122" s="164"/>
      <c r="HZ122" s="164"/>
      <c r="IA122" s="164"/>
      <c r="IB122" s="164"/>
      <c r="IC122" s="164"/>
      <c r="ID122" s="164"/>
      <c r="IE122" s="164"/>
      <c r="IF122" s="164"/>
      <c r="IG122" s="164"/>
      <c r="IH122" s="164"/>
      <c r="II122" s="164"/>
      <c r="IJ122" s="164"/>
      <c r="IK122" s="164"/>
      <c r="IL122" s="164"/>
      <c r="IM122" s="164"/>
      <c r="IN122" s="164"/>
      <c r="IO122" s="164"/>
      <c r="IP122" s="164"/>
      <c r="IQ122" s="164"/>
      <c r="IR122" s="164"/>
      <c r="IS122" s="164"/>
      <c r="IT122" s="164"/>
      <c r="IU122" s="164"/>
      <c r="IV122" s="164"/>
      <c r="IW122" s="164"/>
      <c r="IX122" s="164"/>
      <c r="IY122" s="164"/>
      <c r="IZ122" s="164"/>
      <c r="JA122" s="164"/>
      <c r="JB122" s="164"/>
      <c r="JC122" s="164"/>
      <c r="JD122" s="164"/>
      <c r="JE122" s="164"/>
      <c r="JF122" s="164"/>
      <c r="JG122" s="164"/>
      <c r="JH122" s="164"/>
      <c r="JI122" s="164"/>
      <c r="JJ122" s="164"/>
      <c r="JK122" s="164"/>
      <c r="JL122" s="164"/>
      <c r="JM122" s="164"/>
      <c r="JN122" s="164"/>
      <c r="JO122" s="164"/>
      <c r="JP122" s="164"/>
      <c r="JQ122" s="164"/>
      <c r="JR122" s="164"/>
      <c r="JS122" s="164"/>
      <c r="JT122" s="164"/>
      <c r="JU122" s="164"/>
      <c r="JV122" s="164"/>
      <c r="JW122" s="164"/>
      <c r="JX122" s="164"/>
      <c r="JY122" s="164"/>
      <c r="JZ122" s="164"/>
      <c r="KA122" s="164"/>
      <c r="KB122" s="164"/>
      <c r="KC122" s="164"/>
      <c r="KD122" s="164"/>
      <c r="KE122" s="164"/>
      <c r="KF122" s="164"/>
      <c r="KG122" s="164"/>
      <c r="KH122" s="164"/>
      <c r="KI122" s="164"/>
      <c r="KJ122" s="164"/>
      <c r="KK122" s="164"/>
      <c r="KL122" s="164"/>
      <c r="KM122" s="164"/>
      <c r="KN122" s="164"/>
      <c r="KO122" s="164"/>
      <c r="KP122" s="164"/>
      <c r="KQ122" s="164"/>
      <c r="KR122" s="164"/>
      <c r="KS122" s="164"/>
      <c r="KT122" s="164"/>
      <c r="KU122" s="164"/>
      <c r="KV122" s="164"/>
      <c r="KW122" s="164"/>
      <c r="KX122" s="164"/>
      <c r="KY122" s="164"/>
      <c r="KZ122" s="164"/>
      <c r="LA122" s="164"/>
      <c r="LB122" s="164"/>
      <c r="LC122" s="164"/>
      <c r="LD122" s="164"/>
      <c r="LE122" s="164"/>
      <c r="LF122" s="164"/>
      <c r="LG122" s="164"/>
      <c r="LH122" s="164"/>
      <c r="LI122" s="164"/>
      <c r="LJ122" s="164"/>
      <c r="LK122" s="164"/>
      <c r="LL122" s="164"/>
      <c r="LM122" s="164"/>
      <c r="LN122" s="164"/>
      <c r="LO122" s="164"/>
      <c r="LP122" s="164"/>
      <c r="LQ122" s="164"/>
      <c r="LR122" s="164"/>
      <c r="LS122" s="164"/>
      <c r="LT122" s="164"/>
      <c r="LU122" s="164"/>
      <c r="LV122" s="164"/>
      <c r="LW122" s="164"/>
      <c r="LX122" s="164"/>
      <c r="LY122" s="164"/>
      <c r="LZ122" s="164"/>
      <c r="MA122" s="164"/>
      <c r="MB122" s="164"/>
      <c r="MC122" s="164"/>
      <c r="MD122" s="164"/>
      <c r="ME122" s="164"/>
      <c r="MF122" s="164"/>
      <c r="MG122" s="164"/>
      <c r="MH122" s="164"/>
      <c r="MI122" s="164"/>
      <c r="MJ122" s="164"/>
      <c r="MK122" s="164"/>
      <c r="ML122" s="164"/>
      <c r="MM122" s="164"/>
      <c r="MN122" s="164"/>
      <c r="MO122" s="164"/>
      <c r="MP122" s="164"/>
      <c r="MQ122" s="164"/>
      <c r="MR122" s="164"/>
      <c r="MS122" s="164"/>
      <c r="MT122" s="164"/>
      <c r="MU122" s="164"/>
      <c r="MV122" s="164"/>
      <c r="MW122" s="164"/>
      <c r="MX122" s="164"/>
      <c r="MY122" s="164"/>
      <c r="MZ122" s="164"/>
      <c r="NA122" s="164"/>
      <c r="NB122" s="164"/>
      <c r="NC122" s="164"/>
      <c r="ND122" s="164"/>
      <c r="NE122" s="164"/>
      <c r="NF122" s="164"/>
      <c r="NG122" s="164"/>
      <c r="NH122" s="164"/>
      <c r="NI122" s="164"/>
      <c r="NJ122" s="164"/>
      <c r="NK122" s="164"/>
      <c r="NL122" s="164"/>
      <c r="NM122" s="164"/>
      <c r="NN122" s="164"/>
      <c r="NO122" s="164"/>
      <c r="NP122" s="164"/>
      <c r="NQ122" s="164"/>
      <c r="NR122" s="164"/>
      <c r="NS122" s="164"/>
      <c r="NT122" s="164"/>
      <c r="NU122" s="164"/>
      <c r="NV122" s="164"/>
      <c r="NW122" s="164"/>
      <c r="NX122" s="164"/>
      <c r="NY122" s="164"/>
      <c r="NZ122" s="164"/>
      <c r="OA122" s="164"/>
      <c r="OB122" s="164"/>
      <c r="OC122" s="164"/>
      <c r="OD122" s="164"/>
      <c r="OE122" s="164"/>
      <c r="OF122" s="164"/>
      <c r="OG122" s="164"/>
      <c r="OH122" s="164"/>
      <c r="OI122" s="164"/>
      <c r="OJ122" s="164"/>
      <c r="OK122" s="164"/>
      <c r="OL122" s="164"/>
      <c r="OM122" s="164"/>
      <c r="ON122" s="164"/>
      <c r="OO122" s="164"/>
      <c r="OP122" s="164"/>
      <c r="OQ122" s="164"/>
      <c r="OR122" s="164"/>
      <c r="OS122" s="164"/>
      <c r="OT122" s="164"/>
      <c r="OU122" s="164"/>
      <c r="OV122" s="164"/>
      <c r="OW122" s="164"/>
      <c r="OX122" s="164"/>
      <c r="OY122" s="164"/>
      <c r="OZ122" s="164"/>
      <c r="PA122" s="164"/>
      <c r="PB122" s="164"/>
      <c r="PC122" s="164"/>
      <c r="PD122" s="164"/>
      <c r="PE122" s="164"/>
      <c r="PF122" s="164"/>
      <c r="PG122" s="164"/>
      <c r="PH122" s="164"/>
      <c r="PI122" s="164"/>
      <c r="PJ122" s="164"/>
      <c r="PK122" s="164"/>
      <c r="PL122" s="164"/>
      <c r="PM122" s="164"/>
      <c r="PN122" s="164"/>
      <c r="PO122" s="164"/>
      <c r="PP122" s="164"/>
      <c r="PQ122" s="164"/>
      <c r="PR122" s="164"/>
      <c r="PS122" s="164"/>
      <c r="PT122" s="164"/>
      <c r="PU122" s="164"/>
      <c r="PV122" s="164"/>
      <c r="PW122" s="164"/>
      <c r="PX122" s="164"/>
      <c r="PY122" s="164"/>
      <c r="PZ122" s="164"/>
      <c r="QA122" s="164"/>
      <c r="QB122" s="164"/>
      <c r="QC122" s="164"/>
      <c r="QD122" s="164"/>
      <c r="QE122" s="164"/>
      <c r="QF122" s="164"/>
      <c r="QG122" s="164"/>
      <c r="QH122" s="164"/>
      <c r="QI122" s="164"/>
      <c r="QJ122" s="164"/>
      <c r="QK122" s="164"/>
      <c r="QL122" s="164"/>
      <c r="QM122" s="164"/>
      <c r="QN122" s="164"/>
      <c r="QO122" s="164"/>
      <c r="QP122" s="164"/>
      <c r="QQ122" s="164"/>
      <c r="QR122" s="164"/>
      <c r="QS122" s="164"/>
      <c r="QT122" s="164"/>
      <c r="QU122" s="164"/>
      <c r="QV122" s="164"/>
      <c r="QW122" s="164"/>
      <c r="QX122" s="164"/>
      <c r="QY122" s="164"/>
      <c r="QZ122" s="164"/>
      <c r="RA122" s="164"/>
      <c r="RB122" s="164"/>
      <c r="RC122" s="164"/>
      <c r="RD122" s="164"/>
      <c r="RE122" s="164"/>
      <c r="RF122" s="164"/>
      <c r="RG122" s="164"/>
      <c r="RH122" s="164"/>
      <c r="RI122" s="164"/>
      <c r="RJ122" s="164"/>
      <c r="RK122" s="164"/>
      <c r="RL122" s="164"/>
      <c r="RM122" s="164"/>
      <c r="RN122" s="164"/>
      <c r="RO122" s="164"/>
      <c r="RP122" s="164"/>
      <c r="RQ122" s="164"/>
      <c r="RR122" s="164"/>
      <c r="RS122" s="164"/>
      <c r="RT122" s="164"/>
      <c r="RU122" s="164"/>
      <c r="RV122" s="164"/>
      <c r="RW122" s="164"/>
      <c r="RX122" s="164"/>
      <c r="RY122" s="164"/>
      <c r="RZ122" s="164"/>
      <c r="SA122" s="164"/>
      <c r="SB122" s="164"/>
      <c r="SC122" s="164"/>
      <c r="SD122" s="164"/>
      <c r="SE122" s="164"/>
      <c r="SF122" s="164"/>
      <c r="SG122" s="164"/>
      <c r="SH122" s="164"/>
      <c r="SI122" s="164"/>
      <c r="SJ122" s="164"/>
      <c r="SK122" s="164"/>
      <c r="SL122" s="164"/>
      <c r="SM122" s="164"/>
      <c r="SN122" s="164"/>
      <c r="SO122" s="164"/>
      <c r="SP122" s="164"/>
      <c r="SQ122" s="164"/>
      <c r="SR122" s="164"/>
    </row>
    <row r="123" spans="1:512" s="165" customFormat="1" ht="15" customHeight="1" x14ac:dyDescent="0.7">
      <c r="A123" s="172"/>
      <c r="B123" s="172"/>
      <c r="C123" s="172"/>
      <c r="D123" s="172"/>
      <c r="E123" s="172"/>
      <c r="F123" s="172"/>
      <c r="G123" s="172"/>
      <c r="H123" s="62"/>
      <c r="I123" s="160" t="s">
        <v>366</v>
      </c>
      <c r="J123" s="161">
        <v>0</v>
      </c>
      <c r="K123" s="186"/>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c r="AH123" s="164"/>
      <c r="AI123" s="164"/>
      <c r="AJ123" s="164"/>
      <c r="AK123" s="164"/>
      <c r="AL123" s="164"/>
      <c r="AM123" s="164"/>
      <c r="AN123" s="164"/>
      <c r="AO123" s="164"/>
      <c r="AP123" s="164"/>
      <c r="AQ123" s="164"/>
      <c r="AR123" s="164"/>
      <c r="AS123" s="164"/>
      <c r="AT123" s="164"/>
      <c r="AU123" s="164"/>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c r="BT123" s="164"/>
      <c r="BU123" s="164"/>
      <c r="BV123" s="164"/>
      <c r="BW123" s="164"/>
      <c r="BX123" s="164"/>
      <c r="BY123" s="164"/>
      <c r="BZ123" s="164"/>
      <c r="CA123" s="164"/>
      <c r="CB123" s="164"/>
      <c r="CC123" s="164"/>
      <c r="CD123" s="164"/>
      <c r="CE123" s="164"/>
      <c r="CF123" s="164"/>
      <c r="CG123" s="164"/>
      <c r="CH123" s="164"/>
      <c r="CI123" s="164"/>
      <c r="CJ123" s="164"/>
      <c r="CK123" s="164"/>
      <c r="CL123" s="164"/>
      <c r="CM123" s="164"/>
      <c r="CN123" s="164"/>
      <c r="CO123" s="164"/>
      <c r="CP123" s="164"/>
      <c r="CQ123" s="164"/>
      <c r="CR123" s="164"/>
      <c r="CS123" s="164"/>
      <c r="CT123" s="164"/>
      <c r="CU123" s="164"/>
      <c r="CV123" s="164"/>
      <c r="CW123" s="164"/>
      <c r="CX123" s="164"/>
      <c r="CY123" s="164"/>
      <c r="CZ123" s="164"/>
      <c r="DA123" s="164"/>
      <c r="DB123" s="164"/>
      <c r="DC123" s="164"/>
      <c r="DD123" s="164"/>
      <c r="DE123" s="164"/>
      <c r="DF123" s="164"/>
      <c r="DG123" s="164"/>
      <c r="DH123" s="164"/>
      <c r="DI123" s="164"/>
      <c r="DJ123" s="164"/>
      <c r="DK123" s="164"/>
      <c r="DL123" s="164"/>
      <c r="DM123" s="164"/>
      <c r="DN123" s="164"/>
      <c r="DO123" s="164"/>
      <c r="DP123" s="164"/>
      <c r="DQ123" s="164"/>
      <c r="DR123" s="164"/>
      <c r="DS123" s="164"/>
      <c r="DT123" s="164"/>
      <c r="DU123" s="164"/>
      <c r="DV123" s="164"/>
      <c r="DW123" s="164"/>
      <c r="DX123" s="164"/>
      <c r="DY123" s="164"/>
      <c r="DZ123" s="164"/>
      <c r="EA123" s="164"/>
      <c r="EB123" s="164"/>
      <c r="EC123" s="164"/>
      <c r="ED123" s="164"/>
      <c r="EE123" s="164"/>
      <c r="EF123" s="164"/>
      <c r="EG123" s="164"/>
      <c r="EH123" s="164"/>
      <c r="EI123" s="164"/>
      <c r="EJ123" s="164"/>
      <c r="EK123" s="164"/>
      <c r="EL123" s="164"/>
      <c r="EM123" s="164"/>
      <c r="EN123" s="164"/>
      <c r="EO123" s="164"/>
      <c r="EP123" s="164"/>
      <c r="EQ123" s="164"/>
      <c r="ER123" s="164"/>
      <c r="ES123" s="164"/>
      <c r="ET123" s="164"/>
      <c r="EU123" s="164"/>
      <c r="EV123" s="164"/>
      <c r="EW123" s="164"/>
      <c r="EX123" s="164"/>
      <c r="EY123" s="164"/>
      <c r="EZ123" s="164"/>
      <c r="FA123" s="164"/>
      <c r="FB123" s="164"/>
      <c r="FC123" s="164"/>
      <c r="FD123" s="164"/>
      <c r="FE123" s="164"/>
      <c r="FF123" s="164"/>
      <c r="FG123" s="164"/>
      <c r="FH123" s="164"/>
      <c r="FI123" s="164"/>
      <c r="FJ123" s="164"/>
      <c r="FK123" s="164"/>
      <c r="FL123" s="164"/>
      <c r="FM123" s="164"/>
      <c r="FN123" s="164"/>
      <c r="FO123" s="164"/>
      <c r="FP123" s="164"/>
      <c r="FQ123" s="164"/>
      <c r="FR123" s="164"/>
      <c r="FS123" s="164"/>
      <c r="FT123" s="164"/>
      <c r="FU123" s="164"/>
      <c r="FV123" s="164"/>
      <c r="FW123" s="164"/>
      <c r="FX123" s="164"/>
      <c r="FY123" s="164"/>
      <c r="FZ123" s="164"/>
      <c r="GA123" s="164"/>
      <c r="GB123" s="164"/>
      <c r="GC123" s="164"/>
      <c r="GD123" s="164"/>
      <c r="GE123" s="164"/>
      <c r="GF123" s="164"/>
      <c r="GG123" s="164"/>
      <c r="GH123" s="164"/>
      <c r="GI123" s="164"/>
      <c r="GJ123" s="164"/>
      <c r="GK123" s="164"/>
      <c r="GL123" s="164"/>
      <c r="GM123" s="164"/>
      <c r="GN123" s="164"/>
      <c r="GO123" s="164"/>
      <c r="GP123" s="164"/>
      <c r="GQ123" s="164"/>
      <c r="GR123" s="164"/>
      <c r="GS123" s="164"/>
      <c r="GT123" s="164"/>
      <c r="GU123" s="164"/>
      <c r="GV123" s="164"/>
      <c r="GW123" s="164"/>
      <c r="GX123" s="164"/>
      <c r="GY123" s="164"/>
      <c r="GZ123" s="164"/>
      <c r="HA123" s="164"/>
      <c r="HB123" s="164"/>
      <c r="HC123" s="164"/>
      <c r="HD123" s="164"/>
      <c r="HE123" s="164"/>
      <c r="HF123" s="164"/>
      <c r="HG123" s="164"/>
      <c r="HH123" s="164"/>
      <c r="HI123" s="164"/>
      <c r="HJ123" s="164"/>
      <c r="HK123" s="164"/>
      <c r="HL123" s="164"/>
      <c r="HM123" s="164"/>
      <c r="HN123" s="164"/>
      <c r="HO123" s="164"/>
      <c r="HP123" s="164"/>
      <c r="HQ123" s="164"/>
      <c r="HR123" s="164"/>
      <c r="HS123" s="164"/>
      <c r="HT123" s="164"/>
      <c r="HU123" s="164"/>
      <c r="HV123" s="164"/>
      <c r="HW123" s="164"/>
      <c r="HX123" s="164"/>
      <c r="HY123" s="164"/>
      <c r="HZ123" s="164"/>
      <c r="IA123" s="164"/>
      <c r="IB123" s="164"/>
      <c r="IC123" s="164"/>
      <c r="ID123" s="164"/>
      <c r="IE123" s="164"/>
      <c r="IF123" s="164"/>
      <c r="IG123" s="164"/>
      <c r="IH123" s="164"/>
      <c r="II123" s="164"/>
      <c r="IJ123" s="164"/>
      <c r="IK123" s="164"/>
      <c r="IL123" s="164"/>
      <c r="IM123" s="164"/>
      <c r="IN123" s="164"/>
      <c r="IO123" s="164"/>
      <c r="IP123" s="164"/>
      <c r="IQ123" s="164"/>
      <c r="IR123" s="164"/>
      <c r="IS123" s="164"/>
      <c r="IT123" s="164"/>
      <c r="IU123" s="164"/>
      <c r="IV123" s="164"/>
      <c r="IW123" s="164"/>
      <c r="IX123" s="164"/>
      <c r="IY123" s="164"/>
      <c r="IZ123" s="164"/>
      <c r="JA123" s="164"/>
      <c r="JB123" s="164"/>
      <c r="JC123" s="164"/>
      <c r="JD123" s="164"/>
      <c r="JE123" s="164"/>
      <c r="JF123" s="164"/>
      <c r="JG123" s="164"/>
      <c r="JH123" s="164"/>
      <c r="JI123" s="164"/>
      <c r="JJ123" s="164"/>
      <c r="JK123" s="164"/>
      <c r="JL123" s="164"/>
      <c r="JM123" s="164"/>
      <c r="JN123" s="164"/>
      <c r="JO123" s="164"/>
      <c r="JP123" s="164"/>
      <c r="JQ123" s="164"/>
      <c r="JR123" s="164"/>
      <c r="JS123" s="164"/>
      <c r="JT123" s="164"/>
      <c r="JU123" s="164"/>
      <c r="JV123" s="164"/>
      <c r="JW123" s="164"/>
      <c r="JX123" s="164"/>
      <c r="JY123" s="164"/>
      <c r="JZ123" s="164"/>
      <c r="KA123" s="164"/>
      <c r="KB123" s="164"/>
      <c r="KC123" s="164"/>
      <c r="KD123" s="164"/>
      <c r="KE123" s="164"/>
      <c r="KF123" s="164"/>
      <c r="KG123" s="164"/>
      <c r="KH123" s="164"/>
      <c r="KI123" s="164"/>
      <c r="KJ123" s="164"/>
      <c r="KK123" s="164"/>
      <c r="KL123" s="164"/>
      <c r="KM123" s="164"/>
      <c r="KN123" s="164"/>
      <c r="KO123" s="164"/>
      <c r="KP123" s="164"/>
      <c r="KQ123" s="164"/>
      <c r="KR123" s="164"/>
      <c r="KS123" s="164"/>
      <c r="KT123" s="164"/>
      <c r="KU123" s="164"/>
      <c r="KV123" s="164"/>
      <c r="KW123" s="164"/>
      <c r="KX123" s="164"/>
      <c r="KY123" s="164"/>
      <c r="KZ123" s="164"/>
      <c r="LA123" s="164"/>
      <c r="LB123" s="164"/>
      <c r="LC123" s="164"/>
      <c r="LD123" s="164"/>
      <c r="LE123" s="164"/>
      <c r="LF123" s="164"/>
      <c r="LG123" s="164"/>
      <c r="LH123" s="164"/>
      <c r="LI123" s="164"/>
      <c r="LJ123" s="164"/>
      <c r="LK123" s="164"/>
      <c r="LL123" s="164"/>
      <c r="LM123" s="164"/>
      <c r="LN123" s="164"/>
      <c r="LO123" s="164"/>
      <c r="LP123" s="164"/>
      <c r="LQ123" s="164"/>
      <c r="LR123" s="164"/>
      <c r="LS123" s="164"/>
      <c r="LT123" s="164"/>
      <c r="LU123" s="164"/>
      <c r="LV123" s="164"/>
      <c r="LW123" s="164"/>
      <c r="LX123" s="164"/>
      <c r="LY123" s="164"/>
      <c r="LZ123" s="164"/>
      <c r="MA123" s="164"/>
      <c r="MB123" s="164"/>
      <c r="MC123" s="164"/>
      <c r="MD123" s="164"/>
      <c r="ME123" s="164"/>
      <c r="MF123" s="164"/>
      <c r="MG123" s="164"/>
      <c r="MH123" s="164"/>
      <c r="MI123" s="164"/>
      <c r="MJ123" s="164"/>
      <c r="MK123" s="164"/>
      <c r="ML123" s="164"/>
      <c r="MM123" s="164"/>
      <c r="MN123" s="164"/>
      <c r="MO123" s="164"/>
      <c r="MP123" s="164"/>
      <c r="MQ123" s="164"/>
      <c r="MR123" s="164"/>
      <c r="MS123" s="164"/>
      <c r="MT123" s="164"/>
      <c r="MU123" s="164"/>
      <c r="MV123" s="164"/>
      <c r="MW123" s="164"/>
      <c r="MX123" s="164"/>
      <c r="MY123" s="164"/>
      <c r="MZ123" s="164"/>
      <c r="NA123" s="164"/>
      <c r="NB123" s="164"/>
      <c r="NC123" s="164"/>
      <c r="ND123" s="164"/>
      <c r="NE123" s="164"/>
      <c r="NF123" s="164"/>
      <c r="NG123" s="164"/>
      <c r="NH123" s="164"/>
      <c r="NI123" s="164"/>
      <c r="NJ123" s="164"/>
      <c r="NK123" s="164"/>
      <c r="NL123" s="164"/>
      <c r="NM123" s="164"/>
      <c r="NN123" s="164"/>
      <c r="NO123" s="164"/>
      <c r="NP123" s="164"/>
      <c r="NQ123" s="164"/>
      <c r="NR123" s="164"/>
      <c r="NS123" s="164"/>
      <c r="NT123" s="164"/>
      <c r="NU123" s="164"/>
      <c r="NV123" s="164"/>
      <c r="NW123" s="164"/>
      <c r="NX123" s="164"/>
      <c r="NY123" s="164"/>
      <c r="NZ123" s="164"/>
      <c r="OA123" s="164"/>
      <c r="OB123" s="164"/>
      <c r="OC123" s="164"/>
      <c r="OD123" s="164"/>
      <c r="OE123" s="164"/>
      <c r="OF123" s="164"/>
      <c r="OG123" s="164"/>
      <c r="OH123" s="164"/>
      <c r="OI123" s="164"/>
      <c r="OJ123" s="164"/>
      <c r="OK123" s="164"/>
      <c r="OL123" s="164"/>
      <c r="OM123" s="164"/>
      <c r="ON123" s="164"/>
      <c r="OO123" s="164"/>
      <c r="OP123" s="164"/>
      <c r="OQ123" s="164"/>
      <c r="OR123" s="164"/>
      <c r="OS123" s="164"/>
      <c r="OT123" s="164"/>
      <c r="OU123" s="164"/>
      <c r="OV123" s="164"/>
      <c r="OW123" s="164"/>
      <c r="OX123" s="164"/>
      <c r="OY123" s="164"/>
      <c r="OZ123" s="164"/>
      <c r="PA123" s="164"/>
      <c r="PB123" s="164"/>
      <c r="PC123" s="164"/>
      <c r="PD123" s="164"/>
      <c r="PE123" s="164"/>
      <c r="PF123" s="164"/>
      <c r="PG123" s="164"/>
      <c r="PH123" s="164"/>
      <c r="PI123" s="164"/>
      <c r="PJ123" s="164"/>
      <c r="PK123" s="164"/>
      <c r="PL123" s="164"/>
      <c r="PM123" s="164"/>
      <c r="PN123" s="164"/>
      <c r="PO123" s="164"/>
      <c r="PP123" s="164"/>
      <c r="PQ123" s="164"/>
      <c r="PR123" s="164"/>
      <c r="PS123" s="164"/>
      <c r="PT123" s="164"/>
      <c r="PU123" s="164"/>
      <c r="PV123" s="164"/>
      <c r="PW123" s="164"/>
      <c r="PX123" s="164"/>
      <c r="PY123" s="164"/>
      <c r="PZ123" s="164"/>
      <c r="QA123" s="164"/>
      <c r="QB123" s="164"/>
      <c r="QC123" s="164"/>
      <c r="QD123" s="164"/>
      <c r="QE123" s="164"/>
      <c r="QF123" s="164"/>
      <c r="QG123" s="164"/>
      <c r="QH123" s="164"/>
      <c r="QI123" s="164"/>
      <c r="QJ123" s="164"/>
      <c r="QK123" s="164"/>
      <c r="QL123" s="164"/>
      <c r="QM123" s="164"/>
      <c r="QN123" s="164"/>
      <c r="QO123" s="164"/>
      <c r="QP123" s="164"/>
      <c r="QQ123" s="164"/>
      <c r="QR123" s="164"/>
      <c r="QS123" s="164"/>
      <c r="QT123" s="164"/>
      <c r="QU123" s="164"/>
      <c r="QV123" s="164"/>
      <c r="QW123" s="164"/>
      <c r="QX123" s="164"/>
      <c r="QY123" s="164"/>
      <c r="QZ123" s="164"/>
      <c r="RA123" s="164"/>
      <c r="RB123" s="164"/>
      <c r="RC123" s="164"/>
      <c r="RD123" s="164"/>
      <c r="RE123" s="164"/>
      <c r="RF123" s="164"/>
      <c r="RG123" s="164"/>
      <c r="RH123" s="164"/>
      <c r="RI123" s="164"/>
      <c r="RJ123" s="164"/>
      <c r="RK123" s="164"/>
      <c r="RL123" s="164"/>
      <c r="RM123" s="164"/>
      <c r="RN123" s="164"/>
      <c r="RO123" s="164"/>
      <c r="RP123" s="164"/>
      <c r="RQ123" s="164"/>
      <c r="RR123" s="164"/>
      <c r="RS123" s="164"/>
      <c r="RT123" s="164"/>
      <c r="RU123" s="164"/>
      <c r="RV123" s="164"/>
      <c r="RW123" s="164"/>
      <c r="RX123" s="164"/>
      <c r="RY123" s="164"/>
      <c r="RZ123" s="164"/>
      <c r="SA123" s="164"/>
      <c r="SB123" s="164"/>
      <c r="SC123" s="164"/>
      <c r="SD123" s="164"/>
      <c r="SE123" s="164"/>
      <c r="SF123" s="164"/>
      <c r="SG123" s="164"/>
      <c r="SH123" s="164"/>
      <c r="SI123" s="164"/>
      <c r="SJ123" s="164"/>
      <c r="SK123" s="164"/>
      <c r="SL123" s="164"/>
      <c r="SM123" s="164"/>
      <c r="SN123" s="164"/>
      <c r="SO123" s="164"/>
      <c r="SP123" s="164"/>
      <c r="SQ123" s="164"/>
      <c r="SR123" s="164"/>
    </row>
    <row r="124" spans="1:512" s="167" customFormat="1" ht="15" customHeight="1" x14ac:dyDescent="0.7">
      <c r="A124" s="173"/>
      <c r="B124" s="173"/>
      <c r="C124" s="173"/>
      <c r="D124" s="173"/>
      <c r="E124" s="173"/>
      <c r="F124" s="173"/>
      <c r="G124" s="173"/>
      <c r="H124" s="74"/>
      <c r="I124" s="162"/>
      <c r="J124" s="163"/>
      <c r="K124" s="187"/>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c r="BI124" s="166"/>
      <c r="BJ124" s="166"/>
      <c r="BK124" s="166"/>
      <c r="BL124" s="166"/>
      <c r="BM124" s="166"/>
      <c r="BN124" s="166"/>
      <c r="BO124" s="166"/>
      <c r="BP124" s="166"/>
      <c r="BQ124" s="166"/>
      <c r="BR124" s="166"/>
      <c r="BS124" s="166"/>
      <c r="BT124" s="166"/>
      <c r="BU124" s="166"/>
      <c r="BV124" s="166"/>
      <c r="BW124" s="166"/>
      <c r="BX124" s="166"/>
      <c r="BY124" s="166"/>
      <c r="BZ124" s="166"/>
      <c r="CA124" s="166"/>
      <c r="CB124" s="166"/>
      <c r="CC124" s="166"/>
      <c r="CD124" s="166"/>
      <c r="CE124" s="166"/>
      <c r="CF124" s="166"/>
      <c r="CG124" s="166"/>
      <c r="CH124" s="166"/>
      <c r="CI124" s="166"/>
      <c r="CJ124" s="166"/>
      <c r="CK124" s="166"/>
      <c r="CL124" s="166"/>
      <c r="CM124" s="166"/>
      <c r="CN124" s="166"/>
      <c r="CO124" s="166"/>
      <c r="CP124" s="166"/>
      <c r="CQ124" s="166"/>
      <c r="CR124" s="166"/>
      <c r="CS124" s="166"/>
      <c r="CT124" s="166"/>
      <c r="CU124" s="166"/>
      <c r="CV124" s="166"/>
      <c r="CW124" s="166"/>
      <c r="CX124" s="166"/>
      <c r="CY124" s="166"/>
      <c r="CZ124" s="166"/>
      <c r="DA124" s="166"/>
      <c r="DB124" s="166"/>
      <c r="DC124" s="166"/>
      <c r="DD124" s="166"/>
      <c r="DE124" s="166"/>
      <c r="DF124" s="166"/>
      <c r="DG124" s="166"/>
      <c r="DH124" s="166"/>
      <c r="DI124" s="166"/>
      <c r="DJ124" s="166"/>
      <c r="DK124" s="166"/>
      <c r="DL124" s="166"/>
      <c r="DM124" s="166"/>
      <c r="DN124" s="166"/>
      <c r="DO124" s="166"/>
      <c r="DP124" s="166"/>
      <c r="DQ124" s="166"/>
      <c r="DR124" s="166"/>
      <c r="DS124" s="166"/>
      <c r="DT124" s="166"/>
      <c r="DU124" s="166"/>
      <c r="DV124" s="166"/>
      <c r="DW124" s="166"/>
      <c r="DX124" s="166"/>
      <c r="DY124" s="166"/>
      <c r="DZ124" s="166"/>
      <c r="EA124" s="166"/>
      <c r="EB124" s="166"/>
      <c r="EC124" s="166"/>
      <c r="ED124" s="166"/>
      <c r="EE124" s="166"/>
      <c r="EF124" s="166"/>
      <c r="EG124" s="166"/>
      <c r="EH124" s="166"/>
      <c r="EI124" s="166"/>
      <c r="EJ124" s="166"/>
      <c r="EK124" s="166"/>
      <c r="EL124" s="166"/>
      <c r="EM124" s="166"/>
      <c r="EN124" s="166"/>
      <c r="EO124" s="166"/>
      <c r="EP124" s="166"/>
      <c r="EQ124" s="166"/>
      <c r="ER124" s="166"/>
      <c r="ES124" s="166"/>
      <c r="ET124" s="166"/>
      <c r="EU124" s="166"/>
      <c r="EV124" s="166"/>
      <c r="EW124" s="166"/>
      <c r="EX124" s="166"/>
      <c r="EY124" s="166"/>
      <c r="EZ124" s="166"/>
      <c r="FA124" s="166"/>
      <c r="FB124" s="166"/>
      <c r="FC124" s="166"/>
      <c r="FD124" s="166"/>
      <c r="FE124" s="166"/>
      <c r="FF124" s="166"/>
      <c r="FG124" s="166"/>
      <c r="FH124" s="166"/>
      <c r="FI124" s="166"/>
      <c r="FJ124" s="166"/>
      <c r="FK124" s="166"/>
      <c r="FL124" s="166"/>
      <c r="FM124" s="166"/>
      <c r="FN124" s="166"/>
      <c r="FO124" s="166"/>
      <c r="FP124" s="166"/>
      <c r="FQ124" s="166"/>
      <c r="FR124" s="166"/>
      <c r="FS124" s="166"/>
      <c r="FT124" s="166"/>
      <c r="FU124" s="166"/>
      <c r="FV124" s="166"/>
      <c r="FW124" s="166"/>
      <c r="FX124" s="166"/>
      <c r="FY124" s="166"/>
      <c r="FZ124" s="166"/>
      <c r="GA124" s="166"/>
      <c r="GB124" s="166"/>
      <c r="GC124" s="166"/>
      <c r="GD124" s="166"/>
      <c r="GE124" s="166"/>
      <c r="GF124" s="166"/>
      <c r="GG124" s="166"/>
      <c r="GH124" s="166"/>
      <c r="GI124" s="166"/>
      <c r="GJ124" s="166"/>
      <c r="GK124" s="166"/>
      <c r="GL124" s="166"/>
      <c r="GM124" s="166"/>
      <c r="GN124" s="166"/>
      <c r="GO124" s="166"/>
      <c r="GP124" s="166"/>
      <c r="GQ124" s="166"/>
      <c r="GR124" s="166"/>
      <c r="GS124" s="166"/>
      <c r="GT124" s="166"/>
      <c r="GU124" s="166"/>
      <c r="GV124" s="166"/>
      <c r="GW124" s="166"/>
      <c r="GX124" s="166"/>
      <c r="GY124" s="166"/>
      <c r="GZ124" s="166"/>
      <c r="HA124" s="166"/>
      <c r="HB124" s="166"/>
      <c r="HC124" s="166"/>
      <c r="HD124" s="166"/>
      <c r="HE124" s="166"/>
      <c r="HF124" s="166"/>
      <c r="HG124" s="166"/>
      <c r="HH124" s="166"/>
      <c r="HI124" s="166"/>
      <c r="HJ124" s="166"/>
      <c r="HK124" s="166"/>
      <c r="HL124" s="166"/>
      <c r="HM124" s="166"/>
      <c r="HN124" s="166"/>
      <c r="HO124" s="166"/>
      <c r="HP124" s="166"/>
      <c r="HQ124" s="166"/>
      <c r="HR124" s="166"/>
      <c r="HS124" s="166"/>
      <c r="HT124" s="166"/>
      <c r="HU124" s="166"/>
      <c r="HV124" s="166"/>
      <c r="HW124" s="166"/>
      <c r="HX124" s="166"/>
      <c r="HY124" s="166"/>
      <c r="HZ124" s="166"/>
      <c r="IA124" s="166"/>
      <c r="IB124" s="166"/>
      <c r="IC124" s="166"/>
      <c r="ID124" s="166"/>
      <c r="IE124" s="166"/>
      <c r="IF124" s="166"/>
      <c r="IG124" s="166"/>
      <c r="IH124" s="166"/>
      <c r="II124" s="166"/>
      <c r="IJ124" s="166"/>
      <c r="IK124" s="166"/>
      <c r="IL124" s="166"/>
      <c r="IM124" s="166"/>
      <c r="IN124" s="166"/>
      <c r="IO124" s="166"/>
      <c r="IP124" s="166"/>
      <c r="IQ124" s="166"/>
      <c r="IR124" s="166"/>
      <c r="IS124" s="166"/>
      <c r="IT124" s="166"/>
      <c r="IU124" s="166"/>
      <c r="IV124" s="166"/>
      <c r="IW124" s="166"/>
      <c r="IX124" s="166"/>
      <c r="IY124" s="166"/>
      <c r="IZ124" s="166"/>
      <c r="JA124" s="166"/>
      <c r="JB124" s="166"/>
      <c r="JC124" s="166"/>
      <c r="JD124" s="166"/>
      <c r="JE124" s="166"/>
      <c r="JF124" s="166"/>
      <c r="JG124" s="166"/>
      <c r="JH124" s="166"/>
      <c r="JI124" s="166"/>
      <c r="JJ124" s="166"/>
      <c r="JK124" s="166"/>
      <c r="JL124" s="166"/>
      <c r="JM124" s="166"/>
      <c r="JN124" s="166"/>
      <c r="JO124" s="166"/>
      <c r="JP124" s="166"/>
      <c r="JQ124" s="166"/>
      <c r="JR124" s="166"/>
      <c r="JS124" s="166"/>
      <c r="JT124" s="166"/>
      <c r="JU124" s="166"/>
      <c r="JV124" s="166"/>
      <c r="JW124" s="166"/>
      <c r="JX124" s="166"/>
      <c r="JY124" s="166"/>
      <c r="JZ124" s="166"/>
      <c r="KA124" s="166"/>
      <c r="KB124" s="166"/>
      <c r="KC124" s="166"/>
      <c r="KD124" s="166"/>
      <c r="KE124" s="166"/>
      <c r="KF124" s="166"/>
      <c r="KG124" s="166"/>
      <c r="KH124" s="166"/>
      <c r="KI124" s="166"/>
      <c r="KJ124" s="166"/>
      <c r="KK124" s="166"/>
      <c r="KL124" s="166"/>
      <c r="KM124" s="166"/>
      <c r="KN124" s="166"/>
      <c r="KO124" s="166"/>
      <c r="KP124" s="166"/>
      <c r="KQ124" s="166"/>
      <c r="KR124" s="166"/>
      <c r="KS124" s="166"/>
      <c r="KT124" s="166"/>
      <c r="KU124" s="166"/>
      <c r="KV124" s="166"/>
      <c r="KW124" s="166"/>
      <c r="KX124" s="166"/>
      <c r="KY124" s="166"/>
      <c r="KZ124" s="166"/>
      <c r="LA124" s="166"/>
      <c r="LB124" s="166"/>
      <c r="LC124" s="166"/>
      <c r="LD124" s="166"/>
      <c r="LE124" s="166"/>
      <c r="LF124" s="166"/>
      <c r="LG124" s="166"/>
      <c r="LH124" s="166"/>
      <c r="LI124" s="166"/>
      <c r="LJ124" s="166"/>
      <c r="LK124" s="166"/>
      <c r="LL124" s="166"/>
      <c r="LM124" s="166"/>
      <c r="LN124" s="166"/>
      <c r="LO124" s="166"/>
      <c r="LP124" s="166"/>
      <c r="LQ124" s="166"/>
      <c r="LR124" s="166"/>
      <c r="LS124" s="166"/>
      <c r="LT124" s="166"/>
      <c r="LU124" s="166"/>
      <c r="LV124" s="166"/>
      <c r="LW124" s="166"/>
      <c r="LX124" s="166"/>
      <c r="LY124" s="166"/>
      <c r="LZ124" s="166"/>
      <c r="MA124" s="166"/>
      <c r="MB124" s="166"/>
      <c r="MC124" s="166"/>
      <c r="MD124" s="166"/>
      <c r="ME124" s="166"/>
      <c r="MF124" s="166"/>
      <c r="MG124" s="166"/>
      <c r="MH124" s="166"/>
      <c r="MI124" s="166"/>
      <c r="MJ124" s="166"/>
      <c r="MK124" s="166"/>
      <c r="ML124" s="166"/>
      <c r="MM124" s="166"/>
      <c r="MN124" s="166"/>
      <c r="MO124" s="166"/>
      <c r="MP124" s="166"/>
      <c r="MQ124" s="166"/>
      <c r="MR124" s="166"/>
      <c r="MS124" s="166"/>
      <c r="MT124" s="166"/>
      <c r="MU124" s="166"/>
      <c r="MV124" s="166"/>
      <c r="MW124" s="166"/>
      <c r="MX124" s="166"/>
      <c r="MY124" s="166"/>
      <c r="MZ124" s="166"/>
      <c r="NA124" s="166"/>
      <c r="NB124" s="166"/>
      <c r="NC124" s="166"/>
      <c r="ND124" s="166"/>
      <c r="NE124" s="166"/>
      <c r="NF124" s="166"/>
      <c r="NG124" s="166"/>
      <c r="NH124" s="166"/>
      <c r="NI124" s="166"/>
      <c r="NJ124" s="166"/>
      <c r="NK124" s="166"/>
      <c r="NL124" s="166"/>
      <c r="NM124" s="166"/>
      <c r="NN124" s="166"/>
      <c r="NO124" s="166"/>
      <c r="NP124" s="166"/>
      <c r="NQ124" s="166"/>
      <c r="NR124" s="166"/>
      <c r="NS124" s="166"/>
      <c r="NT124" s="166"/>
      <c r="NU124" s="166"/>
      <c r="NV124" s="166"/>
      <c r="NW124" s="166"/>
      <c r="NX124" s="166"/>
      <c r="NY124" s="166"/>
      <c r="NZ124" s="166"/>
      <c r="OA124" s="166"/>
      <c r="OB124" s="166"/>
      <c r="OC124" s="166"/>
      <c r="OD124" s="166"/>
      <c r="OE124" s="166"/>
      <c r="OF124" s="166"/>
      <c r="OG124" s="166"/>
      <c r="OH124" s="166"/>
      <c r="OI124" s="166"/>
      <c r="OJ124" s="166"/>
      <c r="OK124" s="166"/>
      <c r="OL124" s="166"/>
      <c r="OM124" s="166"/>
      <c r="ON124" s="166"/>
      <c r="OO124" s="166"/>
      <c r="OP124" s="166"/>
      <c r="OQ124" s="166"/>
      <c r="OR124" s="166"/>
      <c r="OS124" s="166"/>
      <c r="OT124" s="166"/>
      <c r="OU124" s="166"/>
      <c r="OV124" s="166"/>
      <c r="OW124" s="166"/>
      <c r="OX124" s="166"/>
      <c r="OY124" s="166"/>
      <c r="OZ124" s="166"/>
      <c r="PA124" s="166"/>
      <c r="PB124" s="166"/>
      <c r="PC124" s="166"/>
      <c r="PD124" s="166"/>
      <c r="PE124" s="166"/>
      <c r="PF124" s="166"/>
      <c r="PG124" s="166"/>
      <c r="PH124" s="166"/>
      <c r="PI124" s="166"/>
      <c r="PJ124" s="166"/>
      <c r="PK124" s="166"/>
      <c r="PL124" s="166"/>
      <c r="PM124" s="166"/>
      <c r="PN124" s="166"/>
      <c r="PO124" s="166"/>
      <c r="PP124" s="166"/>
      <c r="PQ124" s="166"/>
      <c r="PR124" s="166"/>
      <c r="PS124" s="166"/>
      <c r="PT124" s="166"/>
      <c r="PU124" s="166"/>
      <c r="PV124" s="166"/>
      <c r="PW124" s="166"/>
      <c r="PX124" s="166"/>
      <c r="PY124" s="166"/>
      <c r="PZ124" s="166"/>
      <c r="QA124" s="166"/>
      <c r="QB124" s="166"/>
      <c r="QC124" s="166"/>
      <c r="QD124" s="166"/>
      <c r="QE124" s="166"/>
      <c r="QF124" s="166"/>
      <c r="QG124" s="166"/>
      <c r="QH124" s="166"/>
      <c r="QI124" s="166"/>
      <c r="QJ124" s="166"/>
      <c r="QK124" s="166"/>
      <c r="QL124" s="166"/>
      <c r="QM124" s="166"/>
      <c r="QN124" s="166"/>
      <c r="QO124" s="166"/>
      <c r="QP124" s="166"/>
      <c r="QQ124" s="166"/>
      <c r="QR124" s="166"/>
      <c r="QS124" s="166"/>
      <c r="QT124" s="166"/>
      <c r="QU124" s="166"/>
      <c r="QV124" s="166"/>
      <c r="QW124" s="166"/>
      <c r="QX124" s="166"/>
      <c r="QY124" s="166"/>
      <c r="QZ124" s="166"/>
      <c r="RA124" s="166"/>
      <c r="RB124" s="166"/>
      <c r="RC124" s="166"/>
      <c r="RD124" s="166"/>
      <c r="RE124" s="166"/>
      <c r="RF124" s="166"/>
      <c r="RG124" s="166"/>
      <c r="RH124" s="166"/>
      <c r="RI124" s="166"/>
      <c r="RJ124" s="166"/>
      <c r="RK124" s="166"/>
      <c r="RL124" s="166"/>
      <c r="RM124" s="166"/>
      <c r="RN124" s="166"/>
      <c r="RO124" s="166"/>
      <c r="RP124" s="166"/>
      <c r="RQ124" s="166"/>
      <c r="RR124" s="166"/>
      <c r="RS124" s="166"/>
      <c r="RT124" s="166"/>
      <c r="RU124" s="166"/>
      <c r="RV124" s="166"/>
      <c r="RW124" s="166"/>
      <c r="RX124" s="166"/>
      <c r="RY124" s="166"/>
      <c r="RZ124" s="166"/>
      <c r="SA124" s="166"/>
      <c r="SB124" s="166"/>
      <c r="SC124" s="166"/>
      <c r="SD124" s="166"/>
      <c r="SE124" s="166"/>
      <c r="SF124" s="166"/>
      <c r="SG124" s="166"/>
      <c r="SH124" s="166"/>
      <c r="SI124" s="166"/>
      <c r="SJ124" s="166"/>
      <c r="SK124" s="166"/>
      <c r="SL124" s="166"/>
      <c r="SM124" s="166"/>
      <c r="SN124" s="166"/>
      <c r="SO124" s="166"/>
      <c r="SP124" s="166"/>
      <c r="SQ124" s="166"/>
      <c r="SR124" s="166"/>
    </row>
    <row r="125" spans="1:512" ht="15" customHeight="1" x14ac:dyDescent="0.7">
      <c r="A125" s="171" t="s">
        <v>344</v>
      </c>
      <c r="B125" s="171" t="s">
        <v>344</v>
      </c>
      <c r="C125" s="171" t="s">
        <v>344</v>
      </c>
      <c r="D125" s="171"/>
      <c r="E125" s="171" t="s">
        <v>344</v>
      </c>
      <c r="F125" s="171"/>
      <c r="G125" s="188" t="s">
        <v>344</v>
      </c>
      <c r="H125" s="71" t="s">
        <v>344</v>
      </c>
      <c r="I125" s="72" t="s">
        <v>344</v>
      </c>
      <c r="J125" s="73" t="s">
        <v>344</v>
      </c>
      <c r="K125" s="189" t="s">
        <v>344</v>
      </c>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c r="DS125" s="54"/>
      <c r="DT125" s="54"/>
      <c r="DU125" s="54"/>
      <c r="DV125" s="54"/>
      <c r="DW125" s="54"/>
      <c r="DX125" s="54"/>
      <c r="DY125" s="54"/>
      <c r="DZ125" s="54"/>
      <c r="EA125" s="54"/>
      <c r="EB125" s="54"/>
      <c r="EC125" s="54"/>
      <c r="ED125" s="54"/>
      <c r="EE125" s="54"/>
      <c r="EF125" s="54"/>
      <c r="EG125" s="54"/>
      <c r="EH125" s="54"/>
      <c r="EI125" s="54"/>
      <c r="EJ125" s="54"/>
      <c r="EK125" s="54"/>
      <c r="EL125" s="54"/>
      <c r="EM125" s="54"/>
      <c r="EN125" s="54"/>
      <c r="EO125" s="54"/>
      <c r="EP125" s="54"/>
      <c r="EQ125" s="54"/>
      <c r="ER125" s="54"/>
      <c r="ES125" s="54"/>
      <c r="ET125" s="54"/>
      <c r="EU125" s="54"/>
      <c r="EV125" s="54"/>
      <c r="EW125" s="54"/>
      <c r="EX125" s="54"/>
      <c r="EY125" s="54"/>
      <c r="EZ125" s="54"/>
      <c r="FA125" s="54"/>
      <c r="FB125" s="54"/>
      <c r="FC125" s="54"/>
      <c r="FD125" s="54"/>
      <c r="FE125" s="54"/>
      <c r="FF125" s="54"/>
      <c r="FG125" s="54"/>
      <c r="FH125" s="54"/>
      <c r="FI125" s="54"/>
      <c r="FJ125" s="54"/>
      <c r="FK125" s="54"/>
      <c r="FL125" s="54"/>
      <c r="FM125" s="54"/>
      <c r="FN125" s="54"/>
      <c r="FO125" s="54"/>
      <c r="FP125" s="54"/>
      <c r="FQ125" s="54"/>
      <c r="FR125" s="54"/>
      <c r="FS125" s="54"/>
      <c r="FT125" s="54"/>
      <c r="FU125" s="54"/>
      <c r="FV125" s="54"/>
      <c r="FW125" s="54"/>
      <c r="FX125" s="54"/>
      <c r="FY125" s="54"/>
      <c r="FZ125" s="54"/>
      <c r="GA125" s="54"/>
      <c r="GB125" s="54"/>
      <c r="GC125" s="54"/>
      <c r="GD125" s="54"/>
      <c r="GE125" s="54"/>
      <c r="GF125" s="54"/>
      <c r="GG125" s="54"/>
      <c r="GH125" s="54"/>
      <c r="GI125" s="54"/>
      <c r="GJ125" s="54"/>
      <c r="GK125" s="54"/>
      <c r="GL125" s="54"/>
      <c r="GM125" s="54"/>
      <c r="GN125" s="54"/>
      <c r="GO125" s="54"/>
      <c r="GP125" s="54"/>
      <c r="GQ125" s="54"/>
      <c r="GR125" s="54"/>
      <c r="GS125" s="54"/>
      <c r="GT125" s="54"/>
      <c r="GU125" s="54"/>
      <c r="GV125" s="54"/>
      <c r="GW125" s="54"/>
      <c r="GX125" s="54"/>
      <c r="GY125" s="54"/>
      <c r="GZ125" s="54"/>
      <c r="HA125" s="54"/>
      <c r="HB125" s="54"/>
      <c r="HC125" s="54"/>
      <c r="HD125" s="54"/>
      <c r="HE125" s="54"/>
      <c r="HF125" s="54"/>
      <c r="HG125" s="54"/>
      <c r="HH125" s="54"/>
      <c r="HI125" s="54"/>
      <c r="HJ125" s="54"/>
      <c r="HK125" s="54"/>
      <c r="HL125" s="54"/>
      <c r="HM125" s="54"/>
      <c r="HN125" s="54"/>
      <c r="HO125" s="54"/>
      <c r="HP125" s="54"/>
      <c r="HQ125" s="54"/>
      <c r="HR125" s="54"/>
      <c r="HS125" s="54"/>
      <c r="HT125" s="54"/>
      <c r="HU125" s="54"/>
      <c r="HV125" s="54"/>
      <c r="HW125" s="54"/>
      <c r="HX125" s="54"/>
      <c r="HY125" s="54"/>
      <c r="HZ125" s="54"/>
      <c r="IA125" s="54"/>
      <c r="IB125" s="54"/>
      <c r="IC125" s="54"/>
      <c r="ID125" s="54"/>
      <c r="IE125" s="54"/>
      <c r="IF125" s="54"/>
      <c r="IG125" s="54"/>
      <c r="IH125" s="54"/>
      <c r="II125" s="54"/>
      <c r="IJ125" s="54"/>
      <c r="IK125" s="54"/>
      <c r="IL125" s="54"/>
      <c r="IM125" s="54"/>
      <c r="IN125" s="54"/>
      <c r="IO125" s="54"/>
      <c r="IP125" s="54"/>
      <c r="IQ125" s="54"/>
      <c r="IR125" s="54"/>
      <c r="IS125" s="54"/>
      <c r="IT125" s="54"/>
      <c r="IU125" s="54"/>
      <c r="IV125" s="54"/>
      <c r="IW125" s="54"/>
      <c r="IX125" s="54"/>
      <c r="IY125" s="54"/>
      <c r="IZ125" s="54"/>
      <c r="JA125" s="54"/>
      <c r="JB125" s="54"/>
      <c r="JC125" s="54"/>
      <c r="JD125" s="54"/>
      <c r="JE125" s="54"/>
      <c r="JF125" s="54"/>
      <c r="JG125" s="54"/>
      <c r="JH125" s="54"/>
      <c r="JI125" s="54"/>
      <c r="JJ125" s="54"/>
      <c r="JK125" s="54"/>
      <c r="JL125" s="54"/>
      <c r="JM125" s="54"/>
      <c r="JN125" s="54"/>
      <c r="JO125" s="54"/>
      <c r="JP125" s="54"/>
      <c r="JQ125" s="54"/>
      <c r="JR125" s="54"/>
      <c r="JS125" s="54"/>
      <c r="JT125" s="54"/>
      <c r="JU125" s="54"/>
      <c r="JV125" s="54"/>
      <c r="JW125" s="54"/>
      <c r="JX125" s="54"/>
      <c r="JY125" s="54"/>
      <c r="JZ125" s="54"/>
      <c r="KA125" s="54"/>
      <c r="KB125" s="54"/>
      <c r="KC125" s="54"/>
      <c r="KD125" s="54"/>
      <c r="KE125" s="54"/>
      <c r="KF125" s="54"/>
      <c r="KG125" s="54"/>
      <c r="KH125" s="54"/>
      <c r="KI125" s="54"/>
      <c r="KJ125" s="54"/>
      <c r="KK125" s="54"/>
      <c r="KL125" s="54"/>
      <c r="KM125" s="54"/>
      <c r="KN125" s="54"/>
      <c r="KO125" s="54"/>
      <c r="KP125" s="54"/>
      <c r="KQ125" s="54"/>
      <c r="KR125" s="54"/>
      <c r="KS125" s="54"/>
      <c r="KT125" s="54"/>
      <c r="KU125" s="54"/>
      <c r="KV125" s="54"/>
      <c r="KW125" s="54"/>
      <c r="KX125" s="54"/>
      <c r="KY125" s="54"/>
      <c r="KZ125" s="54"/>
      <c r="LA125" s="54"/>
      <c r="LB125" s="54"/>
      <c r="LC125" s="54"/>
      <c r="LD125" s="54"/>
      <c r="LE125" s="54"/>
      <c r="LF125" s="54"/>
      <c r="LG125" s="54"/>
      <c r="LH125" s="54"/>
      <c r="LI125" s="54"/>
      <c r="LJ125" s="54"/>
      <c r="LK125" s="54"/>
      <c r="LL125" s="54"/>
      <c r="LM125" s="54"/>
      <c r="LN125" s="54"/>
      <c r="LO125" s="54"/>
      <c r="LP125" s="54"/>
      <c r="LQ125" s="54"/>
      <c r="LR125" s="54"/>
      <c r="LS125" s="54"/>
      <c r="LT125" s="54"/>
      <c r="LU125" s="54"/>
      <c r="LV125" s="54"/>
      <c r="LW125" s="54"/>
      <c r="LX125" s="54"/>
      <c r="LY125" s="54"/>
      <c r="LZ125" s="54"/>
      <c r="MA125" s="54"/>
      <c r="MB125" s="54"/>
      <c r="MC125" s="54"/>
      <c r="MD125" s="54"/>
      <c r="ME125" s="54"/>
      <c r="MF125" s="54"/>
      <c r="MG125" s="54"/>
      <c r="MH125" s="54"/>
      <c r="MI125" s="54"/>
      <c r="MJ125" s="54"/>
      <c r="MK125" s="54"/>
      <c r="ML125" s="54"/>
      <c r="MM125" s="54"/>
      <c r="MN125" s="54"/>
      <c r="MO125" s="54"/>
      <c r="MP125" s="54"/>
      <c r="MQ125" s="54"/>
      <c r="MR125" s="54"/>
      <c r="MS125" s="54"/>
      <c r="MT125" s="54"/>
      <c r="MU125" s="54"/>
      <c r="MV125" s="54"/>
      <c r="MW125" s="54"/>
      <c r="MX125" s="54"/>
      <c r="MY125" s="54"/>
      <c r="MZ125" s="54"/>
      <c r="NA125" s="54"/>
      <c r="NB125" s="54"/>
      <c r="NC125" s="54"/>
      <c r="ND125" s="54"/>
      <c r="NE125" s="54"/>
      <c r="NF125" s="54"/>
      <c r="NG125" s="54"/>
      <c r="NH125" s="54"/>
      <c r="NI125" s="54"/>
      <c r="NJ125" s="54"/>
      <c r="NK125" s="54"/>
      <c r="NL125" s="54"/>
      <c r="NM125" s="54"/>
      <c r="NN125" s="54"/>
      <c r="NO125" s="54"/>
      <c r="NP125" s="54"/>
      <c r="NQ125" s="54"/>
      <c r="NR125" s="54"/>
      <c r="NS125" s="54"/>
      <c r="NT125" s="54"/>
      <c r="NU125" s="54"/>
      <c r="NV125" s="54"/>
      <c r="NW125" s="54"/>
      <c r="NX125" s="54"/>
      <c r="NY125" s="54"/>
      <c r="NZ125" s="54"/>
      <c r="OA125" s="54"/>
      <c r="OB125" s="54"/>
      <c r="OC125" s="54"/>
      <c r="OD125" s="54"/>
      <c r="OE125" s="54"/>
      <c r="OF125" s="54"/>
      <c r="OG125" s="54"/>
      <c r="OH125" s="54"/>
      <c r="OI125" s="54"/>
      <c r="OJ125" s="54"/>
      <c r="OK125" s="54"/>
      <c r="OL125" s="54"/>
      <c r="OM125" s="54"/>
      <c r="ON125" s="54"/>
      <c r="OO125" s="54"/>
      <c r="OP125" s="54"/>
      <c r="OQ125" s="54"/>
      <c r="OR125" s="54"/>
      <c r="OS125" s="54"/>
      <c r="OT125" s="54"/>
      <c r="OU125" s="54"/>
      <c r="OV125" s="54"/>
      <c r="OW125" s="54"/>
      <c r="OX125" s="54"/>
      <c r="OY125" s="54"/>
      <c r="OZ125" s="54"/>
      <c r="PA125" s="54"/>
      <c r="PB125" s="54"/>
      <c r="PC125" s="54"/>
      <c r="PD125" s="54"/>
      <c r="PE125" s="54"/>
      <c r="PF125" s="54"/>
      <c r="PG125" s="54"/>
      <c r="PH125" s="54"/>
      <c r="PI125" s="54"/>
      <c r="PJ125" s="54"/>
      <c r="PK125" s="54"/>
      <c r="PL125" s="54"/>
      <c r="PM125" s="54"/>
      <c r="PN125" s="54"/>
      <c r="PO125" s="54"/>
      <c r="PP125" s="54"/>
      <c r="PQ125" s="54"/>
      <c r="PR125" s="54"/>
      <c r="PS125" s="54"/>
      <c r="PT125" s="54"/>
      <c r="PU125" s="54"/>
      <c r="PV125" s="54"/>
      <c r="PW125" s="54"/>
      <c r="PX125" s="54"/>
      <c r="PY125" s="54"/>
      <c r="PZ125" s="54"/>
      <c r="QA125" s="54"/>
      <c r="QB125" s="54"/>
      <c r="QC125" s="54"/>
      <c r="QD125" s="54"/>
      <c r="QE125" s="54"/>
      <c r="QF125" s="54"/>
      <c r="QG125" s="54"/>
      <c r="QH125" s="54"/>
      <c r="QI125" s="54"/>
      <c r="QJ125" s="54"/>
      <c r="QK125" s="54"/>
      <c r="QL125" s="54"/>
      <c r="QM125" s="54"/>
      <c r="QN125" s="54"/>
      <c r="QO125" s="54"/>
      <c r="QP125" s="54"/>
      <c r="QQ125" s="54"/>
      <c r="QR125" s="54"/>
      <c r="QS125" s="54"/>
      <c r="QT125" s="54"/>
      <c r="QU125" s="54"/>
      <c r="QV125" s="54"/>
      <c r="QW125" s="54"/>
      <c r="QX125" s="54"/>
      <c r="QY125" s="54"/>
      <c r="QZ125" s="54"/>
      <c r="RA125" s="54"/>
      <c r="RB125" s="54"/>
      <c r="RC125" s="54"/>
      <c r="RD125" s="54"/>
      <c r="RE125" s="54"/>
      <c r="RF125" s="54"/>
      <c r="RG125" s="54"/>
      <c r="RH125" s="54"/>
      <c r="RI125" s="54"/>
      <c r="RJ125" s="54"/>
      <c r="RK125" s="54"/>
      <c r="RL125" s="54"/>
      <c r="RM125" s="54"/>
      <c r="RN125" s="54"/>
      <c r="RO125" s="54"/>
      <c r="RP125" s="54"/>
      <c r="RQ125" s="54"/>
      <c r="RR125" s="54"/>
      <c r="RS125" s="54"/>
      <c r="RT125" s="54"/>
      <c r="RU125" s="54"/>
      <c r="RV125" s="54"/>
      <c r="RW125" s="54"/>
      <c r="RX125" s="54"/>
      <c r="RY125" s="54"/>
      <c r="RZ125" s="54"/>
      <c r="SA125" s="54"/>
      <c r="SB125" s="54"/>
      <c r="SC125" s="54"/>
      <c r="SD125" s="54"/>
      <c r="SE125" s="54"/>
      <c r="SF125" s="54"/>
      <c r="SG125" s="54"/>
      <c r="SH125" s="54"/>
      <c r="SI125" s="54"/>
      <c r="SJ125" s="54"/>
      <c r="SK125" s="54"/>
      <c r="SL125" s="54"/>
      <c r="SM125" s="54"/>
      <c r="SN125" s="54"/>
      <c r="SO125" s="54"/>
      <c r="SP125" s="54"/>
      <c r="SQ125" s="54"/>
      <c r="SR125" s="54"/>
    </row>
    <row r="126" spans="1:512" ht="15" customHeight="1" x14ac:dyDescent="0.7">
      <c r="A126" s="172"/>
      <c r="B126" s="172"/>
      <c r="C126" s="172"/>
      <c r="D126" s="172"/>
      <c r="E126" s="172"/>
      <c r="F126" s="172"/>
      <c r="G126" s="172"/>
      <c r="I126" s="72" t="s">
        <v>344</v>
      </c>
      <c r="J126" s="73" t="s">
        <v>344</v>
      </c>
      <c r="K126" s="190"/>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54"/>
      <c r="CW126" s="54"/>
      <c r="CX126" s="54"/>
      <c r="CY126" s="54"/>
      <c r="CZ126" s="54"/>
      <c r="DA126" s="54"/>
      <c r="DB126" s="54"/>
      <c r="DC126" s="54"/>
      <c r="DD126" s="54"/>
      <c r="DE126" s="54"/>
      <c r="DF126" s="54"/>
      <c r="DG126" s="54"/>
      <c r="DH126" s="54"/>
      <c r="DI126" s="54"/>
      <c r="DJ126" s="54"/>
      <c r="DK126" s="54"/>
      <c r="DL126" s="54"/>
      <c r="DM126" s="54"/>
      <c r="DN126" s="54"/>
      <c r="DO126" s="54"/>
      <c r="DP126" s="54"/>
      <c r="DQ126" s="54"/>
      <c r="DR126" s="54"/>
      <c r="DS126" s="54"/>
      <c r="DT126" s="54"/>
      <c r="DU126" s="54"/>
      <c r="DV126" s="54"/>
      <c r="DW126" s="54"/>
      <c r="DX126" s="54"/>
      <c r="DY126" s="54"/>
      <c r="DZ126" s="54"/>
      <c r="EA126" s="54"/>
      <c r="EB126" s="54"/>
      <c r="EC126" s="54"/>
      <c r="ED126" s="54"/>
      <c r="EE126" s="54"/>
      <c r="EF126" s="54"/>
      <c r="EG126" s="54"/>
      <c r="EH126" s="54"/>
      <c r="EI126" s="54"/>
      <c r="EJ126" s="54"/>
      <c r="EK126" s="54"/>
      <c r="EL126" s="54"/>
      <c r="EM126" s="54"/>
      <c r="EN126" s="54"/>
      <c r="EO126" s="54"/>
      <c r="EP126" s="54"/>
      <c r="EQ126" s="54"/>
      <c r="ER126" s="54"/>
      <c r="ES126" s="54"/>
      <c r="ET126" s="54"/>
      <c r="EU126" s="54"/>
      <c r="EV126" s="54"/>
      <c r="EW126" s="54"/>
      <c r="EX126" s="54"/>
      <c r="EY126" s="54"/>
      <c r="EZ126" s="54"/>
      <c r="FA126" s="54"/>
      <c r="FB126" s="54"/>
      <c r="FC126" s="54"/>
      <c r="FD126" s="54"/>
      <c r="FE126" s="54"/>
      <c r="FF126" s="54"/>
      <c r="FG126" s="54"/>
      <c r="FH126" s="54"/>
      <c r="FI126" s="54"/>
      <c r="FJ126" s="54"/>
      <c r="FK126" s="54"/>
      <c r="FL126" s="54"/>
      <c r="FM126" s="54"/>
      <c r="FN126" s="54"/>
      <c r="FO126" s="54"/>
      <c r="FP126" s="54"/>
      <c r="FQ126" s="54"/>
      <c r="FR126" s="54"/>
      <c r="FS126" s="54"/>
      <c r="FT126" s="54"/>
      <c r="FU126" s="54"/>
      <c r="FV126" s="54"/>
      <c r="FW126" s="54"/>
      <c r="FX126" s="54"/>
      <c r="FY126" s="54"/>
      <c r="FZ126" s="54"/>
      <c r="GA126" s="54"/>
      <c r="GB126" s="54"/>
      <c r="GC126" s="54"/>
      <c r="GD126" s="54"/>
      <c r="GE126" s="54"/>
      <c r="GF126" s="54"/>
      <c r="GG126" s="54"/>
      <c r="GH126" s="54"/>
      <c r="GI126" s="54"/>
      <c r="GJ126" s="54"/>
      <c r="GK126" s="54"/>
      <c r="GL126" s="54"/>
      <c r="GM126" s="54"/>
      <c r="GN126" s="54"/>
      <c r="GO126" s="54"/>
      <c r="GP126" s="54"/>
      <c r="GQ126" s="54"/>
      <c r="GR126" s="54"/>
      <c r="GS126" s="54"/>
      <c r="GT126" s="54"/>
      <c r="GU126" s="54"/>
      <c r="GV126" s="54"/>
      <c r="GW126" s="54"/>
      <c r="GX126" s="54"/>
      <c r="GY126" s="54"/>
      <c r="GZ126" s="54"/>
      <c r="HA126" s="54"/>
      <c r="HB126" s="54"/>
      <c r="HC126" s="54"/>
      <c r="HD126" s="54"/>
      <c r="HE126" s="54"/>
      <c r="HF126" s="54"/>
      <c r="HG126" s="54"/>
      <c r="HH126" s="54"/>
      <c r="HI126" s="54"/>
      <c r="HJ126" s="54"/>
      <c r="HK126" s="54"/>
      <c r="HL126" s="54"/>
      <c r="HM126" s="54"/>
      <c r="HN126" s="54"/>
      <c r="HO126" s="54"/>
      <c r="HP126" s="54"/>
      <c r="HQ126" s="54"/>
      <c r="HR126" s="54"/>
      <c r="HS126" s="54"/>
      <c r="HT126" s="54"/>
      <c r="HU126" s="54"/>
      <c r="HV126" s="54"/>
      <c r="HW126" s="54"/>
      <c r="HX126" s="54"/>
      <c r="HY126" s="54"/>
      <c r="HZ126" s="54"/>
      <c r="IA126" s="54"/>
      <c r="IB126" s="54"/>
      <c r="IC126" s="54"/>
      <c r="ID126" s="54"/>
      <c r="IE126" s="54"/>
      <c r="IF126" s="54"/>
      <c r="IG126" s="54"/>
      <c r="IH126" s="54"/>
      <c r="II126" s="54"/>
      <c r="IJ126" s="54"/>
      <c r="IK126" s="54"/>
      <c r="IL126" s="54"/>
      <c r="IM126" s="54"/>
      <c r="IN126" s="54"/>
      <c r="IO126" s="54"/>
      <c r="IP126" s="54"/>
      <c r="IQ126" s="54"/>
      <c r="IR126" s="54"/>
      <c r="IS126" s="54"/>
      <c r="IT126" s="54"/>
      <c r="IU126" s="54"/>
      <c r="IV126" s="54"/>
      <c r="IW126" s="54"/>
      <c r="IX126" s="54"/>
      <c r="IY126" s="54"/>
      <c r="IZ126" s="54"/>
      <c r="JA126" s="54"/>
      <c r="JB126" s="54"/>
      <c r="JC126" s="54"/>
      <c r="JD126" s="54"/>
      <c r="JE126" s="54"/>
      <c r="JF126" s="54"/>
      <c r="JG126" s="54"/>
      <c r="JH126" s="54"/>
      <c r="JI126" s="54"/>
      <c r="JJ126" s="54"/>
      <c r="JK126" s="54"/>
      <c r="JL126" s="54"/>
      <c r="JM126" s="54"/>
      <c r="JN126" s="54"/>
      <c r="JO126" s="54"/>
      <c r="JP126" s="54"/>
      <c r="JQ126" s="54"/>
      <c r="JR126" s="54"/>
      <c r="JS126" s="54"/>
      <c r="JT126" s="54"/>
      <c r="JU126" s="54"/>
      <c r="JV126" s="54"/>
      <c r="JW126" s="54"/>
      <c r="JX126" s="54"/>
      <c r="JY126" s="54"/>
      <c r="JZ126" s="54"/>
      <c r="KA126" s="54"/>
      <c r="KB126" s="54"/>
      <c r="KC126" s="54"/>
      <c r="KD126" s="54"/>
      <c r="KE126" s="54"/>
      <c r="KF126" s="54"/>
      <c r="KG126" s="54"/>
      <c r="KH126" s="54"/>
      <c r="KI126" s="54"/>
      <c r="KJ126" s="54"/>
      <c r="KK126" s="54"/>
      <c r="KL126" s="54"/>
      <c r="KM126" s="54"/>
      <c r="KN126" s="54"/>
      <c r="KO126" s="54"/>
      <c r="KP126" s="54"/>
      <c r="KQ126" s="54"/>
      <c r="KR126" s="54"/>
      <c r="KS126" s="54"/>
      <c r="KT126" s="54"/>
      <c r="KU126" s="54"/>
      <c r="KV126" s="54"/>
      <c r="KW126" s="54"/>
      <c r="KX126" s="54"/>
      <c r="KY126" s="54"/>
      <c r="KZ126" s="54"/>
      <c r="LA126" s="54"/>
      <c r="LB126" s="54"/>
      <c r="LC126" s="54"/>
      <c r="LD126" s="54"/>
      <c r="LE126" s="54"/>
      <c r="LF126" s="54"/>
      <c r="LG126" s="54"/>
      <c r="LH126" s="54"/>
      <c r="LI126" s="54"/>
      <c r="LJ126" s="54"/>
      <c r="LK126" s="54"/>
      <c r="LL126" s="54"/>
      <c r="LM126" s="54"/>
      <c r="LN126" s="54"/>
      <c r="LO126" s="54"/>
      <c r="LP126" s="54"/>
      <c r="LQ126" s="54"/>
      <c r="LR126" s="54"/>
      <c r="LS126" s="54"/>
      <c r="LT126" s="54"/>
      <c r="LU126" s="54"/>
      <c r="LV126" s="54"/>
      <c r="LW126" s="54"/>
      <c r="LX126" s="54"/>
      <c r="LY126" s="54"/>
      <c r="LZ126" s="54"/>
      <c r="MA126" s="54"/>
      <c r="MB126" s="54"/>
      <c r="MC126" s="54"/>
      <c r="MD126" s="54"/>
      <c r="ME126" s="54"/>
      <c r="MF126" s="54"/>
      <c r="MG126" s="54"/>
      <c r="MH126" s="54"/>
      <c r="MI126" s="54"/>
      <c r="MJ126" s="54"/>
      <c r="MK126" s="54"/>
      <c r="ML126" s="54"/>
      <c r="MM126" s="54"/>
      <c r="MN126" s="54"/>
      <c r="MO126" s="54"/>
      <c r="MP126" s="54"/>
      <c r="MQ126" s="54"/>
      <c r="MR126" s="54"/>
      <c r="MS126" s="54"/>
      <c r="MT126" s="54"/>
      <c r="MU126" s="54"/>
      <c r="MV126" s="54"/>
      <c r="MW126" s="54"/>
      <c r="MX126" s="54"/>
      <c r="MY126" s="54"/>
      <c r="MZ126" s="54"/>
      <c r="NA126" s="54"/>
      <c r="NB126" s="54"/>
      <c r="NC126" s="54"/>
      <c r="ND126" s="54"/>
      <c r="NE126" s="54"/>
      <c r="NF126" s="54"/>
      <c r="NG126" s="54"/>
      <c r="NH126" s="54"/>
      <c r="NI126" s="54"/>
      <c r="NJ126" s="54"/>
      <c r="NK126" s="54"/>
      <c r="NL126" s="54"/>
      <c r="NM126" s="54"/>
      <c r="NN126" s="54"/>
      <c r="NO126" s="54"/>
      <c r="NP126" s="54"/>
      <c r="NQ126" s="54"/>
      <c r="NR126" s="54"/>
      <c r="NS126" s="54"/>
      <c r="NT126" s="54"/>
      <c r="NU126" s="54"/>
      <c r="NV126" s="54"/>
      <c r="NW126" s="54"/>
      <c r="NX126" s="54"/>
      <c r="NY126" s="54"/>
      <c r="NZ126" s="54"/>
      <c r="OA126" s="54"/>
      <c r="OB126" s="54"/>
      <c r="OC126" s="54"/>
      <c r="OD126" s="54"/>
      <c r="OE126" s="54"/>
      <c r="OF126" s="54"/>
      <c r="OG126" s="54"/>
      <c r="OH126" s="54"/>
      <c r="OI126" s="54"/>
      <c r="OJ126" s="54"/>
      <c r="OK126" s="54"/>
      <c r="OL126" s="54"/>
      <c r="OM126" s="54"/>
      <c r="ON126" s="54"/>
      <c r="OO126" s="54"/>
      <c r="OP126" s="54"/>
      <c r="OQ126" s="54"/>
      <c r="OR126" s="54"/>
      <c r="OS126" s="54"/>
      <c r="OT126" s="54"/>
      <c r="OU126" s="54"/>
      <c r="OV126" s="54"/>
      <c r="OW126" s="54"/>
      <c r="OX126" s="54"/>
      <c r="OY126" s="54"/>
      <c r="OZ126" s="54"/>
      <c r="PA126" s="54"/>
      <c r="PB126" s="54"/>
      <c r="PC126" s="54"/>
      <c r="PD126" s="54"/>
      <c r="PE126" s="54"/>
      <c r="PF126" s="54"/>
      <c r="PG126" s="54"/>
      <c r="PH126" s="54"/>
      <c r="PI126" s="54"/>
      <c r="PJ126" s="54"/>
      <c r="PK126" s="54"/>
      <c r="PL126" s="54"/>
      <c r="PM126" s="54"/>
      <c r="PN126" s="54"/>
      <c r="PO126" s="54"/>
      <c r="PP126" s="54"/>
      <c r="PQ126" s="54"/>
      <c r="PR126" s="54"/>
      <c r="PS126" s="54"/>
      <c r="PT126" s="54"/>
      <c r="PU126" s="54"/>
      <c r="PV126" s="54"/>
      <c r="PW126" s="54"/>
      <c r="PX126" s="54"/>
      <c r="PY126" s="54"/>
      <c r="PZ126" s="54"/>
      <c r="QA126" s="54"/>
      <c r="QB126" s="54"/>
      <c r="QC126" s="54"/>
      <c r="QD126" s="54"/>
      <c r="QE126" s="54"/>
      <c r="QF126" s="54"/>
      <c r="QG126" s="54"/>
      <c r="QH126" s="54"/>
      <c r="QI126" s="54"/>
      <c r="QJ126" s="54"/>
      <c r="QK126" s="54"/>
      <c r="QL126" s="54"/>
      <c r="QM126" s="54"/>
      <c r="QN126" s="54"/>
      <c r="QO126" s="54"/>
      <c r="QP126" s="54"/>
      <c r="QQ126" s="54"/>
      <c r="QR126" s="54"/>
      <c r="QS126" s="54"/>
      <c r="QT126" s="54"/>
      <c r="QU126" s="54"/>
      <c r="QV126" s="54"/>
      <c r="QW126" s="54"/>
      <c r="QX126" s="54"/>
      <c r="QY126" s="54"/>
      <c r="QZ126" s="54"/>
      <c r="RA126" s="54"/>
      <c r="RB126" s="54"/>
      <c r="RC126" s="54"/>
      <c r="RD126" s="54"/>
      <c r="RE126" s="54"/>
      <c r="RF126" s="54"/>
      <c r="RG126" s="54"/>
      <c r="RH126" s="54"/>
      <c r="RI126" s="54"/>
      <c r="RJ126" s="54"/>
      <c r="RK126" s="54"/>
      <c r="RL126" s="54"/>
      <c r="RM126" s="54"/>
      <c r="RN126" s="54"/>
      <c r="RO126" s="54"/>
      <c r="RP126" s="54"/>
      <c r="RQ126" s="54"/>
      <c r="RR126" s="54"/>
      <c r="RS126" s="54"/>
      <c r="RT126" s="54"/>
      <c r="RU126" s="54"/>
      <c r="RV126" s="54"/>
      <c r="RW126" s="54"/>
      <c r="RX126" s="54"/>
      <c r="RY126" s="54"/>
      <c r="RZ126" s="54"/>
      <c r="SA126" s="54"/>
      <c r="SB126" s="54"/>
      <c r="SC126" s="54"/>
      <c r="SD126" s="54"/>
      <c r="SE126" s="54"/>
      <c r="SF126" s="54"/>
      <c r="SG126" s="54"/>
      <c r="SH126" s="54"/>
      <c r="SI126" s="54"/>
      <c r="SJ126" s="54"/>
      <c r="SK126" s="54"/>
      <c r="SL126" s="54"/>
      <c r="SM126" s="54"/>
      <c r="SN126" s="54"/>
      <c r="SO126" s="54"/>
      <c r="SP126" s="54"/>
      <c r="SQ126" s="54"/>
      <c r="SR126" s="54"/>
    </row>
    <row r="127" spans="1:512" s="55" customFormat="1" ht="15" customHeight="1" x14ac:dyDescent="0.7">
      <c r="A127" s="173"/>
      <c r="B127" s="173"/>
      <c r="C127" s="173"/>
      <c r="D127" s="173"/>
      <c r="E127" s="173"/>
      <c r="F127" s="173"/>
      <c r="G127" s="173"/>
      <c r="H127" s="74"/>
      <c r="I127" s="75"/>
      <c r="J127" s="76"/>
      <c r="K127" s="191"/>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c r="DG127" s="56"/>
      <c r="DH127" s="56"/>
      <c r="DI127" s="56"/>
      <c r="DJ127" s="56"/>
      <c r="DK127" s="56"/>
      <c r="DL127" s="56"/>
      <c r="DM127" s="56"/>
      <c r="DN127" s="56"/>
      <c r="DO127" s="56"/>
      <c r="DP127" s="56"/>
      <c r="DQ127" s="56"/>
      <c r="DR127" s="56"/>
      <c r="DS127" s="56"/>
      <c r="DT127" s="56"/>
      <c r="DU127" s="56"/>
      <c r="DV127" s="56"/>
      <c r="DW127" s="56"/>
      <c r="DX127" s="56"/>
      <c r="DY127" s="56"/>
      <c r="DZ127" s="56"/>
      <c r="EA127" s="56"/>
      <c r="EB127" s="56"/>
      <c r="EC127" s="56"/>
      <c r="ED127" s="56"/>
      <c r="EE127" s="56"/>
      <c r="EF127" s="56"/>
      <c r="EG127" s="56"/>
      <c r="EH127" s="56"/>
      <c r="EI127" s="56"/>
      <c r="EJ127" s="56"/>
      <c r="EK127" s="56"/>
      <c r="EL127" s="56"/>
      <c r="EM127" s="56"/>
      <c r="EN127" s="56"/>
      <c r="EO127" s="56"/>
      <c r="EP127" s="56"/>
      <c r="EQ127" s="56"/>
      <c r="ER127" s="56"/>
      <c r="ES127" s="56"/>
      <c r="ET127" s="56"/>
      <c r="EU127" s="56"/>
      <c r="EV127" s="56"/>
      <c r="EW127" s="56"/>
      <c r="EX127" s="56"/>
      <c r="EY127" s="56"/>
      <c r="EZ127" s="56"/>
      <c r="FA127" s="56"/>
      <c r="FB127" s="56"/>
      <c r="FC127" s="56"/>
      <c r="FD127" s="56"/>
      <c r="FE127" s="56"/>
      <c r="FF127" s="56"/>
      <c r="FG127" s="56"/>
      <c r="FH127" s="56"/>
      <c r="FI127" s="56"/>
      <c r="FJ127" s="56"/>
      <c r="FK127" s="56"/>
      <c r="FL127" s="56"/>
      <c r="FM127" s="56"/>
      <c r="FN127" s="56"/>
      <c r="FO127" s="56"/>
      <c r="FP127" s="56"/>
      <c r="FQ127" s="56"/>
      <c r="FR127" s="56"/>
      <c r="FS127" s="56"/>
      <c r="FT127" s="56"/>
      <c r="FU127" s="56"/>
      <c r="FV127" s="56"/>
      <c r="FW127" s="56"/>
      <c r="FX127" s="56"/>
      <c r="FY127" s="56"/>
      <c r="FZ127" s="56"/>
      <c r="GA127" s="56"/>
      <c r="GB127" s="56"/>
      <c r="GC127" s="56"/>
      <c r="GD127" s="56"/>
      <c r="GE127" s="56"/>
      <c r="GF127" s="56"/>
      <c r="GG127" s="56"/>
      <c r="GH127" s="56"/>
      <c r="GI127" s="56"/>
      <c r="GJ127" s="56"/>
      <c r="GK127" s="56"/>
      <c r="GL127" s="56"/>
      <c r="GM127" s="56"/>
      <c r="GN127" s="56"/>
      <c r="GO127" s="56"/>
      <c r="GP127" s="56"/>
      <c r="GQ127" s="56"/>
      <c r="GR127" s="56"/>
      <c r="GS127" s="56"/>
      <c r="GT127" s="56"/>
      <c r="GU127" s="56"/>
      <c r="GV127" s="56"/>
      <c r="GW127" s="56"/>
      <c r="GX127" s="56"/>
      <c r="GY127" s="56"/>
      <c r="GZ127" s="56"/>
      <c r="HA127" s="56"/>
      <c r="HB127" s="56"/>
      <c r="HC127" s="56"/>
      <c r="HD127" s="56"/>
      <c r="HE127" s="56"/>
      <c r="HF127" s="56"/>
      <c r="HG127" s="56"/>
      <c r="HH127" s="56"/>
      <c r="HI127" s="56"/>
      <c r="HJ127" s="56"/>
      <c r="HK127" s="56"/>
      <c r="HL127" s="56"/>
      <c r="HM127" s="56"/>
      <c r="HN127" s="56"/>
      <c r="HO127" s="56"/>
      <c r="HP127" s="56"/>
      <c r="HQ127" s="56"/>
      <c r="HR127" s="56"/>
      <c r="HS127" s="56"/>
      <c r="HT127" s="56"/>
      <c r="HU127" s="56"/>
      <c r="HV127" s="56"/>
      <c r="HW127" s="56"/>
      <c r="HX127" s="56"/>
      <c r="HY127" s="56"/>
      <c r="HZ127" s="56"/>
      <c r="IA127" s="56"/>
      <c r="IB127" s="56"/>
      <c r="IC127" s="56"/>
      <c r="ID127" s="56"/>
      <c r="IE127" s="56"/>
      <c r="IF127" s="56"/>
      <c r="IG127" s="56"/>
      <c r="IH127" s="56"/>
      <c r="II127" s="56"/>
      <c r="IJ127" s="56"/>
      <c r="IK127" s="56"/>
      <c r="IL127" s="56"/>
      <c r="IM127" s="56"/>
      <c r="IN127" s="56"/>
      <c r="IO127" s="56"/>
      <c r="IP127" s="56"/>
      <c r="IQ127" s="56"/>
      <c r="IR127" s="56"/>
      <c r="IS127" s="56"/>
      <c r="IT127" s="56"/>
      <c r="IU127" s="56"/>
      <c r="IV127" s="56"/>
      <c r="IW127" s="56"/>
      <c r="IX127" s="56"/>
      <c r="IY127" s="56"/>
      <c r="IZ127" s="56"/>
      <c r="JA127" s="56"/>
      <c r="JB127" s="56"/>
      <c r="JC127" s="56"/>
      <c r="JD127" s="56"/>
      <c r="JE127" s="56"/>
      <c r="JF127" s="56"/>
      <c r="JG127" s="56"/>
      <c r="JH127" s="56"/>
      <c r="JI127" s="56"/>
      <c r="JJ127" s="56"/>
      <c r="JK127" s="56"/>
      <c r="JL127" s="56"/>
      <c r="JM127" s="56"/>
      <c r="JN127" s="56"/>
      <c r="JO127" s="56"/>
      <c r="JP127" s="56"/>
      <c r="JQ127" s="56"/>
      <c r="JR127" s="56"/>
      <c r="JS127" s="56"/>
      <c r="JT127" s="56"/>
      <c r="JU127" s="56"/>
      <c r="JV127" s="56"/>
      <c r="JW127" s="56"/>
      <c r="JX127" s="56"/>
      <c r="JY127" s="56"/>
      <c r="JZ127" s="56"/>
      <c r="KA127" s="56"/>
      <c r="KB127" s="56"/>
      <c r="KC127" s="56"/>
      <c r="KD127" s="56"/>
      <c r="KE127" s="56"/>
      <c r="KF127" s="56"/>
      <c r="KG127" s="56"/>
      <c r="KH127" s="56"/>
      <c r="KI127" s="56"/>
      <c r="KJ127" s="56"/>
      <c r="KK127" s="56"/>
      <c r="KL127" s="56"/>
      <c r="KM127" s="56"/>
      <c r="KN127" s="56"/>
      <c r="KO127" s="56"/>
      <c r="KP127" s="56"/>
      <c r="KQ127" s="56"/>
      <c r="KR127" s="56"/>
      <c r="KS127" s="56"/>
      <c r="KT127" s="56"/>
      <c r="KU127" s="56"/>
      <c r="KV127" s="56"/>
      <c r="KW127" s="56"/>
      <c r="KX127" s="56"/>
      <c r="KY127" s="56"/>
      <c r="KZ127" s="56"/>
      <c r="LA127" s="56"/>
      <c r="LB127" s="56"/>
      <c r="LC127" s="56"/>
      <c r="LD127" s="56"/>
      <c r="LE127" s="56"/>
      <c r="LF127" s="56"/>
      <c r="LG127" s="56"/>
      <c r="LH127" s="56"/>
      <c r="LI127" s="56"/>
      <c r="LJ127" s="56"/>
      <c r="LK127" s="56"/>
      <c r="LL127" s="56"/>
      <c r="LM127" s="56"/>
      <c r="LN127" s="56"/>
      <c r="LO127" s="56"/>
      <c r="LP127" s="56"/>
      <c r="LQ127" s="56"/>
      <c r="LR127" s="56"/>
      <c r="LS127" s="56"/>
      <c r="LT127" s="56"/>
      <c r="LU127" s="56"/>
      <c r="LV127" s="56"/>
      <c r="LW127" s="56"/>
      <c r="LX127" s="56"/>
      <c r="LY127" s="56"/>
      <c r="LZ127" s="56"/>
      <c r="MA127" s="56"/>
      <c r="MB127" s="56"/>
      <c r="MC127" s="56"/>
      <c r="MD127" s="56"/>
      <c r="ME127" s="56"/>
      <c r="MF127" s="56"/>
      <c r="MG127" s="56"/>
      <c r="MH127" s="56"/>
      <c r="MI127" s="56"/>
      <c r="MJ127" s="56"/>
      <c r="MK127" s="56"/>
      <c r="ML127" s="56"/>
      <c r="MM127" s="56"/>
      <c r="MN127" s="56"/>
      <c r="MO127" s="56"/>
      <c r="MP127" s="56"/>
      <c r="MQ127" s="56"/>
      <c r="MR127" s="56"/>
      <c r="MS127" s="56"/>
      <c r="MT127" s="56"/>
      <c r="MU127" s="56"/>
      <c r="MV127" s="56"/>
      <c r="MW127" s="56"/>
      <c r="MX127" s="56"/>
      <c r="MY127" s="56"/>
      <c r="MZ127" s="56"/>
      <c r="NA127" s="56"/>
      <c r="NB127" s="56"/>
      <c r="NC127" s="56"/>
      <c r="ND127" s="56"/>
      <c r="NE127" s="56"/>
      <c r="NF127" s="56"/>
      <c r="NG127" s="56"/>
      <c r="NH127" s="56"/>
      <c r="NI127" s="56"/>
      <c r="NJ127" s="56"/>
      <c r="NK127" s="56"/>
      <c r="NL127" s="56"/>
      <c r="NM127" s="56"/>
      <c r="NN127" s="56"/>
      <c r="NO127" s="56"/>
      <c r="NP127" s="56"/>
      <c r="NQ127" s="56"/>
      <c r="NR127" s="56"/>
      <c r="NS127" s="56"/>
      <c r="NT127" s="56"/>
      <c r="NU127" s="56"/>
      <c r="NV127" s="56"/>
      <c r="NW127" s="56"/>
      <c r="NX127" s="56"/>
      <c r="NY127" s="56"/>
      <c r="NZ127" s="56"/>
      <c r="OA127" s="56"/>
      <c r="OB127" s="56"/>
      <c r="OC127" s="56"/>
      <c r="OD127" s="56"/>
      <c r="OE127" s="56"/>
      <c r="OF127" s="56"/>
      <c r="OG127" s="56"/>
      <c r="OH127" s="56"/>
      <c r="OI127" s="56"/>
      <c r="OJ127" s="56"/>
      <c r="OK127" s="56"/>
      <c r="OL127" s="56"/>
      <c r="OM127" s="56"/>
      <c r="ON127" s="56"/>
      <c r="OO127" s="56"/>
      <c r="OP127" s="56"/>
      <c r="OQ127" s="56"/>
      <c r="OR127" s="56"/>
      <c r="OS127" s="56"/>
      <c r="OT127" s="56"/>
      <c r="OU127" s="56"/>
      <c r="OV127" s="56"/>
      <c r="OW127" s="56"/>
      <c r="OX127" s="56"/>
      <c r="OY127" s="56"/>
      <c r="OZ127" s="56"/>
      <c r="PA127" s="56"/>
      <c r="PB127" s="56"/>
      <c r="PC127" s="56"/>
      <c r="PD127" s="56"/>
      <c r="PE127" s="56"/>
      <c r="PF127" s="56"/>
      <c r="PG127" s="56"/>
      <c r="PH127" s="56"/>
      <c r="PI127" s="56"/>
      <c r="PJ127" s="56"/>
      <c r="PK127" s="56"/>
      <c r="PL127" s="56"/>
      <c r="PM127" s="56"/>
      <c r="PN127" s="56"/>
      <c r="PO127" s="56"/>
      <c r="PP127" s="56"/>
      <c r="PQ127" s="56"/>
      <c r="PR127" s="56"/>
      <c r="PS127" s="56"/>
      <c r="PT127" s="56"/>
      <c r="PU127" s="56"/>
      <c r="PV127" s="56"/>
      <c r="PW127" s="56"/>
      <c r="PX127" s="56"/>
      <c r="PY127" s="56"/>
      <c r="PZ127" s="56"/>
      <c r="QA127" s="56"/>
      <c r="QB127" s="56"/>
      <c r="QC127" s="56"/>
      <c r="QD127" s="56"/>
      <c r="QE127" s="56"/>
      <c r="QF127" s="56"/>
      <c r="QG127" s="56"/>
      <c r="QH127" s="56"/>
      <c r="QI127" s="56"/>
      <c r="QJ127" s="56"/>
      <c r="QK127" s="56"/>
      <c r="QL127" s="56"/>
      <c r="QM127" s="56"/>
      <c r="QN127" s="56"/>
      <c r="QO127" s="56"/>
      <c r="QP127" s="56"/>
      <c r="QQ127" s="56"/>
      <c r="QR127" s="56"/>
      <c r="QS127" s="56"/>
      <c r="QT127" s="56"/>
      <c r="QU127" s="56"/>
      <c r="QV127" s="56"/>
      <c r="QW127" s="56"/>
      <c r="QX127" s="56"/>
      <c r="QY127" s="56"/>
      <c r="QZ127" s="56"/>
      <c r="RA127" s="56"/>
      <c r="RB127" s="56"/>
      <c r="RC127" s="56"/>
      <c r="RD127" s="56"/>
      <c r="RE127" s="56"/>
      <c r="RF127" s="56"/>
      <c r="RG127" s="56"/>
      <c r="RH127" s="56"/>
      <c r="RI127" s="56"/>
      <c r="RJ127" s="56"/>
      <c r="RK127" s="56"/>
      <c r="RL127" s="56"/>
      <c r="RM127" s="56"/>
      <c r="RN127" s="56"/>
      <c r="RO127" s="56"/>
      <c r="RP127" s="56"/>
      <c r="RQ127" s="56"/>
      <c r="RR127" s="56"/>
      <c r="RS127" s="56"/>
      <c r="RT127" s="56"/>
      <c r="RU127" s="56"/>
      <c r="RV127" s="56"/>
      <c r="RW127" s="56"/>
      <c r="RX127" s="56"/>
      <c r="RY127" s="56"/>
      <c r="RZ127" s="56"/>
      <c r="SA127" s="56"/>
      <c r="SB127" s="56"/>
      <c r="SC127" s="56"/>
      <c r="SD127" s="56"/>
      <c r="SE127" s="56"/>
      <c r="SF127" s="56"/>
      <c r="SG127" s="56"/>
      <c r="SH127" s="56"/>
      <c r="SI127" s="56"/>
      <c r="SJ127" s="56"/>
      <c r="SK127" s="56"/>
      <c r="SL127" s="56"/>
      <c r="SM127" s="56"/>
      <c r="SN127" s="56"/>
      <c r="SO127" s="56"/>
      <c r="SP127" s="56"/>
      <c r="SQ127" s="56"/>
      <c r="SR127" s="56"/>
    </row>
    <row r="128" spans="1:512" ht="15" customHeight="1" x14ac:dyDescent="0.7">
      <c r="A128" s="171" t="s">
        <v>344</v>
      </c>
      <c r="B128" s="171" t="s">
        <v>344</v>
      </c>
      <c r="C128" s="171" t="s">
        <v>344</v>
      </c>
      <c r="D128" s="171"/>
      <c r="E128" s="171" t="s">
        <v>344</v>
      </c>
      <c r="F128" s="171"/>
      <c r="G128" s="188" t="s">
        <v>344</v>
      </c>
      <c r="H128" s="71" t="s">
        <v>344</v>
      </c>
      <c r="I128" s="72" t="s">
        <v>344</v>
      </c>
      <c r="J128" s="73" t="s">
        <v>344</v>
      </c>
      <c r="K128" s="189" t="s">
        <v>344</v>
      </c>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54"/>
      <c r="CW128" s="54"/>
      <c r="CX128" s="54"/>
      <c r="CY128" s="54"/>
      <c r="CZ128" s="54"/>
      <c r="DA128" s="54"/>
      <c r="DB128" s="54"/>
      <c r="DC128" s="54"/>
      <c r="DD128" s="54"/>
      <c r="DE128" s="54"/>
      <c r="DF128" s="54"/>
      <c r="DG128" s="54"/>
      <c r="DH128" s="54"/>
      <c r="DI128" s="54"/>
      <c r="DJ128" s="54"/>
      <c r="DK128" s="54"/>
      <c r="DL128" s="54"/>
      <c r="DM128" s="54"/>
      <c r="DN128" s="54"/>
      <c r="DO128" s="54"/>
      <c r="DP128" s="54"/>
      <c r="DQ128" s="54"/>
      <c r="DR128" s="54"/>
      <c r="DS128" s="54"/>
      <c r="DT128" s="54"/>
      <c r="DU128" s="54"/>
      <c r="DV128" s="54"/>
      <c r="DW128" s="54"/>
      <c r="DX128" s="54"/>
      <c r="DY128" s="54"/>
      <c r="DZ128" s="54"/>
      <c r="EA128" s="54"/>
      <c r="EB128" s="54"/>
      <c r="EC128" s="54"/>
      <c r="ED128" s="54"/>
      <c r="EE128" s="54"/>
      <c r="EF128" s="54"/>
      <c r="EG128" s="54"/>
      <c r="EH128" s="54"/>
      <c r="EI128" s="54"/>
      <c r="EJ128" s="54"/>
      <c r="EK128" s="54"/>
      <c r="EL128" s="54"/>
      <c r="EM128" s="54"/>
      <c r="EN128" s="54"/>
      <c r="EO128" s="54"/>
      <c r="EP128" s="54"/>
      <c r="EQ128" s="54"/>
      <c r="ER128" s="54"/>
      <c r="ES128" s="54"/>
      <c r="ET128" s="54"/>
      <c r="EU128" s="54"/>
      <c r="EV128" s="54"/>
      <c r="EW128" s="54"/>
      <c r="EX128" s="54"/>
      <c r="EY128" s="54"/>
      <c r="EZ128" s="54"/>
      <c r="FA128" s="54"/>
      <c r="FB128" s="54"/>
      <c r="FC128" s="54"/>
      <c r="FD128" s="54"/>
      <c r="FE128" s="54"/>
      <c r="FF128" s="54"/>
      <c r="FG128" s="54"/>
      <c r="FH128" s="54"/>
      <c r="FI128" s="54"/>
      <c r="FJ128" s="54"/>
      <c r="FK128" s="54"/>
      <c r="FL128" s="54"/>
      <c r="FM128" s="54"/>
      <c r="FN128" s="54"/>
      <c r="FO128" s="54"/>
      <c r="FP128" s="54"/>
      <c r="FQ128" s="54"/>
      <c r="FR128" s="54"/>
      <c r="FS128" s="54"/>
      <c r="FT128" s="54"/>
      <c r="FU128" s="54"/>
      <c r="FV128" s="54"/>
      <c r="FW128" s="54"/>
      <c r="FX128" s="54"/>
      <c r="FY128" s="54"/>
      <c r="FZ128" s="54"/>
      <c r="GA128" s="54"/>
      <c r="GB128" s="54"/>
      <c r="GC128" s="54"/>
      <c r="GD128" s="54"/>
      <c r="GE128" s="54"/>
      <c r="GF128" s="54"/>
      <c r="GG128" s="54"/>
      <c r="GH128" s="54"/>
      <c r="GI128" s="54"/>
      <c r="GJ128" s="54"/>
      <c r="GK128" s="54"/>
      <c r="GL128" s="54"/>
      <c r="GM128" s="54"/>
      <c r="GN128" s="54"/>
      <c r="GO128" s="54"/>
      <c r="GP128" s="54"/>
      <c r="GQ128" s="54"/>
      <c r="GR128" s="54"/>
      <c r="GS128" s="54"/>
      <c r="GT128" s="54"/>
      <c r="GU128" s="54"/>
      <c r="GV128" s="54"/>
      <c r="GW128" s="54"/>
      <c r="GX128" s="54"/>
      <c r="GY128" s="54"/>
      <c r="GZ128" s="54"/>
      <c r="HA128" s="54"/>
      <c r="HB128" s="54"/>
      <c r="HC128" s="54"/>
      <c r="HD128" s="54"/>
      <c r="HE128" s="54"/>
      <c r="HF128" s="54"/>
      <c r="HG128" s="54"/>
      <c r="HH128" s="54"/>
      <c r="HI128" s="54"/>
      <c r="HJ128" s="54"/>
      <c r="HK128" s="54"/>
      <c r="HL128" s="54"/>
      <c r="HM128" s="54"/>
      <c r="HN128" s="54"/>
      <c r="HO128" s="54"/>
      <c r="HP128" s="54"/>
      <c r="HQ128" s="54"/>
      <c r="HR128" s="54"/>
      <c r="HS128" s="54"/>
      <c r="HT128" s="54"/>
      <c r="HU128" s="54"/>
      <c r="HV128" s="54"/>
      <c r="HW128" s="54"/>
      <c r="HX128" s="54"/>
      <c r="HY128" s="54"/>
      <c r="HZ128" s="54"/>
      <c r="IA128" s="54"/>
      <c r="IB128" s="54"/>
      <c r="IC128" s="54"/>
      <c r="ID128" s="54"/>
      <c r="IE128" s="54"/>
      <c r="IF128" s="54"/>
      <c r="IG128" s="54"/>
      <c r="IH128" s="54"/>
      <c r="II128" s="54"/>
      <c r="IJ128" s="54"/>
      <c r="IK128" s="54"/>
      <c r="IL128" s="54"/>
      <c r="IM128" s="54"/>
      <c r="IN128" s="54"/>
      <c r="IO128" s="54"/>
      <c r="IP128" s="54"/>
      <c r="IQ128" s="54"/>
      <c r="IR128" s="54"/>
      <c r="IS128" s="54"/>
      <c r="IT128" s="54"/>
      <c r="IU128" s="54"/>
      <c r="IV128" s="54"/>
      <c r="IW128" s="54"/>
      <c r="IX128" s="54"/>
      <c r="IY128" s="54"/>
      <c r="IZ128" s="54"/>
      <c r="JA128" s="54"/>
      <c r="JB128" s="54"/>
      <c r="JC128" s="54"/>
      <c r="JD128" s="54"/>
      <c r="JE128" s="54"/>
      <c r="JF128" s="54"/>
      <c r="JG128" s="54"/>
      <c r="JH128" s="54"/>
      <c r="JI128" s="54"/>
      <c r="JJ128" s="54"/>
      <c r="JK128" s="54"/>
      <c r="JL128" s="54"/>
      <c r="JM128" s="54"/>
      <c r="JN128" s="54"/>
      <c r="JO128" s="54"/>
      <c r="JP128" s="54"/>
      <c r="JQ128" s="54"/>
      <c r="JR128" s="54"/>
      <c r="JS128" s="54"/>
      <c r="JT128" s="54"/>
      <c r="JU128" s="54"/>
      <c r="JV128" s="54"/>
      <c r="JW128" s="54"/>
      <c r="JX128" s="54"/>
      <c r="JY128" s="54"/>
      <c r="JZ128" s="54"/>
      <c r="KA128" s="54"/>
      <c r="KB128" s="54"/>
      <c r="KC128" s="54"/>
      <c r="KD128" s="54"/>
      <c r="KE128" s="54"/>
      <c r="KF128" s="54"/>
      <c r="KG128" s="54"/>
      <c r="KH128" s="54"/>
      <c r="KI128" s="54"/>
      <c r="KJ128" s="54"/>
      <c r="KK128" s="54"/>
      <c r="KL128" s="54"/>
      <c r="KM128" s="54"/>
      <c r="KN128" s="54"/>
      <c r="KO128" s="54"/>
      <c r="KP128" s="54"/>
      <c r="KQ128" s="54"/>
      <c r="KR128" s="54"/>
      <c r="KS128" s="54"/>
      <c r="KT128" s="54"/>
      <c r="KU128" s="54"/>
      <c r="KV128" s="54"/>
      <c r="KW128" s="54"/>
      <c r="KX128" s="54"/>
      <c r="KY128" s="54"/>
      <c r="KZ128" s="54"/>
      <c r="LA128" s="54"/>
      <c r="LB128" s="54"/>
      <c r="LC128" s="54"/>
      <c r="LD128" s="54"/>
      <c r="LE128" s="54"/>
      <c r="LF128" s="54"/>
      <c r="LG128" s="54"/>
      <c r="LH128" s="54"/>
      <c r="LI128" s="54"/>
      <c r="LJ128" s="54"/>
      <c r="LK128" s="54"/>
      <c r="LL128" s="54"/>
      <c r="LM128" s="54"/>
      <c r="LN128" s="54"/>
      <c r="LO128" s="54"/>
      <c r="LP128" s="54"/>
      <c r="LQ128" s="54"/>
      <c r="LR128" s="54"/>
      <c r="LS128" s="54"/>
      <c r="LT128" s="54"/>
      <c r="LU128" s="54"/>
      <c r="LV128" s="54"/>
      <c r="LW128" s="54"/>
      <c r="LX128" s="54"/>
      <c r="LY128" s="54"/>
      <c r="LZ128" s="54"/>
      <c r="MA128" s="54"/>
      <c r="MB128" s="54"/>
      <c r="MC128" s="54"/>
      <c r="MD128" s="54"/>
      <c r="ME128" s="54"/>
      <c r="MF128" s="54"/>
      <c r="MG128" s="54"/>
      <c r="MH128" s="54"/>
      <c r="MI128" s="54"/>
      <c r="MJ128" s="54"/>
      <c r="MK128" s="54"/>
      <c r="ML128" s="54"/>
      <c r="MM128" s="54"/>
      <c r="MN128" s="54"/>
      <c r="MO128" s="54"/>
      <c r="MP128" s="54"/>
      <c r="MQ128" s="54"/>
      <c r="MR128" s="54"/>
      <c r="MS128" s="54"/>
      <c r="MT128" s="54"/>
      <c r="MU128" s="54"/>
      <c r="MV128" s="54"/>
      <c r="MW128" s="54"/>
      <c r="MX128" s="54"/>
      <c r="MY128" s="54"/>
      <c r="MZ128" s="54"/>
      <c r="NA128" s="54"/>
      <c r="NB128" s="54"/>
      <c r="NC128" s="54"/>
      <c r="ND128" s="54"/>
      <c r="NE128" s="54"/>
      <c r="NF128" s="54"/>
      <c r="NG128" s="54"/>
      <c r="NH128" s="54"/>
      <c r="NI128" s="54"/>
      <c r="NJ128" s="54"/>
      <c r="NK128" s="54"/>
      <c r="NL128" s="54"/>
      <c r="NM128" s="54"/>
      <c r="NN128" s="54"/>
      <c r="NO128" s="54"/>
      <c r="NP128" s="54"/>
      <c r="NQ128" s="54"/>
      <c r="NR128" s="54"/>
      <c r="NS128" s="54"/>
      <c r="NT128" s="54"/>
      <c r="NU128" s="54"/>
      <c r="NV128" s="54"/>
      <c r="NW128" s="54"/>
      <c r="NX128" s="54"/>
      <c r="NY128" s="54"/>
      <c r="NZ128" s="54"/>
      <c r="OA128" s="54"/>
      <c r="OB128" s="54"/>
      <c r="OC128" s="54"/>
      <c r="OD128" s="54"/>
      <c r="OE128" s="54"/>
      <c r="OF128" s="54"/>
      <c r="OG128" s="54"/>
      <c r="OH128" s="54"/>
      <c r="OI128" s="54"/>
      <c r="OJ128" s="54"/>
      <c r="OK128" s="54"/>
      <c r="OL128" s="54"/>
      <c r="OM128" s="54"/>
      <c r="ON128" s="54"/>
      <c r="OO128" s="54"/>
      <c r="OP128" s="54"/>
      <c r="OQ128" s="54"/>
      <c r="OR128" s="54"/>
      <c r="OS128" s="54"/>
      <c r="OT128" s="54"/>
      <c r="OU128" s="54"/>
      <c r="OV128" s="54"/>
      <c r="OW128" s="54"/>
      <c r="OX128" s="54"/>
      <c r="OY128" s="54"/>
      <c r="OZ128" s="54"/>
      <c r="PA128" s="54"/>
      <c r="PB128" s="54"/>
      <c r="PC128" s="54"/>
      <c r="PD128" s="54"/>
      <c r="PE128" s="54"/>
      <c r="PF128" s="54"/>
      <c r="PG128" s="54"/>
      <c r="PH128" s="54"/>
      <c r="PI128" s="54"/>
      <c r="PJ128" s="54"/>
      <c r="PK128" s="54"/>
      <c r="PL128" s="54"/>
      <c r="PM128" s="54"/>
      <c r="PN128" s="54"/>
      <c r="PO128" s="54"/>
      <c r="PP128" s="54"/>
      <c r="PQ128" s="54"/>
      <c r="PR128" s="54"/>
      <c r="PS128" s="54"/>
      <c r="PT128" s="54"/>
      <c r="PU128" s="54"/>
      <c r="PV128" s="54"/>
      <c r="PW128" s="54"/>
      <c r="PX128" s="54"/>
      <c r="PY128" s="54"/>
      <c r="PZ128" s="54"/>
      <c r="QA128" s="54"/>
      <c r="QB128" s="54"/>
      <c r="QC128" s="54"/>
      <c r="QD128" s="54"/>
      <c r="QE128" s="54"/>
      <c r="QF128" s="54"/>
      <c r="QG128" s="54"/>
      <c r="QH128" s="54"/>
      <c r="QI128" s="54"/>
      <c r="QJ128" s="54"/>
      <c r="QK128" s="54"/>
      <c r="QL128" s="54"/>
      <c r="QM128" s="54"/>
      <c r="QN128" s="54"/>
      <c r="QO128" s="54"/>
      <c r="QP128" s="54"/>
      <c r="QQ128" s="54"/>
      <c r="QR128" s="54"/>
      <c r="QS128" s="54"/>
      <c r="QT128" s="54"/>
      <c r="QU128" s="54"/>
      <c r="QV128" s="54"/>
      <c r="QW128" s="54"/>
      <c r="QX128" s="54"/>
      <c r="QY128" s="54"/>
      <c r="QZ128" s="54"/>
      <c r="RA128" s="54"/>
      <c r="RB128" s="54"/>
      <c r="RC128" s="54"/>
      <c r="RD128" s="54"/>
      <c r="RE128" s="54"/>
      <c r="RF128" s="54"/>
      <c r="RG128" s="54"/>
      <c r="RH128" s="54"/>
      <c r="RI128" s="54"/>
      <c r="RJ128" s="54"/>
      <c r="RK128" s="54"/>
      <c r="RL128" s="54"/>
      <c r="RM128" s="54"/>
      <c r="RN128" s="54"/>
      <c r="RO128" s="54"/>
      <c r="RP128" s="54"/>
      <c r="RQ128" s="54"/>
      <c r="RR128" s="54"/>
      <c r="RS128" s="54"/>
      <c r="RT128" s="54"/>
      <c r="RU128" s="54"/>
      <c r="RV128" s="54"/>
      <c r="RW128" s="54"/>
      <c r="RX128" s="54"/>
      <c r="RY128" s="54"/>
      <c r="RZ128" s="54"/>
      <c r="SA128" s="54"/>
      <c r="SB128" s="54"/>
      <c r="SC128" s="54"/>
      <c r="SD128" s="54"/>
      <c r="SE128" s="54"/>
      <c r="SF128" s="54"/>
      <c r="SG128" s="54"/>
      <c r="SH128" s="54"/>
      <c r="SI128" s="54"/>
      <c r="SJ128" s="54"/>
      <c r="SK128" s="54"/>
      <c r="SL128" s="54"/>
      <c r="SM128" s="54"/>
      <c r="SN128" s="54"/>
      <c r="SO128" s="54"/>
      <c r="SP128" s="54"/>
      <c r="SQ128" s="54"/>
      <c r="SR128" s="54"/>
    </row>
    <row r="129" spans="1:512" ht="15" customHeight="1" x14ac:dyDescent="0.7">
      <c r="A129" s="172"/>
      <c r="B129" s="172"/>
      <c r="C129" s="172"/>
      <c r="D129" s="172"/>
      <c r="E129" s="172"/>
      <c r="F129" s="172"/>
      <c r="G129" s="172"/>
      <c r="I129" s="72" t="s">
        <v>344</v>
      </c>
      <c r="J129" s="73" t="s">
        <v>344</v>
      </c>
      <c r="K129" s="190"/>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54"/>
      <c r="CW129" s="54"/>
      <c r="CX129" s="54"/>
      <c r="CY129" s="54"/>
      <c r="CZ129" s="54"/>
      <c r="DA129" s="54"/>
      <c r="DB129" s="54"/>
      <c r="DC129" s="54"/>
      <c r="DD129" s="54"/>
      <c r="DE129" s="54"/>
      <c r="DF129" s="54"/>
      <c r="DG129" s="54"/>
      <c r="DH129" s="54"/>
      <c r="DI129" s="54"/>
      <c r="DJ129" s="54"/>
      <c r="DK129" s="54"/>
      <c r="DL129" s="54"/>
      <c r="DM129" s="54"/>
      <c r="DN129" s="54"/>
      <c r="DO129" s="54"/>
      <c r="DP129" s="54"/>
      <c r="DQ129" s="54"/>
      <c r="DR129" s="54"/>
      <c r="DS129" s="54"/>
      <c r="DT129" s="54"/>
      <c r="DU129" s="54"/>
      <c r="DV129" s="54"/>
      <c r="DW129" s="54"/>
      <c r="DX129" s="54"/>
      <c r="DY129" s="54"/>
      <c r="DZ129" s="54"/>
      <c r="EA129" s="54"/>
      <c r="EB129" s="54"/>
      <c r="EC129" s="54"/>
      <c r="ED129" s="54"/>
      <c r="EE129" s="54"/>
      <c r="EF129" s="54"/>
      <c r="EG129" s="54"/>
      <c r="EH129" s="54"/>
      <c r="EI129" s="54"/>
      <c r="EJ129" s="54"/>
      <c r="EK129" s="54"/>
      <c r="EL129" s="54"/>
      <c r="EM129" s="54"/>
      <c r="EN129" s="54"/>
      <c r="EO129" s="54"/>
      <c r="EP129" s="54"/>
      <c r="EQ129" s="54"/>
      <c r="ER129" s="54"/>
      <c r="ES129" s="54"/>
      <c r="ET129" s="54"/>
      <c r="EU129" s="54"/>
      <c r="EV129" s="54"/>
      <c r="EW129" s="54"/>
      <c r="EX129" s="54"/>
      <c r="EY129" s="54"/>
      <c r="EZ129" s="54"/>
      <c r="FA129" s="54"/>
      <c r="FB129" s="54"/>
      <c r="FC129" s="54"/>
      <c r="FD129" s="54"/>
      <c r="FE129" s="54"/>
      <c r="FF129" s="54"/>
      <c r="FG129" s="54"/>
      <c r="FH129" s="54"/>
      <c r="FI129" s="54"/>
      <c r="FJ129" s="54"/>
      <c r="FK129" s="54"/>
      <c r="FL129" s="54"/>
      <c r="FM129" s="54"/>
      <c r="FN129" s="54"/>
      <c r="FO129" s="54"/>
      <c r="FP129" s="54"/>
      <c r="FQ129" s="54"/>
      <c r="FR129" s="54"/>
      <c r="FS129" s="54"/>
      <c r="FT129" s="54"/>
      <c r="FU129" s="54"/>
      <c r="FV129" s="54"/>
      <c r="FW129" s="54"/>
      <c r="FX129" s="54"/>
      <c r="FY129" s="54"/>
      <c r="FZ129" s="54"/>
      <c r="GA129" s="54"/>
      <c r="GB129" s="54"/>
      <c r="GC129" s="54"/>
      <c r="GD129" s="54"/>
      <c r="GE129" s="54"/>
      <c r="GF129" s="54"/>
      <c r="GG129" s="54"/>
      <c r="GH129" s="54"/>
      <c r="GI129" s="54"/>
      <c r="GJ129" s="54"/>
      <c r="GK129" s="54"/>
      <c r="GL129" s="54"/>
      <c r="GM129" s="54"/>
      <c r="GN129" s="54"/>
      <c r="GO129" s="54"/>
      <c r="GP129" s="54"/>
      <c r="GQ129" s="54"/>
      <c r="GR129" s="54"/>
      <c r="GS129" s="54"/>
      <c r="GT129" s="54"/>
      <c r="GU129" s="54"/>
      <c r="GV129" s="54"/>
      <c r="GW129" s="54"/>
      <c r="GX129" s="54"/>
      <c r="GY129" s="54"/>
      <c r="GZ129" s="54"/>
      <c r="HA129" s="54"/>
      <c r="HB129" s="54"/>
      <c r="HC129" s="54"/>
      <c r="HD129" s="54"/>
      <c r="HE129" s="54"/>
      <c r="HF129" s="54"/>
      <c r="HG129" s="54"/>
      <c r="HH129" s="54"/>
      <c r="HI129" s="54"/>
      <c r="HJ129" s="54"/>
      <c r="HK129" s="54"/>
      <c r="HL129" s="54"/>
      <c r="HM129" s="54"/>
      <c r="HN129" s="54"/>
      <c r="HO129" s="54"/>
      <c r="HP129" s="54"/>
      <c r="HQ129" s="54"/>
      <c r="HR129" s="54"/>
      <c r="HS129" s="54"/>
      <c r="HT129" s="54"/>
      <c r="HU129" s="54"/>
      <c r="HV129" s="54"/>
      <c r="HW129" s="54"/>
      <c r="HX129" s="54"/>
      <c r="HY129" s="54"/>
      <c r="HZ129" s="54"/>
      <c r="IA129" s="54"/>
      <c r="IB129" s="54"/>
      <c r="IC129" s="54"/>
      <c r="ID129" s="54"/>
      <c r="IE129" s="54"/>
      <c r="IF129" s="54"/>
      <c r="IG129" s="54"/>
      <c r="IH129" s="54"/>
      <c r="II129" s="54"/>
      <c r="IJ129" s="54"/>
      <c r="IK129" s="54"/>
      <c r="IL129" s="54"/>
      <c r="IM129" s="54"/>
      <c r="IN129" s="54"/>
      <c r="IO129" s="54"/>
      <c r="IP129" s="54"/>
      <c r="IQ129" s="54"/>
      <c r="IR129" s="54"/>
      <c r="IS129" s="54"/>
      <c r="IT129" s="54"/>
      <c r="IU129" s="54"/>
      <c r="IV129" s="54"/>
      <c r="IW129" s="54"/>
      <c r="IX129" s="54"/>
      <c r="IY129" s="54"/>
      <c r="IZ129" s="54"/>
      <c r="JA129" s="54"/>
      <c r="JB129" s="54"/>
      <c r="JC129" s="54"/>
      <c r="JD129" s="54"/>
      <c r="JE129" s="54"/>
      <c r="JF129" s="54"/>
      <c r="JG129" s="54"/>
      <c r="JH129" s="54"/>
      <c r="JI129" s="54"/>
      <c r="JJ129" s="54"/>
      <c r="JK129" s="54"/>
      <c r="JL129" s="54"/>
      <c r="JM129" s="54"/>
      <c r="JN129" s="54"/>
      <c r="JO129" s="54"/>
      <c r="JP129" s="54"/>
      <c r="JQ129" s="54"/>
      <c r="JR129" s="54"/>
      <c r="JS129" s="54"/>
      <c r="JT129" s="54"/>
      <c r="JU129" s="54"/>
      <c r="JV129" s="54"/>
      <c r="JW129" s="54"/>
      <c r="JX129" s="54"/>
      <c r="JY129" s="54"/>
      <c r="JZ129" s="54"/>
      <c r="KA129" s="54"/>
      <c r="KB129" s="54"/>
      <c r="KC129" s="54"/>
      <c r="KD129" s="54"/>
      <c r="KE129" s="54"/>
      <c r="KF129" s="54"/>
      <c r="KG129" s="54"/>
      <c r="KH129" s="54"/>
      <c r="KI129" s="54"/>
      <c r="KJ129" s="54"/>
      <c r="KK129" s="54"/>
      <c r="KL129" s="54"/>
      <c r="KM129" s="54"/>
      <c r="KN129" s="54"/>
      <c r="KO129" s="54"/>
      <c r="KP129" s="54"/>
      <c r="KQ129" s="54"/>
      <c r="KR129" s="54"/>
      <c r="KS129" s="54"/>
      <c r="KT129" s="54"/>
      <c r="KU129" s="54"/>
      <c r="KV129" s="54"/>
      <c r="KW129" s="54"/>
      <c r="KX129" s="54"/>
      <c r="KY129" s="54"/>
      <c r="KZ129" s="54"/>
      <c r="LA129" s="54"/>
      <c r="LB129" s="54"/>
      <c r="LC129" s="54"/>
      <c r="LD129" s="54"/>
      <c r="LE129" s="54"/>
      <c r="LF129" s="54"/>
      <c r="LG129" s="54"/>
      <c r="LH129" s="54"/>
      <c r="LI129" s="54"/>
      <c r="LJ129" s="54"/>
      <c r="LK129" s="54"/>
      <c r="LL129" s="54"/>
      <c r="LM129" s="54"/>
      <c r="LN129" s="54"/>
      <c r="LO129" s="54"/>
      <c r="LP129" s="54"/>
      <c r="LQ129" s="54"/>
      <c r="LR129" s="54"/>
      <c r="LS129" s="54"/>
      <c r="LT129" s="54"/>
      <c r="LU129" s="54"/>
      <c r="LV129" s="54"/>
      <c r="LW129" s="54"/>
      <c r="LX129" s="54"/>
      <c r="LY129" s="54"/>
      <c r="LZ129" s="54"/>
      <c r="MA129" s="54"/>
      <c r="MB129" s="54"/>
      <c r="MC129" s="54"/>
      <c r="MD129" s="54"/>
      <c r="ME129" s="54"/>
      <c r="MF129" s="54"/>
      <c r="MG129" s="54"/>
      <c r="MH129" s="54"/>
      <c r="MI129" s="54"/>
      <c r="MJ129" s="54"/>
      <c r="MK129" s="54"/>
      <c r="ML129" s="54"/>
      <c r="MM129" s="54"/>
      <c r="MN129" s="54"/>
      <c r="MO129" s="54"/>
      <c r="MP129" s="54"/>
      <c r="MQ129" s="54"/>
      <c r="MR129" s="54"/>
      <c r="MS129" s="54"/>
      <c r="MT129" s="54"/>
      <c r="MU129" s="54"/>
      <c r="MV129" s="54"/>
      <c r="MW129" s="54"/>
      <c r="MX129" s="54"/>
      <c r="MY129" s="54"/>
      <c r="MZ129" s="54"/>
      <c r="NA129" s="54"/>
      <c r="NB129" s="54"/>
      <c r="NC129" s="54"/>
      <c r="ND129" s="54"/>
      <c r="NE129" s="54"/>
      <c r="NF129" s="54"/>
      <c r="NG129" s="54"/>
      <c r="NH129" s="54"/>
      <c r="NI129" s="54"/>
      <c r="NJ129" s="54"/>
      <c r="NK129" s="54"/>
      <c r="NL129" s="54"/>
      <c r="NM129" s="54"/>
      <c r="NN129" s="54"/>
      <c r="NO129" s="54"/>
      <c r="NP129" s="54"/>
      <c r="NQ129" s="54"/>
      <c r="NR129" s="54"/>
      <c r="NS129" s="54"/>
      <c r="NT129" s="54"/>
      <c r="NU129" s="54"/>
      <c r="NV129" s="54"/>
      <c r="NW129" s="54"/>
      <c r="NX129" s="54"/>
      <c r="NY129" s="54"/>
      <c r="NZ129" s="54"/>
      <c r="OA129" s="54"/>
      <c r="OB129" s="54"/>
      <c r="OC129" s="54"/>
      <c r="OD129" s="54"/>
      <c r="OE129" s="54"/>
      <c r="OF129" s="54"/>
      <c r="OG129" s="54"/>
      <c r="OH129" s="54"/>
      <c r="OI129" s="54"/>
      <c r="OJ129" s="54"/>
      <c r="OK129" s="54"/>
      <c r="OL129" s="54"/>
      <c r="OM129" s="54"/>
      <c r="ON129" s="54"/>
      <c r="OO129" s="54"/>
      <c r="OP129" s="54"/>
      <c r="OQ129" s="54"/>
      <c r="OR129" s="54"/>
      <c r="OS129" s="54"/>
      <c r="OT129" s="54"/>
      <c r="OU129" s="54"/>
      <c r="OV129" s="54"/>
      <c r="OW129" s="54"/>
      <c r="OX129" s="54"/>
      <c r="OY129" s="54"/>
      <c r="OZ129" s="54"/>
      <c r="PA129" s="54"/>
      <c r="PB129" s="54"/>
      <c r="PC129" s="54"/>
      <c r="PD129" s="54"/>
      <c r="PE129" s="54"/>
      <c r="PF129" s="54"/>
      <c r="PG129" s="54"/>
      <c r="PH129" s="54"/>
      <c r="PI129" s="54"/>
      <c r="PJ129" s="54"/>
      <c r="PK129" s="54"/>
      <c r="PL129" s="54"/>
      <c r="PM129" s="54"/>
      <c r="PN129" s="54"/>
      <c r="PO129" s="54"/>
      <c r="PP129" s="54"/>
      <c r="PQ129" s="54"/>
      <c r="PR129" s="54"/>
      <c r="PS129" s="54"/>
      <c r="PT129" s="54"/>
      <c r="PU129" s="54"/>
      <c r="PV129" s="54"/>
      <c r="PW129" s="54"/>
      <c r="PX129" s="54"/>
      <c r="PY129" s="54"/>
      <c r="PZ129" s="54"/>
      <c r="QA129" s="54"/>
      <c r="QB129" s="54"/>
      <c r="QC129" s="54"/>
      <c r="QD129" s="54"/>
      <c r="QE129" s="54"/>
      <c r="QF129" s="54"/>
      <c r="QG129" s="54"/>
      <c r="QH129" s="54"/>
      <c r="QI129" s="54"/>
      <c r="QJ129" s="54"/>
      <c r="QK129" s="54"/>
      <c r="QL129" s="54"/>
      <c r="QM129" s="54"/>
      <c r="QN129" s="54"/>
      <c r="QO129" s="54"/>
      <c r="QP129" s="54"/>
      <c r="QQ129" s="54"/>
      <c r="QR129" s="54"/>
      <c r="QS129" s="54"/>
      <c r="QT129" s="54"/>
      <c r="QU129" s="54"/>
      <c r="QV129" s="54"/>
      <c r="QW129" s="54"/>
      <c r="QX129" s="54"/>
      <c r="QY129" s="54"/>
      <c r="QZ129" s="54"/>
      <c r="RA129" s="54"/>
      <c r="RB129" s="54"/>
      <c r="RC129" s="54"/>
      <c r="RD129" s="54"/>
      <c r="RE129" s="54"/>
      <c r="RF129" s="54"/>
      <c r="RG129" s="54"/>
      <c r="RH129" s="54"/>
      <c r="RI129" s="54"/>
      <c r="RJ129" s="54"/>
      <c r="RK129" s="54"/>
      <c r="RL129" s="54"/>
      <c r="RM129" s="54"/>
      <c r="RN129" s="54"/>
      <c r="RO129" s="54"/>
      <c r="RP129" s="54"/>
      <c r="RQ129" s="54"/>
      <c r="RR129" s="54"/>
      <c r="RS129" s="54"/>
      <c r="RT129" s="54"/>
      <c r="RU129" s="54"/>
      <c r="RV129" s="54"/>
      <c r="RW129" s="54"/>
      <c r="RX129" s="54"/>
      <c r="RY129" s="54"/>
      <c r="RZ129" s="54"/>
      <c r="SA129" s="54"/>
      <c r="SB129" s="54"/>
      <c r="SC129" s="54"/>
      <c r="SD129" s="54"/>
      <c r="SE129" s="54"/>
      <c r="SF129" s="54"/>
      <c r="SG129" s="54"/>
      <c r="SH129" s="54"/>
      <c r="SI129" s="54"/>
      <c r="SJ129" s="54"/>
      <c r="SK129" s="54"/>
      <c r="SL129" s="54"/>
      <c r="SM129" s="54"/>
      <c r="SN129" s="54"/>
      <c r="SO129" s="54"/>
      <c r="SP129" s="54"/>
      <c r="SQ129" s="54"/>
      <c r="SR129" s="54"/>
    </row>
    <row r="130" spans="1:512" s="55" customFormat="1" ht="15" customHeight="1" x14ac:dyDescent="0.7">
      <c r="A130" s="173"/>
      <c r="B130" s="173"/>
      <c r="C130" s="173"/>
      <c r="D130" s="173"/>
      <c r="E130" s="173"/>
      <c r="F130" s="173"/>
      <c r="G130" s="173"/>
      <c r="H130" s="74"/>
      <c r="I130" s="75"/>
      <c r="J130" s="76"/>
      <c r="K130" s="191"/>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c r="IX130" s="56"/>
      <c r="IY130" s="56"/>
      <c r="IZ130" s="56"/>
      <c r="JA130" s="56"/>
      <c r="JB130" s="56"/>
      <c r="JC130" s="56"/>
      <c r="JD130" s="56"/>
      <c r="JE130" s="56"/>
      <c r="JF130" s="56"/>
      <c r="JG130" s="56"/>
      <c r="JH130" s="56"/>
      <c r="JI130" s="56"/>
      <c r="JJ130" s="56"/>
      <c r="JK130" s="56"/>
      <c r="JL130" s="56"/>
      <c r="JM130" s="56"/>
      <c r="JN130" s="56"/>
      <c r="JO130" s="56"/>
      <c r="JP130" s="56"/>
      <c r="JQ130" s="56"/>
      <c r="JR130" s="56"/>
      <c r="JS130" s="56"/>
      <c r="JT130" s="56"/>
      <c r="JU130" s="56"/>
      <c r="JV130" s="56"/>
      <c r="JW130" s="56"/>
      <c r="JX130" s="56"/>
      <c r="JY130" s="56"/>
      <c r="JZ130" s="56"/>
      <c r="KA130" s="56"/>
      <c r="KB130" s="56"/>
      <c r="KC130" s="56"/>
      <c r="KD130" s="56"/>
      <c r="KE130" s="56"/>
      <c r="KF130" s="56"/>
      <c r="KG130" s="56"/>
      <c r="KH130" s="56"/>
      <c r="KI130" s="56"/>
      <c r="KJ130" s="56"/>
      <c r="KK130" s="56"/>
      <c r="KL130" s="56"/>
      <c r="KM130" s="56"/>
      <c r="KN130" s="56"/>
      <c r="KO130" s="56"/>
      <c r="KP130" s="56"/>
      <c r="KQ130" s="56"/>
      <c r="KR130" s="56"/>
      <c r="KS130" s="56"/>
      <c r="KT130" s="56"/>
      <c r="KU130" s="56"/>
      <c r="KV130" s="56"/>
      <c r="KW130" s="56"/>
      <c r="KX130" s="56"/>
      <c r="KY130" s="56"/>
      <c r="KZ130" s="56"/>
      <c r="LA130" s="56"/>
      <c r="LB130" s="56"/>
      <c r="LC130" s="56"/>
      <c r="LD130" s="56"/>
      <c r="LE130" s="56"/>
      <c r="LF130" s="56"/>
      <c r="LG130" s="56"/>
      <c r="LH130" s="56"/>
      <c r="LI130" s="56"/>
      <c r="LJ130" s="56"/>
      <c r="LK130" s="56"/>
      <c r="LL130" s="56"/>
      <c r="LM130" s="56"/>
      <c r="LN130" s="56"/>
      <c r="LO130" s="56"/>
      <c r="LP130" s="56"/>
      <c r="LQ130" s="56"/>
      <c r="LR130" s="56"/>
      <c r="LS130" s="56"/>
      <c r="LT130" s="56"/>
      <c r="LU130" s="56"/>
      <c r="LV130" s="56"/>
      <c r="LW130" s="56"/>
      <c r="LX130" s="56"/>
      <c r="LY130" s="56"/>
      <c r="LZ130" s="56"/>
      <c r="MA130" s="56"/>
      <c r="MB130" s="56"/>
      <c r="MC130" s="56"/>
      <c r="MD130" s="56"/>
      <c r="ME130" s="56"/>
      <c r="MF130" s="56"/>
      <c r="MG130" s="56"/>
      <c r="MH130" s="56"/>
      <c r="MI130" s="56"/>
      <c r="MJ130" s="56"/>
      <c r="MK130" s="56"/>
      <c r="ML130" s="56"/>
      <c r="MM130" s="56"/>
      <c r="MN130" s="56"/>
      <c r="MO130" s="56"/>
      <c r="MP130" s="56"/>
      <c r="MQ130" s="56"/>
      <c r="MR130" s="56"/>
      <c r="MS130" s="56"/>
      <c r="MT130" s="56"/>
      <c r="MU130" s="56"/>
      <c r="MV130" s="56"/>
      <c r="MW130" s="56"/>
      <c r="MX130" s="56"/>
      <c r="MY130" s="56"/>
      <c r="MZ130" s="56"/>
      <c r="NA130" s="56"/>
      <c r="NB130" s="56"/>
      <c r="NC130" s="56"/>
      <c r="ND130" s="56"/>
      <c r="NE130" s="56"/>
      <c r="NF130" s="56"/>
      <c r="NG130" s="56"/>
      <c r="NH130" s="56"/>
      <c r="NI130" s="56"/>
      <c r="NJ130" s="56"/>
      <c r="NK130" s="56"/>
      <c r="NL130" s="56"/>
      <c r="NM130" s="56"/>
      <c r="NN130" s="56"/>
      <c r="NO130" s="56"/>
      <c r="NP130" s="56"/>
      <c r="NQ130" s="56"/>
      <c r="NR130" s="56"/>
      <c r="NS130" s="56"/>
      <c r="NT130" s="56"/>
      <c r="NU130" s="56"/>
      <c r="NV130" s="56"/>
      <c r="NW130" s="56"/>
      <c r="NX130" s="56"/>
      <c r="NY130" s="56"/>
      <c r="NZ130" s="56"/>
      <c r="OA130" s="56"/>
      <c r="OB130" s="56"/>
      <c r="OC130" s="56"/>
      <c r="OD130" s="56"/>
      <c r="OE130" s="56"/>
      <c r="OF130" s="56"/>
      <c r="OG130" s="56"/>
      <c r="OH130" s="56"/>
      <c r="OI130" s="56"/>
      <c r="OJ130" s="56"/>
      <c r="OK130" s="56"/>
      <c r="OL130" s="56"/>
      <c r="OM130" s="56"/>
      <c r="ON130" s="56"/>
      <c r="OO130" s="56"/>
      <c r="OP130" s="56"/>
      <c r="OQ130" s="56"/>
      <c r="OR130" s="56"/>
      <c r="OS130" s="56"/>
      <c r="OT130" s="56"/>
      <c r="OU130" s="56"/>
      <c r="OV130" s="56"/>
      <c r="OW130" s="56"/>
      <c r="OX130" s="56"/>
      <c r="OY130" s="56"/>
      <c r="OZ130" s="56"/>
      <c r="PA130" s="56"/>
      <c r="PB130" s="56"/>
      <c r="PC130" s="56"/>
      <c r="PD130" s="56"/>
      <c r="PE130" s="56"/>
      <c r="PF130" s="56"/>
      <c r="PG130" s="56"/>
      <c r="PH130" s="56"/>
      <c r="PI130" s="56"/>
      <c r="PJ130" s="56"/>
      <c r="PK130" s="56"/>
      <c r="PL130" s="56"/>
      <c r="PM130" s="56"/>
      <c r="PN130" s="56"/>
      <c r="PO130" s="56"/>
      <c r="PP130" s="56"/>
      <c r="PQ130" s="56"/>
      <c r="PR130" s="56"/>
      <c r="PS130" s="56"/>
      <c r="PT130" s="56"/>
      <c r="PU130" s="56"/>
      <c r="PV130" s="56"/>
      <c r="PW130" s="56"/>
      <c r="PX130" s="56"/>
      <c r="PY130" s="56"/>
      <c r="PZ130" s="56"/>
      <c r="QA130" s="56"/>
      <c r="QB130" s="56"/>
      <c r="QC130" s="56"/>
      <c r="QD130" s="56"/>
      <c r="QE130" s="56"/>
      <c r="QF130" s="56"/>
      <c r="QG130" s="56"/>
      <c r="QH130" s="56"/>
      <c r="QI130" s="56"/>
      <c r="QJ130" s="56"/>
      <c r="QK130" s="56"/>
      <c r="QL130" s="56"/>
      <c r="QM130" s="56"/>
      <c r="QN130" s="56"/>
      <c r="QO130" s="56"/>
      <c r="QP130" s="56"/>
      <c r="QQ130" s="56"/>
      <c r="QR130" s="56"/>
      <c r="QS130" s="56"/>
      <c r="QT130" s="56"/>
      <c r="QU130" s="56"/>
      <c r="QV130" s="56"/>
      <c r="QW130" s="56"/>
      <c r="QX130" s="56"/>
      <c r="QY130" s="56"/>
      <c r="QZ130" s="56"/>
      <c r="RA130" s="56"/>
      <c r="RB130" s="56"/>
      <c r="RC130" s="56"/>
      <c r="RD130" s="56"/>
      <c r="RE130" s="56"/>
      <c r="RF130" s="56"/>
      <c r="RG130" s="56"/>
      <c r="RH130" s="56"/>
      <c r="RI130" s="56"/>
      <c r="RJ130" s="56"/>
      <c r="RK130" s="56"/>
      <c r="RL130" s="56"/>
      <c r="RM130" s="56"/>
      <c r="RN130" s="56"/>
      <c r="RO130" s="56"/>
      <c r="RP130" s="56"/>
      <c r="RQ130" s="56"/>
      <c r="RR130" s="56"/>
      <c r="RS130" s="56"/>
      <c r="RT130" s="56"/>
      <c r="RU130" s="56"/>
      <c r="RV130" s="56"/>
      <c r="RW130" s="56"/>
      <c r="RX130" s="56"/>
      <c r="RY130" s="56"/>
      <c r="RZ130" s="56"/>
      <c r="SA130" s="56"/>
      <c r="SB130" s="56"/>
      <c r="SC130" s="56"/>
      <c r="SD130" s="56"/>
      <c r="SE130" s="56"/>
      <c r="SF130" s="56"/>
      <c r="SG130" s="56"/>
      <c r="SH130" s="56"/>
      <c r="SI130" s="56"/>
      <c r="SJ130" s="56"/>
      <c r="SK130" s="56"/>
      <c r="SL130" s="56"/>
      <c r="SM130" s="56"/>
      <c r="SN130" s="56"/>
      <c r="SO130" s="56"/>
      <c r="SP130" s="56"/>
      <c r="SQ130" s="56"/>
      <c r="SR130" s="56"/>
    </row>
    <row r="131" spans="1:512" ht="15" customHeight="1" x14ac:dyDescent="0.7">
      <c r="A131" s="171" t="s">
        <v>344</v>
      </c>
      <c r="B131" s="171" t="s">
        <v>344</v>
      </c>
      <c r="C131" s="171" t="s">
        <v>344</v>
      </c>
      <c r="D131" s="171"/>
      <c r="E131" s="171" t="s">
        <v>344</v>
      </c>
      <c r="F131" s="171"/>
      <c r="G131" s="188" t="s">
        <v>344</v>
      </c>
      <c r="H131" s="71" t="s">
        <v>344</v>
      </c>
      <c r="I131" s="72" t="s">
        <v>344</v>
      </c>
      <c r="J131" s="73" t="s">
        <v>344</v>
      </c>
      <c r="K131" s="189" t="s">
        <v>344</v>
      </c>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4"/>
      <c r="EF131" s="54"/>
      <c r="EG131" s="54"/>
      <c r="EH131" s="54"/>
      <c r="EI131" s="54"/>
      <c r="EJ131" s="54"/>
      <c r="EK131" s="54"/>
      <c r="EL131" s="54"/>
      <c r="EM131" s="54"/>
      <c r="EN131" s="54"/>
      <c r="EO131" s="54"/>
      <c r="EP131" s="54"/>
      <c r="EQ131" s="54"/>
      <c r="ER131" s="54"/>
      <c r="ES131" s="54"/>
      <c r="ET131" s="54"/>
      <c r="EU131" s="54"/>
      <c r="EV131" s="54"/>
      <c r="EW131" s="54"/>
      <c r="EX131" s="54"/>
      <c r="EY131" s="54"/>
      <c r="EZ131" s="54"/>
      <c r="FA131" s="54"/>
      <c r="FB131" s="54"/>
      <c r="FC131" s="54"/>
      <c r="FD131" s="54"/>
      <c r="FE131" s="54"/>
      <c r="FF131" s="54"/>
      <c r="FG131" s="54"/>
      <c r="FH131" s="54"/>
      <c r="FI131" s="54"/>
      <c r="FJ131" s="54"/>
      <c r="FK131" s="54"/>
      <c r="FL131" s="54"/>
      <c r="FM131" s="54"/>
      <c r="FN131" s="54"/>
      <c r="FO131" s="54"/>
      <c r="FP131" s="54"/>
      <c r="FQ131" s="54"/>
      <c r="FR131" s="54"/>
      <c r="FS131" s="54"/>
      <c r="FT131" s="54"/>
      <c r="FU131" s="54"/>
      <c r="FV131" s="54"/>
      <c r="FW131" s="54"/>
      <c r="FX131" s="54"/>
      <c r="FY131" s="54"/>
      <c r="FZ131" s="54"/>
      <c r="GA131" s="54"/>
      <c r="GB131" s="54"/>
      <c r="GC131" s="54"/>
      <c r="GD131" s="54"/>
      <c r="GE131" s="54"/>
      <c r="GF131" s="54"/>
      <c r="GG131" s="54"/>
      <c r="GH131" s="54"/>
      <c r="GI131" s="54"/>
      <c r="GJ131" s="54"/>
      <c r="GK131" s="54"/>
      <c r="GL131" s="54"/>
      <c r="GM131" s="54"/>
      <c r="GN131" s="54"/>
      <c r="GO131" s="54"/>
      <c r="GP131" s="54"/>
      <c r="GQ131" s="54"/>
      <c r="GR131" s="54"/>
      <c r="GS131" s="54"/>
      <c r="GT131" s="54"/>
      <c r="GU131" s="54"/>
      <c r="GV131" s="54"/>
      <c r="GW131" s="54"/>
      <c r="GX131" s="54"/>
      <c r="GY131" s="54"/>
      <c r="GZ131" s="54"/>
      <c r="HA131" s="54"/>
      <c r="HB131" s="54"/>
      <c r="HC131" s="54"/>
      <c r="HD131" s="54"/>
      <c r="HE131" s="54"/>
      <c r="HF131" s="54"/>
      <c r="HG131" s="54"/>
      <c r="HH131" s="54"/>
      <c r="HI131" s="54"/>
      <c r="HJ131" s="54"/>
      <c r="HK131" s="54"/>
      <c r="HL131" s="54"/>
      <c r="HM131" s="54"/>
      <c r="HN131" s="54"/>
      <c r="HO131" s="54"/>
      <c r="HP131" s="54"/>
      <c r="HQ131" s="54"/>
      <c r="HR131" s="54"/>
      <c r="HS131" s="54"/>
      <c r="HT131" s="54"/>
      <c r="HU131" s="54"/>
      <c r="HV131" s="54"/>
      <c r="HW131" s="54"/>
      <c r="HX131" s="54"/>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c r="IW131" s="54"/>
      <c r="IX131" s="54"/>
      <c r="IY131" s="54"/>
      <c r="IZ131" s="54"/>
      <c r="JA131" s="54"/>
      <c r="JB131" s="54"/>
      <c r="JC131" s="54"/>
      <c r="JD131" s="54"/>
      <c r="JE131" s="54"/>
      <c r="JF131" s="54"/>
      <c r="JG131" s="54"/>
      <c r="JH131" s="54"/>
      <c r="JI131" s="54"/>
      <c r="JJ131" s="54"/>
      <c r="JK131" s="54"/>
      <c r="JL131" s="54"/>
      <c r="JM131" s="54"/>
      <c r="JN131" s="54"/>
      <c r="JO131" s="54"/>
      <c r="JP131" s="54"/>
      <c r="JQ131" s="54"/>
      <c r="JR131" s="54"/>
      <c r="JS131" s="54"/>
      <c r="JT131" s="54"/>
      <c r="JU131" s="54"/>
      <c r="JV131" s="54"/>
      <c r="JW131" s="54"/>
      <c r="JX131" s="54"/>
      <c r="JY131" s="54"/>
      <c r="JZ131" s="54"/>
      <c r="KA131" s="54"/>
      <c r="KB131" s="54"/>
      <c r="KC131" s="54"/>
      <c r="KD131" s="54"/>
      <c r="KE131" s="54"/>
      <c r="KF131" s="54"/>
      <c r="KG131" s="54"/>
      <c r="KH131" s="54"/>
      <c r="KI131" s="54"/>
      <c r="KJ131" s="54"/>
      <c r="KK131" s="54"/>
      <c r="KL131" s="54"/>
      <c r="KM131" s="54"/>
      <c r="KN131" s="54"/>
      <c r="KO131" s="54"/>
      <c r="KP131" s="54"/>
      <c r="KQ131" s="54"/>
      <c r="KR131" s="54"/>
      <c r="KS131" s="54"/>
      <c r="KT131" s="54"/>
      <c r="KU131" s="54"/>
      <c r="KV131" s="54"/>
      <c r="KW131" s="54"/>
      <c r="KX131" s="54"/>
      <c r="KY131" s="54"/>
      <c r="KZ131" s="54"/>
      <c r="LA131" s="54"/>
      <c r="LB131" s="54"/>
      <c r="LC131" s="54"/>
      <c r="LD131" s="54"/>
      <c r="LE131" s="54"/>
      <c r="LF131" s="54"/>
      <c r="LG131" s="54"/>
      <c r="LH131" s="54"/>
      <c r="LI131" s="54"/>
      <c r="LJ131" s="54"/>
      <c r="LK131" s="54"/>
      <c r="LL131" s="54"/>
      <c r="LM131" s="54"/>
      <c r="LN131" s="54"/>
      <c r="LO131" s="54"/>
      <c r="LP131" s="54"/>
      <c r="LQ131" s="54"/>
      <c r="LR131" s="54"/>
      <c r="LS131" s="54"/>
      <c r="LT131" s="54"/>
      <c r="LU131" s="54"/>
      <c r="LV131" s="54"/>
      <c r="LW131" s="54"/>
      <c r="LX131" s="54"/>
      <c r="LY131" s="54"/>
      <c r="LZ131" s="54"/>
      <c r="MA131" s="54"/>
      <c r="MB131" s="54"/>
      <c r="MC131" s="54"/>
      <c r="MD131" s="54"/>
      <c r="ME131" s="54"/>
      <c r="MF131" s="54"/>
      <c r="MG131" s="54"/>
      <c r="MH131" s="54"/>
      <c r="MI131" s="54"/>
      <c r="MJ131" s="54"/>
      <c r="MK131" s="54"/>
      <c r="ML131" s="54"/>
      <c r="MM131" s="54"/>
      <c r="MN131" s="54"/>
      <c r="MO131" s="54"/>
      <c r="MP131" s="54"/>
      <c r="MQ131" s="54"/>
      <c r="MR131" s="54"/>
      <c r="MS131" s="54"/>
      <c r="MT131" s="54"/>
      <c r="MU131" s="54"/>
      <c r="MV131" s="54"/>
      <c r="MW131" s="54"/>
      <c r="MX131" s="54"/>
      <c r="MY131" s="54"/>
      <c r="MZ131" s="54"/>
      <c r="NA131" s="54"/>
      <c r="NB131" s="54"/>
      <c r="NC131" s="54"/>
      <c r="ND131" s="54"/>
      <c r="NE131" s="54"/>
      <c r="NF131" s="54"/>
      <c r="NG131" s="54"/>
      <c r="NH131" s="54"/>
      <c r="NI131" s="54"/>
      <c r="NJ131" s="54"/>
      <c r="NK131" s="54"/>
      <c r="NL131" s="54"/>
      <c r="NM131" s="54"/>
      <c r="NN131" s="54"/>
      <c r="NO131" s="54"/>
      <c r="NP131" s="54"/>
      <c r="NQ131" s="54"/>
      <c r="NR131" s="54"/>
      <c r="NS131" s="54"/>
      <c r="NT131" s="54"/>
      <c r="NU131" s="54"/>
      <c r="NV131" s="54"/>
      <c r="NW131" s="54"/>
      <c r="NX131" s="54"/>
      <c r="NY131" s="54"/>
      <c r="NZ131" s="54"/>
      <c r="OA131" s="54"/>
      <c r="OB131" s="54"/>
      <c r="OC131" s="54"/>
      <c r="OD131" s="54"/>
      <c r="OE131" s="54"/>
      <c r="OF131" s="54"/>
      <c r="OG131" s="54"/>
      <c r="OH131" s="54"/>
      <c r="OI131" s="54"/>
      <c r="OJ131" s="54"/>
      <c r="OK131" s="54"/>
      <c r="OL131" s="54"/>
      <c r="OM131" s="54"/>
      <c r="ON131" s="54"/>
      <c r="OO131" s="54"/>
      <c r="OP131" s="54"/>
      <c r="OQ131" s="54"/>
      <c r="OR131" s="54"/>
      <c r="OS131" s="54"/>
      <c r="OT131" s="54"/>
      <c r="OU131" s="54"/>
      <c r="OV131" s="54"/>
      <c r="OW131" s="54"/>
      <c r="OX131" s="54"/>
      <c r="OY131" s="54"/>
      <c r="OZ131" s="54"/>
      <c r="PA131" s="54"/>
      <c r="PB131" s="54"/>
      <c r="PC131" s="54"/>
      <c r="PD131" s="54"/>
      <c r="PE131" s="54"/>
      <c r="PF131" s="54"/>
      <c r="PG131" s="54"/>
      <c r="PH131" s="54"/>
      <c r="PI131" s="54"/>
      <c r="PJ131" s="54"/>
      <c r="PK131" s="54"/>
      <c r="PL131" s="54"/>
      <c r="PM131" s="54"/>
      <c r="PN131" s="54"/>
      <c r="PO131" s="54"/>
      <c r="PP131" s="54"/>
      <c r="PQ131" s="54"/>
      <c r="PR131" s="54"/>
      <c r="PS131" s="54"/>
      <c r="PT131" s="54"/>
      <c r="PU131" s="54"/>
      <c r="PV131" s="54"/>
      <c r="PW131" s="54"/>
      <c r="PX131" s="54"/>
      <c r="PY131" s="54"/>
      <c r="PZ131" s="54"/>
      <c r="QA131" s="54"/>
      <c r="QB131" s="54"/>
      <c r="QC131" s="54"/>
      <c r="QD131" s="54"/>
      <c r="QE131" s="54"/>
      <c r="QF131" s="54"/>
      <c r="QG131" s="54"/>
      <c r="QH131" s="54"/>
      <c r="QI131" s="54"/>
      <c r="QJ131" s="54"/>
      <c r="QK131" s="54"/>
      <c r="QL131" s="54"/>
      <c r="QM131" s="54"/>
      <c r="QN131" s="54"/>
      <c r="QO131" s="54"/>
      <c r="QP131" s="54"/>
      <c r="QQ131" s="54"/>
      <c r="QR131" s="54"/>
      <c r="QS131" s="54"/>
      <c r="QT131" s="54"/>
      <c r="QU131" s="54"/>
      <c r="QV131" s="54"/>
      <c r="QW131" s="54"/>
      <c r="QX131" s="54"/>
      <c r="QY131" s="54"/>
      <c r="QZ131" s="54"/>
      <c r="RA131" s="54"/>
      <c r="RB131" s="54"/>
      <c r="RC131" s="54"/>
      <c r="RD131" s="54"/>
      <c r="RE131" s="54"/>
      <c r="RF131" s="54"/>
      <c r="RG131" s="54"/>
      <c r="RH131" s="54"/>
      <c r="RI131" s="54"/>
      <c r="RJ131" s="54"/>
      <c r="RK131" s="54"/>
      <c r="RL131" s="54"/>
      <c r="RM131" s="54"/>
      <c r="RN131" s="54"/>
      <c r="RO131" s="54"/>
      <c r="RP131" s="54"/>
      <c r="RQ131" s="54"/>
      <c r="RR131" s="54"/>
      <c r="RS131" s="54"/>
      <c r="RT131" s="54"/>
      <c r="RU131" s="54"/>
      <c r="RV131" s="54"/>
      <c r="RW131" s="54"/>
      <c r="RX131" s="54"/>
      <c r="RY131" s="54"/>
      <c r="RZ131" s="54"/>
      <c r="SA131" s="54"/>
      <c r="SB131" s="54"/>
      <c r="SC131" s="54"/>
      <c r="SD131" s="54"/>
      <c r="SE131" s="54"/>
      <c r="SF131" s="54"/>
      <c r="SG131" s="54"/>
      <c r="SH131" s="54"/>
      <c r="SI131" s="54"/>
      <c r="SJ131" s="54"/>
      <c r="SK131" s="54"/>
      <c r="SL131" s="54"/>
      <c r="SM131" s="54"/>
      <c r="SN131" s="54"/>
      <c r="SO131" s="54"/>
      <c r="SP131" s="54"/>
      <c r="SQ131" s="54"/>
      <c r="SR131" s="54"/>
    </row>
    <row r="132" spans="1:512" ht="15" customHeight="1" x14ac:dyDescent="0.7">
      <c r="A132" s="172"/>
      <c r="B132" s="172"/>
      <c r="C132" s="172"/>
      <c r="D132" s="172"/>
      <c r="E132" s="172"/>
      <c r="F132" s="172"/>
      <c r="G132" s="172"/>
      <c r="I132" s="72" t="s">
        <v>344</v>
      </c>
      <c r="J132" s="73" t="s">
        <v>344</v>
      </c>
      <c r="K132" s="190"/>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4"/>
      <c r="EF132" s="54"/>
      <c r="EG132" s="54"/>
      <c r="EH132" s="54"/>
      <c r="EI132" s="54"/>
      <c r="EJ132" s="54"/>
      <c r="EK132" s="54"/>
      <c r="EL132" s="54"/>
      <c r="EM132" s="54"/>
      <c r="EN132" s="54"/>
      <c r="EO132" s="54"/>
      <c r="EP132" s="54"/>
      <c r="EQ132" s="54"/>
      <c r="ER132" s="54"/>
      <c r="ES132" s="54"/>
      <c r="ET132" s="54"/>
      <c r="EU132" s="54"/>
      <c r="EV132" s="54"/>
      <c r="EW132" s="54"/>
      <c r="EX132" s="54"/>
      <c r="EY132" s="54"/>
      <c r="EZ132" s="54"/>
      <c r="FA132" s="54"/>
      <c r="FB132" s="54"/>
      <c r="FC132" s="54"/>
      <c r="FD132" s="54"/>
      <c r="FE132" s="54"/>
      <c r="FF132" s="54"/>
      <c r="FG132" s="54"/>
      <c r="FH132" s="54"/>
      <c r="FI132" s="54"/>
      <c r="FJ132" s="54"/>
      <c r="FK132" s="54"/>
      <c r="FL132" s="54"/>
      <c r="FM132" s="54"/>
      <c r="FN132" s="54"/>
      <c r="FO132" s="54"/>
      <c r="FP132" s="54"/>
      <c r="FQ132" s="54"/>
      <c r="FR132" s="54"/>
      <c r="FS132" s="54"/>
      <c r="FT132" s="54"/>
      <c r="FU132" s="54"/>
      <c r="FV132" s="54"/>
      <c r="FW132" s="54"/>
      <c r="FX132" s="54"/>
      <c r="FY132" s="54"/>
      <c r="FZ132" s="54"/>
      <c r="GA132" s="54"/>
      <c r="GB132" s="54"/>
      <c r="GC132" s="54"/>
      <c r="GD132" s="54"/>
      <c r="GE132" s="54"/>
      <c r="GF132" s="54"/>
      <c r="GG132" s="54"/>
      <c r="GH132" s="54"/>
      <c r="GI132" s="54"/>
      <c r="GJ132" s="54"/>
      <c r="GK132" s="54"/>
      <c r="GL132" s="54"/>
      <c r="GM132" s="54"/>
      <c r="GN132" s="54"/>
      <c r="GO132" s="54"/>
      <c r="GP132" s="54"/>
      <c r="GQ132" s="54"/>
      <c r="GR132" s="54"/>
      <c r="GS132" s="54"/>
      <c r="GT132" s="54"/>
      <c r="GU132" s="54"/>
      <c r="GV132" s="54"/>
      <c r="GW132" s="54"/>
      <c r="GX132" s="54"/>
      <c r="GY132" s="54"/>
      <c r="GZ132" s="54"/>
      <c r="HA132" s="54"/>
      <c r="HB132" s="54"/>
      <c r="HC132" s="54"/>
      <c r="HD132" s="54"/>
      <c r="HE132" s="54"/>
      <c r="HF132" s="54"/>
      <c r="HG132" s="54"/>
      <c r="HH132" s="54"/>
      <c r="HI132" s="54"/>
      <c r="HJ132" s="54"/>
      <c r="HK132" s="54"/>
      <c r="HL132" s="54"/>
      <c r="HM132" s="54"/>
      <c r="HN132" s="54"/>
      <c r="HO132" s="54"/>
      <c r="HP132" s="54"/>
      <c r="HQ132" s="54"/>
      <c r="HR132" s="54"/>
      <c r="HS132" s="54"/>
      <c r="HT132" s="54"/>
      <c r="HU132" s="54"/>
      <c r="HV132" s="54"/>
      <c r="HW132" s="54"/>
      <c r="HX132" s="54"/>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c r="IW132" s="54"/>
      <c r="IX132" s="54"/>
      <c r="IY132" s="54"/>
      <c r="IZ132" s="54"/>
      <c r="JA132" s="54"/>
      <c r="JB132" s="54"/>
      <c r="JC132" s="54"/>
      <c r="JD132" s="54"/>
      <c r="JE132" s="54"/>
      <c r="JF132" s="54"/>
      <c r="JG132" s="54"/>
      <c r="JH132" s="54"/>
      <c r="JI132" s="54"/>
      <c r="JJ132" s="54"/>
      <c r="JK132" s="54"/>
      <c r="JL132" s="54"/>
      <c r="JM132" s="54"/>
      <c r="JN132" s="54"/>
      <c r="JO132" s="54"/>
      <c r="JP132" s="54"/>
      <c r="JQ132" s="54"/>
      <c r="JR132" s="54"/>
      <c r="JS132" s="54"/>
      <c r="JT132" s="54"/>
      <c r="JU132" s="54"/>
      <c r="JV132" s="54"/>
      <c r="JW132" s="54"/>
      <c r="JX132" s="54"/>
      <c r="JY132" s="54"/>
      <c r="JZ132" s="54"/>
      <c r="KA132" s="54"/>
      <c r="KB132" s="54"/>
      <c r="KC132" s="54"/>
      <c r="KD132" s="54"/>
      <c r="KE132" s="54"/>
      <c r="KF132" s="54"/>
      <c r="KG132" s="54"/>
      <c r="KH132" s="54"/>
      <c r="KI132" s="54"/>
      <c r="KJ132" s="54"/>
      <c r="KK132" s="54"/>
      <c r="KL132" s="54"/>
      <c r="KM132" s="54"/>
      <c r="KN132" s="54"/>
      <c r="KO132" s="54"/>
      <c r="KP132" s="54"/>
      <c r="KQ132" s="54"/>
      <c r="KR132" s="54"/>
      <c r="KS132" s="54"/>
      <c r="KT132" s="54"/>
      <c r="KU132" s="54"/>
      <c r="KV132" s="54"/>
      <c r="KW132" s="54"/>
      <c r="KX132" s="54"/>
      <c r="KY132" s="54"/>
      <c r="KZ132" s="54"/>
      <c r="LA132" s="54"/>
      <c r="LB132" s="54"/>
      <c r="LC132" s="54"/>
      <c r="LD132" s="54"/>
      <c r="LE132" s="54"/>
      <c r="LF132" s="54"/>
      <c r="LG132" s="54"/>
      <c r="LH132" s="54"/>
      <c r="LI132" s="54"/>
      <c r="LJ132" s="54"/>
      <c r="LK132" s="54"/>
      <c r="LL132" s="54"/>
      <c r="LM132" s="54"/>
      <c r="LN132" s="54"/>
      <c r="LO132" s="54"/>
      <c r="LP132" s="54"/>
      <c r="LQ132" s="54"/>
      <c r="LR132" s="54"/>
      <c r="LS132" s="54"/>
      <c r="LT132" s="54"/>
      <c r="LU132" s="54"/>
      <c r="LV132" s="54"/>
      <c r="LW132" s="54"/>
      <c r="LX132" s="54"/>
      <c r="LY132" s="54"/>
      <c r="LZ132" s="54"/>
      <c r="MA132" s="54"/>
      <c r="MB132" s="54"/>
      <c r="MC132" s="54"/>
      <c r="MD132" s="54"/>
      <c r="ME132" s="54"/>
      <c r="MF132" s="54"/>
      <c r="MG132" s="54"/>
      <c r="MH132" s="54"/>
      <c r="MI132" s="54"/>
      <c r="MJ132" s="54"/>
      <c r="MK132" s="54"/>
      <c r="ML132" s="54"/>
      <c r="MM132" s="54"/>
      <c r="MN132" s="54"/>
      <c r="MO132" s="54"/>
      <c r="MP132" s="54"/>
      <c r="MQ132" s="54"/>
      <c r="MR132" s="54"/>
      <c r="MS132" s="54"/>
      <c r="MT132" s="54"/>
      <c r="MU132" s="54"/>
      <c r="MV132" s="54"/>
      <c r="MW132" s="54"/>
      <c r="MX132" s="54"/>
      <c r="MY132" s="54"/>
      <c r="MZ132" s="54"/>
      <c r="NA132" s="54"/>
      <c r="NB132" s="54"/>
      <c r="NC132" s="54"/>
      <c r="ND132" s="54"/>
      <c r="NE132" s="54"/>
      <c r="NF132" s="54"/>
      <c r="NG132" s="54"/>
      <c r="NH132" s="54"/>
      <c r="NI132" s="54"/>
      <c r="NJ132" s="54"/>
      <c r="NK132" s="54"/>
      <c r="NL132" s="54"/>
      <c r="NM132" s="54"/>
      <c r="NN132" s="54"/>
      <c r="NO132" s="54"/>
      <c r="NP132" s="54"/>
      <c r="NQ132" s="54"/>
      <c r="NR132" s="54"/>
      <c r="NS132" s="54"/>
      <c r="NT132" s="54"/>
      <c r="NU132" s="54"/>
      <c r="NV132" s="54"/>
      <c r="NW132" s="54"/>
      <c r="NX132" s="54"/>
      <c r="NY132" s="54"/>
      <c r="NZ132" s="54"/>
      <c r="OA132" s="54"/>
      <c r="OB132" s="54"/>
      <c r="OC132" s="54"/>
      <c r="OD132" s="54"/>
      <c r="OE132" s="54"/>
      <c r="OF132" s="54"/>
      <c r="OG132" s="54"/>
      <c r="OH132" s="54"/>
      <c r="OI132" s="54"/>
      <c r="OJ132" s="54"/>
      <c r="OK132" s="54"/>
      <c r="OL132" s="54"/>
      <c r="OM132" s="54"/>
      <c r="ON132" s="54"/>
      <c r="OO132" s="54"/>
      <c r="OP132" s="54"/>
      <c r="OQ132" s="54"/>
      <c r="OR132" s="54"/>
      <c r="OS132" s="54"/>
      <c r="OT132" s="54"/>
      <c r="OU132" s="54"/>
      <c r="OV132" s="54"/>
      <c r="OW132" s="54"/>
      <c r="OX132" s="54"/>
      <c r="OY132" s="54"/>
      <c r="OZ132" s="54"/>
      <c r="PA132" s="54"/>
      <c r="PB132" s="54"/>
      <c r="PC132" s="54"/>
      <c r="PD132" s="54"/>
      <c r="PE132" s="54"/>
      <c r="PF132" s="54"/>
      <c r="PG132" s="54"/>
      <c r="PH132" s="54"/>
      <c r="PI132" s="54"/>
      <c r="PJ132" s="54"/>
      <c r="PK132" s="54"/>
      <c r="PL132" s="54"/>
      <c r="PM132" s="54"/>
      <c r="PN132" s="54"/>
      <c r="PO132" s="54"/>
      <c r="PP132" s="54"/>
      <c r="PQ132" s="54"/>
      <c r="PR132" s="54"/>
      <c r="PS132" s="54"/>
      <c r="PT132" s="54"/>
      <c r="PU132" s="54"/>
      <c r="PV132" s="54"/>
      <c r="PW132" s="54"/>
      <c r="PX132" s="54"/>
      <c r="PY132" s="54"/>
      <c r="PZ132" s="54"/>
      <c r="QA132" s="54"/>
      <c r="QB132" s="54"/>
      <c r="QC132" s="54"/>
      <c r="QD132" s="54"/>
      <c r="QE132" s="54"/>
      <c r="QF132" s="54"/>
      <c r="QG132" s="54"/>
      <c r="QH132" s="54"/>
      <c r="QI132" s="54"/>
      <c r="QJ132" s="54"/>
      <c r="QK132" s="54"/>
      <c r="QL132" s="54"/>
      <c r="QM132" s="54"/>
      <c r="QN132" s="54"/>
      <c r="QO132" s="54"/>
      <c r="QP132" s="54"/>
      <c r="QQ132" s="54"/>
      <c r="QR132" s="54"/>
      <c r="QS132" s="54"/>
      <c r="QT132" s="54"/>
      <c r="QU132" s="54"/>
      <c r="QV132" s="54"/>
      <c r="QW132" s="54"/>
      <c r="QX132" s="54"/>
      <c r="QY132" s="54"/>
      <c r="QZ132" s="54"/>
      <c r="RA132" s="54"/>
      <c r="RB132" s="54"/>
      <c r="RC132" s="54"/>
      <c r="RD132" s="54"/>
      <c r="RE132" s="54"/>
      <c r="RF132" s="54"/>
      <c r="RG132" s="54"/>
      <c r="RH132" s="54"/>
      <c r="RI132" s="54"/>
      <c r="RJ132" s="54"/>
      <c r="RK132" s="54"/>
      <c r="RL132" s="54"/>
      <c r="RM132" s="54"/>
      <c r="RN132" s="54"/>
      <c r="RO132" s="54"/>
      <c r="RP132" s="54"/>
      <c r="RQ132" s="54"/>
      <c r="RR132" s="54"/>
      <c r="RS132" s="54"/>
      <c r="RT132" s="54"/>
      <c r="RU132" s="54"/>
      <c r="RV132" s="54"/>
      <c r="RW132" s="54"/>
      <c r="RX132" s="54"/>
      <c r="RY132" s="54"/>
      <c r="RZ132" s="54"/>
      <c r="SA132" s="54"/>
      <c r="SB132" s="54"/>
      <c r="SC132" s="54"/>
      <c r="SD132" s="54"/>
      <c r="SE132" s="54"/>
      <c r="SF132" s="54"/>
      <c r="SG132" s="54"/>
      <c r="SH132" s="54"/>
      <c r="SI132" s="54"/>
      <c r="SJ132" s="54"/>
      <c r="SK132" s="54"/>
      <c r="SL132" s="54"/>
      <c r="SM132" s="54"/>
      <c r="SN132" s="54"/>
      <c r="SO132" s="54"/>
      <c r="SP132" s="54"/>
      <c r="SQ132" s="54"/>
      <c r="SR132" s="54"/>
    </row>
    <row r="133" spans="1:512" s="55" customFormat="1" ht="15" customHeight="1" x14ac:dyDescent="0.7">
      <c r="A133" s="173"/>
      <c r="B133" s="173"/>
      <c r="C133" s="173"/>
      <c r="D133" s="173"/>
      <c r="E133" s="173"/>
      <c r="F133" s="173"/>
      <c r="G133" s="173"/>
      <c r="H133" s="74"/>
      <c r="I133" s="75"/>
      <c r="J133" s="76"/>
      <c r="K133" s="191"/>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c r="IX133" s="56"/>
      <c r="IY133" s="56"/>
      <c r="IZ133" s="56"/>
      <c r="JA133" s="56"/>
      <c r="JB133" s="56"/>
      <c r="JC133" s="56"/>
      <c r="JD133" s="56"/>
      <c r="JE133" s="56"/>
      <c r="JF133" s="56"/>
      <c r="JG133" s="56"/>
      <c r="JH133" s="56"/>
      <c r="JI133" s="56"/>
      <c r="JJ133" s="56"/>
      <c r="JK133" s="56"/>
      <c r="JL133" s="56"/>
      <c r="JM133" s="56"/>
      <c r="JN133" s="56"/>
      <c r="JO133" s="56"/>
      <c r="JP133" s="56"/>
      <c r="JQ133" s="56"/>
      <c r="JR133" s="56"/>
      <c r="JS133" s="56"/>
      <c r="JT133" s="56"/>
      <c r="JU133" s="56"/>
      <c r="JV133" s="56"/>
      <c r="JW133" s="56"/>
      <c r="JX133" s="56"/>
      <c r="JY133" s="56"/>
      <c r="JZ133" s="56"/>
      <c r="KA133" s="56"/>
      <c r="KB133" s="56"/>
      <c r="KC133" s="56"/>
      <c r="KD133" s="56"/>
      <c r="KE133" s="56"/>
      <c r="KF133" s="56"/>
      <c r="KG133" s="56"/>
      <c r="KH133" s="56"/>
      <c r="KI133" s="56"/>
      <c r="KJ133" s="56"/>
      <c r="KK133" s="56"/>
      <c r="KL133" s="56"/>
      <c r="KM133" s="56"/>
      <c r="KN133" s="56"/>
      <c r="KO133" s="56"/>
      <c r="KP133" s="56"/>
      <c r="KQ133" s="56"/>
      <c r="KR133" s="56"/>
      <c r="KS133" s="56"/>
      <c r="KT133" s="56"/>
      <c r="KU133" s="56"/>
      <c r="KV133" s="56"/>
      <c r="KW133" s="56"/>
      <c r="KX133" s="56"/>
      <c r="KY133" s="56"/>
      <c r="KZ133" s="56"/>
      <c r="LA133" s="56"/>
      <c r="LB133" s="56"/>
      <c r="LC133" s="56"/>
      <c r="LD133" s="56"/>
      <c r="LE133" s="56"/>
      <c r="LF133" s="56"/>
      <c r="LG133" s="56"/>
      <c r="LH133" s="56"/>
      <c r="LI133" s="56"/>
      <c r="LJ133" s="56"/>
      <c r="LK133" s="56"/>
      <c r="LL133" s="56"/>
      <c r="LM133" s="56"/>
      <c r="LN133" s="56"/>
      <c r="LO133" s="56"/>
      <c r="LP133" s="56"/>
      <c r="LQ133" s="56"/>
      <c r="LR133" s="56"/>
      <c r="LS133" s="56"/>
      <c r="LT133" s="56"/>
      <c r="LU133" s="56"/>
      <c r="LV133" s="56"/>
      <c r="LW133" s="56"/>
      <c r="LX133" s="56"/>
      <c r="LY133" s="56"/>
      <c r="LZ133" s="56"/>
      <c r="MA133" s="56"/>
      <c r="MB133" s="56"/>
      <c r="MC133" s="56"/>
      <c r="MD133" s="56"/>
      <c r="ME133" s="56"/>
      <c r="MF133" s="56"/>
      <c r="MG133" s="56"/>
      <c r="MH133" s="56"/>
      <c r="MI133" s="56"/>
      <c r="MJ133" s="56"/>
      <c r="MK133" s="56"/>
      <c r="ML133" s="56"/>
      <c r="MM133" s="56"/>
      <c r="MN133" s="56"/>
      <c r="MO133" s="56"/>
      <c r="MP133" s="56"/>
      <c r="MQ133" s="56"/>
      <c r="MR133" s="56"/>
      <c r="MS133" s="56"/>
      <c r="MT133" s="56"/>
      <c r="MU133" s="56"/>
      <c r="MV133" s="56"/>
      <c r="MW133" s="56"/>
      <c r="MX133" s="56"/>
      <c r="MY133" s="56"/>
      <c r="MZ133" s="56"/>
      <c r="NA133" s="56"/>
      <c r="NB133" s="56"/>
      <c r="NC133" s="56"/>
      <c r="ND133" s="56"/>
      <c r="NE133" s="56"/>
      <c r="NF133" s="56"/>
      <c r="NG133" s="56"/>
      <c r="NH133" s="56"/>
      <c r="NI133" s="56"/>
      <c r="NJ133" s="56"/>
      <c r="NK133" s="56"/>
      <c r="NL133" s="56"/>
      <c r="NM133" s="56"/>
      <c r="NN133" s="56"/>
      <c r="NO133" s="56"/>
      <c r="NP133" s="56"/>
      <c r="NQ133" s="56"/>
      <c r="NR133" s="56"/>
      <c r="NS133" s="56"/>
      <c r="NT133" s="56"/>
      <c r="NU133" s="56"/>
      <c r="NV133" s="56"/>
      <c r="NW133" s="56"/>
      <c r="NX133" s="56"/>
      <c r="NY133" s="56"/>
      <c r="NZ133" s="56"/>
      <c r="OA133" s="56"/>
      <c r="OB133" s="56"/>
      <c r="OC133" s="56"/>
      <c r="OD133" s="56"/>
      <c r="OE133" s="56"/>
      <c r="OF133" s="56"/>
      <c r="OG133" s="56"/>
      <c r="OH133" s="56"/>
      <c r="OI133" s="56"/>
      <c r="OJ133" s="56"/>
      <c r="OK133" s="56"/>
      <c r="OL133" s="56"/>
      <c r="OM133" s="56"/>
      <c r="ON133" s="56"/>
      <c r="OO133" s="56"/>
      <c r="OP133" s="56"/>
      <c r="OQ133" s="56"/>
      <c r="OR133" s="56"/>
      <c r="OS133" s="56"/>
      <c r="OT133" s="56"/>
      <c r="OU133" s="56"/>
      <c r="OV133" s="56"/>
      <c r="OW133" s="56"/>
      <c r="OX133" s="56"/>
      <c r="OY133" s="56"/>
      <c r="OZ133" s="56"/>
      <c r="PA133" s="56"/>
      <c r="PB133" s="56"/>
      <c r="PC133" s="56"/>
      <c r="PD133" s="56"/>
      <c r="PE133" s="56"/>
      <c r="PF133" s="56"/>
      <c r="PG133" s="56"/>
      <c r="PH133" s="56"/>
      <c r="PI133" s="56"/>
      <c r="PJ133" s="56"/>
      <c r="PK133" s="56"/>
      <c r="PL133" s="56"/>
      <c r="PM133" s="56"/>
      <c r="PN133" s="56"/>
      <c r="PO133" s="56"/>
      <c r="PP133" s="56"/>
      <c r="PQ133" s="56"/>
      <c r="PR133" s="56"/>
      <c r="PS133" s="56"/>
      <c r="PT133" s="56"/>
      <c r="PU133" s="56"/>
      <c r="PV133" s="56"/>
      <c r="PW133" s="56"/>
      <c r="PX133" s="56"/>
      <c r="PY133" s="56"/>
      <c r="PZ133" s="56"/>
      <c r="QA133" s="56"/>
      <c r="QB133" s="56"/>
      <c r="QC133" s="56"/>
      <c r="QD133" s="56"/>
      <c r="QE133" s="56"/>
      <c r="QF133" s="56"/>
      <c r="QG133" s="56"/>
      <c r="QH133" s="56"/>
      <c r="QI133" s="56"/>
      <c r="QJ133" s="56"/>
      <c r="QK133" s="56"/>
      <c r="QL133" s="56"/>
      <c r="QM133" s="56"/>
      <c r="QN133" s="56"/>
      <c r="QO133" s="56"/>
      <c r="QP133" s="56"/>
      <c r="QQ133" s="56"/>
      <c r="QR133" s="56"/>
      <c r="QS133" s="56"/>
      <c r="QT133" s="56"/>
      <c r="QU133" s="56"/>
      <c r="QV133" s="56"/>
      <c r="QW133" s="56"/>
      <c r="QX133" s="56"/>
      <c r="QY133" s="56"/>
      <c r="QZ133" s="56"/>
      <c r="RA133" s="56"/>
      <c r="RB133" s="56"/>
      <c r="RC133" s="56"/>
      <c r="RD133" s="56"/>
      <c r="RE133" s="56"/>
      <c r="RF133" s="56"/>
      <c r="RG133" s="56"/>
      <c r="RH133" s="56"/>
      <c r="RI133" s="56"/>
      <c r="RJ133" s="56"/>
      <c r="RK133" s="56"/>
      <c r="RL133" s="56"/>
      <c r="RM133" s="56"/>
      <c r="RN133" s="56"/>
      <c r="RO133" s="56"/>
      <c r="RP133" s="56"/>
      <c r="RQ133" s="56"/>
      <c r="RR133" s="56"/>
      <c r="RS133" s="56"/>
      <c r="RT133" s="56"/>
      <c r="RU133" s="56"/>
      <c r="RV133" s="56"/>
      <c r="RW133" s="56"/>
      <c r="RX133" s="56"/>
      <c r="RY133" s="56"/>
      <c r="RZ133" s="56"/>
      <c r="SA133" s="56"/>
      <c r="SB133" s="56"/>
      <c r="SC133" s="56"/>
      <c r="SD133" s="56"/>
      <c r="SE133" s="56"/>
      <c r="SF133" s="56"/>
      <c r="SG133" s="56"/>
      <c r="SH133" s="56"/>
      <c r="SI133" s="56"/>
      <c r="SJ133" s="56"/>
      <c r="SK133" s="56"/>
      <c r="SL133" s="56"/>
      <c r="SM133" s="56"/>
      <c r="SN133" s="56"/>
      <c r="SO133" s="56"/>
      <c r="SP133" s="56"/>
      <c r="SQ133" s="56"/>
      <c r="SR133" s="56"/>
    </row>
    <row r="134" spans="1:512" ht="15" customHeight="1" x14ac:dyDescent="0.7">
      <c r="A134" s="171" t="s">
        <v>344</v>
      </c>
      <c r="B134" s="171" t="s">
        <v>344</v>
      </c>
      <c r="C134" s="171" t="s">
        <v>344</v>
      </c>
      <c r="D134" s="171"/>
      <c r="E134" s="171" t="s">
        <v>344</v>
      </c>
      <c r="F134" s="171"/>
      <c r="G134" s="188" t="s">
        <v>344</v>
      </c>
      <c r="H134" s="71" t="s">
        <v>344</v>
      </c>
      <c r="I134" s="72" t="s">
        <v>344</v>
      </c>
      <c r="J134" s="73" t="s">
        <v>344</v>
      </c>
      <c r="K134" s="189" t="s">
        <v>344</v>
      </c>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4"/>
      <c r="EF134" s="54"/>
      <c r="EG134" s="54"/>
      <c r="EH134" s="54"/>
      <c r="EI134" s="54"/>
      <c r="EJ134" s="54"/>
      <c r="EK134" s="54"/>
      <c r="EL134" s="54"/>
      <c r="EM134" s="54"/>
      <c r="EN134" s="54"/>
      <c r="EO134" s="54"/>
      <c r="EP134" s="54"/>
      <c r="EQ134" s="54"/>
      <c r="ER134" s="54"/>
      <c r="ES134" s="54"/>
      <c r="ET134" s="54"/>
      <c r="EU134" s="54"/>
      <c r="EV134" s="54"/>
      <c r="EW134" s="54"/>
      <c r="EX134" s="54"/>
      <c r="EY134" s="54"/>
      <c r="EZ134" s="54"/>
      <c r="FA134" s="54"/>
      <c r="FB134" s="54"/>
      <c r="FC134" s="54"/>
      <c r="FD134" s="54"/>
      <c r="FE134" s="54"/>
      <c r="FF134" s="54"/>
      <c r="FG134" s="54"/>
      <c r="FH134" s="54"/>
      <c r="FI134" s="54"/>
      <c r="FJ134" s="54"/>
      <c r="FK134" s="54"/>
      <c r="FL134" s="54"/>
      <c r="FM134" s="54"/>
      <c r="FN134" s="54"/>
      <c r="FO134" s="54"/>
      <c r="FP134" s="54"/>
      <c r="FQ134" s="54"/>
      <c r="FR134" s="54"/>
      <c r="FS134" s="54"/>
      <c r="FT134" s="54"/>
      <c r="FU134" s="54"/>
      <c r="FV134" s="54"/>
      <c r="FW134" s="54"/>
      <c r="FX134" s="54"/>
      <c r="FY134" s="54"/>
      <c r="FZ134" s="54"/>
      <c r="GA134" s="54"/>
      <c r="GB134" s="54"/>
      <c r="GC134" s="54"/>
      <c r="GD134" s="54"/>
      <c r="GE134" s="54"/>
      <c r="GF134" s="54"/>
      <c r="GG134" s="54"/>
      <c r="GH134" s="54"/>
      <c r="GI134" s="54"/>
      <c r="GJ134" s="54"/>
      <c r="GK134" s="54"/>
      <c r="GL134" s="54"/>
      <c r="GM134" s="54"/>
      <c r="GN134" s="54"/>
      <c r="GO134" s="54"/>
      <c r="GP134" s="54"/>
      <c r="GQ134" s="54"/>
      <c r="GR134" s="54"/>
      <c r="GS134" s="54"/>
      <c r="GT134" s="54"/>
      <c r="GU134" s="54"/>
      <c r="GV134" s="54"/>
      <c r="GW134" s="54"/>
      <c r="GX134" s="54"/>
      <c r="GY134" s="54"/>
      <c r="GZ134" s="54"/>
      <c r="HA134" s="54"/>
      <c r="HB134" s="54"/>
      <c r="HC134" s="54"/>
      <c r="HD134" s="54"/>
      <c r="HE134" s="54"/>
      <c r="HF134" s="54"/>
      <c r="HG134" s="54"/>
      <c r="HH134" s="54"/>
      <c r="HI134" s="54"/>
      <c r="HJ134" s="54"/>
      <c r="HK134" s="54"/>
      <c r="HL134" s="54"/>
      <c r="HM134" s="54"/>
      <c r="HN134" s="54"/>
      <c r="HO134" s="54"/>
      <c r="HP134" s="54"/>
      <c r="HQ134" s="54"/>
      <c r="HR134" s="54"/>
      <c r="HS134" s="54"/>
      <c r="HT134" s="54"/>
      <c r="HU134" s="54"/>
      <c r="HV134" s="54"/>
      <c r="HW134" s="54"/>
      <c r="HX134" s="54"/>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c r="IW134" s="54"/>
      <c r="IX134" s="54"/>
      <c r="IY134" s="54"/>
      <c r="IZ134" s="54"/>
      <c r="JA134" s="54"/>
      <c r="JB134" s="54"/>
      <c r="JC134" s="54"/>
      <c r="JD134" s="54"/>
      <c r="JE134" s="54"/>
      <c r="JF134" s="54"/>
      <c r="JG134" s="54"/>
      <c r="JH134" s="54"/>
      <c r="JI134" s="54"/>
      <c r="JJ134" s="54"/>
      <c r="JK134" s="54"/>
      <c r="JL134" s="54"/>
      <c r="JM134" s="54"/>
      <c r="JN134" s="54"/>
      <c r="JO134" s="54"/>
      <c r="JP134" s="54"/>
      <c r="JQ134" s="54"/>
      <c r="JR134" s="54"/>
      <c r="JS134" s="54"/>
      <c r="JT134" s="54"/>
      <c r="JU134" s="54"/>
      <c r="JV134" s="54"/>
      <c r="JW134" s="54"/>
      <c r="JX134" s="54"/>
      <c r="JY134" s="54"/>
      <c r="JZ134" s="54"/>
      <c r="KA134" s="54"/>
      <c r="KB134" s="54"/>
      <c r="KC134" s="54"/>
      <c r="KD134" s="54"/>
      <c r="KE134" s="54"/>
      <c r="KF134" s="54"/>
      <c r="KG134" s="54"/>
      <c r="KH134" s="54"/>
      <c r="KI134" s="54"/>
      <c r="KJ134" s="54"/>
      <c r="KK134" s="54"/>
      <c r="KL134" s="54"/>
      <c r="KM134" s="54"/>
      <c r="KN134" s="54"/>
      <c r="KO134" s="54"/>
      <c r="KP134" s="54"/>
      <c r="KQ134" s="54"/>
      <c r="KR134" s="54"/>
      <c r="KS134" s="54"/>
      <c r="KT134" s="54"/>
      <c r="KU134" s="54"/>
      <c r="KV134" s="54"/>
      <c r="KW134" s="54"/>
      <c r="KX134" s="54"/>
      <c r="KY134" s="54"/>
      <c r="KZ134" s="54"/>
      <c r="LA134" s="54"/>
      <c r="LB134" s="54"/>
      <c r="LC134" s="54"/>
      <c r="LD134" s="54"/>
      <c r="LE134" s="54"/>
      <c r="LF134" s="54"/>
      <c r="LG134" s="54"/>
      <c r="LH134" s="54"/>
      <c r="LI134" s="54"/>
      <c r="LJ134" s="54"/>
      <c r="LK134" s="54"/>
      <c r="LL134" s="54"/>
      <c r="LM134" s="54"/>
      <c r="LN134" s="54"/>
      <c r="LO134" s="54"/>
      <c r="LP134" s="54"/>
      <c r="LQ134" s="54"/>
      <c r="LR134" s="54"/>
      <c r="LS134" s="54"/>
      <c r="LT134" s="54"/>
      <c r="LU134" s="54"/>
      <c r="LV134" s="54"/>
      <c r="LW134" s="54"/>
      <c r="LX134" s="54"/>
      <c r="LY134" s="54"/>
      <c r="LZ134" s="54"/>
      <c r="MA134" s="54"/>
      <c r="MB134" s="54"/>
      <c r="MC134" s="54"/>
      <c r="MD134" s="54"/>
      <c r="ME134" s="54"/>
      <c r="MF134" s="54"/>
      <c r="MG134" s="54"/>
      <c r="MH134" s="54"/>
      <c r="MI134" s="54"/>
      <c r="MJ134" s="54"/>
      <c r="MK134" s="54"/>
      <c r="ML134" s="54"/>
      <c r="MM134" s="54"/>
      <c r="MN134" s="54"/>
      <c r="MO134" s="54"/>
      <c r="MP134" s="54"/>
      <c r="MQ134" s="54"/>
      <c r="MR134" s="54"/>
      <c r="MS134" s="54"/>
      <c r="MT134" s="54"/>
      <c r="MU134" s="54"/>
      <c r="MV134" s="54"/>
      <c r="MW134" s="54"/>
      <c r="MX134" s="54"/>
      <c r="MY134" s="54"/>
      <c r="MZ134" s="54"/>
      <c r="NA134" s="54"/>
      <c r="NB134" s="54"/>
      <c r="NC134" s="54"/>
      <c r="ND134" s="54"/>
      <c r="NE134" s="54"/>
      <c r="NF134" s="54"/>
      <c r="NG134" s="54"/>
      <c r="NH134" s="54"/>
      <c r="NI134" s="54"/>
      <c r="NJ134" s="54"/>
      <c r="NK134" s="54"/>
      <c r="NL134" s="54"/>
      <c r="NM134" s="54"/>
      <c r="NN134" s="54"/>
      <c r="NO134" s="54"/>
      <c r="NP134" s="54"/>
      <c r="NQ134" s="54"/>
      <c r="NR134" s="54"/>
      <c r="NS134" s="54"/>
      <c r="NT134" s="54"/>
      <c r="NU134" s="54"/>
      <c r="NV134" s="54"/>
      <c r="NW134" s="54"/>
      <c r="NX134" s="54"/>
      <c r="NY134" s="54"/>
      <c r="NZ134" s="54"/>
      <c r="OA134" s="54"/>
      <c r="OB134" s="54"/>
      <c r="OC134" s="54"/>
      <c r="OD134" s="54"/>
      <c r="OE134" s="54"/>
      <c r="OF134" s="54"/>
      <c r="OG134" s="54"/>
      <c r="OH134" s="54"/>
      <c r="OI134" s="54"/>
      <c r="OJ134" s="54"/>
      <c r="OK134" s="54"/>
      <c r="OL134" s="54"/>
      <c r="OM134" s="54"/>
      <c r="ON134" s="54"/>
      <c r="OO134" s="54"/>
      <c r="OP134" s="54"/>
      <c r="OQ134" s="54"/>
      <c r="OR134" s="54"/>
      <c r="OS134" s="54"/>
      <c r="OT134" s="54"/>
      <c r="OU134" s="54"/>
      <c r="OV134" s="54"/>
      <c r="OW134" s="54"/>
      <c r="OX134" s="54"/>
      <c r="OY134" s="54"/>
      <c r="OZ134" s="54"/>
      <c r="PA134" s="54"/>
      <c r="PB134" s="54"/>
      <c r="PC134" s="54"/>
      <c r="PD134" s="54"/>
      <c r="PE134" s="54"/>
      <c r="PF134" s="54"/>
      <c r="PG134" s="54"/>
      <c r="PH134" s="54"/>
      <c r="PI134" s="54"/>
      <c r="PJ134" s="54"/>
      <c r="PK134" s="54"/>
      <c r="PL134" s="54"/>
      <c r="PM134" s="54"/>
      <c r="PN134" s="54"/>
      <c r="PO134" s="54"/>
      <c r="PP134" s="54"/>
      <c r="PQ134" s="54"/>
      <c r="PR134" s="54"/>
      <c r="PS134" s="54"/>
      <c r="PT134" s="54"/>
      <c r="PU134" s="54"/>
      <c r="PV134" s="54"/>
      <c r="PW134" s="54"/>
      <c r="PX134" s="54"/>
      <c r="PY134" s="54"/>
      <c r="PZ134" s="54"/>
      <c r="QA134" s="54"/>
      <c r="QB134" s="54"/>
      <c r="QC134" s="54"/>
      <c r="QD134" s="54"/>
      <c r="QE134" s="54"/>
      <c r="QF134" s="54"/>
      <c r="QG134" s="54"/>
      <c r="QH134" s="54"/>
      <c r="QI134" s="54"/>
      <c r="QJ134" s="54"/>
      <c r="QK134" s="54"/>
      <c r="QL134" s="54"/>
      <c r="QM134" s="54"/>
      <c r="QN134" s="54"/>
      <c r="QO134" s="54"/>
      <c r="QP134" s="54"/>
      <c r="QQ134" s="54"/>
      <c r="QR134" s="54"/>
      <c r="QS134" s="54"/>
      <c r="QT134" s="54"/>
      <c r="QU134" s="54"/>
      <c r="QV134" s="54"/>
      <c r="QW134" s="54"/>
      <c r="QX134" s="54"/>
      <c r="QY134" s="54"/>
      <c r="QZ134" s="54"/>
      <c r="RA134" s="54"/>
      <c r="RB134" s="54"/>
      <c r="RC134" s="54"/>
      <c r="RD134" s="54"/>
      <c r="RE134" s="54"/>
      <c r="RF134" s="54"/>
      <c r="RG134" s="54"/>
      <c r="RH134" s="54"/>
      <c r="RI134" s="54"/>
      <c r="RJ134" s="54"/>
      <c r="RK134" s="54"/>
      <c r="RL134" s="54"/>
      <c r="RM134" s="54"/>
      <c r="RN134" s="54"/>
      <c r="RO134" s="54"/>
      <c r="RP134" s="54"/>
      <c r="RQ134" s="54"/>
      <c r="RR134" s="54"/>
      <c r="RS134" s="54"/>
      <c r="RT134" s="54"/>
      <c r="RU134" s="54"/>
      <c r="RV134" s="54"/>
      <c r="RW134" s="54"/>
      <c r="RX134" s="54"/>
      <c r="RY134" s="54"/>
      <c r="RZ134" s="54"/>
      <c r="SA134" s="54"/>
      <c r="SB134" s="54"/>
      <c r="SC134" s="54"/>
      <c r="SD134" s="54"/>
      <c r="SE134" s="54"/>
      <c r="SF134" s="54"/>
      <c r="SG134" s="54"/>
      <c r="SH134" s="54"/>
      <c r="SI134" s="54"/>
      <c r="SJ134" s="54"/>
      <c r="SK134" s="54"/>
      <c r="SL134" s="54"/>
      <c r="SM134" s="54"/>
      <c r="SN134" s="54"/>
      <c r="SO134" s="54"/>
      <c r="SP134" s="54"/>
      <c r="SQ134" s="54"/>
      <c r="SR134" s="54"/>
    </row>
    <row r="135" spans="1:512" ht="15" customHeight="1" x14ac:dyDescent="0.7">
      <c r="A135" s="172"/>
      <c r="B135" s="172"/>
      <c r="C135" s="172"/>
      <c r="D135" s="172"/>
      <c r="E135" s="172"/>
      <c r="F135" s="172"/>
      <c r="G135" s="172"/>
      <c r="I135" s="72" t="s">
        <v>344</v>
      </c>
      <c r="J135" s="73" t="s">
        <v>344</v>
      </c>
      <c r="K135" s="190"/>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4"/>
      <c r="EF135" s="54"/>
      <c r="EG135" s="54"/>
      <c r="EH135" s="54"/>
      <c r="EI135" s="54"/>
      <c r="EJ135" s="54"/>
      <c r="EK135" s="54"/>
      <c r="EL135" s="54"/>
      <c r="EM135" s="54"/>
      <c r="EN135" s="54"/>
      <c r="EO135" s="54"/>
      <c r="EP135" s="54"/>
      <c r="EQ135" s="54"/>
      <c r="ER135" s="54"/>
      <c r="ES135" s="54"/>
      <c r="ET135" s="54"/>
      <c r="EU135" s="54"/>
      <c r="EV135" s="54"/>
      <c r="EW135" s="54"/>
      <c r="EX135" s="54"/>
      <c r="EY135" s="54"/>
      <c r="EZ135" s="54"/>
      <c r="FA135" s="54"/>
      <c r="FB135" s="54"/>
      <c r="FC135" s="54"/>
      <c r="FD135" s="54"/>
      <c r="FE135" s="54"/>
      <c r="FF135" s="54"/>
      <c r="FG135" s="54"/>
      <c r="FH135" s="54"/>
      <c r="FI135" s="54"/>
      <c r="FJ135" s="54"/>
      <c r="FK135" s="54"/>
      <c r="FL135" s="54"/>
      <c r="FM135" s="54"/>
      <c r="FN135" s="54"/>
      <c r="FO135" s="54"/>
      <c r="FP135" s="54"/>
      <c r="FQ135" s="54"/>
      <c r="FR135" s="54"/>
      <c r="FS135" s="54"/>
      <c r="FT135" s="54"/>
      <c r="FU135" s="54"/>
      <c r="FV135" s="54"/>
      <c r="FW135" s="54"/>
      <c r="FX135" s="54"/>
      <c r="FY135" s="54"/>
      <c r="FZ135" s="54"/>
      <c r="GA135" s="54"/>
      <c r="GB135" s="54"/>
      <c r="GC135" s="54"/>
      <c r="GD135" s="54"/>
      <c r="GE135" s="54"/>
      <c r="GF135" s="54"/>
      <c r="GG135" s="54"/>
      <c r="GH135" s="54"/>
      <c r="GI135" s="54"/>
      <c r="GJ135" s="54"/>
      <c r="GK135" s="54"/>
      <c r="GL135" s="54"/>
      <c r="GM135" s="54"/>
      <c r="GN135" s="54"/>
      <c r="GO135" s="54"/>
      <c r="GP135" s="54"/>
      <c r="GQ135" s="54"/>
      <c r="GR135" s="54"/>
      <c r="GS135" s="54"/>
      <c r="GT135" s="54"/>
      <c r="GU135" s="54"/>
      <c r="GV135" s="54"/>
      <c r="GW135" s="54"/>
      <c r="GX135" s="54"/>
      <c r="GY135" s="54"/>
      <c r="GZ135" s="54"/>
      <c r="HA135" s="54"/>
      <c r="HB135" s="54"/>
      <c r="HC135" s="54"/>
      <c r="HD135" s="54"/>
      <c r="HE135" s="54"/>
      <c r="HF135" s="54"/>
      <c r="HG135" s="54"/>
      <c r="HH135" s="54"/>
      <c r="HI135" s="54"/>
      <c r="HJ135" s="54"/>
      <c r="HK135" s="54"/>
      <c r="HL135" s="54"/>
      <c r="HM135" s="54"/>
      <c r="HN135" s="54"/>
      <c r="HO135" s="54"/>
      <c r="HP135" s="54"/>
      <c r="HQ135" s="54"/>
      <c r="HR135" s="54"/>
      <c r="HS135" s="54"/>
      <c r="HT135" s="54"/>
      <c r="HU135" s="54"/>
      <c r="HV135" s="54"/>
      <c r="HW135" s="54"/>
      <c r="HX135" s="54"/>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c r="IW135" s="54"/>
      <c r="IX135" s="54"/>
      <c r="IY135" s="54"/>
      <c r="IZ135" s="54"/>
      <c r="JA135" s="54"/>
      <c r="JB135" s="54"/>
      <c r="JC135" s="54"/>
      <c r="JD135" s="54"/>
      <c r="JE135" s="54"/>
      <c r="JF135" s="54"/>
      <c r="JG135" s="54"/>
      <c r="JH135" s="54"/>
      <c r="JI135" s="54"/>
      <c r="JJ135" s="54"/>
      <c r="JK135" s="54"/>
      <c r="JL135" s="54"/>
      <c r="JM135" s="54"/>
      <c r="JN135" s="54"/>
      <c r="JO135" s="54"/>
      <c r="JP135" s="54"/>
      <c r="JQ135" s="54"/>
      <c r="JR135" s="54"/>
      <c r="JS135" s="54"/>
      <c r="JT135" s="54"/>
      <c r="JU135" s="54"/>
      <c r="JV135" s="54"/>
      <c r="JW135" s="54"/>
      <c r="JX135" s="54"/>
      <c r="JY135" s="54"/>
      <c r="JZ135" s="54"/>
      <c r="KA135" s="54"/>
      <c r="KB135" s="54"/>
      <c r="KC135" s="54"/>
      <c r="KD135" s="54"/>
      <c r="KE135" s="54"/>
      <c r="KF135" s="54"/>
      <c r="KG135" s="54"/>
      <c r="KH135" s="54"/>
      <c r="KI135" s="54"/>
      <c r="KJ135" s="54"/>
      <c r="KK135" s="54"/>
      <c r="KL135" s="54"/>
      <c r="KM135" s="54"/>
      <c r="KN135" s="54"/>
      <c r="KO135" s="54"/>
      <c r="KP135" s="54"/>
      <c r="KQ135" s="54"/>
      <c r="KR135" s="54"/>
      <c r="KS135" s="54"/>
      <c r="KT135" s="54"/>
      <c r="KU135" s="54"/>
      <c r="KV135" s="54"/>
      <c r="KW135" s="54"/>
      <c r="KX135" s="54"/>
      <c r="KY135" s="54"/>
      <c r="KZ135" s="54"/>
      <c r="LA135" s="54"/>
      <c r="LB135" s="54"/>
      <c r="LC135" s="54"/>
      <c r="LD135" s="54"/>
      <c r="LE135" s="54"/>
      <c r="LF135" s="54"/>
      <c r="LG135" s="54"/>
      <c r="LH135" s="54"/>
      <c r="LI135" s="54"/>
      <c r="LJ135" s="54"/>
      <c r="LK135" s="54"/>
      <c r="LL135" s="54"/>
      <c r="LM135" s="54"/>
      <c r="LN135" s="54"/>
      <c r="LO135" s="54"/>
      <c r="LP135" s="54"/>
      <c r="LQ135" s="54"/>
      <c r="LR135" s="54"/>
      <c r="LS135" s="54"/>
      <c r="LT135" s="54"/>
      <c r="LU135" s="54"/>
      <c r="LV135" s="54"/>
      <c r="LW135" s="54"/>
      <c r="LX135" s="54"/>
      <c r="LY135" s="54"/>
      <c r="LZ135" s="54"/>
      <c r="MA135" s="54"/>
      <c r="MB135" s="54"/>
      <c r="MC135" s="54"/>
      <c r="MD135" s="54"/>
      <c r="ME135" s="54"/>
      <c r="MF135" s="54"/>
      <c r="MG135" s="54"/>
      <c r="MH135" s="54"/>
      <c r="MI135" s="54"/>
      <c r="MJ135" s="54"/>
      <c r="MK135" s="54"/>
      <c r="ML135" s="54"/>
      <c r="MM135" s="54"/>
      <c r="MN135" s="54"/>
      <c r="MO135" s="54"/>
      <c r="MP135" s="54"/>
      <c r="MQ135" s="54"/>
      <c r="MR135" s="54"/>
      <c r="MS135" s="54"/>
      <c r="MT135" s="54"/>
      <c r="MU135" s="54"/>
      <c r="MV135" s="54"/>
      <c r="MW135" s="54"/>
      <c r="MX135" s="54"/>
      <c r="MY135" s="54"/>
      <c r="MZ135" s="54"/>
      <c r="NA135" s="54"/>
      <c r="NB135" s="54"/>
      <c r="NC135" s="54"/>
      <c r="ND135" s="54"/>
      <c r="NE135" s="54"/>
      <c r="NF135" s="54"/>
      <c r="NG135" s="54"/>
      <c r="NH135" s="54"/>
      <c r="NI135" s="54"/>
      <c r="NJ135" s="54"/>
      <c r="NK135" s="54"/>
      <c r="NL135" s="54"/>
      <c r="NM135" s="54"/>
      <c r="NN135" s="54"/>
      <c r="NO135" s="54"/>
      <c r="NP135" s="54"/>
      <c r="NQ135" s="54"/>
      <c r="NR135" s="54"/>
      <c r="NS135" s="54"/>
      <c r="NT135" s="54"/>
      <c r="NU135" s="54"/>
      <c r="NV135" s="54"/>
      <c r="NW135" s="54"/>
      <c r="NX135" s="54"/>
      <c r="NY135" s="54"/>
      <c r="NZ135" s="54"/>
      <c r="OA135" s="54"/>
      <c r="OB135" s="54"/>
      <c r="OC135" s="54"/>
      <c r="OD135" s="54"/>
      <c r="OE135" s="54"/>
      <c r="OF135" s="54"/>
      <c r="OG135" s="54"/>
      <c r="OH135" s="54"/>
      <c r="OI135" s="54"/>
      <c r="OJ135" s="54"/>
      <c r="OK135" s="54"/>
      <c r="OL135" s="54"/>
      <c r="OM135" s="54"/>
      <c r="ON135" s="54"/>
      <c r="OO135" s="54"/>
      <c r="OP135" s="54"/>
      <c r="OQ135" s="54"/>
      <c r="OR135" s="54"/>
      <c r="OS135" s="54"/>
      <c r="OT135" s="54"/>
      <c r="OU135" s="54"/>
      <c r="OV135" s="54"/>
      <c r="OW135" s="54"/>
      <c r="OX135" s="54"/>
      <c r="OY135" s="54"/>
      <c r="OZ135" s="54"/>
      <c r="PA135" s="54"/>
      <c r="PB135" s="54"/>
      <c r="PC135" s="54"/>
      <c r="PD135" s="54"/>
      <c r="PE135" s="54"/>
      <c r="PF135" s="54"/>
      <c r="PG135" s="54"/>
      <c r="PH135" s="54"/>
      <c r="PI135" s="54"/>
      <c r="PJ135" s="54"/>
      <c r="PK135" s="54"/>
      <c r="PL135" s="54"/>
      <c r="PM135" s="54"/>
      <c r="PN135" s="54"/>
      <c r="PO135" s="54"/>
      <c r="PP135" s="54"/>
      <c r="PQ135" s="54"/>
      <c r="PR135" s="54"/>
      <c r="PS135" s="54"/>
      <c r="PT135" s="54"/>
      <c r="PU135" s="54"/>
      <c r="PV135" s="54"/>
      <c r="PW135" s="54"/>
      <c r="PX135" s="54"/>
      <c r="PY135" s="54"/>
      <c r="PZ135" s="54"/>
      <c r="QA135" s="54"/>
      <c r="QB135" s="54"/>
      <c r="QC135" s="54"/>
      <c r="QD135" s="54"/>
      <c r="QE135" s="54"/>
      <c r="QF135" s="54"/>
      <c r="QG135" s="54"/>
      <c r="QH135" s="54"/>
      <c r="QI135" s="54"/>
      <c r="QJ135" s="54"/>
      <c r="QK135" s="54"/>
      <c r="QL135" s="54"/>
      <c r="QM135" s="54"/>
      <c r="QN135" s="54"/>
      <c r="QO135" s="54"/>
      <c r="QP135" s="54"/>
      <c r="QQ135" s="54"/>
      <c r="QR135" s="54"/>
      <c r="QS135" s="54"/>
      <c r="QT135" s="54"/>
      <c r="QU135" s="54"/>
      <c r="QV135" s="54"/>
      <c r="QW135" s="54"/>
      <c r="QX135" s="54"/>
      <c r="QY135" s="54"/>
      <c r="QZ135" s="54"/>
      <c r="RA135" s="54"/>
      <c r="RB135" s="54"/>
      <c r="RC135" s="54"/>
      <c r="RD135" s="54"/>
      <c r="RE135" s="54"/>
      <c r="RF135" s="54"/>
      <c r="RG135" s="54"/>
      <c r="RH135" s="54"/>
      <c r="RI135" s="54"/>
      <c r="RJ135" s="54"/>
      <c r="RK135" s="54"/>
      <c r="RL135" s="54"/>
      <c r="RM135" s="54"/>
      <c r="RN135" s="54"/>
      <c r="RO135" s="54"/>
      <c r="RP135" s="54"/>
      <c r="RQ135" s="54"/>
      <c r="RR135" s="54"/>
      <c r="RS135" s="54"/>
      <c r="RT135" s="54"/>
      <c r="RU135" s="54"/>
      <c r="RV135" s="54"/>
      <c r="RW135" s="54"/>
      <c r="RX135" s="54"/>
      <c r="RY135" s="54"/>
      <c r="RZ135" s="54"/>
      <c r="SA135" s="54"/>
      <c r="SB135" s="54"/>
      <c r="SC135" s="54"/>
      <c r="SD135" s="54"/>
      <c r="SE135" s="54"/>
      <c r="SF135" s="54"/>
      <c r="SG135" s="54"/>
      <c r="SH135" s="54"/>
      <c r="SI135" s="54"/>
      <c r="SJ135" s="54"/>
      <c r="SK135" s="54"/>
      <c r="SL135" s="54"/>
      <c r="SM135" s="54"/>
      <c r="SN135" s="54"/>
      <c r="SO135" s="54"/>
      <c r="SP135" s="54"/>
      <c r="SQ135" s="54"/>
      <c r="SR135" s="54"/>
    </row>
    <row r="136" spans="1:512" s="55" customFormat="1" ht="15" customHeight="1" x14ac:dyDescent="0.7">
      <c r="A136" s="173"/>
      <c r="B136" s="173"/>
      <c r="C136" s="173"/>
      <c r="D136" s="173"/>
      <c r="E136" s="173"/>
      <c r="F136" s="173"/>
      <c r="G136" s="173"/>
      <c r="H136" s="74"/>
      <c r="I136" s="75"/>
      <c r="J136" s="76"/>
      <c r="K136" s="191"/>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c r="IX136" s="56"/>
      <c r="IY136" s="56"/>
      <c r="IZ136" s="56"/>
      <c r="JA136" s="56"/>
      <c r="JB136" s="56"/>
      <c r="JC136" s="56"/>
      <c r="JD136" s="56"/>
      <c r="JE136" s="56"/>
      <c r="JF136" s="56"/>
      <c r="JG136" s="56"/>
      <c r="JH136" s="56"/>
      <c r="JI136" s="56"/>
      <c r="JJ136" s="56"/>
      <c r="JK136" s="56"/>
      <c r="JL136" s="56"/>
      <c r="JM136" s="56"/>
      <c r="JN136" s="56"/>
      <c r="JO136" s="56"/>
      <c r="JP136" s="56"/>
      <c r="JQ136" s="56"/>
      <c r="JR136" s="56"/>
      <c r="JS136" s="56"/>
      <c r="JT136" s="56"/>
      <c r="JU136" s="56"/>
      <c r="JV136" s="56"/>
      <c r="JW136" s="56"/>
      <c r="JX136" s="56"/>
      <c r="JY136" s="56"/>
      <c r="JZ136" s="56"/>
      <c r="KA136" s="56"/>
      <c r="KB136" s="56"/>
      <c r="KC136" s="56"/>
      <c r="KD136" s="56"/>
      <c r="KE136" s="56"/>
      <c r="KF136" s="56"/>
      <c r="KG136" s="56"/>
      <c r="KH136" s="56"/>
      <c r="KI136" s="56"/>
      <c r="KJ136" s="56"/>
      <c r="KK136" s="56"/>
      <c r="KL136" s="56"/>
      <c r="KM136" s="56"/>
      <c r="KN136" s="56"/>
      <c r="KO136" s="56"/>
      <c r="KP136" s="56"/>
      <c r="KQ136" s="56"/>
      <c r="KR136" s="56"/>
      <c r="KS136" s="56"/>
      <c r="KT136" s="56"/>
      <c r="KU136" s="56"/>
      <c r="KV136" s="56"/>
      <c r="KW136" s="56"/>
      <c r="KX136" s="56"/>
      <c r="KY136" s="56"/>
      <c r="KZ136" s="56"/>
      <c r="LA136" s="56"/>
      <c r="LB136" s="56"/>
      <c r="LC136" s="56"/>
      <c r="LD136" s="56"/>
      <c r="LE136" s="56"/>
      <c r="LF136" s="56"/>
      <c r="LG136" s="56"/>
      <c r="LH136" s="56"/>
      <c r="LI136" s="56"/>
      <c r="LJ136" s="56"/>
      <c r="LK136" s="56"/>
      <c r="LL136" s="56"/>
      <c r="LM136" s="56"/>
      <c r="LN136" s="56"/>
      <c r="LO136" s="56"/>
      <c r="LP136" s="56"/>
      <c r="LQ136" s="56"/>
      <c r="LR136" s="56"/>
      <c r="LS136" s="56"/>
      <c r="LT136" s="56"/>
      <c r="LU136" s="56"/>
      <c r="LV136" s="56"/>
      <c r="LW136" s="56"/>
      <c r="LX136" s="56"/>
      <c r="LY136" s="56"/>
      <c r="LZ136" s="56"/>
      <c r="MA136" s="56"/>
      <c r="MB136" s="56"/>
      <c r="MC136" s="56"/>
      <c r="MD136" s="56"/>
      <c r="ME136" s="56"/>
      <c r="MF136" s="56"/>
      <c r="MG136" s="56"/>
      <c r="MH136" s="56"/>
      <c r="MI136" s="56"/>
      <c r="MJ136" s="56"/>
      <c r="MK136" s="56"/>
      <c r="ML136" s="56"/>
      <c r="MM136" s="56"/>
      <c r="MN136" s="56"/>
      <c r="MO136" s="56"/>
      <c r="MP136" s="56"/>
      <c r="MQ136" s="56"/>
      <c r="MR136" s="56"/>
      <c r="MS136" s="56"/>
      <c r="MT136" s="56"/>
      <c r="MU136" s="56"/>
      <c r="MV136" s="56"/>
      <c r="MW136" s="56"/>
      <c r="MX136" s="56"/>
      <c r="MY136" s="56"/>
      <c r="MZ136" s="56"/>
      <c r="NA136" s="56"/>
      <c r="NB136" s="56"/>
      <c r="NC136" s="56"/>
      <c r="ND136" s="56"/>
      <c r="NE136" s="56"/>
      <c r="NF136" s="56"/>
      <c r="NG136" s="56"/>
      <c r="NH136" s="56"/>
      <c r="NI136" s="56"/>
      <c r="NJ136" s="56"/>
      <c r="NK136" s="56"/>
      <c r="NL136" s="56"/>
      <c r="NM136" s="56"/>
      <c r="NN136" s="56"/>
      <c r="NO136" s="56"/>
      <c r="NP136" s="56"/>
      <c r="NQ136" s="56"/>
      <c r="NR136" s="56"/>
      <c r="NS136" s="56"/>
      <c r="NT136" s="56"/>
      <c r="NU136" s="56"/>
      <c r="NV136" s="56"/>
      <c r="NW136" s="56"/>
      <c r="NX136" s="56"/>
      <c r="NY136" s="56"/>
      <c r="NZ136" s="56"/>
      <c r="OA136" s="56"/>
      <c r="OB136" s="56"/>
      <c r="OC136" s="56"/>
      <c r="OD136" s="56"/>
      <c r="OE136" s="56"/>
      <c r="OF136" s="56"/>
      <c r="OG136" s="56"/>
      <c r="OH136" s="56"/>
      <c r="OI136" s="56"/>
      <c r="OJ136" s="56"/>
      <c r="OK136" s="56"/>
      <c r="OL136" s="56"/>
      <c r="OM136" s="56"/>
      <c r="ON136" s="56"/>
      <c r="OO136" s="56"/>
      <c r="OP136" s="56"/>
      <c r="OQ136" s="56"/>
      <c r="OR136" s="56"/>
      <c r="OS136" s="56"/>
      <c r="OT136" s="56"/>
      <c r="OU136" s="56"/>
      <c r="OV136" s="56"/>
      <c r="OW136" s="56"/>
      <c r="OX136" s="56"/>
      <c r="OY136" s="56"/>
      <c r="OZ136" s="56"/>
      <c r="PA136" s="56"/>
      <c r="PB136" s="56"/>
      <c r="PC136" s="56"/>
      <c r="PD136" s="56"/>
      <c r="PE136" s="56"/>
      <c r="PF136" s="56"/>
      <c r="PG136" s="56"/>
      <c r="PH136" s="56"/>
      <c r="PI136" s="56"/>
      <c r="PJ136" s="56"/>
      <c r="PK136" s="56"/>
      <c r="PL136" s="56"/>
      <c r="PM136" s="56"/>
      <c r="PN136" s="56"/>
      <c r="PO136" s="56"/>
      <c r="PP136" s="56"/>
      <c r="PQ136" s="56"/>
      <c r="PR136" s="56"/>
      <c r="PS136" s="56"/>
      <c r="PT136" s="56"/>
      <c r="PU136" s="56"/>
      <c r="PV136" s="56"/>
      <c r="PW136" s="56"/>
      <c r="PX136" s="56"/>
      <c r="PY136" s="56"/>
      <c r="PZ136" s="56"/>
      <c r="QA136" s="56"/>
      <c r="QB136" s="56"/>
      <c r="QC136" s="56"/>
      <c r="QD136" s="56"/>
      <c r="QE136" s="56"/>
      <c r="QF136" s="56"/>
      <c r="QG136" s="56"/>
      <c r="QH136" s="56"/>
      <c r="QI136" s="56"/>
      <c r="QJ136" s="56"/>
      <c r="QK136" s="56"/>
      <c r="QL136" s="56"/>
      <c r="QM136" s="56"/>
      <c r="QN136" s="56"/>
      <c r="QO136" s="56"/>
      <c r="QP136" s="56"/>
      <c r="QQ136" s="56"/>
      <c r="QR136" s="56"/>
      <c r="QS136" s="56"/>
      <c r="QT136" s="56"/>
      <c r="QU136" s="56"/>
      <c r="QV136" s="56"/>
      <c r="QW136" s="56"/>
      <c r="QX136" s="56"/>
      <c r="QY136" s="56"/>
      <c r="QZ136" s="56"/>
      <c r="RA136" s="56"/>
      <c r="RB136" s="56"/>
      <c r="RC136" s="56"/>
      <c r="RD136" s="56"/>
      <c r="RE136" s="56"/>
      <c r="RF136" s="56"/>
      <c r="RG136" s="56"/>
      <c r="RH136" s="56"/>
      <c r="RI136" s="56"/>
      <c r="RJ136" s="56"/>
      <c r="RK136" s="56"/>
      <c r="RL136" s="56"/>
      <c r="RM136" s="56"/>
      <c r="RN136" s="56"/>
      <c r="RO136" s="56"/>
      <c r="RP136" s="56"/>
      <c r="RQ136" s="56"/>
      <c r="RR136" s="56"/>
      <c r="RS136" s="56"/>
      <c r="RT136" s="56"/>
      <c r="RU136" s="56"/>
      <c r="RV136" s="56"/>
      <c r="RW136" s="56"/>
      <c r="RX136" s="56"/>
      <c r="RY136" s="56"/>
      <c r="RZ136" s="56"/>
      <c r="SA136" s="56"/>
      <c r="SB136" s="56"/>
      <c r="SC136" s="56"/>
      <c r="SD136" s="56"/>
      <c r="SE136" s="56"/>
      <c r="SF136" s="56"/>
      <c r="SG136" s="56"/>
      <c r="SH136" s="56"/>
      <c r="SI136" s="56"/>
      <c r="SJ136" s="56"/>
      <c r="SK136" s="56"/>
      <c r="SL136" s="56"/>
      <c r="SM136" s="56"/>
      <c r="SN136" s="56"/>
      <c r="SO136" s="56"/>
      <c r="SP136" s="56"/>
      <c r="SQ136" s="56"/>
      <c r="SR136" s="56"/>
    </row>
    <row r="137" spans="1:512" ht="15" customHeight="1" x14ac:dyDescent="0.7">
      <c r="A137" s="171" t="s">
        <v>344</v>
      </c>
      <c r="B137" s="171" t="s">
        <v>344</v>
      </c>
      <c r="C137" s="171" t="s">
        <v>344</v>
      </c>
      <c r="D137" s="171"/>
      <c r="E137" s="171" t="s">
        <v>344</v>
      </c>
      <c r="F137" s="171"/>
      <c r="G137" s="188" t="s">
        <v>344</v>
      </c>
      <c r="H137" s="71" t="s">
        <v>344</v>
      </c>
      <c r="I137" s="72" t="s">
        <v>344</v>
      </c>
      <c r="J137" s="73" t="s">
        <v>344</v>
      </c>
      <c r="K137" s="189" t="s">
        <v>344</v>
      </c>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54"/>
      <c r="CW137" s="54"/>
      <c r="CX137" s="54"/>
      <c r="CY137" s="54"/>
      <c r="CZ137" s="54"/>
      <c r="DA137" s="54"/>
      <c r="DB137" s="54"/>
      <c r="DC137" s="54"/>
      <c r="DD137" s="54"/>
      <c r="DE137" s="54"/>
      <c r="DF137" s="54"/>
      <c r="DG137" s="54"/>
      <c r="DH137" s="54"/>
      <c r="DI137" s="54"/>
      <c r="DJ137" s="54"/>
      <c r="DK137" s="54"/>
      <c r="DL137" s="54"/>
      <c r="DM137" s="54"/>
      <c r="DN137" s="54"/>
      <c r="DO137" s="54"/>
      <c r="DP137" s="54"/>
      <c r="DQ137" s="54"/>
      <c r="DR137" s="54"/>
      <c r="DS137" s="54"/>
      <c r="DT137" s="54"/>
      <c r="DU137" s="54"/>
      <c r="DV137" s="54"/>
      <c r="DW137" s="54"/>
      <c r="DX137" s="54"/>
      <c r="DY137" s="54"/>
      <c r="DZ137" s="54"/>
      <c r="EA137" s="54"/>
      <c r="EB137" s="54"/>
      <c r="EC137" s="54"/>
      <c r="ED137" s="54"/>
      <c r="EE137" s="54"/>
      <c r="EF137" s="54"/>
      <c r="EG137" s="54"/>
      <c r="EH137" s="54"/>
      <c r="EI137" s="54"/>
      <c r="EJ137" s="54"/>
      <c r="EK137" s="54"/>
      <c r="EL137" s="54"/>
      <c r="EM137" s="54"/>
      <c r="EN137" s="54"/>
      <c r="EO137" s="54"/>
      <c r="EP137" s="54"/>
      <c r="EQ137" s="54"/>
      <c r="ER137" s="54"/>
      <c r="ES137" s="54"/>
      <c r="ET137" s="54"/>
      <c r="EU137" s="54"/>
      <c r="EV137" s="54"/>
      <c r="EW137" s="54"/>
      <c r="EX137" s="54"/>
      <c r="EY137" s="54"/>
      <c r="EZ137" s="54"/>
      <c r="FA137" s="54"/>
      <c r="FB137" s="54"/>
      <c r="FC137" s="54"/>
      <c r="FD137" s="54"/>
      <c r="FE137" s="54"/>
      <c r="FF137" s="54"/>
      <c r="FG137" s="54"/>
      <c r="FH137" s="54"/>
      <c r="FI137" s="54"/>
      <c r="FJ137" s="54"/>
      <c r="FK137" s="54"/>
      <c r="FL137" s="54"/>
      <c r="FM137" s="54"/>
      <c r="FN137" s="54"/>
      <c r="FO137" s="54"/>
      <c r="FP137" s="54"/>
      <c r="FQ137" s="54"/>
      <c r="FR137" s="54"/>
      <c r="FS137" s="54"/>
      <c r="FT137" s="54"/>
      <c r="FU137" s="54"/>
      <c r="FV137" s="54"/>
      <c r="FW137" s="54"/>
      <c r="FX137" s="54"/>
      <c r="FY137" s="54"/>
      <c r="FZ137" s="54"/>
      <c r="GA137" s="54"/>
      <c r="GB137" s="54"/>
      <c r="GC137" s="54"/>
      <c r="GD137" s="54"/>
      <c r="GE137" s="54"/>
      <c r="GF137" s="54"/>
      <c r="GG137" s="54"/>
      <c r="GH137" s="54"/>
      <c r="GI137" s="54"/>
      <c r="GJ137" s="54"/>
      <c r="GK137" s="54"/>
      <c r="GL137" s="54"/>
      <c r="GM137" s="54"/>
      <c r="GN137" s="54"/>
      <c r="GO137" s="54"/>
      <c r="GP137" s="54"/>
      <c r="GQ137" s="54"/>
      <c r="GR137" s="54"/>
      <c r="GS137" s="54"/>
      <c r="GT137" s="54"/>
      <c r="GU137" s="54"/>
      <c r="GV137" s="54"/>
      <c r="GW137" s="54"/>
      <c r="GX137" s="54"/>
      <c r="GY137" s="54"/>
      <c r="GZ137" s="54"/>
      <c r="HA137" s="54"/>
      <c r="HB137" s="54"/>
      <c r="HC137" s="54"/>
      <c r="HD137" s="54"/>
      <c r="HE137" s="54"/>
      <c r="HF137" s="54"/>
      <c r="HG137" s="54"/>
      <c r="HH137" s="54"/>
      <c r="HI137" s="54"/>
      <c r="HJ137" s="54"/>
      <c r="HK137" s="54"/>
      <c r="HL137" s="54"/>
      <c r="HM137" s="54"/>
      <c r="HN137" s="54"/>
      <c r="HO137" s="54"/>
      <c r="HP137" s="54"/>
      <c r="HQ137" s="54"/>
      <c r="HR137" s="54"/>
      <c r="HS137" s="54"/>
      <c r="HT137" s="54"/>
      <c r="HU137" s="54"/>
      <c r="HV137" s="54"/>
      <c r="HW137" s="54"/>
      <c r="HX137" s="54"/>
      <c r="HY137" s="54"/>
      <c r="HZ137" s="54"/>
      <c r="IA137" s="54"/>
      <c r="IB137" s="54"/>
      <c r="IC137" s="54"/>
      <c r="ID137" s="54"/>
      <c r="IE137" s="54"/>
      <c r="IF137" s="54"/>
      <c r="IG137" s="54"/>
      <c r="IH137" s="54"/>
      <c r="II137" s="54"/>
      <c r="IJ137" s="54"/>
      <c r="IK137" s="54"/>
      <c r="IL137" s="54"/>
      <c r="IM137" s="54"/>
      <c r="IN137" s="54"/>
      <c r="IO137" s="54"/>
      <c r="IP137" s="54"/>
      <c r="IQ137" s="54"/>
      <c r="IR137" s="54"/>
      <c r="IS137" s="54"/>
      <c r="IT137" s="54"/>
      <c r="IU137" s="54"/>
      <c r="IV137" s="54"/>
      <c r="IW137" s="54"/>
      <c r="IX137" s="54"/>
      <c r="IY137" s="54"/>
      <c r="IZ137" s="54"/>
      <c r="JA137" s="54"/>
      <c r="JB137" s="54"/>
      <c r="JC137" s="54"/>
      <c r="JD137" s="54"/>
      <c r="JE137" s="54"/>
      <c r="JF137" s="54"/>
      <c r="JG137" s="54"/>
      <c r="JH137" s="54"/>
      <c r="JI137" s="54"/>
      <c r="JJ137" s="54"/>
      <c r="JK137" s="54"/>
      <c r="JL137" s="54"/>
      <c r="JM137" s="54"/>
      <c r="JN137" s="54"/>
      <c r="JO137" s="54"/>
      <c r="JP137" s="54"/>
      <c r="JQ137" s="54"/>
      <c r="JR137" s="54"/>
      <c r="JS137" s="54"/>
      <c r="JT137" s="54"/>
      <c r="JU137" s="54"/>
      <c r="JV137" s="54"/>
      <c r="JW137" s="54"/>
      <c r="JX137" s="54"/>
      <c r="JY137" s="54"/>
      <c r="JZ137" s="54"/>
      <c r="KA137" s="54"/>
      <c r="KB137" s="54"/>
      <c r="KC137" s="54"/>
      <c r="KD137" s="54"/>
      <c r="KE137" s="54"/>
      <c r="KF137" s="54"/>
      <c r="KG137" s="54"/>
      <c r="KH137" s="54"/>
      <c r="KI137" s="54"/>
      <c r="KJ137" s="54"/>
      <c r="KK137" s="54"/>
      <c r="KL137" s="54"/>
      <c r="KM137" s="54"/>
      <c r="KN137" s="54"/>
      <c r="KO137" s="54"/>
      <c r="KP137" s="54"/>
      <c r="KQ137" s="54"/>
      <c r="KR137" s="54"/>
      <c r="KS137" s="54"/>
      <c r="KT137" s="54"/>
      <c r="KU137" s="54"/>
      <c r="KV137" s="54"/>
      <c r="KW137" s="54"/>
      <c r="KX137" s="54"/>
      <c r="KY137" s="54"/>
      <c r="KZ137" s="54"/>
      <c r="LA137" s="54"/>
      <c r="LB137" s="54"/>
      <c r="LC137" s="54"/>
      <c r="LD137" s="54"/>
      <c r="LE137" s="54"/>
      <c r="LF137" s="54"/>
      <c r="LG137" s="54"/>
      <c r="LH137" s="54"/>
      <c r="LI137" s="54"/>
      <c r="LJ137" s="54"/>
      <c r="LK137" s="54"/>
      <c r="LL137" s="54"/>
      <c r="LM137" s="54"/>
      <c r="LN137" s="54"/>
      <c r="LO137" s="54"/>
      <c r="LP137" s="54"/>
      <c r="LQ137" s="54"/>
      <c r="LR137" s="54"/>
      <c r="LS137" s="54"/>
      <c r="LT137" s="54"/>
      <c r="LU137" s="54"/>
      <c r="LV137" s="54"/>
      <c r="LW137" s="54"/>
      <c r="LX137" s="54"/>
      <c r="LY137" s="54"/>
      <c r="LZ137" s="54"/>
      <c r="MA137" s="54"/>
      <c r="MB137" s="54"/>
      <c r="MC137" s="54"/>
      <c r="MD137" s="54"/>
      <c r="ME137" s="54"/>
      <c r="MF137" s="54"/>
      <c r="MG137" s="54"/>
      <c r="MH137" s="54"/>
      <c r="MI137" s="54"/>
      <c r="MJ137" s="54"/>
      <c r="MK137" s="54"/>
      <c r="ML137" s="54"/>
      <c r="MM137" s="54"/>
      <c r="MN137" s="54"/>
      <c r="MO137" s="54"/>
      <c r="MP137" s="54"/>
      <c r="MQ137" s="54"/>
      <c r="MR137" s="54"/>
      <c r="MS137" s="54"/>
      <c r="MT137" s="54"/>
      <c r="MU137" s="54"/>
      <c r="MV137" s="54"/>
      <c r="MW137" s="54"/>
      <c r="MX137" s="54"/>
      <c r="MY137" s="54"/>
      <c r="MZ137" s="54"/>
      <c r="NA137" s="54"/>
      <c r="NB137" s="54"/>
      <c r="NC137" s="54"/>
      <c r="ND137" s="54"/>
      <c r="NE137" s="54"/>
      <c r="NF137" s="54"/>
      <c r="NG137" s="54"/>
      <c r="NH137" s="54"/>
      <c r="NI137" s="54"/>
      <c r="NJ137" s="54"/>
      <c r="NK137" s="54"/>
      <c r="NL137" s="54"/>
      <c r="NM137" s="54"/>
      <c r="NN137" s="54"/>
      <c r="NO137" s="54"/>
      <c r="NP137" s="54"/>
      <c r="NQ137" s="54"/>
      <c r="NR137" s="54"/>
      <c r="NS137" s="54"/>
      <c r="NT137" s="54"/>
      <c r="NU137" s="54"/>
      <c r="NV137" s="54"/>
      <c r="NW137" s="54"/>
      <c r="NX137" s="54"/>
      <c r="NY137" s="54"/>
      <c r="NZ137" s="54"/>
      <c r="OA137" s="54"/>
      <c r="OB137" s="54"/>
      <c r="OC137" s="54"/>
      <c r="OD137" s="54"/>
      <c r="OE137" s="54"/>
      <c r="OF137" s="54"/>
      <c r="OG137" s="54"/>
      <c r="OH137" s="54"/>
      <c r="OI137" s="54"/>
      <c r="OJ137" s="54"/>
      <c r="OK137" s="54"/>
      <c r="OL137" s="54"/>
      <c r="OM137" s="54"/>
      <c r="ON137" s="54"/>
      <c r="OO137" s="54"/>
      <c r="OP137" s="54"/>
      <c r="OQ137" s="54"/>
      <c r="OR137" s="54"/>
      <c r="OS137" s="54"/>
      <c r="OT137" s="54"/>
      <c r="OU137" s="54"/>
      <c r="OV137" s="54"/>
      <c r="OW137" s="54"/>
      <c r="OX137" s="54"/>
      <c r="OY137" s="54"/>
      <c r="OZ137" s="54"/>
      <c r="PA137" s="54"/>
      <c r="PB137" s="54"/>
      <c r="PC137" s="54"/>
      <c r="PD137" s="54"/>
      <c r="PE137" s="54"/>
      <c r="PF137" s="54"/>
      <c r="PG137" s="54"/>
      <c r="PH137" s="54"/>
      <c r="PI137" s="54"/>
      <c r="PJ137" s="54"/>
      <c r="PK137" s="54"/>
      <c r="PL137" s="54"/>
      <c r="PM137" s="54"/>
      <c r="PN137" s="54"/>
      <c r="PO137" s="54"/>
      <c r="PP137" s="54"/>
      <c r="PQ137" s="54"/>
      <c r="PR137" s="54"/>
      <c r="PS137" s="54"/>
      <c r="PT137" s="54"/>
      <c r="PU137" s="54"/>
      <c r="PV137" s="54"/>
      <c r="PW137" s="54"/>
      <c r="PX137" s="54"/>
      <c r="PY137" s="54"/>
      <c r="PZ137" s="54"/>
      <c r="QA137" s="54"/>
      <c r="QB137" s="54"/>
      <c r="QC137" s="54"/>
      <c r="QD137" s="54"/>
      <c r="QE137" s="54"/>
      <c r="QF137" s="54"/>
      <c r="QG137" s="54"/>
      <c r="QH137" s="54"/>
      <c r="QI137" s="54"/>
      <c r="QJ137" s="54"/>
      <c r="QK137" s="54"/>
      <c r="QL137" s="54"/>
      <c r="QM137" s="54"/>
      <c r="QN137" s="54"/>
      <c r="QO137" s="54"/>
      <c r="QP137" s="54"/>
      <c r="QQ137" s="54"/>
      <c r="QR137" s="54"/>
      <c r="QS137" s="54"/>
      <c r="QT137" s="54"/>
      <c r="QU137" s="54"/>
      <c r="QV137" s="54"/>
      <c r="QW137" s="54"/>
      <c r="QX137" s="54"/>
      <c r="QY137" s="54"/>
      <c r="QZ137" s="54"/>
      <c r="RA137" s="54"/>
      <c r="RB137" s="54"/>
      <c r="RC137" s="54"/>
      <c r="RD137" s="54"/>
      <c r="RE137" s="54"/>
      <c r="RF137" s="54"/>
      <c r="RG137" s="54"/>
      <c r="RH137" s="54"/>
      <c r="RI137" s="54"/>
      <c r="RJ137" s="54"/>
      <c r="RK137" s="54"/>
      <c r="RL137" s="54"/>
      <c r="RM137" s="54"/>
      <c r="RN137" s="54"/>
      <c r="RO137" s="54"/>
      <c r="RP137" s="54"/>
      <c r="RQ137" s="54"/>
      <c r="RR137" s="54"/>
      <c r="RS137" s="54"/>
      <c r="RT137" s="54"/>
      <c r="RU137" s="54"/>
      <c r="RV137" s="54"/>
      <c r="RW137" s="54"/>
      <c r="RX137" s="54"/>
      <c r="RY137" s="54"/>
      <c r="RZ137" s="54"/>
      <c r="SA137" s="54"/>
      <c r="SB137" s="54"/>
      <c r="SC137" s="54"/>
      <c r="SD137" s="54"/>
      <c r="SE137" s="54"/>
      <c r="SF137" s="54"/>
      <c r="SG137" s="54"/>
      <c r="SH137" s="54"/>
      <c r="SI137" s="54"/>
      <c r="SJ137" s="54"/>
      <c r="SK137" s="54"/>
      <c r="SL137" s="54"/>
      <c r="SM137" s="54"/>
      <c r="SN137" s="54"/>
      <c r="SO137" s="54"/>
      <c r="SP137" s="54"/>
      <c r="SQ137" s="54"/>
      <c r="SR137" s="54"/>
    </row>
    <row r="138" spans="1:512" ht="15" customHeight="1" x14ac:dyDescent="0.7">
      <c r="A138" s="172"/>
      <c r="B138" s="172"/>
      <c r="C138" s="172"/>
      <c r="D138" s="172"/>
      <c r="E138" s="172"/>
      <c r="F138" s="172"/>
      <c r="G138" s="172"/>
      <c r="I138" s="72" t="s">
        <v>344</v>
      </c>
      <c r="J138" s="73" t="s">
        <v>344</v>
      </c>
      <c r="K138" s="190"/>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54"/>
      <c r="CW138" s="54"/>
      <c r="CX138" s="54"/>
      <c r="CY138" s="54"/>
      <c r="CZ138" s="54"/>
      <c r="DA138" s="54"/>
      <c r="DB138" s="54"/>
      <c r="DC138" s="54"/>
      <c r="DD138" s="54"/>
      <c r="DE138" s="54"/>
      <c r="DF138" s="54"/>
      <c r="DG138" s="54"/>
      <c r="DH138" s="54"/>
      <c r="DI138" s="54"/>
      <c r="DJ138" s="54"/>
      <c r="DK138" s="54"/>
      <c r="DL138" s="54"/>
      <c r="DM138" s="54"/>
      <c r="DN138" s="54"/>
      <c r="DO138" s="54"/>
      <c r="DP138" s="54"/>
      <c r="DQ138" s="54"/>
      <c r="DR138" s="54"/>
      <c r="DS138" s="54"/>
      <c r="DT138" s="54"/>
      <c r="DU138" s="54"/>
      <c r="DV138" s="54"/>
      <c r="DW138" s="54"/>
      <c r="DX138" s="54"/>
      <c r="DY138" s="54"/>
      <c r="DZ138" s="54"/>
      <c r="EA138" s="54"/>
      <c r="EB138" s="54"/>
      <c r="EC138" s="54"/>
      <c r="ED138" s="54"/>
      <c r="EE138" s="54"/>
      <c r="EF138" s="54"/>
      <c r="EG138" s="54"/>
      <c r="EH138" s="54"/>
      <c r="EI138" s="54"/>
      <c r="EJ138" s="54"/>
      <c r="EK138" s="54"/>
      <c r="EL138" s="54"/>
      <c r="EM138" s="54"/>
      <c r="EN138" s="54"/>
      <c r="EO138" s="54"/>
      <c r="EP138" s="54"/>
      <c r="EQ138" s="54"/>
      <c r="ER138" s="54"/>
      <c r="ES138" s="54"/>
      <c r="ET138" s="54"/>
      <c r="EU138" s="54"/>
      <c r="EV138" s="54"/>
      <c r="EW138" s="54"/>
      <c r="EX138" s="54"/>
      <c r="EY138" s="54"/>
      <c r="EZ138" s="54"/>
      <c r="FA138" s="54"/>
      <c r="FB138" s="54"/>
      <c r="FC138" s="54"/>
      <c r="FD138" s="54"/>
      <c r="FE138" s="54"/>
      <c r="FF138" s="54"/>
      <c r="FG138" s="54"/>
      <c r="FH138" s="54"/>
      <c r="FI138" s="54"/>
      <c r="FJ138" s="54"/>
      <c r="FK138" s="54"/>
      <c r="FL138" s="54"/>
      <c r="FM138" s="54"/>
      <c r="FN138" s="54"/>
      <c r="FO138" s="54"/>
      <c r="FP138" s="54"/>
      <c r="FQ138" s="54"/>
      <c r="FR138" s="54"/>
      <c r="FS138" s="54"/>
      <c r="FT138" s="54"/>
      <c r="FU138" s="54"/>
      <c r="FV138" s="54"/>
      <c r="FW138" s="54"/>
      <c r="FX138" s="54"/>
      <c r="FY138" s="54"/>
      <c r="FZ138" s="54"/>
      <c r="GA138" s="54"/>
      <c r="GB138" s="54"/>
      <c r="GC138" s="54"/>
      <c r="GD138" s="54"/>
      <c r="GE138" s="54"/>
      <c r="GF138" s="54"/>
      <c r="GG138" s="54"/>
      <c r="GH138" s="54"/>
      <c r="GI138" s="54"/>
      <c r="GJ138" s="54"/>
      <c r="GK138" s="54"/>
      <c r="GL138" s="54"/>
      <c r="GM138" s="54"/>
      <c r="GN138" s="54"/>
      <c r="GO138" s="54"/>
      <c r="GP138" s="54"/>
      <c r="GQ138" s="54"/>
      <c r="GR138" s="54"/>
      <c r="GS138" s="54"/>
      <c r="GT138" s="54"/>
      <c r="GU138" s="54"/>
      <c r="GV138" s="54"/>
      <c r="GW138" s="54"/>
      <c r="GX138" s="54"/>
      <c r="GY138" s="54"/>
      <c r="GZ138" s="54"/>
      <c r="HA138" s="54"/>
      <c r="HB138" s="54"/>
      <c r="HC138" s="54"/>
      <c r="HD138" s="54"/>
      <c r="HE138" s="54"/>
      <c r="HF138" s="54"/>
      <c r="HG138" s="54"/>
      <c r="HH138" s="54"/>
      <c r="HI138" s="54"/>
      <c r="HJ138" s="54"/>
      <c r="HK138" s="54"/>
      <c r="HL138" s="54"/>
      <c r="HM138" s="54"/>
      <c r="HN138" s="54"/>
      <c r="HO138" s="54"/>
      <c r="HP138" s="54"/>
      <c r="HQ138" s="54"/>
      <c r="HR138" s="54"/>
      <c r="HS138" s="54"/>
      <c r="HT138" s="54"/>
      <c r="HU138" s="54"/>
      <c r="HV138" s="54"/>
      <c r="HW138" s="54"/>
      <c r="HX138" s="54"/>
      <c r="HY138" s="54"/>
      <c r="HZ138" s="54"/>
      <c r="IA138" s="54"/>
      <c r="IB138" s="54"/>
      <c r="IC138" s="54"/>
      <c r="ID138" s="54"/>
      <c r="IE138" s="54"/>
      <c r="IF138" s="54"/>
      <c r="IG138" s="54"/>
      <c r="IH138" s="54"/>
      <c r="II138" s="54"/>
      <c r="IJ138" s="54"/>
      <c r="IK138" s="54"/>
      <c r="IL138" s="54"/>
      <c r="IM138" s="54"/>
      <c r="IN138" s="54"/>
      <c r="IO138" s="54"/>
      <c r="IP138" s="54"/>
      <c r="IQ138" s="54"/>
      <c r="IR138" s="54"/>
      <c r="IS138" s="54"/>
      <c r="IT138" s="54"/>
      <c r="IU138" s="54"/>
      <c r="IV138" s="54"/>
      <c r="IW138" s="54"/>
      <c r="IX138" s="54"/>
      <c r="IY138" s="54"/>
      <c r="IZ138" s="54"/>
      <c r="JA138" s="54"/>
      <c r="JB138" s="54"/>
      <c r="JC138" s="54"/>
      <c r="JD138" s="54"/>
      <c r="JE138" s="54"/>
      <c r="JF138" s="54"/>
      <c r="JG138" s="54"/>
      <c r="JH138" s="54"/>
      <c r="JI138" s="54"/>
      <c r="JJ138" s="54"/>
      <c r="JK138" s="54"/>
      <c r="JL138" s="54"/>
      <c r="JM138" s="54"/>
      <c r="JN138" s="54"/>
      <c r="JO138" s="54"/>
      <c r="JP138" s="54"/>
      <c r="JQ138" s="54"/>
      <c r="JR138" s="54"/>
      <c r="JS138" s="54"/>
      <c r="JT138" s="54"/>
      <c r="JU138" s="54"/>
      <c r="JV138" s="54"/>
      <c r="JW138" s="54"/>
      <c r="JX138" s="54"/>
      <c r="JY138" s="54"/>
      <c r="JZ138" s="54"/>
      <c r="KA138" s="54"/>
      <c r="KB138" s="54"/>
      <c r="KC138" s="54"/>
      <c r="KD138" s="54"/>
      <c r="KE138" s="54"/>
      <c r="KF138" s="54"/>
      <c r="KG138" s="54"/>
      <c r="KH138" s="54"/>
      <c r="KI138" s="54"/>
      <c r="KJ138" s="54"/>
      <c r="KK138" s="54"/>
      <c r="KL138" s="54"/>
      <c r="KM138" s="54"/>
      <c r="KN138" s="54"/>
      <c r="KO138" s="54"/>
      <c r="KP138" s="54"/>
      <c r="KQ138" s="54"/>
      <c r="KR138" s="54"/>
      <c r="KS138" s="54"/>
      <c r="KT138" s="54"/>
      <c r="KU138" s="54"/>
      <c r="KV138" s="54"/>
      <c r="KW138" s="54"/>
      <c r="KX138" s="54"/>
      <c r="KY138" s="54"/>
      <c r="KZ138" s="54"/>
      <c r="LA138" s="54"/>
      <c r="LB138" s="54"/>
      <c r="LC138" s="54"/>
      <c r="LD138" s="54"/>
      <c r="LE138" s="54"/>
      <c r="LF138" s="54"/>
      <c r="LG138" s="54"/>
      <c r="LH138" s="54"/>
      <c r="LI138" s="54"/>
      <c r="LJ138" s="54"/>
      <c r="LK138" s="54"/>
      <c r="LL138" s="54"/>
      <c r="LM138" s="54"/>
      <c r="LN138" s="54"/>
      <c r="LO138" s="54"/>
      <c r="LP138" s="54"/>
      <c r="LQ138" s="54"/>
      <c r="LR138" s="54"/>
      <c r="LS138" s="54"/>
      <c r="LT138" s="54"/>
      <c r="LU138" s="54"/>
      <c r="LV138" s="54"/>
      <c r="LW138" s="54"/>
      <c r="LX138" s="54"/>
      <c r="LY138" s="54"/>
      <c r="LZ138" s="54"/>
      <c r="MA138" s="54"/>
      <c r="MB138" s="54"/>
      <c r="MC138" s="54"/>
      <c r="MD138" s="54"/>
      <c r="ME138" s="54"/>
      <c r="MF138" s="54"/>
      <c r="MG138" s="54"/>
      <c r="MH138" s="54"/>
      <c r="MI138" s="54"/>
      <c r="MJ138" s="54"/>
      <c r="MK138" s="54"/>
      <c r="ML138" s="54"/>
      <c r="MM138" s="54"/>
      <c r="MN138" s="54"/>
      <c r="MO138" s="54"/>
      <c r="MP138" s="54"/>
      <c r="MQ138" s="54"/>
      <c r="MR138" s="54"/>
      <c r="MS138" s="54"/>
      <c r="MT138" s="54"/>
      <c r="MU138" s="54"/>
      <c r="MV138" s="54"/>
      <c r="MW138" s="54"/>
      <c r="MX138" s="54"/>
      <c r="MY138" s="54"/>
      <c r="MZ138" s="54"/>
      <c r="NA138" s="54"/>
      <c r="NB138" s="54"/>
      <c r="NC138" s="54"/>
      <c r="ND138" s="54"/>
      <c r="NE138" s="54"/>
      <c r="NF138" s="54"/>
      <c r="NG138" s="54"/>
      <c r="NH138" s="54"/>
      <c r="NI138" s="54"/>
      <c r="NJ138" s="54"/>
      <c r="NK138" s="54"/>
      <c r="NL138" s="54"/>
      <c r="NM138" s="54"/>
      <c r="NN138" s="54"/>
      <c r="NO138" s="54"/>
      <c r="NP138" s="54"/>
      <c r="NQ138" s="54"/>
      <c r="NR138" s="54"/>
      <c r="NS138" s="54"/>
      <c r="NT138" s="54"/>
      <c r="NU138" s="54"/>
      <c r="NV138" s="54"/>
      <c r="NW138" s="54"/>
      <c r="NX138" s="54"/>
      <c r="NY138" s="54"/>
      <c r="NZ138" s="54"/>
      <c r="OA138" s="54"/>
      <c r="OB138" s="54"/>
      <c r="OC138" s="54"/>
      <c r="OD138" s="54"/>
      <c r="OE138" s="54"/>
      <c r="OF138" s="54"/>
      <c r="OG138" s="54"/>
      <c r="OH138" s="54"/>
      <c r="OI138" s="54"/>
      <c r="OJ138" s="54"/>
      <c r="OK138" s="54"/>
      <c r="OL138" s="54"/>
      <c r="OM138" s="54"/>
      <c r="ON138" s="54"/>
      <c r="OO138" s="54"/>
      <c r="OP138" s="54"/>
      <c r="OQ138" s="54"/>
      <c r="OR138" s="54"/>
      <c r="OS138" s="54"/>
      <c r="OT138" s="54"/>
      <c r="OU138" s="54"/>
      <c r="OV138" s="54"/>
      <c r="OW138" s="54"/>
      <c r="OX138" s="54"/>
      <c r="OY138" s="54"/>
      <c r="OZ138" s="54"/>
      <c r="PA138" s="54"/>
      <c r="PB138" s="54"/>
      <c r="PC138" s="54"/>
      <c r="PD138" s="54"/>
      <c r="PE138" s="54"/>
      <c r="PF138" s="54"/>
      <c r="PG138" s="54"/>
      <c r="PH138" s="54"/>
      <c r="PI138" s="54"/>
      <c r="PJ138" s="54"/>
      <c r="PK138" s="54"/>
      <c r="PL138" s="54"/>
      <c r="PM138" s="54"/>
      <c r="PN138" s="54"/>
      <c r="PO138" s="54"/>
      <c r="PP138" s="54"/>
      <c r="PQ138" s="54"/>
      <c r="PR138" s="54"/>
      <c r="PS138" s="54"/>
      <c r="PT138" s="54"/>
      <c r="PU138" s="54"/>
      <c r="PV138" s="54"/>
      <c r="PW138" s="54"/>
      <c r="PX138" s="54"/>
      <c r="PY138" s="54"/>
      <c r="PZ138" s="54"/>
      <c r="QA138" s="54"/>
      <c r="QB138" s="54"/>
      <c r="QC138" s="54"/>
      <c r="QD138" s="54"/>
      <c r="QE138" s="54"/>
      <c r="QF138" s="54"/>
      <c r="QG138" s="54"/>
      <c r="QH138" s="54"/>
      <c r="QI138" s="54"/>
      <c r="QJ138" s="54"/>
      <c r="QK138" s="54"/>
      <c r="QL138" s="54"/>
      <c r="QM138" s="54"/>
      <c r="QN138" s="54"/>
      <c r="QO138" s="54"/>
      <c r="QP138" s="54"/>
      <c r="QQ138" s="54"/>
      <c r="QR138" s="54"/>
      <c r="QS138" s="54"/>
      <c r="QT138" s="54"/>
      <c r="QU138" s="54"/>
      <c r="QV138" s="54"/>
      <c r="QW138" s="54"/>
      <c r="QX138" s="54"/>
      <c r="QY138" s="54"/>
      <c r="QZ138" s="54"/>
      <c r="RA138" s="54"/>
      <c r="RB138" s="54"/>
      <c r="RC138" s="54"/>
      <c r="RD138" s="54"/>
      <c r="RE138" s="54"/>
      <c r="RF138" s="54"/>
      <c r="RG138" s="54"/>
      <c r="RH138" s="54"/>
      <c r="RI138" s="54"/>
      <c r="RJ138" s="54"/>
      <c r="RK138" s="54"/>
      <c r="RL138" s="54"/>
      <c r="RM138" s="54"/>
      <c r="RN138" s="54"/>
      <c r="RO138" s="54"/>
      <c r="RP138" s="54"/>
      <c r="RQ138" s="54"/>
      <c r="RR138" s="54"/>
      <c r="RS138" s="54"/>
      <c r="RT138" s="54"/>
      <c r="RU138" s="54"/>
      <c r="RV138" s="54"/>
      <c r="RW138" s="54"/>
      <c r="RX138" s="54"/>
      <c r="RY138" s="54"/>
      <c r="RZ138" s="54"/>
      <c r="SA138" s="54"/>
      <c r="SB138" s="54"/>
      <c r="SC138" s="54"/>
      <c r="SD138" s="54"/>
      <c r="SE138" s="54"/>
      <c r="SF138" s="54"/>
      <c r="SG138" s="54"/>
      <c r="SH138" s="54"/>
      <c r="SI138" s="54"/>
      <c r="SJ138" s="54"/>
      <c r="SK138" s="54"/>
      <c r="SL138" s="54"/>
      <c r="SM138" s="54"/>
      <c r="SN138" s="54"/>
      <c r="SO138" s="54"/>
      <c r="SP138" s="54"/>
      <c r="SQ138" s="54"/>
      <c r="SR138" s="54"/>
    </row>
    <row r="139" spans="1:512" s="55" customFormat="1" ht="15" customHeight="1" x14ac:dyDescent="0.7">
      <c r="A139" s="173"/>
      <c r="B139" s="173"/>
      <c r="C139" s="173"/>
      <c r="D139" s="173"/>
      <c r="E139" s="173"/>
      <c r="F139" s="173"/>
      <c r="G139" s="173"/>
      <c r="H139" s="74"/>
      <c r="I139" s="75"/>
      <c r="J139" s="76"/>
      <c r="K139" s="191"/>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c r="IX139" s="56"/>
      <c r="IY139" s="56"/>
      <c r="IZ139" s="56"/>
      <c r="JA139" s="56"/>
      <c r="JB139" s="56"/>
      <c r="JC139" s="56"/>
      <c r="JD139" s="56"/>
      <c r="JE139" s="56"/>
      <c r="JF139" s="56"/>
      <c r="JG139" s="56"/>
      <c r="JH139" s="56"/>
      <c r="JI139" s="56"/>
      <c r="JJ139" s="56"/>
      <c r="JK139" s="56"/>
      <c r="JL139" s="56"/>
      <c r="JM139" s="56"/>
      <c r="JN139" s="56"/>
      <c r="JO139" s="56"/>
      <c r="JP139" s="56"/>
      <c r="JQ139" s="56"/>
      <c r="JR139" s="56"/>
      <c r="JS139" s="56"/>
      <c r="JT139" s="56"/>
      <c r="JU139" s="56"/>
      <c r="JV139" s="56"/>
      <c r="JW139" s="56"/>
      <c r="JX139" s="56"/>
      <c r="JY139" s="56"/>
      <c r="JZ139" s="56"/>
      <c r="KA139" s="56"/>
      <c r="KB139" s="56"/>
      <c r="KC139" s="56"/>
      <c r="KD139" s="56"/>
      <c r="KE139" s="56"/>
      <c r="KF139" s="56"/>
      <c r="KG139" s="56"/>
      <c r="KH139" s="56"/>
      <c r="KI139" s="56"/>
      <c r="KJ139" s="56"/>
      <c r="KK139" s="56"/>
      <c r="KL139" s="56"/>
      <c r="KM139" s="56"/>
      <c r="KN139" s="56"/>
      <c r="KO139" s="56"/>
      <c r="KP139" s="56"/>
      <c r="KQ139" s="56"/>
      <c r="KR139" s="56"/>
      <c r="KS139" s="56"/>
      <c r="KT139" s="56"/>
      <c r="KU139" s="56"/>
      <c r="KV139" s="56"/>
      <c r="KW139" s="56"/>
      <c r="KX139" s="56"/>
      <c r="KY139" s="56"/>
      <c r="KZ139" s="56"/>
      <c r="LA139" s="56"/>
      <c r="LB139" s="56"/>
      <c r="LC139" s="56"/>
      <c r="LD139" s="56"/>
      <c r="LE139" s="56"/>
      <c r="LF139" s="56"/>
      <c r="LG139" s="56"/>
      <c r="LH139" s="56"/>
      <c r="LI139" s="56"/>
      <c r="LJ139" s="56"/>
      <c r="LK139" s="56"/>
      <c r="LL139" s="56"/>
      <c r="LM139" s="56"/>
      <c r="LN139" s="56"/>
      <c r="LO139" s="56"/>
      <c r="LP139" s="56"/>
      <c r="LQ139" s="56"/>
      <c r="LR139" s="56"/>
      <c r="LS139" s="56"/>
      <c r="LT139" s="56"/>
      <c r="LU139" s="56"/>
      <c r="LV139" s="56"/>
      <c r="LW139" s="56"/>
      <c r="LX139" s="56"/>
      <c r="LY139" s="56"/>
      <c r="LZ139" s="56"/>
      <c r="MA139" s="56"/>
      <c r="MB139" s="56"/>
      <c r="MC139" s="56"/>
      <c r="MD139" s="56"/>
      <c r="ME139" s="56"/>
      <c r="MF139" s="56"/>
      <c r="MG139" s="56"/>
      <c r="MH139" s="56"/>
      <c r="MI139" s="56"/>
      <c r="MJ139" s="56"/>
      <c r="MK139" s="56"/>
      <c r="ML139" s="56"/>
      <c r="MM139" s="56"/>
      <c r="MN139" s="56"/>
      <c r="MO139" s="56"/>
      <c r="MP139" s="56"/>
      <c r="MQ139" s="56"/>
      <c r="MR139" s="56"/>
      <c r="MS139" s="56"/>
      <c r="MT139" s="56"/>
      <c r="MU139" s="56"/>
      <c r="MV139" s="56"/>
      <c r="MW139" s="56"/>
      <c r="MX139" s="56"/>
      <c r="MY139" s="56"/>
      <c r="MZ139" s="56"/>
      <c r="NA139" s="56"/>
      <c r="NB139" s="56"/>
      <c r="NC139" s="56"/>
      <c r="ND139" s="56"/>
      <c r="NE139" s="56"/>
      <c r="NF139" s="56"/>
      <c r="NG139" s="56"/>
      <c r="NH139" s="56"/>
      <c r="NI139" s="56"/>
      <c r="NJ139" s="56"/>
      <c r="NK139" s="56"/>
      <c r="NL139" s="56"/>
      <c r="NM139" s="56"/>
      <c r="NN139" s="56"/>
      <c r="NO139" s="56"/>
      <c r="NP139" s="56"/>
      <c r="NQ139" s="56"/>
      <c r="NR139" s="56"/>
      <c r="NS139" s="56"/>
      <c r="NT139" s="56"/>
      <c r="NU139" s="56"/>
      <c r="NV139" s="56"/>
      <c r="NW139" s="56"/>
      <c r="NX139" s="56"/>
      <c r="NY139" s="56"/>
      <c r="NZ139" s="56"/>
      <c r="OA139" s="56"/>
      <c r="OB139" s="56"/>
      <c r="OC139" s="56"/>
      <c r="OD139" s="56"/>
      <c r="OE139" s="56"/>
      <c r="OF139" s="56"/>
      <c r="OG139" s="56"/>
      <c r="OH139" s="56"/>
      <c r="OI139" s="56"/>
      <c r="OJ139" s="56"/>
      <c r="OK139" s="56"/>
      <c r="OL139" s="56"/>
      <c r="OM139" s="56"/>
      <c r="ON139" s="56"/>
      <c r="OO139" s="56"/>
      <c r="OP139" s="56"/>
      <c r="OQ139" s="56"/>
      <c r="OR139" s="56"/>
      <c r="OS139" s="56"/>
      <c r="OT139" s="56"/>
      <c r="OU139" s="56"/>
      <c r="OV139" s="56"/>
      <c r="OW139" s="56"/>
      <c r="OX139" s="56"/>
      <c r="OY139" s="56"/>
      <c r="OZ139" s="56"/>
      <c r="PA139" s="56"/>
      <c r="PB139" s="56"/>
      <c r="PC139" s="56"/>
      <c r="PD139" s="56"/>
      <c r="PE139" s="56"/>
      <c r="PF139" s="56"/>
      <c r="PG139" s="56"/>
      <c r="PH139" s="56"/>
      <c r="PI139" s="56"/>
      <c r="PJ139" s="56"/>
      <c r="PK139" s="56"/>
      <c r="PL139" s="56"/>
      <c r="PM139" s="56"/>
      <c r="PN139" s="56"/>
      <c r="PO139" s="56"/>
      <c r="PP139" s="56"/>
      <c r="PQ139" s="56"/>
      <c r="PR139" s="56"/>
      <c r="PS139" s="56"/>
      <c r="PT139" s="56"/>
      <c r="PU139" s="56"/>
      <c r="PV139" s="56"/>
      <c r="PW139" s="56"/>
      <c r="PX139" s="56"/>
      <c r="PY139" s="56"/>
      <c r="PZ139" s="56"/>
      <c r="QA139" s="56"/>
      <c r="QB139" s="56"/>
      <c r="QC139" s="56"/>
      <c r="QD139" s="56"/>
      <c r="QE139" s="56"/>
      <c r="QF139" s="56"/>
      <c r="QG139" s="56"/>
      <c r="QH139" s="56"/>
      <c r="QI139" s="56"/>
      <c r="QJ139" s="56"/>
      <c r="QK139" s="56"/>
      <c r="QL139" s="56"/>
      <c r="QM139" s="56"/>
      <c r="QN139" s="56"/>
      <c r="QO139" s="56"/>
      <c r="QP139" s="56"/>
      <c r="QQ139" s="56"/>
      <c r="QR139" s="56"/>
      <c r="QS139" s="56"/>
      <c r="QT139" s="56"/>
      <c r="QU139" s="56"/>
      <c r="QV139" s="56"/>
      <c r="QW139" s="56"/>
      <c r="QX139" s="56"/>
      <c r="QY139" s="56"/>
      <c r="QZ139" s="56"/>
      <c r="RA139" s="56"/>
      <c r="RB139" s="56"/>
      <c r="RC139" s="56"/>
      <c r="RD139" s="56"/>
      <c r="RE139" s="56"/>
      <c r="RF139" s="56"/>
      <c r="RG139" s="56"/>
      <c r="RH139" s="56"/>
      <c r="RI139" s="56"/>
      <c r="RJ139" s="56"/>
      <c r="RK139" s="56"/>
      <c r="RL139" s="56"/>
      <c r="RM139" s="56"/>
      <c r="RN139" s="56"/>
      <c r="RO139" s="56"/>
      <c r="RP139" s="56"/>
      <c r="RQ139" s="56"/>
      <c r="RR139" s="56"/>
      <c r="RS139" s="56"/>
      <c r="RT139" s="56"/>
      <c r="RU139" s="56"/>
      <c r="RV139" s="56"/>
      <c r="RW139" s="56"/>
      <c r="RX139" s="56"/>
      <c r="RY139" s="56"/>
      <c r="RZ139" s="56"/>
      <c r="SA139" s="56"/>
      <c r="SB139" s="56"/>
      <c r="SC139" s="56"/>
      <c r="SD139" s="56"/>
      <c r="SE139" s="56"/>
      <c r="SF139" s="56"/>
      <c r="SG139" s="56"/>
      <c r="SH139" s="56"/>
      <c r="SI139" s="56"/>
      <c r="SJ139" s="56"/>
      <c r="SK139" s="56"/>
      <c r="SL139" s="56"/>
      <c r="SM139" s="56"/>
      <c r="SN139" s="56"/>
      <c r="SO139" s="56"/>
      <c r="SP139" s="56"/>
      <c r="SQ139" s="56"/>
      <c r="SR139" s="56"/>
    </row>
    <row r="140" spans="1:512" ht="15" customHeight="1" x14ac:dyDescent="0.7">
      <c r="A140" s="171" t="s">
        <v>344</v>
      </c>
      <c r="B140" s="171" t="s">
        <v>344</v>
      </c>
      <c r="C140" s="171" t="s">
        <v>344</v>
      </c>
      <c r="D140" s="171"/>
      <c r="E140" s="171" t="s">
        <v>344</v>
      </c>
      <c r="F140" s="171"/>
      <c r="G140" s="188" t="s">
        <v>344</v>
      </c>
      <c r="H140" s="71" t="s">
        <v>344</v>
      </c>
      <c r="I140" s="72" t="s">
        <v>344</v>
      </c>
      <c r="J140" s="73" t="s">
        <v>344</v>
      </c>
      <c r="K140" s="189" t="s">
        <v>344</v>
      </c>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4"/>
      <c r="EF140" s="54"/>
      <c r="EG140" s="54"/>
      <c r="EH140" s="54"/>
      <c r="EI140" s="54"/>
      <c r="EJ140" s="54"/>
      <c r="EK140" s="54"/>
      <c r="EL140" s="54"/>
      <c r="EM140" s="54"/>
      <c r="EN140" s="54"/>
      <c r="EO140" s="54"/>
      <c r="EP140" s="54"/>
      <c r="EQ140" s="54"/>
      <c r="ER140" s="54"/>
      <c r="ES140" s="54"/>
      <c r="ET140" s="54"/>
      <c r="EU140" s="54"/>
      <c r="EV140" s="54"/>
      <c r="EW140" s="54"/>
      <c r="EX140" s="54"/>
      <c r="EY140" s="54"/>
      <c r="EZ140" s="54"/>
      <c r="FA140" s="54"/>
      <c r="FB140" s="54"/>
      <c r="FC140" s="54"/>
      <c r="FD140" s="54"/>
      <c r="FE140" s="54"/>
      <c r="FF140" s="54"/>
      <c r="FG140" s="54"/>
      <c r="FH140" s="54"/>
      <c r="FI140" s="54"/>
      <c r="FJ140" s="54"/>
      <c r="FK140" s="54"/>
      <c r="FL140" s="54"/>
      <c r="FM140" s="54"/>
      <c r="FN140" s="54"/>
      <c r="FO140" s="54"/>
      <c r="FP140" s="54"/>
      <c r="FQ140" s="54"/>
      <c r="FR140" s="54"/>
      <c r="FS140" s="54"/>
      <c r="FT140" s="54"/>
      <c r="FU140" s="54"/>
      <c r="FV140" s="54"/>
      <c r="FW140" s="54"/>
      <c r="FX140" s="54"/>
      <c r="FY140" s="54"/>
      <c r="FZ140" s="54"/>
      <c r="GA140" s="54"/>
      <c r="GB140" s="54"/>
      <c r="GC140" s="54"/>
      <c r="GD140" s="54"/>
      <c r="GE140" s="54"/>
      <c r="GF140" s="54"/>
      <c r="GG140" s="54"/>
      <c r="GH140" s="54"/>
      <c r="GI140" s="54"/>
      <c r="GJ140" s="54"/>
      <c r="GK140" s="54"/>
      <c r="GL140" s="54"/>
      <c r="GM140" s="54"/>
      <c r="GN140" s="54"/>
      <c r="GO140" s="54"/>
      <c r="GP140" s="54"/>
      <c r="GQ140" s="54"/>
      <c r="GR140" s="54"/>
      <c r="GS140" s="54"/>
      <c r="GT140" s="54"/>
      <c r="GU140" s="54"/>
      <c r="GV140" s="54"/>
      <c r="GW140" s="54"/>
      <c r="GX140" s="54"/>
      <c r="GY140" s="54"/>
      <c r="GZ140" s="54"/>
      <c r="HA140" s="54"/>
      <c r="HB140" s="54"/>
      <c r="HC140" s="54"/>
      <c r="HD140" s="54"/>
      <c r="HE140" s="54"/>
      <c r="HF140" s="54"/>
      <c r="HG140" s="54"/>
      <c r="HH140" s="54"/>
      <c r="HI140" s="54"/>
      <c r="HJ140" s="54"/>
      <c r="HK140" s="54"/>
      <c r="HL140" s="54"/>
      <c r="HM140" s="54"/>
      <c r="HN140" s="54"/>
      <c r="HO140" s="54"/>
      <c r="HP140" s="54"/>
      <c r="HQ140" s="54"/>
      <c r="HR140" s="54"/>
      <c r="HS140" s="54"/>
      <c r="HT140" s="54"/>
      <c r="HU140" s="54"/>
      <c r="HV140" s="54"/>
      <c r="HW140" s="54"/>
      <c r="HX140" s="54"/>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c r="IW140" s="54"/>
      <c r="IX140" s="54"/>
      <c r="IY140" s="54"/>
      <c r="IZ140" s="54"/>
      <c r="JA140" s="54"/>
      <c r="JB140" s="54"/>
      <c r="JC140" s="54"/>
      <c r="JD140" s="54"/>
      <c r="JE140" s="54"/>
      <c r="JF140" s="54"/>
      <c r="JG140" s="54"/>
      <c r="JH140" s="54"/>
      <c r="JI140" s="54"/>
      <c r="JJ140" s="54"/>
      <c r="JK140" s="54"/>
      <c r="JL140" s="54"/>
      <c r="JM140" s="54"/>
      <c r="JN140" s="54"/>
      <c r="JO140" s="54"/>
      <c r="JP140" s="54"/>
      <c r="JQ140" s="54"/>
      <c r="JR140" s="54"/>
      <c r="JS140" s="54"/>
      <c r="JT140" s="54"/>
      <c r="JU140" s="54"/>
      <c r="JV140" s="54"/>
      <c r="JW140" s="54"/>
      <c r="JX140" s="54"/>
      <c r="JY140" s="54"/>
      <c r="JZ140" s="54"/>
      <c r="KA140" s="54"/>
      <c r="KB140" s="54"/>
      <c r="KC140" s="54"/>
      <c r="KD140" s="54"/>
      <c r="KE140" s="54"/>
      <c r="KF140" s="54"/>
      <c r="KG140" s="54"/>
      <c r="KH140" s="54"/>
      <c r="KI140" s="54"/>
      <c r="KJ140" s="54"/>
      <c r="KK140" s="54"/>
      <c r="KL140" s="54"/>
      <c r="KM140" s="54"/>
      <c r="KN140" s="54"/>
      <c r="KO140" s="54"/>
      <c r="KP140" s="54"/>
      <c r="KQ140" s="54"/>
      <c r="KR140" s="54"/>
      <c r="KS140" s="54"/>
      <c r="KT140" s="54"/>
      <c r="KU140" s="54"/>
      <c r="KV140" s="54"/>
      <c r="KW140" s="54"/>
      <c r="KX140" s="54"/>
      <c r="KY140" s="54"/>
      <c r="KZ140" s="54"/>
      <c r="LA140" s="54"/>
      <c r="LB140" s="54"/>
      <c r="LC140" s="54"/>
      <c r="LD140" s="54"/>
      <c r="LE140" s="54"/>
      <c r="LF140" s="54"/>
      <c r="LG140" s="54"/>
      <c r="LH140" s="54"/>
      <c r="LI140" s="54"/>
      <c r="LJ140" s="54"/>
      <c r="LK140" s="54"/>
      <c r="LL140" s="54"/>
      <c r="LM140" s="54"/>
      <c r="LN140" s="54"/>
      <c r="LO140" s="54"/>
      <c r="LP140" s="54"/>
      <c r="LQ140" s="54"/>
      <c r="LR140" s="54"/>
      <c r="LS140" s="54"/>
      <c r="LT140" s="54"/>
      <c r="LU140" s="54"/>
      <c r="LV140" s="54"/>
      <c r="LW140" s="54"/>
      <c r="LX140" s="54"/>
      <c r="LY140" s="54"/>
      <c r="LZ140" s="54"/>
      <c r="MA140" s="54"/>
      <c r="MB140" s="54"/>
      <c r="MC140" s="54"/>
      <c r="MD140" s="54"/>
      <c r="ME140" s="54"/>
      <c r="MF140" s="54"/>
      <c r="MG140" s="54"/>
      <c r="MH140" s="54"/>
      <c r="MI140" s="54"/>
      <c r="MJ140" s="54"/>
      <c r="MK140" s="54"/>
      <c r="ML140" s="54"/>
      <c r="MM140" s="54"/>
      <c r="MN140" s="54"/>
      <c r="MO140" s="54"/>
      <c r="MP140" s="54"/>
      <c r="MQ140" s="54"/>
      <c r="MR140" s="54"/>
      <c r="MS140" s="54"/>
      <c r="MT140" s="54"/>
      <c r="MU140" s="54"/>
      <c r="MV140" s="54"/>
      <c r="MW140" s="54"/>
      <c r="MX140" s="54"/>
      <c r="MY140" s="54"/>
      <c r="MZ140" s="54"/>
      <c r="NA140" s="54"/>
      <c r="NB140" s="54"/>
      <c r="NC140" s="54"/>
      <c r="ND140" s="54"/>
      <c r="NE140" s="54"/>
      <c r="NF140" s="54"/>
      <c r="NG140" s="54"/>
      <c r="NH140" s="54"/>
      <c r="NI140" s="54"/>
      <c r="NJ140" s="54"/>
      <c r="NK140" s="54"/>
      <c r="NL140" s="54"/>
      <c r="NM140" s="54"/>
      <c r="NN140" s="54"/>
      <c r="NO140" s="54"/>
      <c r="NP140" s="54"/>
      <c r="NQ140" s="54"/>
      <c r="NR140" s="54"/>
      <c r="NS140" s="54"/>
      <c r="NT140" s="54"/>
      <c r="NU140" s="54"/>
      <c r="NV140" s="54"/>
      <c r="NW140" s="54"/>
      <c r="NX140" s="54"/>
      <c r="NY140" s="54"/>
      <c r="NZ140" s="54"/>
      <c r="OA140" s="54"/>
      <c r="OB140" s="54"/>
      <c r="OC140" s="54"/>
      <c r="OD140" s="54"/>
      <c r="OE140" s="54"/>
      <c r="OF140" s="54"/>
      <c r="OG140" s="54"/>
      <c r="OH140" s="54"/>
      <c r="OI140" s="54"/>
      <c r="OJ140" s="54"/>
      <c r="OK140" s="54"/>
      <c r="OL140" s="54"/>
      <c r="OM140" s="54"/>
      <c r="ON140" s="54"/>
      <c r="OO140" s="54"/>
      <c r="OP140" s="54"/>
      <c r="OQ140" s="54"/>
      <c r="OR140" s="54"/>
      <c r="OS140" s="54"/>
      <c r="OT140" s="54"/>
      <c r="OU140" s="54"/>
      <c r="OV140" s="54"/>
      <c r="OW140" s="54"/>
      <c r="OX140" s="54"/>
      <c r="OY140" s="54"/>
      <c r="OZ140" s="54"/>
      <c r="PA140" s="54"/>
      <c r="PB140" s="54"/>
      <c r="PC140" s="54"/>
      <c r="PD140" s="54"/>
      <c r="PE140" s="54"/>
      <c r="PF140" s="54"/>
      <c r="PG140" s="54"/>
      <c r="PH140" s="54"/>
      <c r="PI140" s="54"/>
      <c r="PJ140" s="54"/>
      <c r="PK140" s="54"/>
      <c r="PL140" s="54"/>
      <c r="PM140" s="54"/>
      <c r="PN140" s="54"/>
      <c r="PO140" s="54"/>
      <c r="PP140" s="54"/>
      <c r="PQ140" s="54"/>
      <c r="PR140" s="54"/>
      <c r="PS140" s="54"/>
      <c r="PT140" s="54"/>
      <c r="PU140" s="54"/>
      <c r="PV140" s="54"/>
      <c r="PW140" s="54"/>
      <c r="PX140" s="54"/>
      <c r="PY140" s="54"/>
      <c r="PZ140" s="54"/>
      <c r="QA140" s="54"/>
      <c r="QB140" s="54"/>
      <c r="QC140" s="54"/>
      <c r="QD140" s="54"/>
      <c r="QE140" s="54"/>
      <c r="QF140" s="54"/>
      <c r="QG140" s="54"/>
      <c r="QH140" s="54"/>
      <c r="QI140" s="54"/>
      <c r="QJ140" s="54"/>
      <c r="QK140" s="54"/>
      <c r="QL140" s="54"/>
      <c r="QM140" s="54"/>
      <c r="QN140" s="54"/>
      <c r="QO140" s="54"/>
      <c r="QP140" s="54"/>
      <c r="QQ140" s="54"/>
      <c r="QR140" s="54"/>
      <c r="QS140" s="54"/>
      <c r="QT140" s="54"/>
      <c r="QU140" s="54"/>
      <c r="QV140" s="54"/>
      <c r="QW140" s="54"/>
      <c r="QX140" s="54"/>
      <c r="QY140" s="54"/>
      <c r="QZ140" s="54"/>
      <c r="RA140" s="54"/>
      <c r="RB140" s="54"/>
      <c r="RC140" s="54"/>
      <c r="RD140" s="54"/>
      <c r="RE140" s="54"/>
      <c r="RF140" s="54"/>
      <c r="RG140" s="54"/>
      <c r="RH140" s="54"/>
      <c r="RI140" s="54"/>
      <c r="RJ140" s="54"/>
      <c r="RK140" s="54"/>
      <c r="RL140" s="54"/>
      <c r="RM140" s="54"/>
      <c r="RN140" s="54"/>
      <c r="RO140" s="54"/>
      <c r="RP140" s="54"/>
      <c r="RQ140" s="54"/>
      <c r="RR140" s="54"/>
      <c r="RS140" s="54"/>
      <c r="RT140" s="54"/>
      <c r="RU140" s="54"/>
      <c r="RV140" s="54"/>
      <c r="RW140" s="54"/>
      <c r="RX140" s="54"/>
      <c r="RY140" s="54"/>
      <c r="RZ140" s="54"/>
      <c r="SA140" s="54"/>
      <c r="SB140" s="54"/>
      <c r="SC140" s="54"/>
      <c r="SD140" s="54"/>
      <c r="SE140" s="54"/>
      <c r="SF140" s="54"/>
      <c r="SG140" s="54"/>
      <c r="SH140" s="54"/>
      <c r="SI140" s="54"/>
      <c r="SJ140" s="54"/>
      <c r="SK140" s="54"/>
      <c r="SL140" s="54"/>
      <c r="SM140" s="54"/>
      <c r="SN140" s="54"/>
      <c r="SO140" s="54"/>
      <c r="SP140" s="54"/>
      <c r="SQ140" s="54"/>
      <c r="SR140" s="54"/>
    </row>
    <row r="141" spans="1:512" ht="15" customHeight="1" x14ac:dyDescent="0.7">
      <c r="A141" s="172"/>
      <c r="B141" s="172"/>
      <c r="C141" s="172"/>
      <c r="D141" s="172"/>
      <c r="E141" s="172"/>
      <c r="F141" s="172"/>
      <c r="G141" s="172"/>
      <c r="I141" s="72" t="s">
        <v>344</v>
      </c>
      <c r="J141" s="73" t="s">
        <v>344</v>
      </c>
      <c r="K141" s="190"/>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4"/>
      <c r="EF141" s="54"/>
      <c r="EG141" s="54"/>
      <c r="EH141" s="54"/>
      <c r="EI141" s="54"/>
      <c r="EJ141" s="54"/>
      <c r="EK141" s="54"/>
      <c r="EL141" s="54"/>
      <c r="EM141" s="54"/>
      <c r="EN141" s="54"/>
      <c r="EO141" s="54"/>
      <c r="EP141" s="54"/>
      <c r="EQ141" s="54"/>
      <c r="ER141" s="54"/>
      <c r="ES141" s="54"/>
      <c r="ET141" s="54"/>
      <c r="EU141" s="54"/>
      <c r="EV141" s="54"/>
      <c r="EW141" s="54"/>
      <c r="EX141" s="54"/>
      <c r="EY141" s="54"/>
      <c r="EZ141" s="54"/>
      <c r="FA141" s="54"/>
      <c r="FB141" s="54"/>
      <c r="FC141" s="54"/>
      <c r="FD141" s="54"/>
      <c r="FE141" s="54"/>
      <c r="FF141" s="54"/>
      <c r="FG141" s="54"/>
      <c r="FH141" s="54"/>
      <c r="FI141" s="54"/>
      <c r="FJ141" s="54"/>
      <c r="FK141" s="54"/>
      <c r="FL141" s="54"/>
      <c r="FM141" s="54"/>
      <c r="FN141" s="54"/>
      <c r="FO141" s="54"/>
      <c r="FP141" s="54"/>
      <c r="FQ141" s="54"/>
      <c r="FR141" s="54"/>
      <c r="FS141" s="54"/>
      <c r="FT141" s="54"/>
      <c r="FU141" s="54"/>
      <c r="FV141" s="54"/>
      <c r="FW141" s="54"/>
      <c r="FX141" s="54"/>
      <c r="FY141" s="54"/>
      <c r="FZ141" s="54"/>
      <c r="GA141" s="54"/>
      <c r="GB141" s="54"/>
      <c r="GC141" s="54"/>
      <c r="GD141" s="54"/>
      <c r="GE141" s="54"/>
      <c r="GF141" s="54"/>
      <c r="GG141" s="54"/>
      <c r="GH141" s="54"/>
      <c r="GI141" s="54"/>
      <c r="GJ141" s="54"/>
      <c r="GK141" s="54"/>
      <c r="GL141" s="54"/>
      <c r="GM141" s="54"/>
      <c r="GN141" s="54"/>
      <c r="GO141" s="54"/>
      <c r="GP141" s="54"/>
      <c r="GQ141" s="54"/>
      <c r="GR141" s="54"/>
      <c r="GS141" s="54"/>
      <c r="GT141" s="54"/>
      <c r="GU141" s="54"/>
      <c r="GV141" s="54"/>
      <c r="GW141" s="54"/>
      <c r="GX141" s="54"/>
      <c r="GY141" s="54"/>
      <c r="GZ141" s="54"/>
      <c r="HA141" s="54"/>
      <c r="HB141" s="54"/>
      <c r="HC141" s="54"/>
      <c r="HD141" s="54"/>
      <c r="HE141" s="54"/>
      <c r="HF141" s="54"/>
      <c r="HG141" s="54"/>
      <c r="HH141" s="54"/>
      <c r="HI141" s="54"/>
      <c r="HJ141" s="54"/>
      <c r="HK141" s="54"/>
      <c r="HL141" s="54"/>
      <c r="HM141" s="54"/>
      <c r="HN141" s="54"/>
      <c r="HO141" s="54"/>
      <c r="HP141" s="54"/>
      <c r="HQ141" s="54"/>
      <c r="HR141" s="54"/>
      <c r="HS141" s="54"/>
      <c r="HT141" s="54"/>
      <c r="HU141" s="54"/>
      <c r="HV141" s="54"/>
      <c r="HW141" s="54"/>
      <c r="HX141" s="54"/>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c r="IW141" s="54"/>
      <c r="IX141" s="54"/>
      <c r="IY141" s="54"/>
      <c r="IZ141" s="54"/>
      <c r="JA141" s="54"/>
      <c r="JB141" s="54"/>
      <c r="JC141" s="54"/>
      <c r="JD141" s="54"/>
      <c r="JE141" s="54"/>
      <c r="JF141" s="54"/>
      <c r="JG141" s="54"/>
      <c r="JH141" s="54"/>
      <c r="JI141" s="54"/>
      <c r="JJ141" s="54"/>
      <c r="JK141" s="54"/>
      <c r="JL141" s="54"/>
      <c r="JM141" s="54"/>
      <c r="JN141" s="54"/>
      <c r="JO141" s="54"/>
      <c r="JP141" s="54"/>
      <c r="JQ141" s="54"/>
      <c r="JR141" s="54"/>
      <c r="JS141" s="54"/>
      <c r="JT141" s="54"/>
      <c r="JU141" s="54"/>
      <c r="JV141" s="54"/>
      <c r="JW141" s="54"/>
      <c r="JX141" s="54"/>
      <c r="JY141" s="54"/>
      <c r="JZ141" s="54"/>
      <c r="KA141" s="54"/>
      <c r="KB141" s="54"/>
      <c r="KC141" s="54"/>
      <c r="KD141" s="54"/>
      <c r="KE141" s="54"/>
      <c r="KF141" s="54"/>
      <c r="KG141" s="54"/>
      <c r="KH141" s="54"/>
      <c r="KI141" s="54"/>
      <c r="KJ141" s="54"/>
      <c r="KK141" s="54"/>
      <c r="KL141" s="54"/>
      <c r="KM141" s="54"/>
      <c r="KN141" s="54"/>
      <c r="KO141" s="54"/>
      <c r="KP141" s="54"/>
      <c r="KQ141" s="54"/>
      <c r="KR141" s="54"/>
      <c r="KS141" s="54"/>
      <c r="KT141" s="54"/>
      <c r="KU141" s="54"/>
      <c r="KV141" s="54"/>
      <c r="KW141" s="54"/>
      <c r="KX141" s="54"/>
      <c r="KY141" s="54"/>
      <c r="KZ141" s="54"/>
      <c r="LA141" s="54"/>
      <c r="LB141" s="54"/>
      <c r="LC141" s="54"/>
      <c r="LD141" s="54"/>
      <c r="LE141" s="54"/>
      <c r="LF141" s="54"/>
      <c r="LG141" s="54"/>
      <c r="LH141" s="54"/>
      <c r="LI141" s="54"/>
      <c r="LJ141" s="54"/>
      <c r="LK141" s="54"/>
      <c r="LL141" s="54"/>
      <c r="LM141" s="54"/>
      <c r="LN141" s="54"/>
      <c r="LO141" s="54"/>
      <c r="LP141" s="54"/>
      <c r="LQ141" s="54"/>
      <c r="LR141" s="54"/>
      <c r="LS141" s="54"/>
      <c r="LT141" s="54"/>
      <c r="LU141" s="54"/>
      <c r="LV141" s="54"/>
      <c r="LW141" s="54"/>
      <c r="LX141" s="54"/>
      <c r="LY141" s="54"/>
      <c r="LZ141" s="54"/>
      <c r="MA141" s="54"/>
      <c r="MB141" s="54"/>
      <c r="MC141" s="54"/>
      <c r="MD141" s="54"/>
      <c r="ME141" s="54"/>
      <c r="MF141" s="54"/>
      <c r="MG141" s="54"/>
      <c r="MH141" s="54"/>
      <c r="MI141" s="54"/>
      <c r="MJ141" s="54"/>
      <c r="MK141" s="54"/>
      <c r="ML141" s="54"/>
      <c r="MM141" s="54"/>
      <c r="MN141" s="54"/>
      <c r="MO141" s="54"/>
      <c r="MP141" s="54"/>
      <c r="MQ141" s="54"/>
      <c r="MR141" s="54"/>
      <c r="MS141" s="54"/>
      <c r="MT141" s="54"/>
      <c r="MU141" s="54"/>
      <c r="MV141" s="54"/>
      <c r="MW141" s="54"/>
      <c r="MX141" s="54"/>
      <c r="MY141" s="54"/>
      <c r="MZ141" s="54"/>
      <c r="NA141" s="54"/>
      <c r="NB141" s="54"/>
      <c r="NC141" s="54"/>
      <c r="ND141" s="54"/>
      <c r="NE141" s="54"/>
      <c r="NF141" s="54"/>
      <c r="NG141" s="54"/>
      <c r="NH141" s="54"/>
      <c r="NI141" s="54"/>
      <c r="NJ141" s="54"/>
      <c r="NK141" s="54"/>
      <c r="NL141" s="54"/>
      <c r="NM141" s="54"/>
      <c r="NN141" s="54"/>
      <c r="NO141" s="54"/>
      <c r="NP141" s="54"/>
      <c r="NQ141" s="54"/>
      <c r="NR141" s="54"/>
      <c r="NS141" s="54"/>
      <c r="NT141" s="54"/>
      <c r="NU141" s="54"/>
      <c r="NV141" s="54"/>
      <c r="NW141" s="54"/>
      <c r="NX141" s="54"/>
      <c r="NY141" s="54"/>
      <c r="NZ141" s="54"/>
      <c r="OA141" s="54"/>
      <c r="OB141" s="54"/>
      <c r="OC141" s="54"/>
      <c r="OD141" s="54"/>
      <c r="OE141" s="54"/>
      <c r="OF141" s="54"/>
      <c r="OG141" s="54"/>
      <c r="OH141" s="54"/>
      <c r="OI141" s="54"/>
      <c r="OJ141" s="54"/>
      <c r="OK141" s="54"/>
      <c r="OL141" s="54"/>
      <c r="OM141" s="54"/>
      <c r="ON141" s="54"/>
      <c r="OO141" s="54"/>
      <c r="OP141" s="54"/>
      <c r="OQ141" s="54"/>
      <c r="OR141" s="54"/>
      <c r="OS141" s="54"/>
      <c r="OT141" s="54"/>
      <c r="OU141" s="54"/>
      <c r="OV141" s="54"/>
      <c r="OW141" s="54"/>
      <c r="OX141" s="54"/>
      <c r="OY141" s="54"/>
      <c r="OZ141" s="54"/>
      <c r="PA141" s="54"/>
      <c r="PB141" s="54"/>
      <c r="PC141" s="54"/>
      <c r="PD141" s="54"/>
      <c r="PE141" s="54"/>
      <c r="PF141" s="54"/>
      <c r="PG141" s="54"/>
      <c r="PH141" s="54"/>
      <c r="PI141" s="54"/>
      <c r="PJ141" s="54"/>
      <c r="PK141" s="54"/>
      <c r="PL141" s="54"/>
      <c r="PM141" s="54"/>
      <c r="PN141" s="54"/>
      <c r="PO141" s="54"/>
      <c r="PP141" s="54"/>
      <c r="PQ141" s="54"/>
      <c r="PR141" s="54"/>
      <c r="PS141" s="54"/>
      <c r="PT141" s="54"/>
      <c r="PU141" s="54"/>
      <c r="PV141" s="54"/>
      <c r="PW141" s="54"/>
      <c r="PX141" s="54"/>
      <c r="PY141" s="54"/>
      <c r="PZ141" s="54"/>
      <c r="QA141" s="54"/>
      <c r="QB141" s="54"/>
      <c r="QC141" s="54"/>
      <c r="QD141" s="54"/>
      <c r="QE141" s="54"/>
      <c r="QF141" s="54"/>
      <c r="QG141" s="54"/>
      <c r="QH141" s="54"/>
      <c r="QI141" s="54"/>
      <c r="QJ141" s="54"/>
      <c r="QK141" s="54"/>
      <c r="QL141" s="54"/>
      <c r="QM141" s="54"/>
      <c r="QN141" s="54"/>
      <c r="QO141" s="54"/>
      <c r="QP141" s="54"/>
      <c r="QQ141" s="54"/>
      <c r="QR141" s="54"/>
      <c r="QS141" s="54"/>
      <c r="QT141" s="54"/>
      <c r="QU141" s="54"/>
      <c r="QV141" s="54"/>
      <c r="QW141" s="54"/>
      <c r="QX141" s="54"/>
      <c r="QY141" s="54"/>
      <c r="QZ141" s="54"/>
      <c r="RA141" s="54"/>
      <c r="RB141" s="54"/>
      <c r="RC141" s="54"/>
      <c r="RD141" s="54"/>
      <c r="RE141" s="54"/>
      <c r="RF141" s="54"/>
      <c r="RG141" s="54"/>
      <c r="RH141" s="54"/>
      <c r="RI141" s="54"/>
      <c r="RJ141" s="54"/>
      <c r="RK141" s="54"/>
      <c r="RL141" s="54"/>
      <c r="RM141" s="54"/>
      <c r="RN141" s="54"/>
      <c r="RO141" s="54"/>
      <c r="RP141" s="54"/>
      <c r="RQ141" s="54"/>
      <c r="RR141" s="54"/>
      <c r="RS141" s="54"/>
      <c r="RT141" s="54"/>
      <c r="RU141" s="54"/>
      <c r="RV141" s="54"/>
      <c r="RW141" s="54"/>
      <c r="RX141" s="54"/>
      <c r="RY141" s="54"/>
      <c r="RZ141" s="54"/>
      <c r="SA141" s="54"/>
      <c r="SB141" s="54"/>
      <c r="SC141" s="54"/>
      <c r="SD141" s="54"/>
      <c r="SE141" s="54"/>
      <c r="SF141" s="54"/>
      <c r="SG141" s="54"/>
      <c r="SH141" s="54"/>
      <c r="SI141" s="54"/>
      <c r="SJ141" s="54"/>
      <c r="SK141" s="54"/>
      <c r="SL141" s="54"/>
      <c r="SM141" s="54"/>
      <c r="SN141" s="54"/>
      <c r="SO141" s="54"/>
      <c r="SP141" s="54"/>
      <c r="SQ141" s="54"/>
      <c r="SR141" s="54"/>
    </row>
    <row r="142" spans="1:512" s="55" customFormat="1" ht="15" customHeight="1" x14ac:dyDescent="0.7">
      <c r="A142" s="173"/>
      <c r="B142" s="173"/>
      <c r="C142" s="173"/>
      <c r="D142" s="173"/>
      <c r="E142" s="173"/>
      <c r="F142" s="173"/>
      <c r="G142" s="173"/>
      <c r="H142" s="74"/>
      <c r="I142" s="75"/>
      <c r="J142" s="76"/>
      <c r="K142" s="191"/>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c r="IX142" s="56"/>
      <c r="IY142" s="56"/>
      <c r="IZ142" s="56"/>
      <c r="JA142" s="56"/>
      <c r="JB142" s="56"/>
      <c r="JC142" s="56"/>
      <c r="JD142" s="56"/>
      <c r="JE142" s="56"/>
      <c r="JF142" s="56"/>
      <c r="JG142" s="56"/>
      <c r="JH142" s="56"/>
      <c r="JI142" s="56"/>
      <c r="JJ142" s="56"/>
      <c r="JK142" s="56"/>
      <c r="JL142" s="56"/>
      <c r="JM142" s="56"/>
      <c r="JN142" s="56"/>
      <c r="JO142" s="56"/>
      <c r="JP142" s="56"/>
      <c r="JQ142" s="56"/>
      <c r="JR142" s="56"/>
      <c r="JS142" s="56"/>
      <c r="JT142" s="56"/>
      <c r="JU142" s="56"/>
      <c r="JV142" s="56"/>
      <c r="JW142" s="56"/>
      <c r="JX142" s="56"/>
      <c r="JY142" s="56"/>
      <c r="JZ142" s="56"/>
      <c r="KA142" s="56"/>
      <c r="KB142" s="56"/>
      <c r="KC142" s="56"/>
      <c r="KD142" s="56"/>
      <c r="KE142" s="56"/>
      <c r="KF142" s="56"/>
      <c r="KG142" s="56"/>
      <c r="KH142" s="56"/>
      <c r="KI142" s="56"/>
      <c r="KJ142" s="56"/>
      <c r="KK142" s="56"/>
      <c r="KL142" s="56"/>
      <c r="KM142" s="56"/>
      <c r="KN142" s="56"/>
      <c r="KO142" s="56"/>
      <c r="KP142" s="56"/>
      <c r="KQ142" s="56"/>
      <c r="KR142" s="56"/>
      <c r="KS142" s="56"/>
      <c r="KT142" s="56"/>
      <c r="KU142" s="56"/>
      <c r="KV142" s="56"/>
      <c r="KW142" s="56"/>
      <c r="KX142" s="56"/>
      <c r="KY142" s="56"/>
      <c r="KZ142" s="56"/>
      <c r="LA142" s="56"/>
      <c r="LB142" s="56"/>
      <c r="LC142" s="56"/>
      <c r="LD142" s="56"/>
      <c r="LE142" s="56"/>
      <c r="LF142" s="56"/>
      <c r="LG142" s="56"/>
      <c r="LH142" s="56"/>
      <c r="LI142" s="56"/>
      <c r="LJ142" s="56"/>
      <c r="LK142" s="56"/>
      <c r="LL142" s="56"/>
      <c r="LM142" s="56"/>
      <c r="LN142" s="56"/>
      <c r="LO142" s="56"/>
      <c r="LP142" s="56"/>
      <c r="LQ142" s="56"/>
      <c r="LR142" s="56"/>
      <c r="LS142" s="56"/>
      <c r="LT142" s="56"/>
      <c r="LU142" s="56"/>
      <c r="LV142" s="56"/>
      <c r="LW142" s="56"/>
      <c r="LX142" s="56"/>
      <c r="LY142" s="56"/>
      <c r="LZ142" s="56"/>
      <c r="MA142" s="56"/>
      <c r="MB142" s="56"/>
      <c r="MC142" s="56"/>
      <c r="MD142" s="56"/>
      <c r="ME142" s="56"/>
      <c r="MF142" s="56"/>
      <c r="MG142" s="56"/>
      <c r="MH142" s="56"/>
      <c r="MI142" s="56"/>
      <c r="MJ142" s="56"/>
      <c r="MK142" s="56"/>
      <c r="ML142" s="56"/>
      <c r="MM142" s="56"/>
      <c r="MN142" s="56"/>
      <c r="MO142" s="56"/>
      <c r="MP142" s="56"/>
      <c r="MQ142" s="56"/>
      <c r="MR142" s="56"/>
      <c r="MS142" s="56"/>
      <c r="MT142" s="56"/>
      <c r="MU142" s="56"/>
      <c r="MV142" s="56"/>
      <c r="MW142" s="56"/>
      <c r="MX142" s="56"/>
      <c r="MY142" s="56"/>
      <c r="MZ142" s="56"/>
      <c r="NA142" s="56"/>
      <c r="NB142" s="56"/>
      <c r="NC142" s="56"/>
      <c r="ND142" s="56"/>
      <c r="NE142" s="56"/>
      <c r="NF142" s="56"/>
      <c r="NG142" s="56"/>
      <c r="NH142" s="56"/>
      <c r="NI142" s="56"/>
      <c r="NJ142" s="56"/>
      <c r="NK142" s="56"/>
      <c r="NL142" s="56"/>
      <c r="NM142" s="56"/>
      <c r="NN142" s="56"/>
      <c r="NO142" s="56"/>
      <c r="NP142" s="56"/>
      <c r="NQ142" s="56"/>
      <c r="NR142" s="56"/>
      <c r="NS142" s="56"/>
      <c r="NT142" s="56"/>
      <c r="NU142" s="56"/>
      <c r="NV142" s="56"/>
      <c r="NW142" s="56"/>
      <c r="NX142" s="56"/>
      <c r="NY142" s="56"/>
      <c r="NZ142" s="56"/>
      <c r="OA142" s="56"/>
      <c r="OB142" s="56"/>
      <c r="OC142" s="56"/>
      <c r="OD142" s="56"/>
      <c r="OE142" s="56"/>
      <c r="OF142" s="56"/>
      <c r="OG142" s="56"/>
      <c r="OH142" s="56"/>
      <c r="OI142" s="56"/>
      <c r="OJ142" s="56"/>
      <c r="OK142" s="56"/>
      <c r="OL142" s="56"/>
      <c r="OM142" s="56"/>
      <c r="ON142" s="56"/>
      <c r="OO142" s="56"/>
      <c r="OP142" s="56"/>
      <c r="OQ142" s="56"/>
      <c r="OR142" s="56"/>
      <c r="OS142" s="56"/>
      <c r="OT142" s="56"/>
      <c r="OU142" s="56"/>
      <c r="OV142" s="56"/>
      <c r="OW142" s="56"/>
      <c r="OX142" s="56"/>
      <c r="OY142" s="56"/>
      <c r="OZ142" s="56"/>
      <c r="PA142" s="56"/>
      <c r="PB142" s="56"/>
      <c r="PC142" s="56"/>
      <c r="PD142" s="56"/>
      <c r="PE142" s="56"/>
      <c r="PF142" s="56"/>
      <c r="PG142" s="56"/>
      <c r="PH142" s="56"/>
      <c r="PI142" s="56"/>
      <c r="PJ142" s="56"/>
      <c r="PK142" s="56"/>
      <c r="PL142" s="56"/>
      <c r="PM142" s="56"/>
      <c r="PN142" s="56"/>
      <c r="PO142" s="56"/>
      <c r="PP142" s="56"/>
      <c r="PQ142" s="56"/>
      <c r="PR142" s="56"/>
      <c r="PS142" s="56"/>
      <c r="PT142" s="56"/>
      <c r="PU142" s="56"/>
      <c r="PV142" s="56"/>
      <c r="PW142" s="56"/>
      <c r="PX142" s="56"/>
      <c r="PY142" s="56"/>
      <c r="PZ142" s="56"/>
      <c r="QA142" s="56"/>
      <c r="QB142" s="56"/>
      <c r="QC142" s="56"/>
      <c r="QD142" s="56"/>
      <c r="QE142" s="56"/>
      <c r="QF142" s="56"/>
      <c r="QG142" s="56"/>
      <c r="QH142" s="56"/>
      <c r="QI142" s="56"/>
      <c r="QJ142" s="56"/>
      <c r="QK142" s="56"/>
      <c r="QL142" s="56"/>
      <c r="QM142" s="56"/>
      <c r="QN142" s="56"/>
      <c r="QO142" s="56"/>
      <c r="QP142" s="56"/>
      <c r="QQ142" s="56"/>
      <c r="QR142" s="56"/>
      <c r="QS142" s="56"/>
      <c r="QT142" s="56"/>
      <c r="QU142" s="56"/>
      <c r="QV142" s="56"/>
      <c r="QW142" s="56"/>
      <c r="QX142" s="56"/>
      <c r="QY142" s="56"/>
      <c r="QZ142" s="56"/>
      <c r="RA142" s="56"/>
      <c r="RB142" s="56"/>
      <c r="RC142" s="56"/>
      <c r="RD142" s="56"/>
      <c r="RE142" s="56"/>
      <c r="RF142" s="56"/>
      <c r="RG142" s="56"/>
      <c r="RH142" s="56"/>
      <c r="RI142" s="56"/>
      <c r="RJ142" s="56"/>
      <c r="RK142" s="56"/>
      <c r="RL142" s="56"/>
      <c r="RM142" s="56"/>
      <c r="RN142" s="56"/>
      <c r="RO142" s="56"/>
      <c r="RP142" s="56"/>
      <c r="RQ142" s="56"/>
      <c r="RR142" s="56"/>
      <c r="RS142" s="56"/>
      <c r="RT142" s="56"/>
      <c r="RU142" s="56"/>
      <c r="RV142" s="56"/>
      <c r="RW142" s="56"/>
      <c r="RX142" s="56"/>
      <c r="RY142" s="56"/>
      <c r="RZ142" s="56"/>
      <c r="SA142" s="56"/>
      <c r="SB142" s="56"/>
      <c r="SC142" s="56"/>
      <c r="SD142" s="56"/>
      <c r="SE142" s="56"/>
      <c r="SF142" s="56"/>
      <c r="SG142" s="56"/>
      <c r="SH142" s="56"/>
      <c r="SI142" s="56"/>
      <c r="SJ142" s="56"/>
      <c r="SK142" s="56"/>
      <c r="SL142" s="56"/>
      <c r="SM142" s="56"/>
      <c r="SN142" s="56"/>
      <c r="SO142" s="56"/>
      <c r="SP142" s="56"/>
      <c r="SQ142" s="56"/>
      <c r="SR142" s="56"/>
    </row>
    <row r="143" spans="1:512" ht="15" customHeight="1" x14ac:dyDescent="0.7">
      <c r="A143" s="171" t="s">
        <v>344</v>
      </c>
      <c r="B143" s="171" t="s">
        <v>344</v>
      </c>
      <c r="C143" s="171" t="s">
        <v>344</v>
      </c>
      <c r="D143" s="171"/>
      <c r="E143" s="171" t="s">
        <v>344</v>
      </c>
      <c r="F143" s="171"/>
      <c r="G143" s="188" t="s">
        <v>344</v>
      </c>
      <c r="H143" s="71" t="s">
        <v>344</v>
      </c>
      <c r="I143" s="72" t="s">
        <v>344</v>
      </c>
      <c r="J143" s="73" t="s">
        <v>344</v>
      </c>
      <c r="K143" s="189" t="s">
        <v>344</v>
      </c>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4"/>
      <c r="EF143" s="54"/>
      <c r="EG143" s="54"/>
      <c r="EH143" s="54"/>
      <c r="EI143" s="54"/>
      <c r="EJ143" s="54"/>
      <c r="EK143" s="54"/>
      <c r="EL143" s="54"/>
      <c r="EM143" s="54"/>
      <c r="EN143" s="54"/>
      <c r="EO143" s="54"/>
      <c r="EP143" s="54"/>
      <c r="EQ143" s="54"/>
      <c r="ER143" s="54"/>
      <c r="ES143" s="54"/>
      <c r="ET143" s="54"/>
      <c r="EU143" s="54"/>
      <c r="EV143" s="54"/>
      <c r="EW143" s="54"/>
      <c r="EX143" s="54"/>
      <c r="EY143" s="54"/>
      <c r="EZ143" s="54"/>
      <c r="FA143" s="54"/>
      <c r="FB143" s="54"/>
      <c r="FC143" s="54"/>
      <c r="FD143" s="54"/>
      <c r="FE143" s="54"/>
      <c r="FF143" s="54"/>
      <c r="FG143" s="54"/>
      <c r="FH143" s="54"/>
      <c r="FI143" s="54"/>
      <c r="FJ143" s="54"/>
      <c r="FK143" s="54"/>
      <c r="FL143" s="54"/>
      <c r="FM143" s="54"/>
      <c r="FN143" s="54"/>
      <c r="FO143" s="54"/>
      <c r="FP143" s="54"/>
      <c r="FQ143" s="54"/>
      <c r="FR143" s="54"/>
      <c r="FS143" s="54"/>
      <c r="FT143" s="54"/>
      <c r="FU143" s="54"/>
      <c r="FV143" s="54"/>
      <c r="FW143" s="54"/>
      <c r="FX143" s="54"/>
      <c r="FY143" s="54"/>
      <c r="FZ143" s="54"/>
      <c r="GA143" s="54"/>
      <c r="GB143" s="54"/>
      <c r="GC143" s="54"/>
      <c r="GD143" s="54"/>
      <c r="GE143" s="54"/>
      <c r="GF143" s="54"/>
      <c r="GG143" s="54"/>
      <c r="GH143" s="54"/>
      <c r="GI143" s="54"/>
      <c r="GJ143" s="54"/>
      <c r="GK143" s="54"/>
      <c r="GL143" s="54"/>
      <c r="GM143" s="54"/>
      <c r="GN143" s="54"/>
      <c r="GO143" s="54"/>
      <c r="GP143" s="54"/>
      <c r="GQ143" s="54"/>
      <c r="GR143" s="54"/>
      <c r="GS143" s="54"/>
      <c r="GT143" s="54"/>
      <c r="GU143" s="54"/>
      <c r="GV143" s="54"/>
      <c r="GW143" s="54"/>
      <c r="GX143" s="54"/>
      <c r="GY143" s="54"/>
      <c r="GZ143" s="54"/>
      <c r="HA143" s="54"/>
      <c r="HB143" s="54"/>
      <c r="HC143" s="54"/>
      <c r="HD143" s="54"/>
      <c r="HE143" s="54"/>
      <c r="HF143" s="54"/>
      <c r="HG143" s="54"/>
      <c r="HH143" s="54"/>
      <c r="HI143" s="54"/>
      <c r="HJ143" s="54"/>
      <c r="HK143" s="54"/>
      <c r="HL143" s="54"/>
      <c r="HM143" s="54"/>
      <c r="HN143" s="54"/>
      <c r="HO143" s="54"/>
      <c r="HP143" s="54"/>
      <c r="HQ143" s="54"/>
      <c r="HR143" s="54"/>
      <c r="HS143" s="54"/>
      <c r="HT143" s="54"/>
      <c r="HU143" s="54"/>
      <c r="HV143" s="54"/>
      <c r="HW143" s="54"/>
      <c r="HX143" s="54"/>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c r="IW143" s="54"/>
      <c r="IX143" s="54"/>
      <c r="IY143" s="54"/>
      <c r="IZ143" s="54"/>
      <c r="JA143" s="54"/>
      <c r="JB143" s="54"/>
      <c r="JC143" s="54"/>
      <c r="JD143" s="54"/>
      <c r="JE143" s="54"/>
      <c r="JF143" s="54"/>
      <c r="JG143" s="54"/>
      <c r="JH143" s="54"/>
      <c r="JI143" s="54"/>
      <c r="JJ143" s="54"/>
      <c r="JK143" s="54"/>
      <c r="JL143" s="54"/>
      <c r="JM143" s="54"/>
      <c r="JN143" s="54"/>
      <c r="JO143" s="54"/>
      <c r="JP143" s="54"/>
      <c r="JQ143" s="54"/>
      <c r="JR143" s="54"/>
      <c r="JS143" s="54"/>
      <c r="JT143" s="54"/>
      <c r="JU143" s="54"/>
      <c r="JV143" s="54"/>
      <c r="JW143" s="54"/>
      <c r="JX143" s="54"/>
      <c r="JY143" s="54"/>
      <c r="JZ143" s="54"/>
      <c r="KA143" s="54"/>
      <c r="KB143" s="54"/>
      <c r="KC143" s="54"/>
      <c r="KD143" s="54"/>
      <c r="KE143" s="54"/>
      <c r="KF143" s="54"/>
      <c r="KG143" s="54"/>
      <c r="KH143" s="54"/>
      <c r="KI143" s="54"/>
      <c r="KJ143" s="54"/>
      <c r="KK143" s="54"/>
      <c r="KL143" s="54"/>
      <c r="KM143" s="54"/>
      <c r="KN143" s="54"/>
      <c r="KO143" s="54"/>
      <c r="KP143" s="54"/>
      <c r="KQ143" s="54"/>
      <c r="KR143" s="54"/>
      <c r="KS143" s="54"/>
      <c r="KT143" s="54"/>
      <c r="KU143" s="54"/>
      <c r="KV143" s="54"/>
      <c r="KW143" s="54"/>
      <c r="KX143" s="54"/>
      <c r="KY143" s="54"/>
      <c r="KZ143" s="54"/>
      <c r="LA143" s="54"/>
      <c r="LB143" s="54"/>
      <c r="LC143" s="54"/>
      <c r="LD143" s="54"/>
      <c r="LE143" s="54"/>
      <c r="LF143" s="54"/>
      <c r="LG143" s="54"/>
      <c r="LH143" s="54"/>
      <c r="LI143" s="54"/>
      <c r="LJ143" s="54"/>
      <c r="LK143" s="54"/>
      <c r="LL143" s="54"/>
      <c r="LM143" s="54"/>
      <c r="LN143" s="54"/>
      <c r="LO143" s="54"/>
      <c r="LP143" s="54"/>
      <c r="LQ143" s="54"/>
      <c r="LR143" s="54"/>
      <c r="LS143" s="54"/>
      <c r="LT143" s="54"/>
      <c r="LU143" s="54"/>
      <c r="LV143" s="54"/>
      <c r="LW143" s="54"/>
      <c r="LX143" s="54"/>
      <c r="LY143" s="54"/>
      <c r="LZ143" s="54"/>
      <c r="MA143" s="54"/>
      <c r="MB143" s="54"/>
      <c r="MC143" s="54"/>
      <c r="MD143" s="54"/>
      <c r="ME143" s="54"/>
      <c r="MF143" s="54"/>
      <c r="MG143" s="54"/>
      <c r="MH143" s="54"/>
      <c r="MI143" s="54"/>
      <c r="MJ143" s="54"/>
      <c r="MK143" s="54"/>
      <c r="ML143" s="54"/>
      <c r="MM143" s="54"/>
      <c r="MN143" s="54"/>
      <c r="MO143" s="54"/>
      <c r="MP143" s="54"/>
      <c r="MQ143" s="54"/>
      <c r="MR143" s="54"/>
      <c r="MS143" s="54"/>
      <c r="MT143" s="54"/>
      <c r="MU143" s="54"/>
      <c r="MV143" s="54"/>
      <c r="MW143" s="54"/>
      <c r="MX143" s="54"/>
      <c r="MY143" s="54"/>
      <c r="MZ143" s="54"/>
      <c r="NA143" s="54"/>
      <c r="NB143" s="54"/>
      <c r="NC143" s="54"/>
      <c r="ND143" s="54"/>
      <c r="NE143" s="54"/>
      <c r="NF143" s="54"/>
      <c r="NG143" s="54"/>
      <c r="NH143" s="54"/>
      <c r="NI143" s="54"/>
      <c r="NJ143" s="54"/>
      <c r="NK143" s="54"/>
      <c r="NL143" s="54"/>
      <c r="NM143" s="54"/>
      <c r="NN143" s="54"/>
      <c r="NO143" s="54"/>
      <c r="NP143" s="54"/>
      <c r="NQ143" s="54"/>
      <c r="NR143" s="54"/>
      <c r="NS143" s="54"/>
      <c r="NT143" s="54"/>
      <c r="NU143" s="54"/>
      <c r="NV143" s="54"/>
      <c r="NW143" s="54"/>
      <c r="NX143" s="54"/>
      <c r="NY143" s="54"/>
      <c r="NZ143" s="54"/>
      <c r="OA143" s="54"/>
      <c r="OB143" s="54"/>
      <c r="OC143" s="54"/>
      <c r="OD143" s="54"/>
      <c r="OE143" s="54"/>
      <c r="OF143" s="54"/>
      <c r="OG143" s="54"/>
      <c r="OH143" s="54"/>
      <c r="OI143" s="54"/>
      <c r="OJ143" s="54"/>
      <c r="OK143" s="54"/>
      <c r="OL143" s="54"/>
      <c r="OM143" s="54"/>
      <c r="ON143" s="54"/>
      <c r="OO143" s="54"/>
      <c r="OP143" s="54"/>
      <c r="OQ143" s="54"/>
      <c r="OR143" s="54"/>
      <c r="OS143" s="54"/>
      <c r="OT143" s="54"/>
      <c r="OU143" s="54"/>
      <c r="OV143" s="54"/>
      <c r="OW143" s="54"/>
      <c r="OX143" s="54"/>
      <c r="OY143" s="54"/>
      <c r="OZ143" s="54"/>
      <c r="PA143" s="54"/>
      <c r="PB143" s="54"/>
      <c r="PC143" s="54"/>
      <c r="PD143" s="54"/>
      <c r="PE143" s="54"/>
      <c r="PF143" s="54"/>
      <c r="PG143" s="54"/>
      <c r="PH143" s="54"/>
      <c r="PI143" s="54"/>
      <c r="PJ143" s="54"/>
      <c r="PK143" s="54"/>
      <c r="PL143" s="54"/>
      <c r="PM143" s="54"/>
      <c r="PN143" s="54"/>
      <c r="PO143" s="54"/>
      <c r="PP143" s="54"/>
      <c r="PQ143" s="54"/>
      <c r="PR143" s="54"/>
      <c r="PS143" s="54"/>
      <c r="PT143" s="54"/>
      <c r="PU143" s="54"/>
      <c r="PV143" s="54"/>
      <c r="PW143" s="54"/>
      <c r="PX143" s="54"/>
      <c r="PY143" s="54"/>
      <c r="PZ143" s="54"/>
      <c r="QA143" s="54"/>
      <c r="QB143" s="54"/>
      <c r="QC143" s="54"/>
      <c r="QD143" s="54"/>
      <c r="QE143" s="54"/>
      <c r="QF143" s="54"/>
      <c r="QG143" s="54"/>
      <c r="QH143" s="54"/>
      <c r="QI143" s="54"/>
      <c r="QJ143" s="54"/>
      <c r="QK143" s="54"/>
      <c r="QL143" s="54"/>
      <c r="QM143" s="54"/>
      <c r="QN143" s="54"/>
      <c r="QO143" s="54"/>
      <c r="QP143" s="54"/>
      <c r="QQ143" s="54"/>
      <c r="QR143" s="54"/>
      <c r="QS143" s="54"/>
      <c r="QT143" s="54"/>
      <c r="QU143" s="54"/>
      <c r="QV143" s="54"/>
      <c r="QW143" s="54"/>
      <c r="QX143" s="54"/>
      <c r="QY143" s="54"/>
      <c r="QZ143" s="54"/>
      <c r="RA143" s="54"/>
      <c r="RB143" s="54"/>
      <c r="RC143" s="54"/>
      <c r="RD143" s="54"/>
      <c r="RE143" s="54"/>
      <c r="RF143" s="54"/>
      <c r="RG143" s="54"/>
      <c r="RH143" s="54"/>
      <c r="RI143" s="54"/>
      <c r="RJ143" s="54"/>
      <c r="RK143" s="54"/>
      <c r="RL143" s="54"/>
      <c r="RM143" s="54"/>
      <c r="RN143" s="54"/>
      <c r="RO143" s="54"/>
      <c r="RP143" s="54"/>
      <c r="RQ143" s="54"/>
      <c r="RR143" s="54"/>
      <c r="RS143" s="54"/>
      <c r="RT143" s="54"/>
      <c r="RU143" s="54"/>
      <c r="RV143" s="54"/>
      <c r="RW143" s="54"/>
      <c r="RX143" s="54"/>
      <c r="RY143" s="54"/>
      <c r="RZ143" s="54"/>
      <c r="SA143" s="54"/>
      <c r="SB143" s="54"/>
      <c r="SC143" s="54"/>
      <c r="SD143" s="54"/>
      <c r="SE143" s="54"/>
      <c r="SF143" s="54"/>
      <c r="SG143" s="54"/>
      <c r="SH143" s="54"/>
      <c r="SI143" s="54"/>
      <c r="SJ143" s="54"/>
      <c r="SK143" s="54"/>
      <c r="SL143" s="54"/>
      <c r="SM143" s="54"/>
      <c r="SN143" s="54"/>
      <c r="SO143" s="54"/>
      <c r="SP143" s="54"/>
      <c r="SQ143" s="54"/>
      <c r="SR143" s="54"/>
    </row>
    <row r="144" spans="1:512" ht="15" customHeight="1" x14ac:dyDescent="0.7">
      <c r="A144" s="172"/>
      <c r="B144" s="172"/>
      <c r="C144" s="172"/>
      <c r="D144" s="172"/>
      <c r="E144" s="172"/>
      <c r="F144" s="172"/>
      <c r="G144" s="172"/>
      <c r="I144" s="72" t="s">
        <v>344</v>
      </c>
      <c r="J144" s="73" t="s">
        <v>344</v>
      </c>
      <c r="K144" s="190"/>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4"/>
      <c r="EF144" s="54"/>
      <c r="EG144" s="54"/>
      <c r="EH144" s="54"/>
      <c r="EI144" s="54"/>
      <c r="EJ144" s="54"/>
      <c r="EK144" s="54"/>
      <c r="EL144" s="54"/>
      <c r="EM144" s="54"/>
      <c r="EN144" s="54"/>
      <c r="EO144" s="54"/>
      <c r="EP144" s="54"/>
      <c r="EQ144" s="54"/>
      <c r="ER144" s="54"/>
      <c r="ES144" s="54"/>
      <c r="ET144" s="54"/>
      <c r="EU144" s="54"/>
      <c r="EV144" s="54"/>
      <c r="EW144" s="54"/>
      <c r="EX144" s="54"/>
      <c r="EY144" s="54"/>
      <c r="EZ144" s="54"/>
      <c r="FA144" s="54"/>
      <c r="FB144" s="54"/>
      <c r="FC144" s="54"/>
      <c r="FD144" s="54"/>
      <c r="FE144" s="54"/>
      <c r="FF144" s="54"/>
      <c r="FG144" s="54"/>
      <c r="FH144" s="54"/>
      <c r="FI144" s="54"/>
      <c r="FJ144" s="54"/>
      <c r="FK144" s="54"/>
      <c r="FL144" s="54"/>
      <c r="FM144" s="54"/>
      <c r="FN144" s="54"/>
      <c r="FO144" s="54"/>
      <c r="FP144" s="54"/>
      <c r="FQ144" s="54"/>
      <c r="FR144" s="54"/>
      <c r="FS144" s="54"/>
      <c r="FT144" s="54"/>
      <c r="FU144" s="54"/>
      <c r="FV144" s="54"/>
      <c r="FW144" s="54"/>
      <c r="FX144" s="54"/>
      <c r="FY144" s="54"/>
      <c r="FZ144" s="54"/>
      <c r="GA144" s="54"/>
      <c r="GB144" s="54"/>
      <c r="GC144" s="54"/>
      <c r="GD144" s="54"/>
      <c r="GE144" s="54"/>
      <c r="GF144" s="54"/>
      <c r="GG144" s="54"/>
      <c r="GH144" s="54"/>
      <c r="GI144" s="54"/>
      <c r="GJ144" s="54"/>
      <c r="GK144" s="54"/>
      <c r="GL144" s="54"/>
      <c r="GM144" s="54"/>
      <c r="GN144" s="54"/>
      <c r="GO144" s="54"/>
      <c r="GP144" s="54"/>
      <c r="GQ144" s="54"/>
      <c r="GR144" s="54"/>
      <c r="GS144" s="54"/>
      <c r="GT144" s="54"/>
      <c r="GU144" s="54"/>
      <c r="GV144" s="54"/>
      <c r="GW144" s="54"/>
      <c r="GX144" s="54"/>
      <c r="GY144" s="54"/>
      <c r="GZ144" s="54"/>
      <c r="HA144" s="54"/>
      <c r="HB144" s="54"/>
      <c r="HC144" s="54"/>
      <c r="HD144" s="54"/>
      <c r="HE144" s="54"/>
      <c r="HF144" s="54"/>
      <c r="HG144" s="54"/>
      <c r="HH144" s="54"/>
      <c r="HI144" s="54"/>
      <c r="HJ144" s="54"/>
      <c r="HK144" s="54"/>
      <c r="HL144" s="54"/>
      <c r="HM144" s="54"/>
      <c r="HN144" s="54"/>
      <c r="HO144" s="54"/>
      <c r="HP144" s="54"/>
      <c r="HQ144" s="54"/>
      <c r="HR144" s="54"/>
      <c r="HS144" s="54"/>
      <c r="HT144" s="54"/>
      <c r="HU144" s="54"/>
      <c r="HV144" s="54"/>
      <c r="HW144" s="54"/>
      <c r="HX144" s="54"/>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c r="IW144" s="54"/>
      <c r="IX144" s="54"/>
      <c r="IY144" s="54"/>
      <c r="IZ144" s="54"/>
      <c r="JA144" s="54"/>
      <c r="JB144" s="54"/>
      <c r="JC144" s="54"/>
      <c r="JD144" s="54"/>
      <c r="JE144" s="54"/>
      <c r="JF144" s="54"/>
      <c r="JG144" s="54"/>
      <c r="JH144" s="54"/>
      <c r="JI144" s="54"/>
      <c r="JJ144" s="54"/>
      <c r="JK144" s="54"/>
      <c r="JL144" s="54"/>
      <c r="JM144" s="54"/>
      <c r="JN144" s="54"/>
      <c r="JO144" s="54"/>
      <c r="JP144" s="54"/>
      <c r="JQ144" s="54"/>
      <c r="JR144" s="54"/>
      <c r="JS144" s="54"/>
      <c r="JT144" s="54"/>
      <c r="JU144" s="54"/>
      <c r="JV144" s="54"/>
      <c r="JW144" s="54"/>
      <c r="JX144" s="54"/>
      <c r="JY144" s="54"/>
      <c r="JZ144" s="54"/>
      <c r="KA144" s="54"/>
      <c r="KB144" s="54"/>
      <c r="KC144" s="54"/>
      <c r="KD144" s="54"/>
      <c r="KE144" s="54"/>
      <c r="KF144" s="54"/>
      <c r="KG144" s="54"/>
      <c r="KH144" s="54"/>
      <c r="KI144" s="54"/>
      <c r="KJ144" s="54"/>
      <c r="KK144" s="54"/>
      <c r="KL144" s="54"/>
      <c r="KM144" s="54"/>
      <c r="KN144" s="54"/>
      <c r="KO144" s="54"/>
      <c r="KP144" s="54"/>
      <c r="KQ144" s="54"/>
      <c r="KR144" s="54"/>
      <c r="KS144" s="54"/>
      <c r="KT144" s="54"/>
      <c r="KU144" s="54"/>
      <c r="KV144" s="54"/>
      <c r="KW144" s="54"/>
      <c r="KX144" s="54"/>
      <c r="KY144" s="54"/>
      <c r="KZ144" s="54"/>
      <c r="LA144" s="54"/>
      <c r="LB144" s="54"/>
      <c r="LC144" s="54"/>
      <c r="LD144" s="54"/>
      <c r="LE144" s="54"/>
      <c r="LF144" s="54"/>
      <c r="LG144" s="54"/>
      <c r="LH144" s="54"/>
      <c r="LI144" s="54"/>
      <c r="LJ144" s="54"/>
      <c r="LK144" s="54"/>
      <c r="LL144" s="54"/>
      <c r="LM144" s="54"/>
      <c r="LN144" s="54"/>
      <c r="LO144" s="54"/>
      <c r="LP144" s="54"/>
      <c r="LQ144" s="54"/>
      <c r="LR144" s="54"/>
      <c r="LS144" s="54"/>
      <c r="LT144" s="54"/>
      <c r="LU144" s="54"/>
      <c r="LV144" s="54"/>
      <c r="LW144" s="54"/>
      <c r="LX144" s="54"/>
      <c r="LY144" s="54"/>
      <c r="LZ144" s="54"/>
      <c r="MA144" s="54"/>
      <c r="MB144" s="54"/>
      <c r="MC144" s="54"/>
      <c r="MD144" s="54"/>
      <c r="ME144" s="54"/>
      <c r="MF144" s="54"/>
      <c r="MG144" s="54"/>
      <c r="MH144" s="54"/>
      <c r="MI144" s="54"/>
      <c r="MJ144" s="54"/>
      <c r="MK144" s="54"/>
      <c r="ML144" s="54"/>
      <c r="MM144" s="54"/>
      <c r="MN144" s="54"/>
      <c r="MO144" s="54"/>
      <c r="MP144" s="54"/>
      <c r="MQ144" s="54"/>
      <c r="MR144" s="54"/>
      <c r="MS144" s="54"/>
      <c r="MT144" s="54"/>
      <c r="MU144" s="54"/>
      <c r="MV144" s="54"/>
      <c r="MW144" s="54"/>
      <c r="MX144" s="54"/>
      <c r="MY144" s="54"/>
      <c r="MZ144" s="54"/>
      <c r="NA144" s="54"/>
      <c r="NB144" s="54"/>
      <c r="NC144" s="54"/>
      <c r="ND144" s="54"/>
      <c r="NE144" s="54"/>
      <c r="NF144" s="54"/>
      <c r="NG144" s="54"/>
      <c r="NH144" s="54"/>
      <c r="NI144" s="54"/>
      <c r="NJ144" s="54"/>
      <c r="NK144" s="54"/>
      <c r="NL144" s="54"/>
      <c r="NM144" s="54"/>
      <c r="NN144" s="54"/>
      <c r="NO144" s="54"/>
      <c r="NP144" s="54"/>
      <c r="NQ144" s="54"/>
      <c r="NR144" s="54"/>
      <c r="NS144" s="54"/>
      <c r="NT144" s="54"/>
      <c r="NU144" s="54"/>
      <c r="NV144" s="54"/>
      <c r="NW144" s="54"/>
      <c r="NX144" s="54"/>
      <c r="NY144" s="54"/>
      <c r="NZ144" s="54"/>
      <c r="OA144" s="54"/>
      <c r="OB144" s="54"/>
      <c r="OC144" s="54"/>
      <c r="OD144" s="54"/>
      <c r="OE144" s="54"/>
      <c r="OF144" s="54"/>
      <c r="OG144" s="54"/>
      <c r="OH144" s="54"/>
      <c r="OI144" s="54"/>
      <c r="OJ144" s="54"/>
      <c r="OK144" s="54"/>
      <c r="OL144" s="54"/>
      <c r="OM144" s="54"/>
      <c r="ON144" s="54"/>
      <c r="OO144" s="54"/>
      <c r="OP144" s="54"/>
      <c r="OQ144" s="54"/>
      <c r="OR144" s="54"/>
      <c r="OS144" s="54"/>
      <c r="OT144" s="54"/>
      <c r="OU144" s="54"/>
      <c r="OV144" s="54"/>
      <c r="OW144" s="54"/>
      <c r="OX144" s="54"/>
      <c r="OY144" s="54"/>
      <c r="OZ144" s="54"/>
      <c r="PA144" s="54"/>
      <c r="PB144" s="54"/>
      <c r="PC144" s="54"/>
      <c r="PD144" s="54"/>
      <c r="PE144" s="54"/>
      <c r="PF144" s="54"/>
      <c r="PG144" s="54"/>
      <c r="PH144" s="54"/>
      <c r="PI144" s="54"/>
      <c r="PJ144" s="54"/>
      <c r="PK144" s="54"/>
      <c r="PL144" s="54"/>
      <c r="PM144" s="54"/>
      <c r="PN144" s="54"/>
      <c r="PO144" s="54"/>
      <c r="PP144" s="54"/>
      <c r="PQ144" s="54"/>
      <c r="PR144" s="54"/>
      <c r="PS144" s="54"/>
      <c r="PT144" s="54"/>
      <c r="PU144" s="54"/>
      <c r="PV144" s="54"/>
      <c r="PW144" s="54"/>
      <c r="PX144" s="54"/>
      <c r="PY144" s="54"/>
      <c r="PZ144" s="54"/>
      <c r="QA144" s="54"/>
      <c r="QB144" s="54"/>
      <c r="QC144" s="54"/>
      <c r="QD144" s="54"/>
      <c r="QE144" s="54"/>
      <c r="QF144" s="54"/>
      <c r="QG144" s="54"/>
      <c r="QH144" s="54"/>
      <c r="QI144" s="54"/>
      <c r="QJ144" s="54"/>
      <c r="QK144" s="54"/>
      <c r="QL144" s="54"/>
      <c r="QM144" s="54"/>
      <c r="QN144" s="54"/>
      <c r="QO144" s="54"/>
      <c r="QP144" s="54"/>
      <c r="QQ144" s="54"/>
      <c r="QR144" s="54"/>
      <c r="QS144" s="54"/>
      <c r="QT144" s="54"/>
      <c r="QU144" s="54"/>
      <c r="QV144" s="54"/>
      <c r="QW144" s="54"/>
      <c r="QX144" s="54"/>
      <c r="QY144" s="54"/>
      <c r="QZ144" s="54"/>
      <c r="RA144" s="54"/>
      <c r="RB144" s="54"/>
      <c r="RC144" s="54"/>
      <c r="RD144" s="54"/>
      <c r="RE144" s="54"/>
      <c r="RF144" s="54"/>
      <c r="RG144" s="54"/>
      <c r="RH144" s="54"/>
      <c r="RI144" s="54"/>
      <c r="RJ144" s="54"/>
      <c r="RK144" s="54"/>
      <c r="RL144" s="54"/>
      <c r="RM144" s="54"/>
      <c r="RN144" s="54"/>
      <c r="RO144" s="54"/>
      <c r="RP144" s="54"/>
      <c r="RQ144" s="54"/>
      <c r="RR144" s="54"/>
      <c r="RS144" s="54"/>
      <c r="RT144" s="54"/>
      <c r="RU144" s="54"/>
      <c r="RV144" s="54"/>
      <c r="RW144" s="54"/>
      <c r="RX144" s="54"/>
      <c r="RY144" s="54"/>
      <c r="RZ144" s="54"/>
      <c r="SA144" s="54"/>
      <c r="SB144" s="54"/>
      <c r="SC144" s="54"/>
      <c r="SD144" s="54"/>
      <c r="SE144" s="54"/>
      <c r="SF144" s="54"/>
      <c r="SG144" s="54"/>
      <c r="SH144" s="54"/>
      <c r="SI144" s="54"/>
      <c r="SJ144" s="54"/>
      <c r="SK144" s="54"/>
      <c r="SL144" s="54"/>
      <c r="SM144" s="54"/>
      <c r="SN144" s="54"/>
      <c r="SO144" s="54"/>
      <c r="SP144" s="54"/>
      <c r="SQ144" s="54"/>
      <c r="SR144" s="54"/>
    </row>
    <row r="145" spans="1:512" s="55" customFormat="1" ht="15" customHeight="1" x14ac:dyDescent="0.7">
      <c r="A145" s="173"/>
      <c r="B145" s="173"/>
      <c r="C145" s="173"/>
      <c r="D145" s="173"/>
      <c r="E145" s="173"/>
      <c r="F145" s="173"/>
      <c r="G145" s="173"/>
      <c r="H145" s="74"/>
      <c r="I145" s="75"/>
      <c r="J145" s="76"/>
      <c r="K145" s="191"/>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c r="CA145" s="56"/>
      <c r="CB145" s="56"/>
      <c r="CC145" s="56"/>
      <c r="CD145" s="56"/>
      <c r="CE145" s="56"/>
      <c r="CF145" s="56"/>
      <c r="CG145" s="56"/>
      <c r="CH145" s="56"/>
      <c r="CI145" s="56"/>
      <c r="CJ145" s="56"/>
      <c r="CK145" s="56"/>
      <c r="CL145" s="56"/>
      <c r="CM145" s="56"/>
      <c r="CN145" s="56"/>
      <c r="CO145" s="56"/>
      <c r="CP145" s="56"/>
      <c r="CQ145" s="56"/>
      <c r="CR145" s="56"/>
      <c r="CS145" s="56"/>
      <c r="CT145" s="56"/>
      <c r="CU145" s="56"/>
      <c r="CV145" s="56"/>
      <c r="CW145" s="56"/>
      <c r="CX145" s="56"/>
      <c r="CY145" s="56"/>
      <c r="CZ145" s="56"/>
      <c r="DA145" s="56"/>
      <c r="DB145" s="56"/>
      <c r="DC145" s="56"/>
      <c r="DD145" s="56"/>
      <c r="DE145" s="56"/>
      <c r="DF145" s="56"/>
      <c r="DG145" s="56"/>
      <c r="DH145" s="56"/>
      <c r="DI145" s="56"/>
      <c r="DJ145" s="56"/>
      <c r="DK145" s="56"/>
      <c r="DL145" s="56"/>
      <c r="DM145" s="56"/>
      <c r="DN145" s="56"/>
      <c r="DO145" s="56"/>
      <c r="DP145" s="56"/>
      <c r="DQ145" s="56"/>
      <c r="DR145" s="56"/>
      <c r="DS145" s="56"/>
      <c r="DT145" s="56"/>
      <c r="DU145" s="56"/>
      <c r="DV145" s="56"/>
      <c r="DW145" s="56"/>
      <c r="DX145" s="56"/>
      <c r="DY145" s="56"/>
      <c r="DZ145" s="56"/>
      <c r="EA145" s="56"/>
      <c r="EB145" s="56"/>
      <c r="EC145" s="56"/>
      <c r="ED145" s="56"/>
      <c r="EE145" s="56"/>
      <c r="EF145" s="56"/>
      <c r="EG145" s="56"/>
      <c r="EH145" s="56"/>
      <c r="EI145" s="56"/>
      <c r="EJ145" s="56"/>
      <c r="EK145" s="56"/>
      <c r="EL145" s="56"/>
      <c r="EM145" s="56"/>
      <c r="EN145" s="56"/>
      <c r="EO145" s="56"/>
      <c r="EP145" s="56"/>
      <c r="EQ145" s="56"/>
      <c r="ER145" s="56"/>
      <c r="ES145" s="56"/>
      <c r="ET145" s="56"/>
      <c r="EU145" s="56"/>
      <c r="EV145" s="56"/>
      <c r="EW145" s="56"/>
      <c r="EX145" s="56"/>
      <c r="EY145" s="56"/>
      <c r="EZ145" s="56"/>
      <c r="FA145" s="56"/>
      <c r="FB145" s="56"/>
      <c r="FC145" s="56"/>
      <c r="FD145" s="56"/>
      <c r="FE145" s="56"/>
      <c r="FF145" s="56"/>
      <c r="FG145" s="56"/>
      <c r="FH145" s="56"/>
      <c r="FI145" s="56"/>
      <c r="FJ145" s="56"/>
      <c r="FK145" s="56"/>
      <c r="FL145" s="56"/>
      <c r="FM145" s="56"/>
      <c r="FN145" s="56"/>
      <c r="FO145" s="56"/>
      <c r="FP145" s="56"/>
      <c r="FQ145" s="56"/>
      <c r="FR145" s="56"/>
      <c r="FS145" s="56"/>
      <c r="FT145" s="56"/>
      <c r="FU145" s="56"/>
      <c r="FV145" s="56"/>
      <c r="FW145" s="56"/>
      <c r="FX145" s="56"/>
      <c r="FY145" s="56"/>
      <c r="FZ145" s="56"/>
      <c r="GA145" s="56"/>
      <c r="GB145" s="56"/>
      <c r="GC145" s="56"/>
      <c r="GD145" s="56"/>
      <c r="GE145" s="56"/>
      <c r="GF145" s="56"/>
      <c r="GG145" s="56"/>
      <c r="GH145" s="56"/>
      <c r="GI145" s="56"/>
      <c r="GJ145" s="56"/>
      <c r="GK145" s="56"/>
      <c r="GL145" s="56"/>
      <c r="GM145" s="56"/>
      <c r="GN145" s="56"/>
      <c r="GO145" s="56"/>
      <c r="GP145" s="56"/>
      <c r="GQ145" s="56"/>
      <c r="GR145" s="56"/>
      <c r="GS145" s="56"/>
      <c r="GT145" s="56"/>
      <c r="GU145" s="56"/>
      <c r="GV145" s="56"/>
      <c r="GW145" s="56"/>
      <c r="GX145" s="56"/>
      <c r="GY145" s="56"/>
      <c r="GZ145" s="56"/>
      <c r="HA145" s="56"/>
      <c r="HB145" s="56"/>
      <c r="HC145" s="56"/>
      <c r="HD145" s="56"/>
      <c r="HE145" s="56"/>
      <c r="HF145" s="56"/>
      <c r="HG145" s="56"/>
      <c r="HH145" s="56"/>
      <c r="HI145" s="56"/>
      <c r="HJ145" s="56"/>
      <c r="HK145" s="56"/>
      <c r="HL145" s="56"/>
      <c r="HM145" s="56"/>
      <c r="HN145" s="56"/>
      <c r="HO145" s="56"/>
      <c r="HP145" s="56"/>
      <c r="HQ145" s="56"/>
      <c r="HR145" s="56"/>
      <c r="HS145" s="56"/>
      <c r="HT145" s="56"/>
      <c r="HU145" s="56"/>
      <c r="HV145" s="56"/>
      <c r="HW145" s="56"/>
      <c r="HX145" s="56"/>
      <c r="HY145" s="56"/>
      <c r="HZ145" s="56"/>
      <c r="IA145" s="56"/>
      <c r="IB145" s="56"/>
      <c r="IC145" s="56"/>
      <c r="ID145" s="56"/>
      <c r="IE145" s="56"/>
      <c r="IF145" s="56"/>
      <c r="IG145" s="56"/>
      <c r="IH145" s="56"/>
      <c r="II145" s="56"/>
      <c r="IJ145" s="56"/>
      <c r="IK145" s="56"/>
      <c r="IL145" s="56"/>
      <c r="IM145" s="56"/>
      <c r="IN145" s="56"/>
      <c r="IO145" s="56"/>
      <c r="IP145" s="56"/>
      <c r="IQ145" s="56"/>
      <c r="IR145" s="56"/>
      <c r="IS145" s="56"/>
      <c r="IT145" s="56"/>
      <c r="IU145" s="56"/>
      <c r="IV145" s="56"/>
      <c r="IW145" s="56"/>
      <c r="IX145" s="56"/>
      <c r="IY145" s="56"/>
      <c r="IZ145" s="56"/>
      <c r="JA145" s="56"/>
      <c r="JB145" s="56"/>
      <c r="JC145" s="56"/>
      <c r="JD145" s="56"/>
      <c r="JE145" s="56"/>
      <c r="JF145" s="56"/>
      <c r="JG145" s="56"/>
      <c r="JH145" s="56"/>
      <c r="JI145" s="56"/>
      <c r="JJ145" s="56"/>
      <c r="JK145" s="56"/>
      <c r="JL145" s="56"/>
      <c r="JM145" s="56"/>
      <c r="JN145" s="56"/>
      <c r="JO145" s="56"/>
      <c r="JP145" s="56"/>
      <c r="JQ145" s="56"/>
      <c r="JR145" s="56"/>
      <c r="JS145" s="56"/>
      <c r="JT145" s="56"/>
      <c r="JU145" s="56"/>
      <c r="JV145" s="56"/>
      <c r="JW145" s="56"/>
      <c r="JX145" s="56"/>
      <c r="JY145" s="56"/>
      <c r="JZ145" s="56"/>
      <c r="KA145" s="56"/>
      <c r="KB145" s="56"/>
      <c r="KC145" s="56"/>
      <c r="KD145" s="56"/>
      <c r="KE145" s="56"/>
      <c r="KF145" s="56"/>
      <c r="KG145" s="56"/>
      <c r="KH145" s="56"/>
      <c r="KI145" s="56"/>
      <c r="KJ145" s="56"/>
      <c r="KK145" s="56"/>
      <c r="KL145" s="56"/>
      <c r="KM145" s="56"/>
      <c r="KN145" s="56"/>
      <c r="KO145" s="56"/>
      <c r="KP145" s="56"/>
      <c r="KQ145" s="56"/>
      <c r="KR145" s="56"/>
      <c r="KS145" s="56"/>
      <c r="KT145" s="56"/>
      <c r="KU145" s="56"/>
      <c r="KV145" s="56"/>
      <c r="KW145" s="56"/>
      <c r="KX145" s="56"/>
      <c r="KY145" s="56"/>
      <c r="KZ145" s="56"/>
      <c r="LA145" s="56"/>
      <c r="LB145" s="56"/>
      <c r="LC145" s="56"/>
      <c r="LD145" s="56"/>
      <c r="LE145" s="56"/>
      <c r="LF145" s="56"/>
      <c r="LG145" s="56"/>
      <c r="LH145" s="56"/>
      <c r="LI145" s="56"/>
      <c r="LJ145" s="56"/>
      <c r="LK145" s="56"/>
      <c r="LL145" s="56"/>
      <c r="LM145" s="56"/>
      <c r="LN145" s="56"/>
      <c r="LO145" s="56"/>
      <c r="LP145" s="56"/>
      <c r="LQ145" s="56"/>
      <c r="LR145" s="56"/>
      <c r="LS145" s="56"/>
      <c r="LT145" s="56"/>
      <c r="LU145" s="56"/>
      <c r="LV145" s="56"/>
      <c r="LW145" s="56"/>
      <c r="LX145" s="56"/>
      <c r="LY145" s="56"/>
      <c r="LZ145" s="56"/>
      <c r="MA145" s="56"/>
      <c r="MB145" s="56"/>
      <c r="MC145" s="56"/>
      <c r="MD145" s="56"/>
      <c r="ME145" s="56"/>
      <c r="MF145" s="56"/>
      <c r="MG145" s="56"/>
      <c r="MH145" s="56"/>
      <c r="MI145" s="56"/>
      <c r="MJ145" s="56"/>
      <c r="MK145" s="56"/>
      <c r="ML145" s="56"/>
      <c r="MM145" s="56"/>
      <c r="MN145" s="56"/>
      <c r="MO145" s="56"/>
      <c r="MP145" s="56"/>
      <c r="MQ145" s="56"/>
      <c r="MR145" s="56"/>
      <c r="MS145" s="56"/>
      <c r="MT145" s="56"/>
      <c r="MU145" s="56"/>
      <c r="MV145" s="56"/>
      <c r="MW145" s="56"/>
      <c r="MX145" s="56"/>
      <c r="MY145" s="56"/>
      <c r="MZ145" s="56"/>
      <c r="NA145" s="56"/>
      <c r="NB145" s="56"/>
      <c r="NC145" s="56"/>
      <c r="ND145" s="56"/>
      <c r="NE145" s="56"/>
      <c r="NF145" s="56"/>
      <c r="NG145" s="56"/>
      <c r="NH145" s="56"/>
      <c r="NI145" s="56"/>
      <c r="NJ145" s="56"/>
      <c r="NK145" s="56"/>
      <c r="NL145" s="56"/>
      <c r="NM145" s="56"/>
      <c r="NN145" s="56"/>
      <c r="NO145" s="56"/>
      <c r="NP145" s="56"/>
      <c r="NQ145" s="56"/>
      <c r="NR145" s="56"/>
      <c r="NS145" s="56"/>
      <c r="NT145" s="56"/>
      <c r="NU145" s="56"/>
      <c r="NV145" s="56"/>
      <c r="NW145" s="56"/>
      <c r="NX145" s="56"/>
      <c r="NY145" s="56"/>
      <c r="NZ145" s="56"/>
      <c r="OA145" s="56"/>
      <c r="OB145" s="56"/>
      <c r="OC145" s="56"/>
      <c r="OD145" s="56"/>
      <c r="OE145" s="56"/>
      <c r="OF145" s="56"/>
      <c r="OG145" s="56"/>
      <c r="OH145" s="56"/>
      <c r="OI145" s="56"/>
      <c r="OJ145" s="56"/>
      <c r="OK145" s="56"/>
      <c r="OL145" s="56"/>
      <c r="OM145" s="56"/>
      <c r="ON145" s="56"/>
      <c r="OO145" s="56"/>
      <c r="OP145" s="56"/>
      <c r="OQ145" s="56"/>
      <c r="OR145" s="56"/>
      <c r="OS145" s="56"/>
      <c r="OT145" s="56"/>
      <c r="OU145" s="56"/>
      <c r="OV145" s="56"/>
      <c r="OW145" s="56"/>
      <c r="OX145" s="56"/>
      <c r="OY145" s="56"/>
      <c r="OZ145" s="56"/>
      <c r="PA145" s="56"/>
      <c r="PB145" s="56"/>
      <c r="PC145" s="56"/>
      <c r="PD145" s="56"/>
      <c r="PE145" s="56"/>
      <c r="PF145" s="56"/>
      <c r="PG145" s="56"/>
      <c r="PH145" s="56"/>
      <c r="PI145" s="56"/>
      <c r="PJ145" s="56"/>
      <c r="PK145" s="56"/>
      <c r="PL145" s="56"/>
      <c r="PM145" s="56"/>
      <c r="PN145" s="56"/>
      <c r="PO145" s="56"/>
      <c r="PP145" s="56"/>
      <c r="PQ145" s="56"/>
      <c r="PR145" s="56"/>
      <c r="PS145" s="56"/>
      <c r="PT145" s="56"/>
      <c r="PU145" s="56"/>
      <c r="PV145" s="56"/>
      <c r="PW145" s="56"/>
      <c r="PX145" s="56"/>
      <c r="PY145" s="56"/>
      <c r="PZ145" s="56"/>
      <c r="QA145" s="56"/>
      <c r="QB145" s="56"/>
      <c r="QC145" s="56"/>
      <c r="QD145" s="56"/>
      <c r="QE145" s="56"/>
      <c r="QF145" s="56"/>
      <c r="QG145" s="56"/>
      <c r="QH145" s="56"/>
      <c r="QI145" s="56"/>
      <c r="QJ145" s="56"/>
      <c r="QK145" s="56"/>
      <c r="QL145" s="56"/>
      <c r="QM145" s="56"/>
      <c r="QN145" s="56"/>
      <c r="QO145" s="56"/>
      <c r="QP145" s="56"/>
      <c r="QQ145" s="56"/>
      <c r="QR145" s="56"/>
      <c r="QS145" s="56"/>
      <c r="QT145" s="56"/>
      <c r="QU145" s="56"/>
      <c r="QV145" s="56"/>
      <c r="QW145" s="56"/>
      <c r="QX145" s="56"/>
      <c r="QY145" s="56"/>
      <c r="QZ145" s="56"/>
      <c r="RA145" s="56"/>
      <c r="RB145" s="56"/>
      <c r="RC145" s="56"/>
      <c r="RD145" s="56"/>
      <c r="RE145" s="56"/>
      <c r="RF145" s="56"/>
      <c r="RG145" s="56"/>
      <c r="RH145" s="56"/>
      <c r="RI145" s="56"/>
      <c r="RJ145" s="56"/>
      <c r="RK145" s="56"/>
      <c r="RL145" s="56"/>
      <c r="RM145" s="56"/>
      <c r="RN145" s="56"/>
      <c r="RO145" s="56"/>
      <c r="RP145" s="56"/>
      <c r="RQ145" s="56"/>
      <c r="RR145" s="56"/>
      <c r="RS145" s="56"/>
      <c r="RT145" s="56"/>
      <c r="RU145" s="56"/>
      <c r="RV145" s="56"/>
      <c r="RW145" s="56"/>
      <c r="RX145" s="56"/>
      <c r="RY145" s="56"/>
      <c r="RZ145" s="56"/>
      <c r="SA145" s="56"/>
      <c r="SB145" s="56"/>
      <c r="SC145" s="56"/>
      <c r="SD145" s="56"/>
      <c r="SE145" s="56"/>
      <c r="SF145" s="56"/>
      <c r="SG145" s="56"/>
      <c r="SH145" s="56"/>
      <c r="SI145" s="56"/>
      <c r="SJ145" s="56"/>
      <c r="SK145" s="56"/>
      <c r="SL145" s="56"/>
      <c r="SM145" s="56"/>
      <c r="SN145" s="56"/>
      <c r="SO145" s="56"/>
      <c r="SP145" s="56"/>
      <c r="SQ145" s="56"/>
      <c r="SR145" s="56"/>
    </row>
    <row r="146" spans="1:512" ht="15" customHeight="1" x14ac:dyDescent="0.7">
      <c r="A146" s="171" t="s">
        <v>344</v>
      </c>
      <c r="B146" s="171" t="s">
        <v>344</v>
      </c>
      <c r="C146" s="171" t="s">
        <v>344</v>
      </c>
      <c r="D146" s="171"/>
      <c r="E146" s="171" t="s">
        <v>344</v>
      </c>
      <c r="F146" s="171"/>
      <c r="G146" s="188" t="s">
        <v>344</v>
      </c>
      <c r="H146" s="71" t="s">
        <v>344</v>
      </c>
      <c r="I146" s="72" t="s">
        <v>344</v>
      </c>
      <c r="J146" s="73" t="s">
        <v>344</v>
      </c>
      <c r="K146" s="189" t="s">
        <v>344</v>
      </c>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4"/>
      <c r="EF146" s="54"/>
      <c r="EG146" s="54"/>
      <c r="EH146" s="54"/>
      <c r="EI146" s="54"/>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c r="HP146" s="54"/>
      <c r="HQ146" s="54"/>
      <c r="HR146" s="54"/>
      <c r="HS146" s="54"/>
      <c r="HT146" s="54"/>
      <c r="HU146" s="54"/>
      <c r="HV146" s="54"/>
      <c r="HW146" s="54"/>
      <c r="HX146" s="54"/>
      <c r="HY146" s="54"/>
      <c r="HZ146" s="54"/>
      <c r="IA146" s="54"/>
      <c r="IB146" s="54"/>
      <c r="IC146" s="54"/>
      <c r="ID146" s="54"/>
      <c r="IE146" s="54"/>
      <c r="IF146" s="54"/>
      <c r="IG146" s="54"/>
      <c r="IH146" s="54"/>
      <c r="II146" s="54"/>
      <c r="IJ146" s="54"/>
      <c r="IK146" s="54"/>
      <c r="IL146" s="54"/>
      <c r="IM146" s="54"/>
      <c r="IN146" s="54"/>
      <c r="IO146" s="54"/>
      <c r="IP146" s="54"/>
      <c r="IQ146" s="54"/>
      <c r="IR146" s="54"/>
      <c r="IS146" s="54"/>
      <c r="IT146" s="54"/>
      <c r="IU146" s="54"/>
      <c r="IV146" s="54"/>
      <c r="IW146" s="54"/>
      <c r="IX146" s="54"/>
      <c r="IY146" s="54"/>
      <c r="IZ146" s="54"/>
      <c r="JA146" s="54"/>
      <c r="JB146" s="54"/>
      <c r="JC146" s="54"/>
      <c r="JD146" s="54"/>
      <c r="JE146" s="54"/>
      <c r="JF146" s="54"/>
      <c r="JG146" s="54"/>
      <c r="JH146" s="54"/>
      <c r="JI146" s="54"/>
      <c r="JJ146" s="54"/>
      <c r="JK146" s="54"/>
      <c r="JL146" s="54"/>
      <c r="JM146" s="54"/>
      <c r="JN146" s="54"/>
      <c r="JO146" s="54"/>
      <c r="JP146" s="54"/>
      <c r="JQ146" s="54"/>
      <c r="JR146" s="54"/>
      <c r="JS146" s="54"/>
      <c r="JT146" s="54"/>
      <c r="JU146" s="54"/>
      <c r="JV146" s="54"/>
      <c r="JW146" s="54"/>
      <c r="JX146" s="54"/>
      <c r="JY146" s="54"/>
      <c r="JZ146" s="54"/>
      <c r="KA146" s="54"/>
      <c r="KB146" s="54"/>
      <c r="KC146" s="54"/>
      <c r="KD146" s="54"/>
      <c r="KE146" s="54"/>
      <c r="KF146" s="54"/>
      <c r="KG146" s="54"/>
      <c r="KH146" s="54"/>
      <c r="KI146" s="54"/>
      <c r="KJ146" s="54"/>
      <c r="KK146" s="54"/>
      <c r="KL146" s="54"/>
      <c r="KM146" s="54"/>
      <c r="KN146" s="54"/>
      <c r="KO146" s="54"/>
      <c r="KP146" s="54"/>
      <c r="KQ146" s="54"/>
      <c r="KR146" s="54"/>
      <c r="KS146" s="54"/>
      <c r="KT146" s="54"/>
      <c r="KU146" s="54"/>
      <c r="KV146" s="54"/>
      <c r="KW146" s="54"/>
      <c r="KX146" s="54"/>
      <c r="KY146" s="54"/>
      <c r="KZ146" s="54"/>
      <c r="LA146" s="54"/>
      <c r="LB146" s="54"/>
      <c r="LC146" s="54"/>
      <c r="LD146" s="54"/>
      <c r="LE146" s="54"/>
      <c r="LF146" s="54"/>
      <c r="LG146" s="54"/>
      <c r="LH146" s="54"/>
      <c r="LI146" s="54"/>
      <c r="LJ146" s="54"/>
      <c r="LK146" s="54"/>
      <c r="LL146" s="54"/>
      <c r="LM146" s="54"/>
      <c r="LN146" s="54"/>
      <c r="LO146" s="54"/>
      <c r="LP146" s="54"/>
      <c r="LQ146" s="54"/>
      <c r="LR146" s="54"/>
      <c r="LS146" s="54"/>
      <c r="LT146" s="54"/>
      <c r="LU146" s="54"/>
      <c r="LV146" s="54"/>
      <c r="LW146" s="54"/>
      <c r="LX146" s="54"/>
      <c r="LY146" s="54"/>
      <c r="LZ146" s="54"/>
      <c r="MA146" s="54"/>
      <c r="MB146" s="54"/>
      <c r="MC146" s="54"/>
      <c r="MD146" s="54"/>
      <c r="ME146" s="54"/>
      <c r="MF146" s="54"/>
      <c r="MG146" s="54"/>
      <c r="MH146" s="54"/>
      <c r="MI146" s="54"/>
      <c r="MJ146" s="54"/>
      <c r="MK146" s="54"/>
      <c r="ML146" s="54"/>
      <c r="MM146" s="54"/>
      <c r="MN146" s="54"/>
      <c r="MO146" s="54"/>
      <c r="MP146" s="54"/>
      <c r="MQ146" s="54"/>
      <c r="MR146" s="54"/>
      <c r="MS146" s="54"/>
      <c r="MT146" s="54"/>
      <c r="MU146" s="54"/>
      <c r="MV146" s="54"/>
      <c r="MW146" s="54"/>
      <c r="MX146" s="54"/>
      <c r="MY146" s="54"/>
      <c r="MZ146" s="54"/>
      <c r="NA146" s="54"/>
      <c r="NB146" s="54"/>
      <c r="NC146" s="54"/>
      <c r="ND146" s="54"/>
      <c r="NE146" s="54"/>
      <c r="NF146" s="54"/>
      <c r="NG146" s="54"/>
      <c r="NH146" s="54"/>
      <c r="NI146" s="54"/>
      <c r="NJ146" s="54"/>
      <c r="NK146" s="54"/>
      <c r="NL146" s="54"/>
      <c r="NM146" s="54"/>
      <c r="NN146" s="54"/>
      <c r="NO146" s="54"/>
      <c r="NP146" s="54"/>
      <c r="NQ146" s="54"/>
      <c r="NR146" s="54"/>
      <c r="NS146" s="54"/>
      <c r="NT146" s="54"/>
      <c r="NU146" s="54"/>
      <c r="NV146" s="54"/>
      <c r="NW146" s="54"/>
      <c r="NX146" s="54"/>
      <c r="NY146" s="54"/>
      <c r="NZ146" s="54"/>
      <c r="OA146" s="54"/>
      <c r="OB146" s="54"/>
      <c r="OC146" s="54"/>
      <c r="OD146" s="54"/>
      <c r="OE146" s="54"/>
      <c r="OF146" s="54"/>
      <c r="OG146" s="54"/>
      <c r="OH146" s="54"/>
      <c r="OI146" s="54"/>
      <c r="OJ146" s="54"/>
      <c r="OK146" s="54"/>
      <c r="OL146" s="54"/>
      <c r="OM146" s="54"/>
      <c r="ON146" s="54"/>
      <c r="OO146" s="54"/>
      <c r="OP146" s="54"/>
      <c r="OQ146" s="54"/>
      <c r="OR146" s="54"/>
      <c r="OS146" s="54"/>
      <c r="OT146" s="54"/>
      <c r="OU146" s="54"/>
      <c r="OV146" s="54"/>
      <c r="OW146" s="54"/>
      <c r="OX146" s="54"/>
      <c r="OY146" s="54"/>
      <c r="OZ146" s="54"/>
      <c r="PA146" s="54"/>
      <c r="PB146" s="54"/>
      <c r="PC146" s="54"/>
      <c r="PD146" s="54"/>
      <c r="PE146" s="54"/>
      <c r="PF146" s="54"/>
      <c r="PG146" s="54"/>
      <c r="PH146" s="54"/>
      <c r="PI146" s="54"/>
      <c r="PJ146" s="54"/>
      <c r="PK146" s="54"/>
      <c r="PL146" s="54"/>
      <c r="PM146" s="54"/>
      <c r="PN146" s="54"/>
      <c r="PO146" s="54"/>
      <c r="PP146" s="54"/>
      <c r="PQ146" s="54"/>
      <c r="PR146" s="54"/>
      <c r="PS146" s="54"/>
      <c r="PT146" s="54"/>
      <c r="PU146" s="54"/>
      <c r="PV146" s="54"/>
      <c r="PW146" s="54"/>
      <c r="PX146" s="54"/>
      <c r="PY146" s="54"/>
      <c r="PZ146" s="54"/>
      <c r="QA146" s="54"/>
      <c r="QB146" s="54"/>
      <c r="QC146" s="54"/>
      <c r="QD146" s="54"/>
      <c r="QE146" s="54"/>
      <c r="QF146" s="54"/>
      <c r="QG146" s="54"/>
      <c r="QH146" s="54"/>
      <c r="QI146" s="54"/>
      <c r="QJ146" s="54"/>
      <c r="QK146" s="54"/>
      <c r="QL146" s="54"/>
      <c r="QM146" s="54"/>
      <c r="QN146" s="54"/>
      <c r="QO146" s="54"/>
      <c r="QP146" s="54"/>
      <c r="QQ146" s="54"/>
      <c r="QR146" s="54"/>
      <c r="QS146" s="54"/>
      <c r="QT146" s="54"/>
      <c r="QU146" s="54"/>
      <c r="QV146" s="54"/>
      <c r="QW146" s="54"/>
      <c r="QX146" s="54"/>
      <c r="QY146" s="54"/>
      <c r="QZ146" s="54"/>
      <c r="RA146" s="54"/>
      <c r="RB146" s="54"/>
      <c r="RC146" s="54"/>
      <c r="RD146" s="54"/>
      <c r="RE146" s="54"/>
      <c r="RF146" s="54"/>
      <c r="RG146" s="54"/>
      <c r="RH146" s="54"/>
      <c r="RI146" s="54"/>
      <c r="RJ146" s="54"/>
      <c r="RK146" s="54"/>
      <c r="RL146" s="54"/>
      <c r="RM146" s="54"/>
      <c r="RN146" s="54"/>
      <c r="RO146" s="54"/>
      <c r="RP146" s="54"/>
      <c r="RQ146" s="54"/>
      <c r="RR146" s="54"/>
      <c r="RS146" s="54"/>
      <c r="RT146" s="54"/>
      <c r="RU146" s="54"/>
      <c r="RV146" s="54"/>
      <c r="RW146" s="54"/>
      <c r="RX146" s="54"/>
      <c r="RY146" s="54"/>
      <c r="RZ146" s="54"/>
      <c r="SA146" s="54"/>
      <c r="SB146" s="54"/>
      <c r="SC146" s="54"/>
      <c r="SD146" s="54"/>
      <c r="SE146" s="54"/>
      <c r="SF146" s="54"/>
      <c r="SG146" s="54"/>
      <c r="SH146" s="54"/>
      <c r="SI146" s="54"/>
      <c r="SJ146" s="54"/>
      <c r="SK146" s="54"/>
      <c r="SL146" s="54"/>
      <c r="SM146" s="54"/>
      <c r="SN146" s="54"/>
      <c r="SO146" s="54"/>
      <c r="SP146" s="54"/>
      <c r="SQ146" s="54"/>
      <c r="SR146" s="54"/>
    </row>
    <row r="147" spans="1:512" ht="15" customHeight="1" x14ac:dyDescent="0.7">
      <c r="A147" s="172"/>
      <c r="B147" s="172"/>
      <c r="C147" s="172"/>
      <c r="D147" s="172"/>
      <c r="E147" s="172"/>
      <c r="F147" s="172"/>
      <c r="G147" s="172"/>
      <c r="I147" s="72" t="s">
        <v>344</v>
      </c>
      <c r="J147" s="73" t="s">
        <v>344</v>
      </c>
      <c r="K147" s="190"/>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c r="HP147" s="54"/>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4"/>
      <c r="IT147" s="54"/>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4"/>
      <c r="KH147" s="54"/>
      <c r="KI147" s="54"/>
      <c r="KJ147" s="54"/>
      <c r="KK147" s="54"/>
      <c r="KL147" s="54"/>
      <c r="KM147" s="54"/>
      <c r="KN147" s="54"/>
      <c r="KO147" s="54"/>
      <c r="KP147" s="54"/>
      <c r="KQ147" s="54"/>
      <c r="KR147" s="54"/>
      <c r="KS147" s="54"/>
      <c r="KT147" s="54"/>
      <c r="KU147" s="54"/>
      <c r="KV147" s="54"/>
      <c r="KW147" s="54"/>
      <c r="KX147" s="54"/>
      <c r="KY147" s="54"/>
      <c r="KZ147" s="54"/>
      <c r="LA147" s="54"/>
      <c r="LB147" s="54"/>
      <c r="LC147" s="54"/>
      <c r="LD147" s="54"/>
      <c r="LE147" s="54"/>
      <c r="LF147" s="54"/>
      <c r="LG147" s="54"/>
      <c r="LH147" s="54"/>
      <c r="LI147" s="54"/>
      <c r="LJ147" s="54"/>
      <c r="LK147" s="54"/>
      <c r="LL147" s="54"/>
      <c r="LM147" s="54"/>
      <c r="LN147" s="54"/>
      <c r="LO147" s="54"/>
      <c r="LP147" s="54"/>
      <c r="LQ147" s="54"/>
      <c r="LR147" s="54"/>
      <c r="LS147" s="54"/>
      <c r="LT147" s="54"/>
      <c r="LU147" s="54"/>
      <c r="LV147" s="54"/>
      <c r="LW147" s="54"/>
      <c r="LX147" s="54"/>
      <c r="LY147" s="54"/>
      <c r="LZ147" s="54"/>
      <c r="MA147" s="54"/>
      <c r="MB147" s="54"/>
      <c r="MC147" s="54"/>
      <c r="MD147" s="54"/>
      <c r="ME147" s="54"/>
      <c r="MF147" s="54"/>
      <c r="MG147" s="54"/>
      <c r="MH147" s="54"/>
      <c r="MI147" s="54"/>
      <c r="MJ147" s="54"/>
      <c r="MK147" s="54"/>
      <c r="ML147" s="54"/>
      <c r="MM147" s="54"/>
      <c r="MN147" s="54"/>
      <c r="MO147" s="54"/>
      <c r="MP147" s="54"/>
      <c r="MQ147" s="54"/>
      <c r="MR147" s="54"/>
      <c r="MS147" s="54"/>
      <c r="MT147" s="54"/>
      <c r="MU147" s="54"/>
      <c r="MV147" s="54"/>
      <c r="MW147" s="54"/>
      <c r="MX147" s="54"/>
      <c r="MY147" s="54"/>
      <c r="MZ147" s="54"/>
      <c r="NA147" s="54"/>
      <c r="NB147" s="54"/>
      <c r="NC147" s="54"/>
      <c r="ND147" s="54"/>
      <c r="NE147" s="54"/>
      <c r="NF147" s="54"/>
      <c r="NG147" s="54"/>
      <c r="NH147" s="54"/>
      <c r="NI147" s="54"/>
      <c r="NJ147" s="54"/>
      <c r="NK147" s="54"/>
      <c r="NL147" s="54"/>
      <c r="NM147" s="54"/>
      <c r="NN147" s="54"/>
      <c r="NO147" s="54"/>
      <c r="NP147" s="54"/>
      <c r="NQ147" s="54"/>
      <c r="NR147" s="54"/>
      <c r="NS147" s="54"/>
      <c r="NT147" s="54"/>
      <c r="NU147" s="54"/>
      <c r="NV147" s="54"/>
      <c r="NW147" s="54"/>
      <c r="NX147" s="54"/>
      <c r="NY147" s="54"/>
      <c r="NZ147" s="54"/>
      <c r="OA147" s="54"/>
      <c r="OB147" s="54"/>
      <c r="OC147" s="54"/>
      <c r="OD147" s="54"/>
      <c r="OE147" s="54"/>
      <c r="OF147" s="54"/>
      <c r="OG147" s="54"/>
      <c r="OH147" s="54"/>
      <c r="OI147" s="54"/>
      <c r="OJ147" s="54"/>
      <c r="OK147" s="54"/>
      <c r="OL147" s="54"/>
      <c r="OM147" s="54"/>
      <c r="ON147" s="54"/>
      <c r="OO147" s="54"/>
      <c r="OP147" s="54"/>
      <c r="OQ147" s="54"/>
      <c r="OR147" s="54"/>
      <c r="OS147" s="54"/>
      <c r="OT147" s="54"/>
      <c r="OU147" s="54"/>
      <c r="OV147" s="54"/>
      <c r="OW147" s="54"/>
      <c r="OX147" s="54"/>
      <c r="OY147" s="54"/>
      <c r="OZ147" s="54"/>
      <c r="PA147" s="54"/>
      <c r="PB147" s="54"/>
      <c r="PC147" s="54"/>
      <c r="PD147" s="54"/>
      <c r="PE147" s="54"/>
      <c r="PF147" s="54"/>
      <c r="PG147" s="54"/>
      <c r="PH147" s="54"/>
      <c r="PI147" s="54"/>
      <c r="PJ147" s="54"/>
      <c r="PK147" s="54"/>
      <c r="PL147" s="54"/>
      <c r="PM147" s="54"/>
      <c r="PN147" s="54"/>
      <c r="PO147" s="54"/>
      <c r="PP147" s="54"/>
      <c r="PQ147" s="54"/>
      <c r="PR147" s="54"/>
      <c r="PS147" s="54"/>
      <c r="PT147" s="54"/>
      <c r="PU147" s="54"/>
      <c r="PV147" s="54"/>
      <c r="PW147" s="54"/>
      <c r="PX147" s="54"/>
      <c r="PY147" s="54"/>
      <c r="PZ147" s="54"/>
      <c r="QA147" s="54"/>
      <c r="QB147" s="54"/>
      <c r="QC147" s="54"/>
      <c r="QD147" s="54"/>
      <c r="QE147" s="54"/>
      <c r="QF147" s="54"/>
      <c r="QG147" s="54"/>
      <c r="QH147" s="54"/>
      <c r="QI147" s="54"/>
      <c r="QJ147" s="54"/>
      <c r="QK147" s="54"/>
      <c r="QL147" s="54"/>
      <c r="QM147" s="54"/>
      <c r="QN147" s="54"/>
      <c r="QO147" s="54"/>
      <c r="QP147" s="54"/>
      <c r="QQ147" s="54"/>
      <c r="QR147" s="54"/>
      <c r="QS147" s="54"/>
      <c r="QT147" s="54"/>
      <c r="QU147" s="54"/>
      <c r="QV147" s="54"/>
      <c r="QW147" s="54"/>
      <c r="QX147" s="54"/>
      <c r="QY147" s="54"/>
      <c r="QZ147" s="54"/>
      <c r="RA147" s="54"/>
      <c r="RB147" s="54"/>
      <c r="RC147" s="54"/>
      <c r="RD147" s="54"/>
      <c r="RE147" s="54"/>
      <c r="RF147" s="54"/>
      <c r="RG147" s="54"/>
      <c r="RH147" s="54"/>
      <c r="RI147" s="54"/>
      <c r="RJ147" s="54"/>
      <c r="RK147" s="54"/>
      <c r="RL147" s="54"/>
      <c r="RM147" s="54"/>
      <c r="RN147" s="54"/>
      <c r="RO147" s="54"/>
      <c r="RP147" s="54"/>
      <c r="RQ147" s="54"/>
      <c r="RR147" s="54"/>
      <c r="RS147" s="54"/>
      <c r="RT147" s="54"/>
      <c r="RU147" s="54"/>
      <c r="RV147" s="54"/>
      <c r="RW147" s="54"/>
      <c r="RX147" s="54"/>
      <c r="RY147" s="54"/>
      <c r="RZ147" s="54"/>
      <c r="SA147" s="54"/>
      <c r="SB147" s="54"/>
      <c r="SC147" s="54"/>
      <c r="SD147" s="54"/>
      <c r="SE147" s="54"/>
      <c r="SF147" s="54"/>
      <c r="SG147" s="54"/>
      <c r="SH147" s="54"/>
      <c r="SI147" s="54"/>
      <c r="SJ147" s="54"/>
      <c r="SK147" s="54"/>
      <c r="SL147" s="54"/>
      <c r="SM147" s="54"/>
      <c r="SN147" s="54"/>
      <c r="SO147" s="54"/>
      <c r="SP147" s="54"/>
      <c r="SQ147" s="54"/>
      <c r="SR147" s="54"/>
    </row>
    <row r="148" spans="1:512" s="55" customFormat="1" ht="15" customHeight="1" x14ac:dyDescent="0.7">
      <c r="A148" s="173"/>
      <c r="B148" s="173"/>
      <c r="C148" s="173"/>
      <c r="D148" s="173"/>
      <c r="E148" s="173"/>
      <c r="F148" s="173"/>
      <c r="G148" s="173"/>
      <c r="H148" s="74"/>
      <c r="I148" s="75"/>
      <c r="J148" s="76"/>
      <c r="K148" s="191"/>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c r="IX148" s="56"/>
      <c r="IY148" s="56"/>
      <c r="IZ148" s="56"/>
      <c r="JA148" s="56"/>
      <c r="JB148" s="56"/>
      <c r="JC148" s="56"/>
      <c r="JD148" s="56"/>
      <c r="JE148" s="56"/>
      <c r="JF148" s="56"/>
      <c r="JG148" s="56"/>
      <c r="JH148" s="56"/>
      <c r="JI148" s="56"/>
      <c r="JJ148" s="56"/>
      <c r="JK148" s="56"/>
      <c r="JL148" s="56"/>
      <c r="JM148" s="56"/>
      <c r="JN148" s="56"/>
      <c r="JO148" s="56"/>
      <c r="JP148" s="56"/>
      <c r="JQ148" s="56"/>
      <c r="JR148" s="56"/>
      <c r="JS148" s="56"/>
      <c r="JT148" s="56"/>
      <c r="JU148" s="56"/>
      <c r="JV148" s="56"/>
      <c r="JW148" s="56"/>
      <c r="JX148" s="56"/>
      <c r="JY148" s="56"/>
      <c r="JZ148" s="56"/>
      <c r="KA148" s="56"/>
      <c r="KB148" s="56"/>
      <c r="KC148" s="56"/>
      <c r="KD148" s="56"/>
      <c r="KE148" s="56"/>
      <c r="KF148" s="56"/>
      <c r="KG148" s="56"/>
      <c r="KH148" s="56"/>
      <c r="KI148" s="56"/>
      <c r="KJ148" s="56"/>
      <c r="KK148" s="56"/>
      <c r="KL148" s="56"/>
      <c r="KM148" s="56"/>
      <c r="KN148" s="56"/>
      <c r="KO148" s="56"/>
      <c r="KP148" s="56"/>
      <c r="KQ148" s="56"/>
      <c r="KR148" s="56"/>
      <c r="KS148" s="56"/>
      <c r="KT148" s="56"/>
      <c r="KU148" s="56"/>
      <c r="KV148" s="56"/>
      <c r="KW148" s="56"/>
      <c r="KX148" s="56"/>
      <c r="KY148" s="56"/>
      <c r="KZ148" s="56"/>
      <c r="LA148" s="56"/>
      <c r="LB148" s="56"/>
      <c r="LC148" s="56"/>
      <c r="LD148" s="56"/>
      <c r="LE148" s="56"/>
      <c r="LF148" s="56"/>
      <c r="LG148" s="56"/>
      <c r="LH148" s="56"/>
      <c r="LI148" s="56"/>
      <c r="LJ148" s="56"/>
      <c r="LK148" s="56"/>
      <c r="LL148" s="56"/>
      <c r="LM148" s="56"/>
      <c r="LN148" s="56"/>
      <c r="LO148" s="56"/>
      <c r="LP148" s="56"/>
      <c r="LQ148" s="56"/>
      <c r="LR148" s="56"/>
      <c r="LS148" s="56"/>
      <c r="LT148" s="56"/>
      <c r="LU148" s="56"/>
      <c r="LV148" s="56"/>
      <c r="LW148" s="56"/>
      <c r="LX148" s="56"/>
      <c r="LY148" s="56"/>
      <c r="LZ148" s="56"/>
      <c r="MA148" s="56"/>
      <c r="MB148" s="56"/>
      <c r="MC148" s="56"/>
      <c r="MD148" s="56"/>
      <c r="ME148" s="56"/>
      <c r="MF148" s="56"/>
      <c r="MG148" s="56"/>
      <c r="MH148" s="56"/>
      <c r="MI148" s="56"/>
      <c r="MJ148" s="56"/>
      <c r="MK148" s="56"/>
      <c r="ML148" s="56"/>
      <c r="MM148" s="56"/>
      <c r="MN148" s="56"/>
      <c r="MO148" s="56"/>
      <c r="MP148" s="56"/>
      <c r="MQ148" s="56"/>
      <c r="MR148" s="56"/>
      <c r="MS148" s="56"/>
      <c r="MT148" s="56"/>
      <c r="MU148" s="56"/>
      <c r="MV148" s="56"/>
      <c r="MW148" s="56"/>
      <c r="MX148" s="56"/>
      <c r="MY148" s="56"/>
      <c r="MZ148" s="56"/>
      <c r="NA148" s="56"/>
      <c r="NB148" s="56"/>
      <c r="NC148" s="56"/>
      <c r="ND148" s="56"/>
      <c r="NE148" s="56"/>
      <c r="NF148" s="56"/>
      <c r="NG148" s="56"/>
      <c r="NH148" s="56"/>
      <c r="NI148" s="56"/>
      <c r="NJ148" s="56"/>
      <c r="NK148" s="56"/>
      <c r="NL148" s="56"/>
      <c r="NM148" s="56"/>
      <c r="NN148" s="56"/>
      <c r="NO148" s="56"/>
      <c r="NP148" s="56"/>
      <c r="NQ148" s="56"/>
      <c r="NR148" s="56"/>
      <c r="NS148" s="56"/>
      <c r="NT148" s="56"/>
      <c r="NU148" s="56"/>
      <c r="NV148" s="56"/>
      <c r="NW148" s="56"/>
      <c r="NX148" s="56"/>
      <c r="NY148" s="56"/>
      <c r="NZ148" s="56"/>
      <c r="OA148" s="56"/>
      <c r="OB148" s="56"/>
      <c r="OC148" s="56"/>
      <c r="OD148" s="56"/>
      <c r="OE148" s="56"/>
      <c r="OF148" s="56"/>
      <c r="OG148" s="56"/>
      <c r="OH148" s="56"/>
      <c r="OI148" s="56"/>
      <c r="OJ148" s="56"/>
      <c r="OK148" s="56"/>
      <c r="OL148" s="56"/>
      <c r="OM148" s="56"/>
      <c r="ON148" s="56"/>
      <c r="OO148" s="56"/>
      <c r="OP148" s="56"/>
      <c r="OQ148" s="56"/>
      <c r="OR148" s="56"/>
      <c r="OS148" s="56"/>
      <c r="OT148" s="56"/>
      <c r="OU148" s="56"/>
      <c r="OV148" s="56"/>
      <c r="OW148" s="56"/>
      <c r="OX148" s="56"/>
      <c r="OY148" s="56"/>
      <c r="OZ148" s="56"/>
      <c r="PA148" s="56"/>
      <c r="PB148" s="56"/>
      <c r="PC148" s="56"/>
      <c r="PD148" s="56"/>
      <c r="PE148" s="56"/>
      <c r="PF148" s="56"/>
      <c r="PG148" s="56"/>
      <c r="PH148" s="56"/>
      <c r="PI148" s="56"/>
      <c r="PJ148" s="56"/>
      <c r="PK148" s="56"/>
      <c r="PL148" s="56"/>
      <c r="PM148" s="56"/>
      <c r="PN148" s="56"/>
      <c r="PO148" s="56"/>
      <c r="PP148" s="56"/>
      <c r="PQ148" s="56"/>
      <c r="PR148" s="56"/>
      <c r="PS148" s="56"/>
      <c r="PT148" s="56"/>
      <c r="PU148" s="56"/>
      <c r="PV148" s="56"/>
      <c r="PW148" s="56"/>
      <c r="PX148" s="56"/>
      <c r="PY148" s="56"/>
      <c r="PZ148" s="56"/>
      <c r="QA148" s="56"/>
      <c r="QB148" s="56"/>
      <c r="QC148" s="56"/>
      <c r="QD148" s="56"/>
      <c r="QE148" s="56"/>
      <c r="QF148" s="56"/>
      <c r="QG148" s="56"/>
      <c r="QH148" s="56"/>
      <c r="QI148" s="56"/>
      <c r="QJ148" s="56"/>
      <c r="QK148" s="56"/>
      <c r="QL148" s="56"/>
      <c r="QM148" s="56"/>
      <c r="QN148" s="56"/>
      <c r="QO148" s="56"/>
      <c r="QP148" s="56"/>
      <c r="QQ148" s="56"/>
      <c r="QR148" s="56"/>
      <c r="QS148" s="56"/>
      <c r="QT148" s="56"/>
      <c r="QU148" s="56"/>
      <c r="QV148" s="56"/>
      <c r="QW148" s="56"/>
      <c r="QX148" s="56"/>
      <c r="QY148" s="56"/>
      <c r="QZ148" s="56"/>
      <c r="RA148" s="56"/>
      <c r="RB148" s="56"/>
      <c r="RC148" s="56"/>
      <c r="RD148" s="56"/>
      <c r="RE148" s="56"/>
      <c r="RF148" s="56"/>
      <c r="RG148" s="56"/>
      <c r="RH148" s="56"/>
      <c r="RI148" s="56"/>
      <c r="RJ148" s="56"/>
      <c r="RK148" s="56"/>
      <c r="RL148" s="56"/>
      <c r="RM148" s="56"/>
      <c r="RN148" s="56"/>
      <c r="RO148" s="56"/>
      <c r="RP148" s="56"/>
      <c r="RQ148" s="56"/>
      <c r="RR148" s="56"/>
      <c r="RS148" s="56"/>
      <c r="RT148" s="56"/>
      <c r="RU148" s="56"/>
      <c r="RV148" s="56"/>
      <c r="RW148" s="56"/>
      <c r="RX148" s="56"/>
      <c r="RY148" s="56"/>
      <c r="RZ148" s="56"/>
      <c r="SA148" s="56"/>
      <c r="SB148" s="56"/>
      <c r="SC148" s="56"/>
      <c r="SD148" s="56"/>
      <c r="SE148" s="56"/>
      <c r="SF148" s="56"/>
      <c r="SG148" s="56"/>
      <c r="SH148" s="56"/>
      <c r="SI148" s="56"/>
      <c r="SJ148" s="56"/>
      <c r="SK148" s="56"/>
      <c r="SL148" s="56"/>
      <c r="SM148" s="56"/>
      <c r="SN148" s="56"/>
      <c r="SO148" s="56"/>
      <c r="SP148" s="56"/>
      <c r="SQ148" s="56"/>
      <c r="SR148" s="56"/>
    </row>
    <row r="149" spans="1:512" ht="15" customHeight="1" x14ac:dyDescent="0.7">
      <c r="A149" s="171" t="s">
        <v>344</v>
      </c>
      <c r="B149" s="171" t="s">
        <v>344</v>
      </c>
      <c r="C149" s="171" t="s">
        <v>344</v>
      </c>
      <c r="D149" s="171"/>
      <c r="E149" s="171" t="s">
        <v>344</v>
      </c>
      <c r="F149" s="171"/>
      <c r="G149" s="188" t="s">
        <v>344</v>
      </c>
      <c r="H149" s="71" t="s">
        <v>344</v>
      </c>
      <c r="I149" s="72" t="s">
        <v>344</v>
      </c>
      <c r="J149" s="73" t="s">
        <v>344</v>
      </c>
      <c r="K149" s="189" t="s">
        <v>344</v>
      </c>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c r="HP149" s="54"/>
      <c r="HQ149" s="54"/>
      <c r="HR149" s="54"/>
      <c r="HS149" s="54"/>
      <c r="HT149" s="54"/>
      <c r="HU149" s="54"/>
      <c r="HV149" s="54"/>
      <c r="HW149" s="54"/>
      <c r="HX149" s="54"/>
      <c r="HY149" s="54"/>
      <c r="HZ149" s="54"/>
      <c r="IA149" s="54"/>
      <c r="IB149" s="54"/>
      <c r="IC149" s="54"/>
      <c r="ID149" s="54"/>
      <c r="IE149" s="54"/>
      <c r="IF149" s="54"/>
      <c r="IG149" s="54"/>
      <c r="IH149" s="54"/>
      <c r="II149" s="54"/>
      <c r="IJ149" s="54"/>
      <c r="IK149" s="54"/>
      <c r="IL149" s="54"/>
      <c r="IM149" s="54"/>
      <c r="IN149" s="54"/>
      <c r="IO149" s="54"/>
      <c r="IP149" s="54"/>
      <c r="IQ149" s="54"/>
      <c r="IR149" s="54"/>
      <c r="IS149" s="54"/>
      <c r="IT149" s="54"/>
      <c r="IU149" s="54"/>
      <c r="IV149" s="54"/>
      <c r="IW149" s="54"/>
      <c r="IX149" s="54"/>
      <c r="IY149" s="54"/>
      <c r="IZ149" s="54"/>
      <c r="JA149" s="54"/>
      <c r="JB149" s="54"/>
      <c r="JC149" s="54"/>
      <c r="JD149" s="54"/>
      <c r="JE149" s="54"/>
      <c r="JF149" s="54"/>
      <c r="JG149" s="54"/>
      <c r="JH149" s="54"/>
      <c r="JI149" s="54"/>
      <c r="JJ149" s="54"/>
      <c r="JK149" s="54"/>
      <c r="JL149" s="54"/>
      <c r="JM149" s="54"/>
      <c r="JN149" s="54"/>
      <c r="JO149" s="54"/>
      <c r="JP149" s="54"/>
      <c r="JQ149" s="54"/>
      <c r="JR149" s="54"/>
      <c r="JS149" s="54"/>
      <c r="JT149" s="54"/>
      <c r="JU149" s="54"/>
      <c r="JV149" s="54"/>
      <c r="JW149" s="54"/>
      <c r="JX149" s="54"/>
      <c r="JY149" s="54"/>
      <c r="JZ149" s="54"/>
      <c r="KA149" s="54"/>
      <c r="KB149" s="54"/>
      <c r="KC149" s="54"/>
      <c r="KD149" s="54"/>
      <c r="KE149" s="54"/>
      <c r="KF149" s="54"/>
      <c r="KG149" s="54"/>
      <c r="KH149" s="54"/>
      <c r="KI149" s="54"/>
      <c r="KJ149" s="54"/>
      <c r="KK149" s="54"/>
      <c r="KL149" s="54"/>
      <c r="KM149" s="54"/>
      <c r="KN149" s="54"/>
      <c r="KO149" s="54"/>
      <c r="KP149" s="54"/>
      <c r="KQ149" s="54"/>
      <c r="KR149" s="54"/>
      <c r="KS149" s="54"/>
      <c r="KT149" s="54"/>
      <c r="KU149" s="54"/>
      <c r="KV149" s="54"/>
      <c r="KW149" s="54"/>
      <c r="KX149" s="54"/>
      <c r="KY149" s="54"/>
      <c r="KZ149" s="54"/>
      <c r="LA149" s="54"/>
      <c r="LB149" s="54"/>
      <c r="LC149" s="54"/>
      <c r="LD149" s="54"/>
      <c r="LE149" s="54"/>
      <c r="LF149" s="54"/>
      <c r="LG149" s="54"/>
      <c r="LH149" s="54"/>
      <c r="LI149" s="54"/>
      <c r="LJ149" s="54"/>
      <c r="LK149" s="54"/>
      <c r="LL149" s="54"/>
      <c r="LM149" s="54"/>
      <c r="LN149" s="54"/>
      <c r="LO149" s="54"/>
      <c r="LP149" s="54"/>
      <c r="LQ149" s="54"/>
      <c r="LR149" s="54"/>
      <c r="LS149" s="54"/>
      <c r="LT149" s="54"/>
      <c r="LU149" s="54"/>
      <c r="LV149" s="54"/>
      <c r="LW149" s="54"/>
      <c r="LX149" s="54"/>
      <c r="LY149" s="54"/>
      <c r="LZ149" s="54"/>
      <c r="MA149" s="54"/>
      <c r="MB149" s="54"/>
      <c r="MC149" s="54"/>
      <c r="MD149" s="54"/>
      <c r="ME149" s="54"/>
      <c r="MF149" s="54"/>
      <c r="MG149" s="54"/>
      <c r="MH149" s="54"/>
      <c r="MI149" s="54"/>
      <c r="MJ149" s="54"/>
      <c r="MK149" s="54"/>
      <c r="ML149" s="54"/>
      <c r="MM149" s="54"/>
      <c r="MN149" s="54"/>
      <c r="MO149" s="54"/>
      <c r="MP149" s="54"/>
      <c r="MQ149" s="54"/>
      <c r="MR149" s="54"/>
      <c r="MS149" s="54"/>
      <c r="MT149" s="54"/>
      <c r="MU149" s="54"/>
      <c r="MV149" s="54"/>
      <c r="MW149" s="54"/>
      <c r="MX149" s="54"/>
      <c r="MY149" s="54"/>
      <c r="MZ149" s="54"/>
      <c r="NA149" s="54"/>
      <c r="NB149" s="54"/>
      <c r="NC149" s="54"/>
      <c r="ND149" s="54"/>
      <c r="NE149" s="54"/>
      <c r="NF149" s="54"/>
      <c r="NG149" s="54"/>
      <c r="NH149" s="54"/>
      <c r="NI149" s="54"/>
      <c r="NJ149" s="54"/>
      <c r="NK149" s="54"/>
      <c r="NL149" s="54"/>
      <c r="NM149" s="54"/>
      <c r="NN149" s="54"/>
      <c r="NO149" s="54"/>
      <c r="NP149" s="54"/>
      <c r="NQ149" s="54"/>
      <c r="NR149" s="54"/>
      <c r="NS149" s="54"/>
      <c r="NT149" s="54"/>
      <c r="NU149" s="54"/>
      <c r="NV149" s="54"/>
      <c r="NW149" s="54"/>
      <c r="NX149" s="54"/>
      <c r="NY149" s="54"/>
      <c r="NZ149" s="54"/>
      <c r="OA149" s="54"/>
      <c r="OB149" s="54"/>
      <c r="OC149" s="54"/>
      <c r="OD149" s="54"/>
      <c r="OE149" s="54"/>
      <c r="OF149" s="54"/>
      <c r="OG149" s="54"/>
      <c r="OH149" s="54"/>
      <c r="OI149" s="54"/>
      <c r="OJ149" s="54"/>
      <c r="OK149" s="54"/>
      <c r="OL149" s="54"/>
      <c r="OM149" s="54"/>
      <c r="ON149" s="54"/>
      <c r="OO149" s="54"/>
      <c r="OP149" s="54"/>
      <c r="OQ149" s="54"/>
      <c r="OR149" s="54"/>
      <c r="OS149" s="54"/>
      <c r="OT149" s="54"/>
      <c r="OU149" s="54"/>
      <c r="OV149" s="54"/>
      <c r="OW149" s="54"/>
      <c r="OX149" s="54"/>
      <c r="OY149" s="54"/>
      <c r="OZ149" s="54"/>
      <c r="PA149" s="54"/>
      <c r="PB149" s="54"/>
      <c r="PC149" s="54"/>
      <c r="PD149" s="54"/>
      <c r="PE149" s="54"/>
      <c r="PF149" s="54"/>
      <c r="PG149" s="54"/>
      <c r="PH149" s="54"/>
      <c r="PI149" s="54"/>
      <c r="PJ149" s="54"/>
      <c r="PK149" s="54"/>
      <c r="PL149" s="54"/>
      <c r="PM149" s="54"/>
      <c r="PN149" s="54"/>
      <c r="PO149" s="54"/>
      <c r="PP149" s="54"/>
      <c r="PQ149" s="54"/>
      <c r="PR149" s="54"/>
      <c r="PS149" s="54"/>
      <c r="PT149" s="54"/>
      <c r="PU149" s="54"/>
      <c r="PV149" s="54"/>
      <c r="PW149" s="54"/>
      <c r="PX149" s="54"/>
      <c r="PY149" s="54"/>
      <c r="PZ149" s="54"/>
      <c r="QA149" s="54"/>
      <c r="QB149" s="54"/>
      <c r="QC149" s="54"/>
      <c r="QD149" s="54"/>
      <c r="QE149" s="54"/>
      <c r="QF149" s="54"/>
      <c r="QG149" s="54"/>
      <c r="QH149" s="54"/>
      <c r="QI149" s="54"/>
      <c r="QJ149" s="54"/>
      <c r="QK149" s="54"/>
      <c r="QL149" s="54"/>
      <c r="QM149" s="54"/>
      <c r="QN149" s="54"/>
      <c r="QO149" s="54"/>
      <c r="QP149" s="54"/>
      <c r="QQ149" s="54"/>
      <c r="QR149" s="54"/>
      <c r="QS149" s="54"/>
      <c r="QT149" s="54"/>
      <c r="QU149" s="54"/>
      <c r="QV149" s="54"/>
      <c r="QW149" s="54"/>
      <c r="QX149" s="54"/>
      <c r="QY149" s="54"/>
      <c r="QZ149" s="54"/>
      <c r="RA149" s="54"/>
      <c r="RB149" s="54"/>
      <c r="RC149" s="54"/>
      <c r="RD149" s="54"/>
      <c r="RE149" s="54"/>
      <c r="RF149" s="54"/>
      <c r="RG149" s="54"/>
      <c r="RH149" s="54"/>
      <c r="RI149" s="54"/>
      <c r="RJ149" s="54"/>
      <c r="RK149" s="54"/>
      <c r="RL149" s="54"/>
      <c r="RM149" s="54"/>
      <c r="RN149" s="54"/>
      <c r="RO149" s="54"/>
      <c r="RP149" s="54"/>
      <c r="RQ149" s="54"/>
      <c r="RR149" s="54"/>
      <c r="RS149" s="54"/>
      <c r="RT149" s="54"/>
      <c r="RU149" s="54"/>
      <c r="RV149" s="54"/>
      <c r="RW149" s="54"/>
      <c r="RX149" s="54"/>
      <c r="RY149" s="54"/>
      <c r="RZ149" s="54"/>
      <c r="SA149" s="54"/>
      <c r="SB149" s="54"/>
      <c r="SC149" s="54"/>
      <c r="SD149" s="54"/>
      <c r="SE149" s="54"/>
      <c r="SF149" s="54"/>
      <c r="SG149" s="54"/>
      <c r="SH149" s="54"/>
      <c r="SI149" s="54"/>
      <c r="SJ149" s="54"/>
      <c r="SK149" s="54"/>
      <c r="SL149" s="54"/>
      <c r="SM149" s="54"/>
      <c r="SN149" s="54"/>
      <c r="SO149" s="54"/>
      <c r="SP149" s="54"/>
      <c r="SQ149" s="54"/>
      <c r="SR149" s="54"/>
    </row>
    <row r="150" spans="1:512" ht="15" customHeight="1" x14ac:dyDescent="0.7">
      <c r="A150" s="172"/>
      <c r="B150" s="172"/>
      <c r="C150" s="172"/>
      <c r="D150" s="172"/>
      <c r="E150" s="172"/>
      <c r="F150" s="172"/>
      <c r="G150" s="172"/>
      <c r="I150" s="72" t="s">
        <v>344</v>
      </c>
      <c r="J150" s="73" t="s">
        <v>344</v>
      </c>
      <c r="K150" s="190"/>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c r="IR150" s="54"/>
      <c r="IS150" s="54"/>
      <c r="IT150" s="54"/>
      <c r="IU150" s="54"/>
      <c r="IV150" s="54"/>
      <c r="IW150" s="54"/>
      <c r="IX150" s="54"/>
      <c r="IY150" s="54"/>
      <c r="IZ150" s="54"/>
      <c r="JA150" s="54"/>
      <c r="JB150" s="54"/>
      <c r="JC150" s="54"/>
      <c r="JD150" s="54"/>
      <c r="JE150" s="54"/>
      <c r="JF150" s="54"/>
      <c r="JG150" s="54"/>
      <c r="JH150" s="54"/>
      <c r="JI150" s="54"/>
      <c r="JJ150" s="54"/>
      <c r="JK150" s="54"/>
      <c r="JL150" s="54"/>
      <c r="JM150" s="54"/>
      <c r="JN150" s="54"/>
      <c r="JO150" s="54"/>
      <c r="JP150" s="54"/>
      <c r="JQ150" s="54"/>
      <c r="JR150" s="54"/>
      <c r="JS150" s="54"/>
      <c r="JT150" s="54"/>
      <c r="JU150" s="54"/>
      <c r="JV150" s="54"/>
      <c r="JW150" s="54"/>
      <c r="JX150" s="54"/>
      <c r="JY150" s="54"/>
      <c r="JZ150" s="54"/>
      <c r="KA150" s="54"/>
      <c r="KB150" s="54"/>
      <c r="KC150" s="54"/>
      <c r="KD150" s="54"/>
      <c r="KE150" s="54"/>
      <c r="KF150" s="54"/>
      <c r="KG150" s="54"/>
      <c r="KH150" s="54"/>
      <c r="KI150" s="54"/>
      <c r="KJ150" s="54"/>
      <c r="KK150" s="54"/>
      <c r="KL150" s="54"/>
      <c r="KM150" s="54"/>
      <c r="KN150" s="54"/>
      <c r="KO150" s="54"/>
      <c r="KP150" s="54"/>
      <c r="KQ150" s="54"/>
      <c r="KR150" s="54"/>
      <c r="KS150" s="54"/>
      <c r="KT150" s="54"/>
      <c r="KU150" s="54"/>
      <c r="KV150" s="54"/>
      <c r="KW150" s="54"/>
      <c r="KX150" s="54"/>
      <c r="KY150" s="54"/>
      <c r="KZ150" s="54"/>
      <c r="LA150" s="54"/>
      <c r="LB150" s="54"/>
      <c r="LC150" s="54"/>
      <c r="LD150" s="54"/>
      <c r="LE150" s="54"/>
      <c r="LF150" s="54"/>
      <c r="LG150" s="54"/>
      <c r="LH150" s="54"/>
      <c r="LI150" s="54"/>
      <c r="LJ150" s="54"/>
      <c r="LK150" s="54"/>
      <c r="LL150" s="54"/>
      <c r="LM150" s="54"/>
      <c r="LN150" s="54"/>
      <c r="LO150" s="54"/>
      <c r="LP150" s="54"/>
      <c r="LQ150" s="54"/>
      <c r="LR150" s="54"/>
      <c r="LS150" s="54"/>
      <c r="LT150" s="54"/>
      <c r="LU150" s="54"/>
      <c r="LV150" s="54"/>
      <c r="LW150" s="54"/>
      <c r="LX150" s="54"/>
      <c r="LY150" s="54"/>
      <c r="LZ150" s="54"/>
      <c r="MA150" s="54"/>
      <c r="MB150" s="54"/>
      <c r="MC150" s="54"/>
      <c r="MD150" s="54"/>
      <c r="ME150" s="54"/>
      <c r="MF150" s="54"/>
      <c r="MG150" s="54"/>
      <c r="MH150" s="54"/>
      <c r="MI150" s="54"/>
      <c r="MJ150" s="54"/>
      <c r="MK150" s="54"/>
      <c r="ML150" s="54"/>
      <c r="MM150" s="54"/>
      <c r="MN150" s="54"/>
      <c r="MO150" s="54"/>
      <c r="MP150" s="54"/>
      <c r="MQ150" s="54"/>
      <c r="MR150" s="54"/>
      <c r="MS150" s="54"/>
      <c r="MT150" s="54"/>
      <c r="MU150" s="54"/>
      <c r="MV150" s="54"/>
      <c r="MW150" s="54"/>
      <c r="MX150" s="54"/>
      <c r="MY150" s="54"/>
      <c r="MZ150" s="54"/>
      <c r="NA150" s="54"/>
      <c r="NB150" s="54"/>
      <c r="NC150" s="54"/>
      <c r="ND150" s="54"/>
      <c r="NE150" s="54"/>
      <c r="NF150" s="54"/>
      <c r="NG150" s="54"/>
      <c r="NH150" s="54"/>
      <c r="NI150" s="54"/>
      <c r="NJ150" s="54"/>
      <c r="NK150" s="54"/>
      <c r="NL150" s="54"/>
      <c r="NM150" s="54"/>
      <c r="NN150" s="54"/>
      <c r="NO150" s="54"/>
      <c r="NP150" s="54"/>
      <c r="NQ150" s="54"/>
      <c r="NR150" s="54"/>
      <c r="NS150" s="54"/>
      <c r="NT150" s="54"/>
      <c r="NU150" s="54"/>
      <c r="NV150" s="54"/>
      <c r="NW150" s="54"/>
      <c r="NX150" s="54"/>
      <c r="NY150" s="54"/>
      <c r="NZ150" s="54"/>
      <c r="OA150" s="54"/>
      <c r="OB150" s="54"/>
      <c r="OC150" s="54"/>
      <c r="OD150" s="54"/>
      <c r="OE150" s="54"/>
      <c r="OF150" s="54"/>
      <c r="OG150" s="54"/>
      <c r="OH150" s="54"/>
      <c r="OI150" s="54"/>
      <c r="OJ150" s="54"/>
      <c r="OK150" s="54"/>
      <c r="OL150" s="54"/>
      <c r="OM150" s="54"/>
      <c r="ON150" s="54"/>
      <c r="OO150" s="54"/>
      <c r="OP150" s="54"/>
      <c r="OQ150" s="54"/>
      <c r="OR150" s="54"/>
      <c r="OS150" s="54"/>
      <c r="OT150" s="54"/>
      <c r="OU150" s="54"/>
      <c r="OV150" s="54"/>
      <c r="OW150" s="54"/>
      <c r="OX150" s="54"/>
      <c r="OY150" s="54"/>
      <c r="OZ150" s="54"/>
      <c r="PA150" s="54"/>
      <c r="PB150" s="54"/>
      <c r="PC150" s="54"/>
      <c r="PD150" s="54"/>
      <c r="PE150" s="54"/>
      <c r="PF150" s="54"/>
      <c r="PG150" s="54"/>
      <c r="PH150" s="54"/>
      <c r="PI150" s="54"/>
      <c r="PJ150" s="54"/>
      <c r="PK150" s="54"/>
      <c r="PL150" s="54"/>
      <c r="PM150" s="54"/>
      <c r="PN150" s="54"/>
      <c r="PO150" s="54"/>
      <c r="PP150" s="54"/>
      <c r="PQ150" s="54"/>
      <c r="PR150" s="54"/>
      <c r="PS150" s="54"/>
      <c r="PT150" s="54"/>
      <c r="PU150" s="54"/>
      <c r="PV150" s="54"/>
      <c r="PW150" s="54"/>
      <c r="PX150" s="54"/>
      <c r="PY150" s="54"/>
      <c r="PZ150" s="54"/>
      <c r="QA150" s="54"/>
      <c r="QB150" s="54"/>
      <c r="QC150" s="54"/>
      <c r="QD150" s="54"/>
      <c r="QE150" s="54"/>
      <c r="QF150" s="54"/>
      <c r="QG150" s="54"/>
      <c r="QH150" s="54"/>
      <c r="QI150" s="54"/>
      <c r="QJ150" s="54"/>
      <c r="QK150" s="54"/>
      <c r="QL150" s="54"/>
      <c r="QM150" s="54"/>
      <c r="QN150" s="54"/>
      <c r="QO150" s="54"/>
      <c r="QP150" s="54"/>
      <c r="QQ150" s="54"/>
      <c r="QR150" s="54"/>
      <c r="QS150" s="54"/>
      <c r="QT150" s="54"/>
      <c r="QU150" s="54"/>
      <c r="QV150" s="54"/>
      <c r="QW150" s="54"/>
      <c r="QX150" s="54"/>
      <c r="QY150" s="54"/>
      <c r="QZ150" s="54"/>
      <c r="RA150" s="54"/>
      <c r="RB150" s="54"/>
      <c r="RC150" s="54"/>
      <c r="RD150" s="54"/>
      <c r="RE150" s="54"/>
      <c r="RF150" s="54"/>
      <c r="RG150" s="54"/>
      <c r="RH150" s="54"/>
      <c r="RI150" s="54"/>
      <c r="RJ150" s="54"/>
      <c r="RK150" s="54"/>
      <c r="RL150" s="54"/>
      <c r="RM150" s="54"/>
      <c r="RN150" s="54"/>
      <c r="RO150" s="54"/>
      <c r="RP150" s="54"/>
      <c r="RQ150" s="54"/>
      <c r="RR150" s="54"/>
      <c r="RS150" s="54"/>
      <c r="RT150" s="54"/>
      <c r="RU150" s="54"/>
      <c r="RV150" s="54"/>
      <c r="RW150" s="54"/>
      <c r="RX150" s="54"/>
      <c r="RY150" s="54"/>
      <c r="RZ150" s="54"/>
      <c r="SA150" s="54"/>
      <c r="SB150" s="54"/>
      <c r="SC150" s="54"/>
      <c r="SD150" s="54"/>
      <c r="SE150" s="54"/>
      <c r="SF150" s="54"/>
      <c r="SG150" s="54"/>
      <c r="SH150" s="54"/>
      <c r="SI150" s="54"/>
      <c r="SJ150" s="54"/>
      <c r="SK150" s="54"/>
      <c r="SL150" s="54"/>
      <c r="SM150" s="54"/>
      <c r="SN150" s="54"/>
      <c r="SO150" s="54"/>
      <c r="SP150" s="54"/>
      <c r="SQ150" s="54"/>
      <c r="SR150" s="54"/>
    </row>
    <row r="151" spans="1:512" s="55" customFormat="1" ht="15" customHeight="1" x14ac:dyDescent="0.7">
      <c r="A151" s="173"/>
      <c r="B151" s="173"/>
      <c r="C151" s="173"/>
      <c r="D151" s="173"/>
      <c r="E151" s="173"/>
      <c r="F151" s="173"/>
      <c r="G151" s="173"/>
      <c r="H151" s="74"/>
      <c r="I151" s="75"/>
      <c r="J151" s="76"/>
      <c r="K151" s="191"/>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c r="IX151" s="56"/>
      <c r="IY151" s="56"/>
      <c r="IZ151" s="56"/>
      <c r="JA151" s="56"/>
      <c r="JB151" s="56"/>
      <c r="JC151" s="56"/>
      <c r="JD151" s="56"/>
      <c r="JE151" s="56"/>
      <c r="JF151" s="56"/>
      <c r="JG151" s="56"/>
      <c r="JH151" s="56"/>
      <c r="JI151" s="56"/>
      <c r="JJ151" s="56"/>
      <c r="JK151" s="56"/>
      <c r="JL151" s="56"/>
      <c r="JM151" s="56"/>
      <c r="JN151" s="56"/>
      <c r="JO151" s="56"/>
      <c r="JP151" s="56"/>
      <c r="JQ151" s="56"/>
      <c r="JR151" s="56"/>
      <c r="JS151" s="56"/>
      <c r="JT151" s="56"/>
      <c r="JU151" s="56"/>
      <c r="JV151" s="56"/>
      <c r="JW151" s="56"/>
      <c r="JX151" s="56"/>
      <c r="JY151" s="56"/>
      <c r="JZ151" s="56"/>
      <c r="KA151" s="56"/>
      <c r="KB151" s="56"/>
      <c r="KC151" s="56"/>
      <c r="KD151" s="56"/>
      <c r="KE151" s="56"/>
      <c r="KF151" s="56"/>
      <c r="KG151" s="56"/>
      <c r="KH151" s="56"/>
      <c r="KI151" s="56"/>
      <c r="KJ151" s="56"/>
      <c r="KK151" s="56"/>
      <c r="KL151" s="56"/>
      <c r="KM151" s="56"/>
      <c r="KN151" s="56"/>
      <c r="KO151" s="56"/>
      <c r="KP151" s="56"/>
      <c r="KQ151" s="56"/>
      <c r="KR151" s="56"/>
      <c r="KS151" s="56"/>
      <c r="KT151" s="56"/>
      <c r="KU151" s="56"/>
      <c r="KV151" s="56"/>
      <c r="KW151" s="56"/>
      <c r="KX151" s="56"/>
      <c r="KY151" s="56"/>
      <c r="KZ151" s="56"/>
      <c r="LA151" s="56"/>
      <c r="LB151" s="56"/>
      <c r="LC151" s="56"/>
      <c r="LD151" s="56"/>
      <c r="LE151" s="56"/>
      <c r="LF151" s="56"/>
      <c r="LG151" s="56"/>
      <c r="LH151" s="56"/>
      <c r="LI151" s="56"/>
      <c r="LJ151" s="56"/>
      <c r="LK151" s="56"/>
      <c r="LL151" s="56"/>
      <c r="LM151" s="56"/>
      <c r="LN151" s="56"/>
      <c r="LO151" s="56"/>
      <c r="LP151" s="56"/>
      <c r="LQ151" s="56"/>
      <c r="LR151" s="56"/>
      <c r="LS151" s="56"/>
      <c r="LT151" s="56"/>
      <c r="LU151" s="56"/>
      <c r="LV151" s="56"/>
      <c r="LW151" s="56"/>
      <c r="LX151" s="56"/>
      <c r="LY151" s="56"/>
      <c r="LZ151" s="56"/>
      <c r="MA151" s="56"/>
      <c r="MB151" s="56"/>
      <c r="MC151" s="56"/>
      <c r="MD151" s="56"/>
      <c r="ME151" s="56"/>
      <c r="MF151" s="56"/>
      <c r="MG151" s="56"/>
      <c r="MH151" s="56"/>
      <c r="MI151" s="56"/>
      <c r="MJ151" s="56"/>
      <c r="MK151" s="56"/>
      <c r="ML151" s="56"/>
      <c r="MM151" s="56"/>
      <c r="MN151" s="56"/>
      <c r="MO151" s="56"/>
      <c r="MP151" s="56"/>
      <c r="MQ151" s="56"/>
      <c r="MR151" s="56"/>
      <c r="MS151" s="56"/>
      <c r="MT151" s="56"/>
      <c r="MU151" s="56"/>
      <c r="MV151" s="56"/>
      <c r="MW151" s="56"/>
      <c r="MX151" s="56"/>
      <c r="MY151" s="56"/>
      <c r="MZ151" s="56"/>
      <c r="NA151" s="56"/>
      <c r="NB151" s="56"/>
      <c r="NC151" s="56"/>
      <c r="ND151" s="56"/>
      <c r="NE151" s="56"/>
      <c r="NF151" s="56"/>
      <c r="NG151" s="56"/>
      <c r="NH151" s="56"/>
      <c r="NI151" s="56"/>
      <c r="NJ151" s="56"/>
      <c r="NK151" s="56"/>
      <c r="NL151" s="56"/>
      <c r="NM151" s="56"/>
      <c r="NN151" s="56"/>
      <c r="NO151" s="56"/>
      <c r="NP151" s="56"/>
      <c r="NQ151" s="56"/>
      <c r="NR151" s="56"/>
      <c r="NS151" s="56"/>
      <c r="NT151" s="56"/>
      <c r="NU151" s="56"/>
      <c r="NV151" s="56"/>
      <c r="NW151" s="56"/>
      <c r="NX151" s="56"/>
      <c r="NY151" s="56"/>
      <c r="NZ151" s="56"/>
      <c r="OA151" s="56"/>
      <c r="OB151" s="56"/>
      <c r="OC151" s="56"/>
      <c r="OD151" s="56"/>
      <c r="OE151" s="56"/>
      <c r="OF151" s="56"/>
      <c r="OG151" s="56"/>
      <c r="OH151" s="56"/>
      <c r="OI151" s="56"/>
      <c r="OJ151" s="56"/>
      <c r="OK151" s="56"/>
      <c r="OL151" s="56"/>
      <c r="OM151" s="56"/>
      <c r="ON151" s="56"/>
      <c r="OO151" s="56"/>
      <c r="OP151" s="56"/>
      <c r="OQ151" s="56"/>
      <c r="OR151" s="56"/>
      <c r="OS151" s="56"/>
      <c r="OT151" s="56"/>
      <c r="OU151" s="56"/>
      <c r="OV151" s="56"/>
      <c r="OW151" s="56"/>
      <c r="OX151" s="56"/>
      <c r="OY151" s="56"/>
      <c r="OZ151" s="56"/>
      <c r="PA151" s="56"/>
      <c r="PB151" s="56"/>
      <c r="PC151" s="56"/>
      <c r="PD151" s="56"/>
      <c r="PE151" s="56"/>
      <c r="PF151" s="56"/>
      <c r="PG151" s="56"/>
      <c r="PH151" s="56"/>
      <c r="PI151" s="56"/>
      <c r="PJ151" s="56"/>
      <c r="PK151" s="56"/>
      <c r="PL151" s="56"/>
      <c r="PM151" s="56"/>
      <c r="PN151" s="56"/>
      <c r="PO151" s="56"/>
      <c r="PP151" s="56"/>
      <c r="PQ151" s="56"/>
      <c r="PR151" s="56"/>
      <c r="PS151" s="56"/>
      <c r="PT151" s="56"/>
      <c r="PU151" s="56"/>
      <c r="PV151" s="56"/>
      <c r="PW151" s="56"/>
      <c r="PX151" s="56"/>
      <c r="PY151" s="56"/>
      <c r="PZ151" s="56"/>
      <c r="QA151" s="56"/>
      <c r="QB151" s="56"/>
      <c r="QC151" s="56"/>
      <c r="QD151" s="56"/>
      <c r="QE151" s="56"/>
      <c r="QF151" s="56"/>
      <c r="QG151" s="56"/>
      <c r="QH151" s="56"/>
      <c r="QI151" s="56"/>
      <c r="QJ151" s="56"/>
      <c r="QK151" s="56"/>
      <c r="QL151" s="56"/>
      <c r="QM151" s="56"/>
      <c r="QN151" s="56"/>
      <c r="QO151" s="56"/>
      <c r="QP151" s="56"/>
      <c r="QQ151" s="56"/>
      <c r="QR151" s="56"/>
      <c r="QS151" s="56"/>
      <c r="QT151" s="56"/>
      <c r="QU151" s="56"/>
      <c r="QV151" s="56"/>
      <c r="QW151" s="56"/>
      <c r="QX151" s="56"/>
      <c r="QY151" s="56"/>
      <c r="QZ151" s="56"/>
      <c r="RA151" s="56"/>
      <c r="RB151" s="56"/>
      <c r="RC151" s="56"/>
      <c r="RD151" s="56"/>
      <c r="RE151" s="56"/>
      <c r="RF151" s="56"/>
      <c r="RG151" s="56"/>
      <c r="RH151" s="56"/>
      <c r="RI151" s="56"/>
      <c r="RJ151" s="56"/>
      <c r="RK151" s="56"/>
      <c r="RL151" s="56"/>
      <c r="RM151" s="56"/>
      <c r="RN151" s="56"/>
      <c r="RO151" s="56"/>
      <c r="RP151" s="56"/>
      <c r="RQ151" s="56"/>
      <c r="RR151" s="56"/>
      <c r="RS151" s="56"/>
      <c r="RT151" s="56"/>
      <c r="RU151" s="56"/>
      <c r="RV151" s="56"/>
      <c r="RW151" s="56"/>
      <c r="RX151" s="56"/>
      <c r="RY151" s="56"/>
      <c r="RZ151" s="56"/>
      <c r="SA151" s="56"/>
      <c r="SB151" s="56"/>
      <c r="SC151" s="56"/>
      <c r="SD151" s="56"/>
      <c r="SE151" s="56"/>
      <c r="SF151" s="56"/>
      <c r="SG151" s="56"/>
      <c r="SH151" s="56"/>
      <c r="SI151" s="56"/>
      <c r="SJ151" s="56"/>
      <c r="SK151" s="56"/>
      <c r="SL151" s="56"/>
      <c r="SM151" s="56"/>
      <c r="SN151" s="56"/>
      <c r="SO151" s="56"/>
      <c r="SP151" s="56"/>
      <c r="SQ151" s="56"/>
      <c r="SR151" s="56"/>
    </row>
    <row r="152" spans="1:512" ht="15" customHeight="1" x14ac:dyDescent="0.7">
      <c r="A152" s="171" t="s">
        <v>344</v>
      </c>
      <c r="B152" s="171" t="s">
        <v>344</v>
      </c>
      <c r="C152" s="171" t="s">
        <v>344</v>
      </c>
      <c r="D152" s="171"/>
      <c r="E152" s="171" t="s">
        <v>344</v>
      </c>
      <c r="F152" s="171"/>
      <c r="G152" s="188" t="s">
        <v>344</v>
      </c>
      <c r="H152" s="71" t="s">
        <v>344</v>
      </c>
      <c r="I152" s="72" t="s">
        <v>344</v>
      </c>
      <c r="J152" s="73" t="s">
        <v>344</v>
      </c>
      <c r="K152" s="189" t="s">
        <v>344</v>
      </c>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c r="HP152" s="54"/>
      <c r="HQ152" s="54"/>
      <c r="HR152" s="54"/>
      <c r="HS152" s="54"/>
      <c r="HT152" s="54"/>
      <c r="HU152" s="54"/>
      <c r="HV152" s="54"/>
      <c r="HW152" s="54"/>
      <c r="HX152" s="54"/>
      <c r="HY152" s="54"/>
      <c r="HZ152" s="54"/>
      <c r="IA152" s="54"/>
      <c r="IB152" s="54"/>
      <c r="IC152" s="54"/>
      <c r="ID152" s="54"/>
      <c r="IE152" s="54"/>
      <c r="IF152" s="54"/>
      <c r="IG152" s="54"/>
      <c r="IH152" s="54"/>
      <c r="II152" s="54"/>
      <c r="IJ152" s="54"/>
      <c r="IK152" s="54"/>
      <c r="IL152" s="54"/>
      <c r="IM152" s="54"/>
      <c r="IN152" s="54"/>
      <c r="IO152" s="54"/>
      <c r="IP152" s="54"/>
      <c r="IQ152" s="54"/>
      <c r="IR152" s="54"/>
      <c r="IS152" s="54"/>
      <c r="IT152" s="54"/>
      <c r="IU152" s="54"/>
      <c r="IV152" s="54"/>
      <c r="IW152" s="54"/>
      <c r="IX152" s="54"/>
      <c r="IY152" s="54"/>
      <c r="IZ152" s="54"/>
      <c r="JA152" s="54"/>
      <c r="JB152" s="54"/>
      <c r="JC152" s="54"/>
      <c r="JD152" s="54"/>
      <c r="JE152" s="54"/>
      <c r="JF152" s="54"/>
      <c r="JG152" s="54"/>
      <c r="JH152" s="54"/>
      <c r="JI152" s="54"/>
      <c r="JJ152" s="54"/>
      <c r="JK152" s="54"/>
      <c r="JL152" s="54"/>
      <c r="JM152" s="54"/>
      <c r="JN152" s="54"/>
      <c r="JO152" s="54"/>
      <c r="JP152" s="54"/>
      <c r="JQ152" s="54"/>
      <c r="JR152" s="54"/>
      <c r="JS152" s="54"/>
      <c r="JT152" s="54"/>
      <c r="JU152" s="54"/>
      <c r="JV152" s="54"/>
      <c r="JW152" s="54"/>
      <c r="JX152" s="54"/>
      <c r="JY152" s="54"/>
      <c r="JZ152" s="54"/>
      <c r="KA152" s="54"/>
      <c r="KB152" s="54"/>
      <c r="KC152" s="54"/>
      <c r="KD152" s="54"/>
      <c r="KE152" s="54"/>
      <c r="KF152" s="54"/>
      <c r="KG152" s="54"/>
      <c r="KH152" s="54"/>
      <c r="KI152" s="54"/>
      <c r="KJ152" s="54"/>
      <c r="KK152" s="54"/>
      <c r="KL152" s="54"/>
      <c r="KM152" s="54"/>
      <c r="KN152" s="54"/>
      <c r="KO152" s="54"/>
      <c r="KP152" s="54"/>
      <c r="KQ152" s="54"/>
      <c r="KR152" s="54"/>
      <c r="KS152" s="54"/>
      <c r="KT152" s="54"/>
      <c r="KU152" s="54"/>
      <c r="KV152" s="54"/>
      <c r="KW152" s="54"/>
      <c r="KX152" s="54"/>
      <c r="KY152" s="54"/>
      <c r="KZ152" s="54"/>
      <c r="LA152" s="54"/>
      <c r="LB152" s="54"/>
      <c r="LC152" s="54"/>
      <c r="LD152" s="54"/>
      <c r="LE152" s="54"/>
      <c r="LF152" s="54"/>
      <c r="LG152" s="54"/>
      <c r="LH152" s="54"/>
      <c r="LI152" s="54"/>
      <c r="LJ152" s="54"/>
      <c r="LK152" s="54"/>
      <c r="LL152" s="54"/>
      <c r="LM152" s="54"/>
      <c r="LN152" s="54"/>
      <c r="LO152" s="54"/>
      <c r="LP152" s="54"/>
      <c r="LQ152" s="54"/>
      <c r="LR152" s="54"/>
      <c r="LS152" s="54"/>
      <c r="LT152" s="54"/>
      <c r="LU152" s="54"/>
      <c r="LV152" s="54"/>
      <c r="LW152" s="54"/>
      <c r="LX152" s="54"/>
      <c r="LY152" s="54"/>
      <c r="LZ152" s="54"/>
      <c r="MA152" s="54"/>
      <c r="MB152" s="54"/>
      <c r="MC152" s="54"/>
      <c r="MD152" s="54"/>
      <c r="ME152" s="54"/>
      <c r="MF152" s="54"/>
      <c r="MG152" s="54"/>
      <c r="MH152" s="54"/>
      <c r="MI152" s="54"/>
      <c r="MJ152" s="54"/>
      <c r="MK152" s="54"/>
      <c r="ML152" s="54"/>
      <c r="MM152" s="54"/>
      <c r="MN152" s="54"/>
      <c r="MO152" s="54"/>
      <c r="MP152" s="54"/>
      <c r="MQ152" s="54"/>
      <c r="MR152" s="54"/>
      <c r="MS152" s="54"/>
      <c r="MT152" s="54"/>
      <c r="MU152" s="54"/>
      <c r="MV152" s="54"/>
      <c r="MW152" s="54"/>
      <c r="MX152" s="54"/>
      <c r="MY152" s="54"/>
      <c r="MZ152" s="54"/>
      <c r="NA152" s="54"/>
      <c r="NB152" s="54"/>
      <c r="NC152" s="54"/>
      <c r="ND152" s="54"/>
      <c r="NE152" s="54"/>
      <c r="NF152" s="54"/>
      <c r="NG152" s="54"/>
      <c r="NH152" s="54"/>
      <c r="NI152" s="54"/>
      <c r="NJ152" s="54"/>
      <c r="NK152" s="54"/>
      <c r="NL152" s="54"/>
      <c r="NM152" s="54"/>
      <c r="NN152" s="54"/>
      <c r="NO152" s="54"/>
      <c r="NP152" s="54"/>
      <c r="NQ152" s="54"/>
      <c r="NR152" s="54"/>
      <c r="NS152" s="54"/>
      <c r="NT152" s="54"/>
      <c r="NU152" s="54"/>
      <c r="NV152" s="54"/>
      <c r="NW152" s="54"/>
      <c r="NX152" s="54"/>
      <c r="NY152" s="54"/>
      <c r="NZ152" s="54"/>
      <c r="OA152" s="54"/>
      <c r="OB152" s="54"/>
      <c r="OC152" s="54"/>
      <c r="OD152" s="54"/>
      <c r="OE152" s="54"/>
      <c r="OF152" s="54"/>
      <c r="OG152" s="54"/>
      <c r="OH152" s="54"/>
      <c r="OI152" s="54"/>
      <c r="OJ152" s="54"/>
      <c r="OK152" s="54"/>
      <c r="OL152" s="54"/>
      <c r="OM152" s="54"/>
      <c r="ON152" s="54"/>
      <c r="OO152" s="54"/>
      <c r="OP152" s="54"/>
      <c r="OQ152" s="54"/>
      <c r="OR152" s="54"/>
      <c r="OS152" s="54"/>
      <c r="OT152" s="54"/>
      <c r="OU152" s="54"/>
      <c r="OV152" s="54"/>
      <c r="OW152" s="54"/>
      <c r="OX152" s="54"/>
      <c r="OY152" s="54"/>
      <c r="OZ152" s="54"/>
      <c r="PA152" s="54"/>
      <c r="PB152" s="54"/>
      <c r="PC152" s="54"/>
      <c r="PD152" s="54"/>
      <c r="PE152" s="54"/>
      <c r="PF152" s="54"/>
      <c r="PG152" s="54"/>
      <c r="PH152" s="54"/>
      <c r="PI152" s="54"/>
      <c r="PJ152" s="54"/>
      <c r="PK152" s="54"/>
      <c r="PL152" s="54"/>
      <c r="PM152" s="54"/>
      <c r="PN152" s="54"/>
      <c r="PO152" s="54"/>
      <c r="PP152" s="54"/>
      <c r="PQ152" s="54"/>
      <c r="PR152" s="54"/>
      <c r="PS152" s="54"/>
      <c r="PT152" s="54"/>
      <c r="PU152" s="54"/>
      <c r="PV152" s="54"/>
      <c r="PW152" s="54"/>
      <c r="PX152" s="54"/>
      <c r="PY152" s="54"/>
      <c r="PZ152" s="54"/>
      <c r="QA152" s="54"/>
      <c r="QB152" s="54"/>
      <c r="QC152" s="54"/>
      <c r="QD152" s="54"/>
      <c r="QE152" s="54"/>
      <c r="QF152" s="54"/>
      <c r="QG152" s="54"/>
      <c r="QH152" s="54"/>
      <c r="QI152" s="54"/>
      <c r="QJ152" s="54"/>
      <c r="QK152" s="54"/>
      <c r="QL152" s="54"/>
      <c r="QM152" s="54"/>
      <c r="QN152" s="54"/>
      <c r="QO152" s="54"/>
      <c r="QP152" s="54"/>
      <c r="QQ152" s="54"/>
      <c r="QR152" s="54"/>
      <c r="QS152" s="54"/>
      <c r="QT152" s="54"/>
      <c r="QU152" s="54"/>
      <c r="QV152" s="54"/>
      <c r="QW152" s="54"/>
      <c r="QX152" s="54"/>
      <c r="QY152" s="54"/>
      <c r="QZ152" s="54"/>
      <c r="RA152" s="54"/>
      <c r="RB152" s="54"/>
      <c r="RC152" s="54"/>
      <c r="RD152" s="54"/>
      <c r="RE152" s="54"/>
      <c r="RF152" s="54"/>
      <c r="RG152" s="54"/>
      <c r="RH152" s="54"/>
      <c r="RI152" s="54"/>
      <c r="RJ152" s="54"/>
      <c r="RK152" s="54"/>
      <c r="RL152" s="54"/>
      <c r="RM152" s="54"/>
      <c r="RN152" s="54"/>
      <c r="RO152" s="54"/>
      <c r="RP152" s="54"/>
      <c r="RQ152" s="54"/>
      <c r="RR152" s="54"/>
      <c r="RS152" s="54"/>
      <c r="RT152" s="54"/>
      <c r="RU152" s="54"/>
      <c r="RV152" s="54"/>
      <c r="RW152" s="54"/>
      <c r="RX152" s="54"/>
      <c r="RY152" s="54"/>
      <c r="RZ152" s="54"/>
      <c r="SA152" s="54"/>
      <c r="SB152" s="54"/>
      <c r="SC152" s="54"/>
      <c r="SD152" s="54"/>
      <c r="SE152" s="54"/>
      <c r="SF152" s="54"/>
      <c r="SG152" s="54"/>
      <c r="SH152" s="54"/>
      <c r="SI152" s="54"/>
      <c r="SJ152" s="54"/>
      <c r="SK152" s="54"/>
      <c r="SL152" s="54"/>
      <c r="SM152" s="54"/>
      <c r="SN152" s="54"/>
      <c r="SO152" s="54"/>
      <c r="SP152" s="54"/>
      <c r="SQ152" s="54"/>
      <c r="SR152" s="54"/>
    </row>
    <row r="153" spans="1:512" ht="15" customHeight="1" x14ac:dyDescent="0.7">
      <c r="A153" s="172"/>
      <c r="B153" s="172"/>
      <c r="C153" s="172"/>
      <c r="D153" s="172"/>
      <c r="E153" s="172"/>
      <c r="F153" s="172"/>
      <c r="G153" s="172"/>
      <c r="I153" s="72" t="s">
        <v>344</v>
      </c>
      <c r="J153" s="73" t="s">
        <v>344</v>
      </c>
      <c r="K153" s="190"/>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c r="HP153" s="54"/>
      <c r="HQ153" s="54"/>
      <c r="HR153" s="54"/>
      <c r="HS153" s="54"/>
      <c r="HT153" s="54"/>
      <c r="HU153" s="54"/>
      <c r="HV153" s="54"/>
      <c r="HW153" s="54"/>
      <c r="HX153" s="54"/>
      <c r="HY153" s="54"/>
      <c r="HZ153" s="54"/>
      <c r="IA153" s="54"/>
      <c r="IB153" s="54"/>
      <c r="IC153" s="54"/>
      <c r="ID153" s="54"/>
      <c r="IE153" s="54"/>
      <c r="IF153" s="54"/>
      <c r="IG153" s="54"/>
      <c r="IH153" s="54"/>
      <c r="II153" s="54"/>
      <c r="IJ153" s="54"/>
      <c r="IK153" s="54"/>
      <c r="IL153" s="54"/>
      <c r="IM153" s="54"/>
      <c r="IN153" s="54"/>
      <c r="IO153" s="54"/>
      <c r="IP153" s="54"/>
      <c r="IQ153" s="54"/>
      <c r="IR153" s="54"/>
      <c r="IS153" s="54"/>
      <c r="IT153" s="54"/>
      <c r="IU153" s="54"/>
      <c r="IV153" s="54"/>
      <c r="IW153" s="54"/>
      <c r="IX153" s="54"/>
      <c r="IY153" s="54"/>
      <c r="IZ153" s="54"/>
      <c r="JA153" s="54"/>
      <c r="JB153" s="54"/>
      <c r="JC153" s="54"/>
      <c r="JD153" s="54"/>
      <c r="JE153" s="54"/>
      <c r="JF153" s="54"/>
      <c r="JG153" s="54"/>
      <c r="JH153" s="54"/>
      <c r="JI153" s="54"/>
      <c r="JJ153" s="54"/>
      <c r="JK153" s="54"/>
      <c r="JL153" s="54"/>
      <c r="JM153" s="54"/>
      <c r="JN153" s="54"/>
      <c r="JO153" s="54"/>
      <c r="JP153" s="54"/>
      <c r="JQ153" s="54"/>
      <c r="JR153" s="54"/>
      <c r="JS153" s="54"/>
      <c r="JT153" s="54"/>
      <c r="JU153" s="54"/>
      <c r="JV153" s="54"/>
      <c r="JW153" s="54"/>
      <c r="JX153" s="54"/>
      <c r="JY153" s="54"/>
      <c r="JZ153" s="54"/>
      <c r="KA153" s="54"/>
      <c r="KB153" s="54"/>
      <c r="KC153" s="54"/>
      <c r="KD153" s="54"/>
      <c r="KE153" s="54"/>
      <c r="KF153" s="54"/>
      <c r="KG153" s="54"/>
      <c r="KH153" s="54"/>
      <c r="KI153" s="54"/>
      <c r="KJ153" s="54"/>
      <c r="KK153" s="54"/>
      <c r="KL153" s="54"/>
      <c r="KM153" s="54"/>
      <c r="KN153" s="54"/>
      <c r="KO153" s="54"/>
      <c r="KP153" s="54"/>
      <c r="KQ153" s="54"/>
      <c r="KR153" s="54"/>
      <c r="KS153" s="54"/>
      <c r="KT153" s="54"/>
      <c r="KU153" s="54"/>
      <c r="KV153" s="54"/>
      <c r="KW153" s="54"/>
      <c r="KX153" s="54"/>
      <c r="KY153" s="54"/>
      <c r="KZ153" s="54"/>
      <c r="LA153" s="54"/>
      <c r="LB153" s="54"/>
      <c r="LC153" s="54"/>
      <c r="LD153" s="54"/>
      <c r="LE153" s="54"/>
      <c r="LF153" s="54"/>
      <c r="LG153" s="54"/>
      <c r="LH153" s="54"/>
      <c r="LI153" s="54"/>
      <c r="LJ153" s="54"/>
      <c r="LK153" s="54"/>
      <c r="LL153" s="54"/>
      <c r="LM153" s="54"/>
      <c r="LN153" s="54"/>
      <c r="LO153" s="54"/>
      <c r="LP153" s="54"/>
      <c r="LQ153" s="54"/>
      <c r="LR153" s="54"/>
      <c r="LS153" s="54"/>
      <c r="LT153" s="54"/>
      <c r="LU153" s="54"/>
      <c r="LV153" s="54"/>
      <c r="LW153" s="54"/>
      <c r="LX153" s="54"/>
      <c r="LY153" s="54"/>
      <c r="LZ153" s="54"/>
      <c r="MA153" s="54"/>
      <c r="MB153" s="54"/>
      <c r="MC153" s="54"/>
      <c r="MD153" s="54"/>
      <c r="ME153" s="54"/>
      <c r="MF153" s="54"/>
      <c r="MG153" s="54"/>
      <c r="MH153" s="54"/>
      <c r="MI153" s="54"/>
      <c r="MJ153" s="54"/>
      <c r="MK153" s="54"/>
      <c r="ML153" s="54"/>
      <c r="MM153" s="54"/>
      <c r="MN153" s="54"/>
      <c r="MO153" s="54"/>
      <c r="MP153" s="54"/>
      <c r="MQ153" s="54"/>
      <c r="MR153" s="54"/>
      <c r="MS153" s="54"/>
      <c r="MT153" s="54"/>
      <c r="MU153" s="54"/>
      <c r="MV153" s="54"/>
      <c r="MW153" s="54"/>
      <c r="MX153" s="54"/>
      <c r="MY153" s="54"/>
      <c r="MZ153" s="54"/>
      <c r="NA153" s="54"/>
      <c r="NB153" s="54"/>
      <c r="NC153" s="54"/>
      <c r="ND153" s="54"/>
      <c r="NE153" s="54"/>
      <c r="NF153" s="54"/>
      <c r="NG153" s="54"/>
      <c r="NH153" s="54"/>
      <c r="NI153" s="54"/>
      <c r="NJ153" s="54"/>
      <c r="NK153" s="54"/>
      <c r="NL153" s="54"/>
      <c r="NM153" s="54"/>
      <c r="NN153" s="54"/>
      <c r="NO153" s="54"/>
      <c r="NP153" s="54"/>
      <c r="NQ153" s="54"/>
      <c r="NR153" s="54"/>
      <c r="NS153" s="54"/>
      <c r="NT153" s="54"/>
      <c r="NU153" s="54"/>
      <c r="NV153" s="54"/>
      <c r="NW153" s="54"/>
      <c r="NX153" s="54"/>
      <c r="NY153" s="54"/>
      <c r="NZ153" s="54"/>
      <c r="OA153" s="54"/>
      <c r="OB153" s="54"/>
      <c r="OC153" s="54"/>
      <c r="OD153" s="54"/>
      <c r="OE153" s="54"/>
      <c r="OF153" s="54"/>
      <c r="OG153" s="54"/>
      <c r="OH153" s="54"/>
      <c r="OI153" s="54"/>
      <c r="OJ153" s="54"/>
      <c r="OK153" s="54"/>
      <c r="OL153" s="54"/>
      <c r="OM153" s="54"/>
      <c r="ON153" s="54"/>
      <c r="OO153" s="54"/>
      <c r="OP153" s="54"/>
      <c r="OQ153" s="54"/>
      <c r="OR153" s="54"/>
      <c r="OS153" s="54"/>
      <c r="OT153" s="54"/>
      <c r="OU153" s="54"/>
      <c r="OV153" s="54"/>
      <c r="OW153" s="54"/>
      <c r="OX153" s="54"/>
      <c r="OY153" s="54"/>
      <c r="OZ153" s="54"/>
      <c r="PA153" s="54"/>
      <c r="PB153" s="54"/>
      <c r="PC153" s="54"/>
      <c r="PD153" s="54"/>
      <c r="PE153" s="54"/>
      <c r="PF153" s="54"/>
      <c r="PG153" s="54"/>
      <c r="PH153" s="54"/>
      <c r="PI153" s="54"/>
      <c r="PJ153" s="54"/>
      <c r="PK153" s="54"/>
      <c r="PL153" s="54"/>
      <c r="PM153" s="54"/>
      <c r="PN153" s="54"/>
      <c r="PO153" s="54"/>
      <c r="PP153" s="54"/>
      <c r="PQ153" s="54"/>
      <c r="PR153" s="54"/>
      <c r="PS153" s="54"/>
      <c r="PT153" s="54"/>
      <c r="PU153" s="54"/>
      <c r="PV153" s="54"/>
      <c r="PW153" s="54"/>
      <c r="PX153" s="54"/>
      <c r="PY153" s="54"/>
      <c r="PZ153" s="54"/>
      <c r="QA153" s="54"/>
      <c r="QB153" s="54"/>
      <c r="QC153" s="54"/>
      <c r="QD153" s="54"/>
      <c r="QE153" s="54"/>
      <c r="QF153" s="54"/>
      <c r="QG153" s="54"/>
      <c r="QH153" s="54"/>
      <c r="QI153" s="54"/>
      <c r="QJ153" s="54"/>
      <c r="QK153" s="54"/>
      <c r="QL153" s="54"/>
      <c r="QM153" s="54"/>
      <c r="QN153" s="54"/>
      <c r="QO153" s="54"/>
      <c r="QP153" s="54"/>
      <c r="QQ153" s="54"/>
      <c r="QR153" s="54"/>
      <c r="QS153" s="54"/>
      <c r="QT153" s="54"/>
      <c r="QU153" s="54"/>
      <c r="QV153" s="54"/>
      <c r="QW153" s="54"/>
      <c r="QX153" s="54"/>
      <c r="QY153" s="54"/>
      <c r="QZ153" s="54"/>
      <c r="RA153" s="54"/>
      <c r="RB153" s="54"/>
      <c r="RC153" s="54"/>
      <c r="RD153" s="54"/>
      <c r="RE153" s="54"/>
      <c r="RF153" s="54"/>
      <c r="RG153" s="54"/>
      <c r="RH153" s="54"/>
      <c r="RI153" s="54"/>
      <c r="RJ153" s="54"/>
      <c r="RK153" s="54"/>
      <c r="RL153" s="54"/>
      <c r="RM153" s="54"/>
      <c r="RN153" s="54"/>
      <c r="RO153" s="54"/>
      <c r="RP153" s="54"/>
      <c r="RQ153" s="54"/>
      <c r="RR153" s="54"/>
      <c r="RS153" s="54"/>
      <c r="RT153" s="54"/>
      <c r="RU153" s="54"/>
      <c r="RV153" s="54"/>
      <c r="RW153" s="54"/>
      <c r="RX153" s="54"/>
      <c r="RY153" s="54"/>
      <c r="RZ153" s="54"/>
      <c r="SA153" s="54"/>
      <c r="SB153" s="54"/>
      <c r="SC153" s="54"/>
      <c r="SD153" s="54"/>
      <c r="SE153" s="54"/>
      <c r="SF153" s="54"/>
      <c r="SG153" s="54"/>
      <c r="SH153" s="54"/>
      <c r="SI153" s="54"/>
      <c r="SJ153" s="54"/>
      <c r="SK153" s="54"/>
      <c r="SL153" s="54"/>
      <c r="SM153" s="54"/>
      <c r="SN153" s="54"/>
      <c r="SO153" s="54"/>
      <c r="SP153" s="54"/>
      <c r="SQ153" s="54"/>
      <c r="SR153" s="54"/>
    </row>
    <row r="154" spans="1:512" s="55" customFormat="1" ht="15" customHeight="1" x14ac:dyDescent="0.7">
      <c r="A154" s="173"/>
      <c r="B154" s="173"/>
      <c r="C154" s="173"/>
      <c r="D154" s="173"/>
      <c r="E154" s="173"/>
      <c r="F154" s="173"/>
      <c r="G154" s="173"/>
      <c r="H154" s="74"/>
      <c r="I154" s="75"/>
      <c r="J154" s="76"/>
      <c r="K154" s="191"/>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56"/>
      <c r="CM154" s="56"/>
      <c r="CN154" s="56"/>
      <c r="CO154" s="56"/>
      <c r="CP154" s="56"/>
      <c r="CQ154" s="56"/>
      <c r="CR154" s="56"/>
      <c r="CS154" s="56"/>
      <c r="CT154" s="56"/>
      <c r="CU154" s="56"/>
      <c r="CV154" s="56"/>
      <c r="CW154" s="56"/>
      <c r="CX154" s="56"/>
      <c r="CY154" s="56"/>
      <c r="CZ154" s="56"/>
      <c r="DA154" s="56"/>
      <c r="DB154" s="56"/>
      <c r="DC154" s="56"/>
      <c r="DD154" s="56"/>
      <c r="DE154" s="56"/>
      <c r="DF154" s="56"/>
      <c r="DG154" s="56"/>
      <c r="DH154" s="56"/>
      <c r="DI154" s="56"/>
      <c r="DJ154" s="56"/>
      <c r="DK154" s="56"/>
      <c r="DL154" s="56"/>
      <c r="DM154" s="56"/>
      <c r="DN154" s="56"/>
      <c r="DO154" s="56"/>
      <c r="DP154" s="56"/>
      <c r="DQ154" s="56"/>
      <c r="DR154" s="56"/>
      <c r="DS154" s="56"/>
      <c r="DT154" s="56"/>
      <c r="DU154" s="56"/>
      <c r="DV154" s="56"/>
      <c r="DW154" s="56"/>
      <c r="DX154" s="56"/>
      <c r="DY154" s="56"/>
      <c r="DZ154" s="56"/>
      <c r="EA154" s="56"/>
      <c r="EB154" s="56"/>
      <c r="EC154" s="56"/>
      <c r="ED154" s="56"/>
      <c r="EE154" s="56"/>
      <c r="EF154" s="56"/>
      <c r="EG154" s="56"/>
      <c r="EH154" s="56"/>
      <c r="EI154" s="56"/>
      <c r="EJ154" s="56"/>
      <c r="EK154" s="56"/>
      <c r="EL154" s="56"/>
      <c r="EM154" s="56"/>
      <c r="EN154" s="56"/>
      <c r="EO154" s="56"/>
      <c r="EP154" s="56"/>
      <c r="EQ154" s="56"/>
      <c r="ER154" s="56"/>
      <c r="ES154" s="56"/>
      <c r="ET154" s="56"/>
      <c r="EU154" s="56"/>
      <c r="EV154" s="56"/>
      <c r="EW154" s="56"/>
      <c r="EX154" s="56"/>
      <c r="EY154" s="56"/>
      <c r="EZ154" s="56"/>
      <c r="FA154" s="56"/>
      <c r="FB154" s="56"/>
      <c r="FC154" s="56"/>
      <c r="FD154" s="56"/>
      <c r="FE154" s="56"/>
      <c r="FF154" s="56"/>
      <c r="FG154" s="56"/>
      <c r="FH154" s="56"/>
      <c r="FI154" s="56"/>
      <c r="FJ154" s="56"/>
      <c r="FK154" s="56"/>
      <c r="FL154" s="56"/>
      <c r="FM154" s="56"/>
      <c r="FN154" s="56"/>
      <c r="FO154" s="56"/>
      <c r="FP154" s="56"/>
      <c r="FQ154" s="56"/>
      <c r="FR154" s="56"/>
      <c r="FS154" s="56"/>
      <c r="FT154" s="56"/>
      <c r="FU154" s="56"/>
      <c r="FV154" s="56"/>
      <c r="FW154" s="56"/>
      <c r="FX154" s="56"/>
      <c r="FY154" s="56"/>
      <c r="FZ154" s="56"/>
      <c r="GA154" s="56"/>
      <c r="GB154" s="56"/>
      <c r="GC154" s="56"/>
      <c r="GD154" s="56"/>
      <c r="GE154" s="56"/>
      <c r="GF154" s="56"/>
      <c r="GG154" s="56"/>
      <c r="GH154" s="56"/>
      <c r="GI154" s="56"/>
      <c r="GJ154" s="56"/>
      <c r="GK154" s="56"/>
      <c r="GL154" s="56"/>
      <c r="GM154" s="56"/>
      <c r="GN154" s="56"/>
      <c r="GO154" s="56"/>
      <c r="GP154" s="56"/>
      <c r="GQ154" s="56"/>
      <c r="GR154" s="56"/>
      <c r="GS154" s="56"/>
      <c r="GT154" s="56"/>
      <c r="GU154" s="56"/>
      <c r="GV154" s="56"/>
      <c r="GW154" s="56"/>
      <c r="GX154" s="56"/>
      <c r="GY154" s="56"/>
      <c r="GZ154" s="56"/>
      <c r="HA154" s="56"/>
      <c r="HB154" s="56"/>
      <c r="HC154" s="56"/>
      <c r="HD154" s="56"/>
      <c r="HE154" s="56"/>
      <c r="HF154" s="56"/>
      <c r="HG154" s="56"/>
      <c r="HH154" s="56"/>
      <c r="HI154" s="56"/>
      <c r="HJ154" s="56"/>
      <c r="HK154" s="56"/>
      <c r="HL154" s="56"/>
      <c r="HM154" s="56"/>
      <c r="HN154" s="56"/>
      <c r="HO154" s="56"/>
      <c r="HP154" s="56"/>
      <c r="HQ154" s="56"/>
      <c r="HR154" s="56"/>
      <c r="HS154" s="56"/>
      <c r="HT154" s="56"/>
      <c r="HU154" s="56"/>
      <c r="HV154" s="56"/>
      <c r="HW154" s="56"/>
      <c r="HX154" s="56"/>
      <c r="HY154" s="56"/>
      <c r="HZ154" s="56"/>
      <c r="IA154" s="56"/>
      <c r="IB154" s="56"/>
      <c r="IC154" s="56"/>
      <c r="ID154" s="56"/>
      <c r="IE154" s="56"/>
      <c r="IF154" s="56"/>
      <c r="IG154" s="56"/>
      <c r="IH154" s="56"/>
      <c r="II154" s="56"/>
      <c r="IJ154" s="56"/>
      <c r="IK154" s="56"/>
      <c r="IL154" s="56"/>
      <c r="IM154" s="56"/>
      <c r="IN154" s="56"/>
      <c r="IO154" s="56"/>
      <c r="IP154" s="56"/>
      <c r="IQ154" s="56"/>
      <c r="IR154" s="56"/>
      <c r="IS154" s="56"/>
      <c r="IT154" s="56"/>
      <c r="IU154" s="56"/>
      <c r="IV154" s="56"/>
      <c r="IW154" s="56"/>
      <c r="IX154" s="56"/>
      <c r="IY154" s="56"/>
      <c r="IZ154" s="56"/>
      <c r="JA154" s="56"/>
      <c r="JB154" s="56"/>
      <c r="JC154" s="56"/>
      <c r="JD154" s="56"/>
      <c r="JE154" s="56"/>
      <c r="JF154" s="56"/>
      <c r="JG154" s="56"/>
      <c r="JH154" s="56"/>
      <c r="JI154" s="56"/>
      <c r="JJ154" s="56"/>
      <c r="JK154" s="56"/>
      <c r="JL154" s="56"/>
      <c r="JM154" s="56"/>
      <c r="JN154" s="56"/>
      <c r="JO154" s="56"/>
      <c r="JP154" s="56"/>
      <c r="JQ154" s="56"/>
      <c r="JR154" s="56"/>
      <c r="JS154" s="56"/>
      <c r="JT154" s="56"/>
      <c r="JU154" s="56"/>
      <c r="JV154" s="56"/>
      <c r="JW154" s="56"/>
      <c r="JX154" s="56"/>
      <c r="JY154" s="56"/>
      <c r="JZ154" s="56"/>
      <c r="KA154" s="56"/>
      <c r="KB154" s="56"/>
      <c r="KC154" s="56"/>
      <c r="KD154" s="56"/>
      <c r="KE154" s="56"/>
      <c r="KF154" s="56"/>
      <c r="KG154" s="56"/>
      <c r="KH154" s="56"/>
      <c r="KI154" s="56"/>
      <c r="KJ154" s="56"/>
      <c r="KK154" s="56"/>
      <c r="KL154" s="56"/>
      <c r="KM154" s="56"/>
      <c r="KN154" s="56"/>
      <c r="KO154" s="56"/>
      <c r="KP154" s="56"/>
      <c r="KQ154" s="56"/>
      <c r="KR154" s="56"/>
      <c r="KS154" s="56"/>
      <c r="KT154" s="56"/>
      <c r="KU154" s="56"/>
      <c r="KV154" s="56"/>
      <c r="KW154" s="56"/>
      <c r="KX154" s="56"/>
      <c r="KY154" s="56"/>
      <c r="KZ154" s="56"/>
      <c r="LA154" s="56"/>
      <c r="LB154" s="56"/>
      <c r="LC154" s="56"/>
      <c r="LD154" s="56"/>
      <c r="LE154" s="56"/>
      <c r="LF154" s="56"/>
      <c r="LG154" s="56"/>
      <c r="LH154" s="56"/>
      <c r="LI154" s="56"/>
      <c r="LJ154" s="56"/>
      <c r="LK154" s="56"/>
      <c r="LL154" s="56"/>
      <c r="LM154" s="56"/>
      <c r="LN154" s="56"/>
      <c r="LO154" s="56"/>
      <c r="LP154" s="56"/>
      <c r="LQ154" s="56"/>
      <c r="LR154" s="56"/>
      <c r="LS154" s="56"/>
      <c r="LT154" s="56"/>
      <c r="LU154" s="56"/>
      <c r="LV154" s="56"/>
      <c r="LW154" s="56"/>
      <c r="LX154" s="56"/>
      <c r="LY154" s="56"/>
      <c r="LZ154" s="56"/>
      <c r="MA154" s="56"/>
      <c r="MB154" s="56"/>
      <c r="MC154" s="56"/>
      <c r="MD154" s="56"/>
      <c r="ME154" s="56"/>
      <c r="MF154" s="56"/>
      <c r="MG154" s="56"/>
      <c r="MH154" s="56"/>
      <c r="MI154" s="56"/>
      <c r="MJ154" s="56"/>
      <c r="MK154" s="56"/>
      <c r="ML154" s="56"/>
      <c r="MM154" s="56"/>
      <c r="MN154" s="56"/>
      <c r="MO154" s="56"/>
      <c r="MP154" s="56"/>
      <c r="MQ154" s="56"/>
      <c r="MR154" s="56"/>
      <c r="MS154" s="56"/>
      <c r="MT154" s="56"/>
      <c r="MU154" s="56"/>
      <c r="MV154" s="56"/>
      <c r="MW154" s="56"/>
      <c r="MX154" s="56"/>
      <c r="MY154" s="56"/>
      <c r="MZ154" s="56"/>
      <c r="NA154" s="56"/>
      <c r="NB154" s="56"/>
      <c r="NC154" s="56"/>
      <c r="ND154" s="56"/>
      <c r="NE154" s="56"/>
      <c r="NF154" s="56"/>
      <c r="NG154" s="56"/>
      <c r="NH154" s="56"/>
      <c r="NI154" s="56"/>
      <c r="NJ154" s="56"/>
      <c r="NK154" s="56"/>
      <c r="NL154" s="56"/>
      <c r="NM154" s="56"/>
      <c r="NN154" s="56"/>
      <c r="NO154" s="56"/>
      <c r="NP154" s="56"/>
      <c r="NQ154" s="56"/>
      <c r="NR154" s="56"/>
      <c r="NS154" s="56"/>
      <c r="NT154" s="56"/>
      <c r="NU154" s="56"/>
      <c r="NV154" s="56"/>
      <c r="NW154" s="56"/>
      <c r="NX154" s="56"/>
      <c r="NY154" s="56"/>
      <c r="NZ154" s="56"/>
      <c r="OA154" s="56"/>
      <c r="OB154" s="56"/>
      <c r="OC154" s="56"/>
      <c r="OD154" s="56"/>
      <c r="OE154" s="56"/>
      <c r="OF154" s="56"/>
      <c r="OG154" s="56"/>
      <c r="OH154" s="56"/>
      <c r="OI154" s="56"/>
      <c r="OJ154" s="56"/>
      <c r="OK154" s="56"/>
      <c r="OL154" s="56"/>
      <c r="OM154" s="56"/>
      <c r="ON154" s="56"/>
      <c r="OO154" s="56"/>
      <c r="OP154" s="56"/>
      <c r="OQ154" s="56"/>
      <c r="OR154" s="56"/>
      <c r="OS154" s="56"/>
      <c r="OT154" s="56"/>
      <c r="OU154" s="56"/>
      <c r="OV154" s="56"/>
      <c r="OW154" s="56"/>
      <c r="OX154" s="56"/>
      <c r="OY154" s="56"/>
      <c r="OZ154" s="56"/>
      <c r="PA154" s="56"/>
      <c r="PB154" s="56"/>
      <c r="PC154" s="56"/>
      <c r="PD154" s="56"/>
      <c r="PE154" s="56"/>
      <c r="PF154" s="56"/>
      <c r="PG154" s="56"/>
      <c r="PH154" s="56"/>
      <c r="PI154" s="56"/>
      <c r="PJ154" s="56"/>
      <c r="PK154" s="56"/>
      <c r="PL154" s="56"/>
      <c r="PM154" s="56"/>
      <c r="PN154" s="56"/>
      <c r="PO154" s="56"/>
      <c r="PP154" s="56"/>
      <c r="PQ154" s="56"/>
      <c r="PR154" s="56"/>
      <c r="PS154" s="56"/>
      <c r="PT154" s="56"/>
      <c r="PU154" s="56"/>
      <c r="PV154" s="56"/>
      <c r="PW154" s="56"/>
      <c r="PX154" s="56"/>
      <c r="PY154" s="56"/>
      <c r="PZ154" s="56"/>
      <c r="QA154" s="56"/>
      <c r="QB154" s="56"/>
      <c r="QC154" s="56"/>
      <c r="QD154" s="56"/>
      <c r="QE154" s="56"/>
      <c r="QF154" s="56"/>
      <c r="QG154" s="56"/>
      <c r="QH154" s="56"/>
      <c r="QI154" s="56"/>
      <c r="QJ154" s="56"/>
      <c r="QK154" s="56"/>
      <c r="QL154" s="56"/>
      <c r="QM154" s="56"/>
      <c r="QN154" s="56"/>
      <c r="QO154" s="56"/>
      <c r="QP154" s="56"/>
      <c r="QQ154" s="56"/>
      <c r="QR154" s="56"/>
      <c r="QS154" s="56"/>
      <c r="QT154" s="56"/>
      <c r="QU154" s="56"/>
      <c r="QV154" s="56"/>
      <c r="QW154" s="56"/>
      <c r="QX154" s="56"/>
      <c r="QY154" s="56"/>
      <c r="QZ154" s="56"/>
      <c r="RA154" s="56"/>
      <c r="RB154" s="56"/>
      <c r="RC154" s="56"/>
      <c r="RD154" s="56"/>
      <c r="RE154" s="56"/>
      <c r="RF154" s="56"/>
      <c r="RG154" s="56"/>
      <c r="RH154" s="56"/>
      <c r="RI154" s="56"/>
      <c r="RJ154" s="56"/>
      <c r="RK154" s="56"/>
      <c r="RL154" s="56"/>
      <c r="RM154" s="56"/>
      <c r="RN154" s="56"/>
      <c r="RO154" s="56"/>
      <c r="RP154" s="56"/>
      <c r="RQ154" s="56"/>
      <c r="RR154" s="56"/>
      <c r="RS154" s="56"/>
      <c r="RT154" s="56"/>
      <c r="RU154" s="56"/>
      <c r="RV154" s="56"/>
      <c r="RW154" s="56"/>
      <c r="RX154" s="56"/>
      <c r="RY154" s="56"/>
      <c r="RZ154" s="56"/>
      <c r="SA154" s="56"/>
      <c r="SB154" s="56"/>
      <c r="SC154" s="56"/>
      <c r="SD154" s="56"/>
      <c r="SE154" s="56"/>
      <c r="SF154" s="56"/>
      <c r="SG154" s="56"/>
      <c r="SH154" s="56"/>
      <c r="SI154" s="56"/>
      <c r="SJ154" s="56"/>
      <c r="SK154" s="56"/>
      <c r="SL154" s="56"/>
      <c r="SM154" s="56"/>
      <c r="SN154" s="56"/>
      <c r="SO154" s="56"/>
      <c r="SP154" s="56"/>
      <c r="SQ154" s="56"/>
      <c r="SR154" s="56"/>
    </row>
    <row r="155" spans="1:512" ht="15" customHeight="1" x14ac:dyDescent="0.7">
      <c r="A155" s="171" t="s">
        <v>344</v>
      </c>
      <c r="B155" s="171" t="s">
        <v>344</v>
      </c>
      <c r="C155" s="171" t="s">
        <v>344</v>
      </c>
      <c r="D155" s="171"/>
      <c r="E155" s="171" t="s">
        <v>344</v>
      </c>
      <c r="F155" s="171"/>
      <c r="G155" s="188" t="s">
        <v>344</v>
      </c>
      <c r="H155" s="71" t="s">
        <v>344</v>
      </c>
      <c r="I155" s="72" t="s">
        <v>344</v>
      </c>
      <c r="J155" s="73" t="s">
        <v>344</v>
      </c>
      <c r="K155" s="189" t="s">
        <v>344</v>
      </c>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4"/>
      <c r="DV155" s="54"/>
      <c r="DW155" s="54"/>
      <c r="DX155" s="54"/>
      <c r="DY155" s="54"/>
      <c r="DZ155" s="54"/>
      <c r="EA155" s="54"/>
      <c r="EB155" s="54"/>
      <c r="EC155" s="54"/>
      <c r="ED155" s="54"/>
      <c r="EE155" s="54"/>
      <c r="EF155" s="54"/>
      <c r="EG155" s="54"/>
      <c r="EH155" s="54"/>
      <c r="EI155" s="54"/>
      <c r="EJ155" s="54"/>
      <c r="EK155" s="54"/>
      <c r="EL155" s="54"/>
      <c r="EM155" s="54"/>
      <c r="EN155" s="54"/>
      <c r="EO155" s="54"/>
      <c r="EP155" s="54"/>
      <c r="EQ155" s="54"/>
      <c r="ER155" s="54"/>
      <c r="ES155" s="54"/>
      <c r="ET155" s="54"/>
      <c r="EU155" s="54"/>
      <c r="EV155" s="54"/>
      <c r="EW155" s="54"/>
      <c r="EX155" s="54"/>
      <c r="EY155" s="54"/>
      <c r="EZ155" s="54"/>
      <c r="FA155" s="54"/>
      <c r="FB155" s="54"/>
      <c r="FC155" s="54"/>
      <c r="FD155" s="54"/>
      <c r="FE155" s="54"/>
      <c r="FF155" s="54"/>
      <c r="FG155" s="54"/>
      <c r="FH155" s="54"/>
      <c r="FI155" s="54"/>
      <c r="FJ155" s="54"/>
      <c r="FK155" s="54"/>
      <c r="FL155" s="54"/>
      <c r="FM155" s="54"/>
      <c r="FN155" s="54"/>
      <c r="FO155" s="54"/>
      <c r="FP155" s="54"/>
      <c r="FQ155" s="54"/>
      <c r="FR155" s="54"/>
      <c r="FS155" s="54"/>
      <c r="FT155" s="54"/>
      <c r="FU155" s="54"/>
      <c r="FV155" s="54"/>
      <c r="FW155" s="54"/>
      <c r="FX155" s="54"/>
      <c r="FY155" s="54"/>
      <c r="FZ155" s="54"/>
      <c r="GA155" s="54"/>
      <c r="GB155" s="54"/>
      <c r="GC155" s="54"/>
      <c r="GD155" s="54"/>
      <c r="GE155" s="54"/>
      <c r="GF155" s="54"/>
      <c r="GG155" s="54"/>
      <c r="GH155" s="54"/>
      <c r="GI155" s="54"/>
      <c r="GJ155" s="54"/>
      <c r="GK155" s="54"/>
      <c r="GL155" s="54"/>
      <c r="GM155" s="54"/>
      <c r="GN155" s="54"/>
      <c r="GO155" s="54"/>
      <c r="GP155" s="54"/>
      <c r="GQ155" s="54"/>
      <c r="GR155" s="54"/>
      <c r="GS155" s="54"/>
      <c r="GT155" s="54"/>
      <c r="GU155" s="54"/>
      <c r="GV155" s="54"/>
      <c r="GW155" s="54"/>
      <c r="GX155" s="54"/>
      <c r="GY155" s="54"/>
      <c r="GZ155" s="54"/>
      <c r="HA155" s="54"/>
      <c r="HB155" s="54"/>
      <c r="HC155" s="54"/>
      <c r="HD155" s="54"/>
      <c r="HE155" s="54"/>
      <c r="HF155" s="54"/>
      <c r="HG155" s="54"/>
      <c r="HH155" s="54"/>
      <c r="HI155" s="54"/>
      <c r="HJ155" s="54"/>
      <c r="HK155" s="54"/>
      <c r="HL155" s="54"/>
      <c r="HM155" s="54"/>
      <c r="HN155" s="54"/>
      <c r="HO155" s="54"/>
      <c r="HP155" s="54"/>
      <c r="HQ155" s="54"/>
      <c r="HR155" s="54"/>
      <c r="HS155" s="54"/>
      <c r="HT155" s="54"/>
      <c r="HU155" s="54"/>
      <c r="HV155" s="54"/>
      <c r="HW155" s="54"/>
      <c r="HX155" s="54"/>
      <c r="HY155" s="54"/>
      <c r="HZ155" s="54"/>
      <c r="IA155" s="54"/>
      <c r="IB155" s="54"/>
      <c r="IC155" s="54"/>
      <c r="ID155" s="54"/>
      <c r="IE155" s="54"/>
      <c r="IF155" s="54"/>
      <c r="IG155" s="54"/>
      <c r="IH155" s="54"/>
      <c r="II155" s="54"/>
      <c r="IJ155" s="54"/>
      <c r="IK155" s="54"/>
      <c r="IL155" s="54"/>
      <c r="IM155" s="54"/>
      <c r="IN155" s="54"/>
      <c r="IO155" s="54"/>
      <c r="IP155" s="54"/>
      <c r="IQ155" s="54"/>
      <c r="IR155" s="54"/>
      <c r="IS155" s="54"/>
      <c r="IT155" s="54"/>
      <c r="IU155" s="54"/>
      <c r="IV155" s="54"/>
      <c r="IW155" s="54"/>
      <c r="IX155" s="54"/>
      <c r="IY155" s="54"/>
      <c r="IZ155" s="54"/>
      <c r="JA155" s="54"/>
      <c r="JB155" s="54"/>
      <c r="JC155" s="54"/>
      <c r="JD155" s="54"/>
      <c r="JE155" s="54"/>
      <c r="JF155" s="54"/>
      <c r="JG155" s="54"/>
      <c r="JH155" s="54"/>
      <c r="JI155" s="54"/>
      <c r="JJ155" s="54"/>
      <c r="JK155" s="54"/>
      <c r="JL155" s="54"/>
      <c r="JM155" s="54"/>
      <c r="JN155" s="54"/>
      <c r="JO155" s="54"/>
      <c r="JP155" s="54"/>
      <c r="JQ155" s="54"/>
      <c r="JR155" s="54"/>
      <c r="JS155" s="54"/>
      <c r="JT155" s="54"/>
      <c r="JU155" s="54"/>
      <c r="JV155" s="54"/>
      <c r="JW155" s="54"/>
      <c r="JX155" s="54"/>
      <c r="JY155" s="54"/>
      <c r="JZ155" s="54"/>
      <c r="KA155" s="54"/>
      <c r="KB155" s="54"/>
      <c r="KC155" s="54"/>
      <c r="KD155" s="54"/>
      <c r="KE155" s="54"/>
      <c r="KF155" s="54"/>
      <c r="KG155" s="54"/>
      <c r="KH155" s="54"/>
      <c r="KI155" s="54"/>
      <c r="KJ155" s="54"/>
      <c r="KK155" s="54"/>
      <c r="KL155" s="54"/>
      <c r="KM155" s="54"/>
      <c r="KN155" s="54"/>
      <c r="KO155" s="54"/>
      <c r="KP155" s="54"/>
      <c r="KQ155" s="54"/>
      <c r="KR155" s="54"/>
      <c r="KS155" s="54"/>
      <c r="KT155" s="54"/>
      <c r="KU155" s="54"/>
      <c r="KV155" s="54"/>
      <c r="KW155" s="54"/>
      <c r="KX155" s="54"/>
      <c r="KY155" s="54"/>
      <c r="KZ155" s="54"/>
      <c r="LA155" s="54"/>
      <c r="LB155" s="54"/>
      <c r="LC155" s="54"/>
      <c r="LD155" s="54"/>
      <c r="LE155" s="54"/>
      <c r="LF155" s="54"/>
      <c r="LG155" s="54"/>
      <c r="LH155" s="54"/>
      <c r="LI155" s="54"/>
      <c r="LJ155" s="54"/>
      <c r="LK155" s="54"/>
      <c r="LL155" s="54"/>
      <c r="LM155" s="54"/>
      <c r="LN155" s="54"/>
      <c r="LO155" s="54"/>
      <c r="LP155" s="54"/>
      <c r="LQ155" s="54"/>
      <c r="LR155" s="54"/>
      <c r="LS155" s="54"/>
      <c r="LT155" s="54"/>
      <c r="LU155" s="54"/>
      <c r="LV155" s="54"/>
      <c r="LW155" s="54"/>
      <c r="LX155" s="54"/>
      <c r="LY155" s="54"/>
      <c r="LZ155" s="54"/>
      <c r="MA155" s="54"/>
      <c r="MB155" s="54"/>
      <c r="MC155" s="54"/>
      <c r="MD155" s="54"/>
      <c r="ME155" s="54"/>
      <c r="MF155" s="54"/>
      <c r="MG155" s="54"/>
      <c r="MH155" s="54"/>
      <c r="MI155" s="54"/>
      <c r="MJ155" s="54"/>
      <c r="MK155" s="54"/>
      <c r="ML155" s="54"/>
      <c r="MM155" s="54"/>
      <c r="MN155" s="54"/>
      <c r="MO155" s="54"/>
      <c r="MP155" s="54"/>
      <c r="MQ155" s="54"/>
      <c r="MR155" s="54"/>
      <c r="MS155" s="54"/>
      <c r="MT155" s="54"/>
      <c r="MU155" s="54"/>
      <c r="MV155" s="54"/>
      <c r="MW155" s="54"/>
      <c r="MX155" s="54"/>
      <c r="MY155" s="54"/>
      <c r="MZ155" s="54"/>
      <c r="NA155" s="54"/>
      <c r="NB155" s="54"/>
      <c r="NC155" s="54"/>
      <c r="ND155" s="54"/>
      <c r="NE155" s="54"/>
      <c r="NF155" s="54"/>
      <c r="NG155" s="54"/>
      <c r="NH155" s="54"/>
      <c r="NI155" s="54"/>
      <c r="NJ155" s="54"/>
      <c r="NK155" s="54"/>
      <c r="NL155" s="54"/>
      <c r="NM155" s="54"/>
      <c r="NN155" s="54"/>
      <c r="NO155" s="54"/>
      <c r="NP155" s="54"/>
      <c r="NQ155" s="54"/>
      <c r="NR155" s="54"/>
      <c r="NS155" s="54"/>
      <c r="NT155" s="54"/>
      <c r="NU155" s="54"/>
      <c r="NV155" s="54"/>
      <c r="NW155" s="54"/>
      <c r="NX155" s="54"/>
      <c r="NY155" s="54"/>
      <c r="NZ155" s="54"/>
      <c r="OA155" s="54"/>
      <c r="OB155" s="54"/>
      <c r="OC155" s="54"/>
      <c r="OD155" s="54"/>
      <c r="OE155" s="54"/>
      <c r="OF155" s="54"/>
      <c r="OG155" s="54"/>
      <c r="OH155" s="54"/>
      <c r="OI155" s="54"/>
      <c r="OJ155" s="54"/>
      <c r="OK155" s="54"/>
      <c r="OL155" s="54"/>
      <c r="OM155" s="54"/>
      <c r="ON155" s="54"/>
      <c r="OO155" s="54"/>
      <c r="OP155" s="54"/>
      <c r="OQ155" s="54"/>
      <c r="OR155" s="54"/>
      <c r="OS155" s="54"/>
      <c r="OT155" s="54"/>
      <c r="OU155" s="54"/>
      <c r="OV155" s="54"/>
      <c r="OW155" s="54"/>
      <c r="OX155" s="54"/>
      <c r="OY155" s="54"/>
      <c r="OZ155" s="54"/>
      <c r="PA155" s="54"/>
      <c r="PB155" s="54"/>
      <c r="PC155" s="54"/>
      <c r="PD155" s="54"/>
      <c r="PE155" s="54"/>
      <c r="PF155" s="54"/>
      <c r="PG155" s="54"/>
      <c r="PH155" s="54"/>
      <c r="PI155" s="54"/>
      <c r="PJ155" s="54"/>
      <c r="PK155" s="54"/>
      <c r="PL155" s="54"/>
      <c r="PM155" s="54"/>
      <c r="PN155" s="54"/>
      <c r="PO155" s="54"/>
      <c r="PP155" s="54"/>
      <c r="PQ155" s="54"/>
      <c r="PR155" s="54"/>
      <c r="PS155" s="54"/>
      <c r="PT155" s="54"/>
      <c r="PU155" s="54"/>
      <c r="PV155" s="54"/>
      <c r="PW155" s="54"/>
      <c r="PX155" s="54"/>
      <c r="PY155" s="54"/>
      <c r="PZ155" s="54"/>
      <c r="QA155" s="54"/>
      <c r="QB155" s="54"/>
      <c r="QC155" s="54"/>
      <c r="QD155" s="54"/>
      <c r="QE155" s="54"/>
      <c r="QF155" s="54"/>
      <c r="QG155" s="54"/>
      <c r="QH155" s="54"/>
      <c r="QI155" s="54"/>
      <c r="QJ155" s="54"/>
      <c r="QK155" s="54"/>
      <c r="QL155" s="54"/>
      <c r="QM155" s="54"/>
      <c r="QN155" s="54"/>
      <c r="QO155" s="54"/>
      <c r="QP155" s="54"/>
      <c r="QQ155" s="54"/>
      <c r="QR155" s="54"/>
      <c r="QS155" s="54"/>
      <c r="QT155" s="54"/>
      <c r="QU155" s="54"/>
      <c r="QV155" s="54"/>
      <c r="QW155" s="54"/>
      <c r="QX155" s="54"/>
      <c r="QY155" s="54"/>
      <c r="QZ155" s="54"/>
      <c r="RA155" s="54"/>
      <c r="RB155" s="54"/>
      <c r="RC155" s="54"/>
      <c r="RD155" s="54"/>
      <c r="RE155" s="54"/>
      <c r="RF155" s="54"/>
      <c r="RG155" s="54"/>
      <c r="RH155" s="54"/>
      <c r="RI155" s="54"/>
      <c r="RJ155" s="54"/>
      <c r="RK155" s="54"/>
      <c r="RL155" s="54"/>
      <c r="RM155" s="54"/>
      <c r="RN155" s="54"/>
      <c r="RO155" s="54"/>
      <c r="RP155" s="54"/>
      <c r="RQ155" s="54"/>
      <c r="RR155" s="54"/>
      <c r="RS155" s="54"/>
      <c r="RT155" s="54"/>
      <c r="RU155" s="54"/>
      <c r="RV155" s="54"/>
      <c r="RW155" s="54"/>
      <c r="RX155" s="54"/>
      <c r="RY155" s="54"/>
      <c r="RZ155" s="54"/>
      <c r="SA155" s="54"/>
      <c r="SB155" s="54"/>
      <c r="SC155" s="54"/>
      <c r="SD155" s="54"/>
      <c r="SE155" s="54"/>
      <c r="SF155" s="54"/>
      <c r="SG155" s="54"/>
      <c r="SH155" s="54"/>
      <c r="SI155" s="54"/>
      <c r="SJ155" s="54"/>
      <c r="SK155" s="54"/>
      <c r="SL155" s="54"/>
      <c r="SM155" s="54"/>
      <c r="SN155" s="54"/>
      <c r="SO155" s="54"/>
      <c r="SP155" s="54"/>
      <c r="SQ155" s="54"/>
      <c r="SR155" s="54"/>
    </row>
    <row r="156" spans="1:512" ht="15" customHeight="1" x14ac:dyDescent="0.7">
      <c r="A156" s="172"/>
      <c r="B156" s="172"/>
      <c r="C156" s="172"/>
      <c r="D156" s="172"/>
      <c r="E156" s="172"/>
      <c r="F156" s="172"/>
      <c r="G156" s="172"/>
      <c r="I156" s="72" t="s">
        <v>344</v>
      </c>
      <c r="J156" s="73" t="s">
        <v>344</v>
      </c>
      <c r="K156" s="190"/>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c r="HP156" s="54"/>
      <c r="HQ156" s="54"/>
      <c r="HR156" s="54"/>
      <c r="HS156" s="54"/>
      <c r="HT156" s="54"/>
      <c r="HU156" s="54"/>
      <c r="HV156" s="54"/>
      <c r="HW156" s="54"/>
      <c r="HX156" s="54"/>
      <c r="HY156" s="54"/>
      <c r="HZ156" s="54"/>
      <c r="IA156" s="54"/>
      <c r="IB156" s="54"/>
      <c r="IC156" s="54"/>
      <c r="ID156" s="54"/>
      <c r="IE156" s="54"/>
      <c r="IF156" s="54"/>
      <c r="IG156" s="54"/>
      <c r="IH156" s="54"/>
      <c r="II156" s="54"/>
      <c r="IJ156" s="54"/>
      <c r="IK156" s="54"/>
      <c r="IL156" s="54"/>
      <c r="IM156" s="54"/>
      <c r="IN156" s="54"/>
      <c r="IO156" s="54"/>
      <c r="IP156" s="54"/>
      <c r="IQ156" s="54"/>
      <c r="IR156" s="54"/>
      <c r="IS156" s="54"/>
      <c r="IT156" s="54"/>
      <c r="IU156" s="54"/>
      <c r="IV156" s="54"/>
      <c r="IW156" s="54"/>
      <c r="IX156" s="54"/>
      <c r="IY156" s="54"/>
      <c r="IZ156" s="54"/>
      <c r="JA156" s="54"/>
      <c r="JB156" s="54"/>
      <c r="JC156" s="54"/>
      <c r="JD156" s="54"/>
      <c r="JE156" s="54"/>
      <c r="JF156" s="54"/>
      <c r="JG156" s="54"/>
      <c r="JH156" s="54"/>
      <c r="JI156" s="54"/>
      <c r="JJ156" s="54"/>
      <c r="JK156" s="54"/>
      <c r="JL156" s="54"/>
      <c r="JM156" s="54"/>
      <c r="JN156" s="54"/>
      <c r="JO156" s="54"/>
      <c r="JP156" s="54"/>
      <c r="JQ156" s="54"/>
      <c r="JR156" s="54"/>
      <c r="JS156" s="54"/>
      <c r="JT156" s="54"/>
      <c r="JU156" s="54"/>
      <c r="JV156" s="54"/>
      <c r="JW156" s="54"/>
      <c r="JX156" s="54"/>
      <c r="JY156" s="54"/>
      <c r="JZ156" s="54"/>
      <c r="KA156" s="54"/>
      <c r="KB156" s="54"/>
      <c r="KC156" s="54"/>
      <c r="KD156" s="54"/>
      <c r="KE156" s="54"/>
      <c r="KF156" s="54"/>
      <c r="KG156" s="54"/>
      <c r="KH156" s="54"/>
      <c r="KI156" s="54"/>
      <c r="KJ156" s="54"/>
      <c r="KK156" s="54"/>
      <c r="KL156" s="54"/>
      <c r="KM156" s="54"/>
      <c r="KN156" s="54"/>
      <c r="KO156" s="54"/>
      <c r="KP156" s="54"/>
      <c r="KQ156" s="54"/>
      <c r="KR156" s="54"/>
      <c r="KS156" s="54"/>
      <c r="KT156" s="54"/>
      <c r="KU156" s="54"/>
      <c r="KV156" s="54"/>
      <c r="KW156" s="54"/>
      <c r="KX156" s="54"/>
      <c r="KY156" s="54"/>
      <c r="KZ156" s="54"/>
      <c r="LA156" s="54"/>
      <c r="LB156" s="54"/>
      <c r="LC156" s="54"/>
      <c r="LD156" s="54"/>
      <c r="LE156" s="54"/>
      <c r="LF156" s="54"/>
      <c r="LG156" s="54"/>
      <c r="LH156" s="54"/>
      <c r="LI156" s="54"/>
      <c r="LJ156" s="54"/>
      <c r="LK156" s="54"/>
      <c r="LL156" s="54"/>
      <c r="LM156" s="54"/>
      <c r="LN156" s="54"/>
      <c r="LO156" s="54"/>
      <c r="LP156" s="54"/>
      <c r="LQ156" s="54"/>
      <c r="LR156" s="54"/>
      <c r="LS156" s="54"/>
      <c r="LT156" s="54"/>
      <c r="LU156" s="54"/>
      <c r="LV156" s="54"/>
      <c r="LW156" s="54"/>
      <c r="LX156" s="54"/>
      <c r="LY156" s="54"/>
      <c r="LZ156" s="54"/>
      <c r="MA156" s="54"/>
      <c r="MB156" s="54"/>
      <c r="MC156" s="54"/>
      <c r="MD156" s="54"/>
      <c r="ME156" s="54"/>
      <c r="MF156" s="54"/>
      <c r="MG156" s="54"/>
      <c r="MH156" s="54"/>
      <c r="MI156" s="54"/>
      <c r="MJ156" s="54"/>
      <c r="MK156" s="54"/>
      <c r="ML156" s="54"/>
      <c r="MM156" s="54"/>
      <c r="MN156" s="54"/>
      <c r="MO156" s="54"/>
      <c r="MP156" s="54"/>
      <c r="MQ156" s="54"/>
      <c r="MR156" s="54"/>
      <c r="MS156" s="54"/>
      <c r="MT156" s="54"/>
      <c r="MU156" s="54"/>
      <c r="MV156" s="54"/>
      <c r="MW156" s="54"/>
      <c r="MX156" s="54"/>
      <c r="MY156" s="54"/>
      <c r="MZ156" s="54"/>
      <c r="NA156" s="54"/>
      <c r="NB156" s="54"/>
      <c r="NC156" s="54"/>
      <c r="ND156" s="54"/>
      <c r="NE156" s="54"/>
      <c r="NF156" s="54"/>
      <c r="NG156" s="54"/>
      <c r="NH156" s="54"/>
      <c r="NI156" s="54"/>
      <c r="NJ156" s="54"/>
      <c r="NK156" s="54"/>
      <c r="NL156" s="54"/>
      <c r="NM156" s="54"/>
      <c r="NN156" s="54"/>
      <c r="NO156" s="54"/>
      <c r="NP156" s="54"/>
      <c r="NQ156" s="54"/>
      <c r="NR156" s="54"/>
      <c r="NS156" s="54"/>
      <c r="NT156" s="54"/>
      <c r="NU156" s="54"/>
      <c r="NV156" s="54"/>
      <c r="NW156" s="54"/>
      <c r="NX156" s="54"/>
      <c r="NY156" s="54"/>
      <c r="NZ156" s="54"/>
      <c r="OA156" s="54"/>
      <c r="OB156" s="54"/>
      <c r="OC156" s="54"/>
      <c r="OD156" s="54"/>
      <c r="OE156" s="54"/>
      <c r="OF156" s="54"/>
      <c r="OG156" s="54"/>
      <c r="OH156" s="54"/>
      <c r="OI156" s="54"/>
      <c r="OJ156" s="54"/>
      <c r="OK156" s="54"/>
      <c r="OL156" s="54"/>
      <c r="OM156" s="54"/>
      <c r="ON156" s="54"/>
      <c r="OO156" s="54"/>
      <c r="OP156" s="54"/>
      <c r="OQ156" s="54"/>
      <c r="OR156" s="54"/>
      <c r="OS156" s="54"/>
      <c r="OT156" s="54"/>
      <c r="OU156" s="54"/>
      <c r="OV156" s="54"/>
      <c r="OW156" s="54"/>
      <c r="OX156" s="54"/>
      <c r="OY156" s="54"/>
      <c r="OZ156" s="54"/>
      <c r="PA156" s="54"/>
      <c r="PB156" s="54"/>
      <c r="PC156" s="54"/>
      <c r="PD156" s="54"/>
      <c r="PE156" s="54"/>
      <c r="PF156" s="54"/>
      <c r="PG156" s="54"/>
      <c r="PH156" s="54"/>
      <c r="PI156" s="54"/>
      <c r="PJ156" s="54"/>
      <c r="PK156" s="54"/>
      <c r="PL156" s="54"/>
      <c r="PM156" s="54"/>
      <c r="PN156" s="54"/>
      <c r="PO156" s="54"/>
      <c r="PP156" s="54"/>
      <c r="PQ156" s="54"/>
      <c r="PR156" s="54"/>
      <c r="PS156" s="54"/>
      <c r="PT156" s="54"/>
      <c r="PU156" s="54"/>
      <c r="PV156" s="54"/>
      <c r="PW156" s="54"/>
      <c r="PX156" s="54"/>
      <c r="PY156" s="54"/>
      <c r="PZ156" s="54"/>
      <c r="QA156" s="54"/>
      <c r="QB156" s="54"/>
      <c r="QC156" s="54"/>
      <c r="QD156" s="54"/>
      <c r="QE156" s="54"/>
      <c r="QF156" s="54"/>
      <c r="QG156" s="54"/>
      <c r="QH156" s="54"/>
      <c r="QI156" s="54"/>
      <c r="QJ156" s="54"/>
      <c r="QK156" s="54"/>
      <c r="QL156" s="54"/>
      <c r="QM156" s="54"/>
      <c r="QN156" s="54"/>
      <c r="QO156" s="54"/>
      <c r="QP156" s="54"/>
      <c r="QQ156" s="54"/>
      <c r="QR156" s="54"/>
      <c r="QS156" s="54"/>
      <c r="QT156" s="54"/>
      <c r="QU156" s="54"/>
      <c r="QV156" s="54"/>
      <c r="QW156" s="54"/>
      <c r="QX156" s="54"/>
      <c r="QY156" s="54"/>
      <c r="QZ156" s="54"/>
      <c r="RA156" s="54"/>
      <c r="RB156" s="54"/>
      <c r="RC156" s="54"/>
      <c r="RD156" s="54"/>
      <c r="RE156" s="54"/>
      <c r="RF156" s="54"/>
      <c r="RG156" s="54"/>
      <c r="RH156" s="54"/>
      <c r="RI156" s="54"/>
      <c r="RJ156" s="54"/>
      <c r="RK156" s="54"/>
      <c r="RL156" s="54"/>
      <c r="RM156" s="54"/>
      <c r="RN156" s="54"/>
      <c r="RO156" s="54"/>
      <c r="RP156" s="54"/>
      <c r="RQ156" s="54"/>
      <c r="RR156" s="54"/>
      <c r="RS156" s="54"/>
      <c r="RT156" s="54"/>
      <c r="RU156" s="54"/>
      <c r="RV156" s="54"/>
      <c r="RW156" s="54"/>
      <c r="RX156" s="54"/>
      <c r="RY156" s="54"/>
      <c r="RZ156" s="54"/>
      <c r="SA156" s="54"/>
      <c r="SB156" s="54"/>
      <c r="SC156" s="54"/>
      <c r="SD156" s="54"/>
      <c r="SE156" s="54"/>
      <c r="SF156" s="54"/>
      <c r="SG156" s="54"/>
      <c r="SH156" s="54"/>
      <c r="SI156" s="54"/>
      <c r="SJ156" s="54"/>
      <c r="SK156" s="54"/>
      <c r="SL156" s="54"/>
      <c r="SM156" s="54"/>
      <c r="SN156" s="54"/>
      <c r="SO156" s="54"/>
      <c r="SP156" s="54"/>
      <c r="SQ156" s="54"/>
      <c r="SR156" s="54"/>
    </row>
    <row r="157" spans="1:512" s="55" customFormat="1" ht="15" customHeight="1" x14ac:dyDescent="0.7">
      <c r="A157" s="173"/>
      <c r="B157" s="173"/>
      <c r="C157" s="173"/>
      <c r="D157" s="173"/>
      <c r="E157" s="173"/>
      <c r="F157" s="173"/>
      <c r="G157" s="173"/>
      <c r="H157" s="74"/>
      <c r="I157" s="75"/>
      <c r="J157" s="76"/>
      <c r="K157" s="191"/>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c r="IX157" s="56"/>
      <c r="IY157" s="56"/>
      <c r="IZ157" s="56"/>
      <c r="JA157" s="56"/>
      <c r="JB157" s="56"/>
      <c r="JC157" s="56"/>
      <c r="JD157" s="56"/>
      <c r="JE157" s="56"/>
      <c r="JF157" s="56"/>
      <c r="JG157" s="56"/>
      <c r="JH157" s="56"/>
      <c r="JI157" s="56"/>
      <c r="JJ157" s="56"/>
      <c r="JK157" s="56"/>
      <c r="JL157" s="56"/>
      <c r="JM157" s="56"/>
      <c r="JN157" s="56"/>
      <c r="JO157" s="56"/>
      <c r="JP157" s="56"/>
      <c r="JQ157" s="56"/>
      <c r="JR157" s="56"/>
      <c r="JS157" s="56"/>
      <c r="JT157" s="56"/>
      <c r="JU157" s="56"/>
      <c r="JV157" s="56"/>
      <c r="JW157" s="56"/>
      <c r="JX157" s="56"/>
      <c r="JY157" s="56"/>
      <c r="JZ157" s="56"/>
      <c r="KA157" s="56"/>
      <c r="KB157" s="56"/>
      <c r="KC157" s="56"/>
      <c r="KD157" s="56"/>
      <c r="KE157" s="56"/>
      <c r="KF157" s="56"/>
      <c r="KG157" s="56"/>
      <c r="KH157" s="56"/>
      <c r="KI157" s="56"/>
      <c r="KJ157" s="56"/>
      <c r="KK157" s="56"/>
      <c r="KL157" s="56"/>
      <c r="KM157" s="56"/>
      <c r="KN157" s="56"/>
      <c r="KO157" s="56"/>
      <c r="KP157" s="56"/>
      <c r="KQ157" s="56"/>
      <c r="KR157" s="56"/>
      <c r="KS157" s="56"/>
      <c r="KT157" s="56"/>
      <c r="KU157" s="56"/>
      <c r="KV157" s="56"/>
      <c r="KW157" s="56"/>
      <c r="KX157" s="56"/>
      <c r="KY157" s="56"/>
      <c r="KZ157" s="56"/>
      <c r="LA157" s="56"/>
      <c r="LB157" s="56"/>
      <c r="LC157" s="56"/>
      <c r="LD157" s="56"/>
      <c r="LE157" s="56"/>
      <c r="LF157" s="56"/>
      <c r="LG157" s="56"/>
      <c r="LH157" s="56"/>
      <c r="LI157" s="56"/>
      <c r="LJ157" s="56"/>
      <c r="LK157" s="56"/>
      <c r="LL157" s="56"/>
      <c r="LM157" s="56"/>
      <c r="LN157" s="56"/>
      <c r="LO157" s="56"/>
      <c r="LP157" s="56"/>
      <c r="LQ157" s="56"/>
      <c r="LR157" s="56"/>
      <c r="LS157" s="56"/>
      <c r="LT157" s="56"/>
      <c r="LU157" s="56"/>
      <c r="LV157" s="56"/>
      <c r="LW157" s="56"/>
      <c r="LX157" s="56"/>
      <c r="LY157" s="56"/>
      <c r="LZ157" s="56"/>
      <c r="MA157" s="56"/>
      <c r="MB157" s="56"/>
      <c r="MC157" s="56"/>
      <c r="MD157" s="56"/>
      <c r="ME157" s="56"/>
      <c r="MF157" s="56"/>
      <c r="MG157" s="56"/>
      <c r="MH157" s="56"/>
      <c r="MI157" s="56"/>
      <c r="MJ157" s="56"/>
      <c r="MK157" s="56"/>
      <c r="ML157" s="56"/>
      <c r="MM157" s="56"/>
      <c r="MN157" s="56"/>
      <c r="MO157" s="56"/>
      <c r="MP157" s="56"/>
      <c r="MQ157" s="56"/>
      <c r="MR157" s="56"/>
      <c r="MS157" s="56"/>
      <c r="MT157" s="56"/>
      <c r="MU157" s="56"/>
      <c r="MV157" s="56"/>
      <c r="MW157" s="56"/>
      <c r="MX157" s="56"/>
      <c r="MY157" s="56"/>
      <c r="MZ157" s="56"/>
      <c r="NA157" s="56"/>
      <c r="NB157" s="56"/>
      <c r="NC157" s="56"/>
      <c r="ND157" s="56"/>
      <c r="NE157" s="56"/>
      <c r="NF157" s="56"/>
      <c r="NG157" s="56"/>
      <c r="NH157" s="56"/>
      <c r="NI157" s="56"/>
      <c r="NJ157" s="56"/>
      <c r="NK157" s="56"/>
      <c r="NL157" s="56"/>
      <c r="NM157" s="56"/>
      <c r="NN157" s="56"/>
      <c r="NO157" s="56"/>
      <c r="NP157" s="56"/>
      <c r="NQ157" s="56"/>
      <c r="NR157" s="56"/>
      <c r="NS157" s="56"/>
      <c r="NT157" s="56"/>
      <c r="NU157" s="56"/>
      <c r="NV157" s="56"/>
      <c r="NW157" s="56"/>
      <c r="NX157" s="56"/>
      <c r="NY157" s="56"/>
      <c r="NZ157" s="56"/>
      <c r="OA157" s="56"/>
      <c r="OB157" s="56"/>
      <c r="OC157" s="56"/>
      <c r="OD157" s="56"/>
      <c r="OE157" s="56"/>
      <c r="OF157" s="56"/>
      <c r="OG157" s="56"/>
      <c r="OH157" s="56"/>
      <c r="OI157" s="56"/>
      <c r="OJ157" s="56"/>
      <c r="OK157" s="56"/>
      <c r="OL157" s="56"/>
      <c r="OM157" s="56"/>
      <c r="ON157" s="56"/>
      <c r="OO157" s="56"/>
      <c r="OP157" s="56"/>
      <c r="OQ157" s="56"/>
      <c r="OR157" s="56"/>
      <c r="OS157" s="56"/>
      <c r="OT157" s="56"/>
      <c r="OU157" s="56"/>
      <c r="OV157" s="56"/>
      <c r="OW157" s="56"/>
      <c r="OX157" s="56"/>
      <c r="OY157" s="56"/>
      <c r="OZ157" s="56"/>
      <c r="PA157" s="56"/>
      <c r="PB157" s="56"/>
      <c r="PC157" s="56"/>
      <c r="PD157" s="56"/>
      <c r="PE157" s="56"/>
      <c r="PF157" s="56"/>
      <c r="PG157" s="56"/>
      <c r="PH157" s="56"/>
      <c r="PI157" s="56"/>
      <c r="PJ157" s="56"/>
      <c r="PK157" s="56"/>
      <c r="PL157" s="56"/>
      <c r="PM157" s="56"/>
      <c r="PN157" s="56"/>
      <c r="PO157" s="56"/>
      <c r="PP157" s="56"/>
      <c r="PQ157" s="56"/>
      <c r="PR157" s="56"/>
      <c r="PS157" s="56"/>
      <c r="PT157" s="56"/>
      <c r="PU157" s="56"/>
      <c r="PV157" s="56"/>
      <c r="PW157" s="56"/>
      <c r="PX157" s="56"/>
      <c r="PY157" s="56"/>
      <c r="PZ157" s="56"/>
      <c r="QA157" s="56"/>
      <c r="QB157" s="56"/>
      <c r="QC157" s="56"/>
      <c r="QD157" s="56"/>
      <c r="QE157" s="56"/>
      <c r="QF157" s="56"/>
      <c r="QG157" s="56"/>
      <c r="QH157" s="56"/>
      <c r="QI157" s="56"/>
      <c r="QJ157" s="56"/>
      <c r="QK157" s="56"/>
      <c r="QL157" s="56"/>
      <c r="QM157" s="56"/>
      <c r="QN157" s="56"/>
      <c r="QO157" s="56"/>
      <c r="QP157" s="56"/>
      <c r="QQ157" s="56"/>
      <c r="QR157" s="56"/>
      <c r="QS157" s="56"/>
      <c r="QT157" s="56"/>
      <c r="QU157" s="56"/>
      <c r="QV157" s="56"/>
      <c r="QW157" s="56"/>
      <c r="QX157" s="56"/>
      <c r="QY157" s="56"/>
      <c r="QZ157" s="56"/>
      <c r="RA157" s="56"/>
      <c r="RB157" s="56"/>
      <c r="RC157" s="56"/>
      <c r="RD157" s="56"/>
      <c r="RE157" s="56"/>
      <c r="RF157" s="56"/>
      <c r="RG157" s="56"/>
      <c r="RH157" s="56"/>
      <c r="RI157" s="56"/>
      <c r="RJ157" s="56"/>
      <c r="RK157" s="56"/>
      <c r="RL157" s="56"/>
      <c r="RM157" s="56"/>
      <c r="RN157" s="56"/>
      <c r="RO157" s="56"/>
      <c r="RP157" s="56"/>
      <c r="RQ157" s="56"/>
      <c r="RR157" s="56"/>
      <c r="RS157" s="56"/>
      <c r="RT157" s="56"/>
      <c r="RU157" s="56"/>
      <c r="RV157" s="56"/>
      <c r="RW157" s="56"/>
      <c r="RX157" s="56"/>
      <c r="RY157" s="56"/>
      <c r="RZ157" s="56"/>
      <c r="SA157" s="56"/>
      <c r="SB157" s="56"/>
      <c r="SC157" s="56"/>
      <c r="SD157" s="56"/>
      <c r="SE157" s="56"/>
      <c r="SF157" s="56"/>
      <c r="SG157" s="56"/>
      <c r="SH157" s="56"/>
      <c r="SI157" s="56"/>
      <c r="SJ157" s="56"/>
      <c r="SK157" s="56"/>
      <c r="SL157" s="56"/>
      <c r="SM157" s="56"/>
      <c r="SN157" s="56"/>
      <c r="SO157" s="56"/>
      <c r="SP157" s="56"/>
      <c r="SQ157" s="56"/>
      <c r="SR157" s="56"/>
    </row>
    <row r="158" spans="1:512" ht="15" customHeight="1" x14ac:dyDescent="0.7">
      <c r="A158" s="171" t="s">
        <v>344</v>
      </c>
      <c r="B158" s="171" t="s">
        <v>344</v>
      </c>
      <c r="C158" s="171" t="s">
        <v>344</v>
      </c>
      <c r="D158" s="171"/>
      <c r="E158" s="171" t="s">
        <v>344</v>
      </c>
      <c r="F158" s="171"/>
      <c r="G158" s="188" t="s">
        <v>344</v>
      </c>
      <c r="H158" s="71" t="s">
        <v>344</v>
      </c>
      <c r="I158" s="72" t="s">
        <v>344</v>
      </c>
      <c r="J158" s="73" t="s">
        <v>344</v>
      </c>
      <c r="K158" s="189" t="s">
        <v>344</v>
      </c>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c r="HP158" s="54"/>
      <c r="HQ158" s="54"/>
      <c r="HR158" s="54"/>
      <c r="HS158" s="54"/>
      <c r="HT158" s="54"/>
      <c r="HU158" s="54"/>
      <c r="HV158" s="54"/>
      <c r="HW158" s="54"/>
      <c r="HX158" s="54"/>
      <c r="HY158" s="54"/>
      <c r="HZ158" s="54"/>
      <c r="IA158" s="54"/>
      <c r="IB158" s="54"/>
      <c r="IC158" s="54"/>
      <c r="ID158" s="54"/>
      <c r="IE158" s="54"/>
      <c r="IF158" s="54"/>
      <c r="IG158" s="54"/>
      <c r="IH158" s="54"/>
      <c r="II158" s="54"/>
      <c r="IJ158" s="54"/>
      <c r="IK158" s="54"/>
      <c r="IL158" s="54"/>
      <c r="IM158" s="54"/>
      <c r="IN158" s="54"/>
      <c r="IO158" s="54"/>
      <c r="IP158" s="54"/>
      <c r="IQ158" s="54"/>
      <c r="IR158" s="54"/>
      <c r="IS158" s="54"/>
      <c r="IT158" s="54"/>
      <c r="IU158" s="54"/>
      <c r="IV158" s="54"/>
      <c r="IW158" s="54"/>
      <c r="IX158" s="54"/>
      <c r="IY158" s="54"/>
      <c r="IZ158" s="54"/>
      <c r="JA158" s="54"/>
      <c r="JB158" s="54"/>
      <c r="JC158" s="54"/>
      <c r="JD158" s="54"/>
      <c r="JE158" s="54"/>
      <c r="JF158" s="54"/>
      <c r="JG158" s="54"/>
      <c r="JH158" s="54"/>
      <c r="JI158" s="54"/>
      <c r="JJ158" s="54"/>
      <c r="JK158" s="54"/>
      <c r="JL158" s="54"/>
      <c r="JM158" s="54"/>
      <c r="JN158" s="54"/>
      <c r="JO158" s="54"/>
      <c r="JP158" s="54"/>
      <c r="JQ158" s="54"/>
      <c r="JR158" s="54"/>
      <c r="JS158" s="54"/>
      <c r="JT158" s="54"/>
      <c r="JU158" s="54"/>
      <c r="JV158" s="54"/>
      <c r="JW158" s="54"/>
      <c r="JX158" s="54"/>
      <c r="JY158" s="54"/>
      <c r="JZ158" s="54"/>
      <c r="KA158" s="54"/>
      <c r="KB158" s="54"/>
      <c r="KC158" s="54"/>
      <c r="KD158" s="54"/>
      <c r="KE158" s="54"/>
      <c r="KF158" s="54"/>
      <c r="KG158" s="54"/>
      <c r="KH158" s="54"/>
      <c r="KI158" s="54"/>
      <c r="KJ158" s="54"/>
      <c r="KK158" s="54"/>
      <c r="KL158" s="54"/>
      <c r="KM158" s="54"/>
      <c r="KN158" s="54"/>
      <c r="KO158" s="54"/>
      <c r="KP158" s="54"/>
      <c r="KQ158" s="54"/>
      <c r="KR158" s="54"/>
      <c r="KS158" s="54"/>
      <c r="KT158" s="54"/>
      <c r="KU158" s="54"/>
      <c r="KV158" s="54"/>
      <c r="KW158" s="54"/>
      <c r="KX158" s="54"/>
      <c r="KY158" s="54"/>
      <c r="KZ158" s="54"/>
      <c r="LA158" s="54"/>
      <c r="LB158" s="54"/>
      <c r="LC158" s="54"/>
      <c r="LD158" s="54"/>
      <c r="LE158" s="54"/>
      <c r="LF158" s="54"/>
      <c r="LG158" s="54"/>
      <c r="LH158" s="54"/>
      <c r="LI158" s="54"/>
      <c r="LJ158" s="54"/>
      <c r="LK158" s="54"/>
      <c r="LL158" s="54"/>
      <c r="LM158" s="54"/>
      <c r="LN158" s="54"/>
      <c r="LO158" s="54"/>
      <c r="LP158" s="54"/>
      <c r="LQ158" s="54"/>
      <c r="LR158" s="54"/>
      <c r="LS158" s="54"/>
      <c r="LT158" s="54"/>
      <c r="LU158" s="54"/>
      <c r="LV158" s="54"/>
      <c r="LW158" s="54"/>
      <c r="LX158" s="54"/>
      <c r="LY158" s="54"/>
      <c r="LZ158" s="54"/>
      <c r="MA158" s="54"/>
      <c r="MB158" s="54"/>
      <c r="MC158" s="54"/>
      <c r="MD158" s="54"/>
      <c r="ME158" s="54"/>
      <c r="MF158" s="54"/>
      <c r="MG158" s="54"/>
      <c r="MH158" s="54"/>
      <c r="MI158" s="54"/>
      <c r="MJ158" s="54"/>
      <c r="MK158" s="54"/>
      <c r="ML158" s="54"/>
      <c r="MM158" s="54"/>
      <c r="MN158" s="54"/>
      <c r="MO158" s="54"/>
      <c r="MP158" s="54"/>
      <c r="MQ158" s="54"/>
      <c r="MR158" s="54"/>
      <c r="MS158" s="54"/>
      <c r="MT158" s="54"/>
      <c r="MU158" s="54"/>
      <c r="MV158" s="54"/>
      <c r="MW158" s="54"/>
      <c r="MX158" s="54"/>
      <c r="MY158" s="54"/>
      <c r="MZ158" s="54"/>
      <c r="NA158" s="54"/>
      <c r="NB158" s="54"/>
      <c r="NC158" s="54"/>
      <c r="ND158" s="54"/>
      <c r="NE158" s="54"/>
      <c r="NF158" s="54"/>
      <c r="NG158" s="54"/>
      <c r="NH158" s="54"/>
      <c r="NI158" s="54"/>
      <c r="NJ158" s="54"/>
      <c r="NK158" s="54"/>
      <c r="NL158" s="54"/>
      <c r="NM158" s="54"/>
      <c r="NN158" s="54"/>
      <c r="NO158" s="54"/>
      <c r="NP158" s="54"/>
      <c r="NQ158" s="54"/>
      <c r="NR158" s="54"/>
      <c r="NS158" s="54"/>
      <c r="NT158" s="54"/>
      <c r="NU158" s="54"/>
      <c r="NV158" s="54"/>
      <c r="NW158" s="54"/>
      <c r="NX158" s="54"/>
      <c r="NY158" s="54"/>
      <c r="NZ158" s="54"/>
      <c r="OA158" s="54"/>
      <c r="OB158" s="54"/>
      <c r="OC158" s="54"/>
      <c r="OD158" s="54"/>
      <c r="OE158" s="54"/>
      <c r="OF158" s="54"/>
      <c r="OG158" s="54"/>
      <c r="OH158" s="54"/>
      <c r="OI158" s="54"/>
      <c r="OJ158" s="54"/>
      <c r="OK158" s="54"/>
      <c r="OL158" s="54"/>
      <c r="OM158" s="54"/>
      <c r="ON158" s="54"/>
      <c r="OO158" s="54"/>
      <c r="OP158" s="54"/>
      <c r="OQ158" s="54"/>
      <c r="OR158" s="54"/>
      <c r="OS158" s="54"/>
      <c r="OT158" s="54"/>
      <c r="OU158" s="54"/>
      <c r="OV158" s="54"/>
      <c r="OW158" s="54"/>
      <c r="OX158" s="54"/>
      <c r="OY158" s="54"/>
      <c r="OZ158" s="54"/>
      <c r="PA158" s="54"/>
      <c r="PB158" s="54"/>
      <c r="PC158" s="54"/>
      <c r="PD158" s="54"/>
      <c r="PE158" s="54"/>
      <c r="PF158" s="54"/>
      <c r="PG158" s="54"/>
      <c r="PH158" s="54"/>
      <c r="PI158" s="54"/>
      <c r="PJ158" s="54"/>
      <c r="PK158" s="54"/>
      <c r="PL158" s="54"/>
      <c r="PM158" s="54"/>
      <c r="PN158" s="54"/>
      <c r="PO158" s="54"/>
      <c r="PP158" s="54"/>
      <c r="PQ158" s="54"/>
      <c r="PR158" s="54"/>
      <c r="PS158" s="54"/>
      <c r="PT158" s="54"/>
      <c r="PU158" s="54"/>
      <c r="PV158" s="54"/>
      <c r="PW158" s="54"/>
      <c r="PX158" s="54"/>
      <c r="PY158" s="54"/>
      <c r="PZ158" s="54"/>
      <c r="QA158" s="54"/>
      <c r="QB158" s="54"/>
      <c r="QC158" s="54"/>
      <c r="QD158" s="54"/>
      <c r="QE158" s="54"/>
      <c r="QF158" s="54"/>
      <c r="QG158" s="54"/>
      <c r="QH158" s="54"/>
      <c r="QI158" s="54"/>
      <c r="QJ158" s="54"/>
      <c r="QK158" s="54"/>
      <c r="QL158" s="54"/>
      <c r="QM158" s="54"/>
      <c r="QN158" s="54"/>
      <c r="QO158" s="54"/>
      <c r="QP158" s="54"/>
      <c r="QQ158" s="54"/>
      <c r="QR158" s="54"/>
      <c r="QS158" s="54"/>
      <c r="QT158" s="54"/>
      <c r="QU158" s="54"/>
      <c r="QV158" s="54"/>
      <c r="QW158" s="54"/>
      <c r="QX158" s="54"/>
      <c r="QY158" s="54"/>
      <c r="QZ158" s="54"/>
      <c r="RA158" s="54"/>
      <c r="RB158" s="54"/>
      <c r="RC158" s="54"/>
      <c r="RD158" s="54"/>
      <c r="RE158" s="54"/>
      <c r="RF158" s="54"/>
      <c r="RG158" s="54"/>
      <c r="RH158" s="54"/>
      <c r="RI158" s="54"/>
      <c r="RJ158" s="54"/>
      <c r="RK158" s="54"/>
      <c r="RL158" s="54"/>
      <c r="RM158" s="54"/>
      <c r="RN158" s="54"/>
      <c r="RO158" s="54"/>
      <c r="RP158" s="54"/>
      <c r="RQ158" s="54"/>
      <c r="RR158" s="54"/>
      <c r="RS158" s="54"/>
      <c r="RT158" s="54"/>
      <c r="RU158" s="54"/>
      <c r="RV158" s="54"/>
      <c r="RW158" s="54"/>
      <c r="RX158" s="54"/>
      <c r="RY158" s="54"/>
      <c r="RZ158" s="54"/>
      <c r="SA158" s="54"/>
      <c r="SB158" s="54"/>
      <c r="SC158" s="54"/>
      <c r="SD158" s="54"/>
      <c r="SE158" s="54"/>
      <c r="SF158" s="54"/>
      <c r="SG158" s="54"/>
      <c r="SH158" s="54"/>
      <c r="SI158" s="54"/>
      <c r="SJ158" s="54"/>
      <c r="SK158" s="54"/>
      <c r="SL158" s="54"/>
      <c r="SM158" s="54"/>
      <c r="SN158" s="54"/>
      <c r="SO158" s="54"/>
      <c r="SP158" s="54"/>
      <c r="SQ158" s="54"/>
      <c r="SR158" s="54"/>
    </row>
    <row r="159" spans="1:512" ht="15" customHeight="1" x14ac:dyDescent="0.7">
      <c r="A159" s="172"/>
      <c r="B159" s="172"/>
      <c r="C159" s="172"/>
      <c r="D159" s="172"/>
      <c r="E159" s="172"/>
      <c r="F159" s="172"/>
      <c r="G159" s="172"/>
      <c r="I159" s="72" t="s">
        <v>344</v>
      </c>
      <c r="J159" s="73" t="s">
        <v>344</v>
      </c>
      <c r="K159" s="190"/>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c r="HP159" s="54"/>
      <c r="HQ159" s="54"/>
      <c r="HR159" s="54"/>
      <c r="HS159" s="54"/>
      <c r="HT159" s="54"/>
      <c r="HU159" s="54"/>
      <c r="HV159" s="54"/>
      <c r="HW159" s="54"/>
      <c r="HX159" s="54"/>
      <c r="HY159" s="54"/>
      <c r="HZ159" s="54"/>
      <c r="IA159" s="54"/>
      <c r="IB159" s="54"/>
      <c r="IC159" s="54"/>
      <c r="ID159" s="54"/>
      <c r="IE159" s="54"/>
      <c r="IF159" s="54"/>
      <c r="IG159" s="54"/>
      <c r="IH159" s="54"/>
      <c r="II159" s="54"/>
      <c r="IJ159" s="54"/>
      <c r="IK159" s="54"/>
      <c r="IL159" s="54"/>
      <c r="IM159" s="54"/>
      <c r="IN159" s="54"/>
      <c r="IO159" s="54"/>
      <c r="IP159" s="54"/>
      <c r="IQ159" s="54"/>
      <c r="IR159" s="54"/>
      <c r="IS159" s="54"/>
      <c r="IT159" s="54"/>
      <c r="IU159" s="54"/>
      <c r="IV159" s="54"/>
      <c r="IW159" s="54"/>
      <c r="IX159" s="54"/>
      <c r="IY159" s="54"/>
      <c r="IZ159" s="54"/>
      <c r="JA159" s="54"/>
      <c r="JB159" s="54"/>
      <c r="JC159" s="54"/>
      <c r="JD159" s="54"/>
      <c r="JE159" s="54"/>
      <c r="JF159" s="54"/>
      <c r="JG159" s="54"/>
      <c r="JH159" s="54"/>
      <c r="JI159" s="54"/>
      <c r="JJ159" s="54"/>
      <c r="JK159" s="54"/>
      <c r="JL159" s="54"/>
      <c r="JM159" s="54"/>
      <c r="JN159" s="54"/>
      <c r="JO159" s="54"/>
      <c r="JP159" s="54"/>
      <c r="JQ159" s="54"/>
      <c r="JR159" s="54"/>
      <c r="JS159" s="54"/>
      <c r="JT159" s="54"/>
      <c r="JU159" s="54"/>
      <c r="JV159" s="54"/>
      <c r="JW159" s="54"/>
      <c r="JX159" s="54"/>
      <c r="JY159" s="54"/>
      <c r="JZ159" s="54"/>
      <c r="KA159" s="54"/>
      <c r="KB159" s="54"/>
      <c r="KC159" s="54"/>
      <c r="KD159" s="54"/>
      <c r="KE159" s="54"/>
      <c r="KF159" s="54"/>
      <c r="KG159" s="54"/>
      <c r="KH159" s="54"/>
      <c r="KI159" s="54"/>
      <c r="KJ159" s="54"/>
      <c r="KK159" s="54"/>
      <c r="KL159" s="54"/>
      <c r="KM159" s="54"/>
      <c r="KN159" s="54"/>
      <c r="KO159" s="54"/>
      <c r="KP159" s="54"/>
      <c r="KQ159" s="54"/>
      <c r="KR159" s="54"/>
      <c r="KS159" s="54"/>
      <c r="KT159" s="54"/>
      <c r="KU159" s="54"/>
      <c r="KV159" s="54"/>
      <c r="KW159" s="54"/>
      <c r="KX159" s="54"/>
      <c r="KY159" s="54"/>
      <c r="KZ159" s="54"/>
      <c r="LA159" s="54"/>
      <c r="LB159" s="54"/>
      <c r="LC159" s="54"/>
      <c r="LD159" s="54"/>
      <c r="LE159" s="54"/>
      <c r="LF159" s="54"/>
      <c r="LG159" s="54"/>
      <c r="LH159" s="54"/>
      <c r="LI159" s="54"/>
      <c r="LJ159" s="54"/>
      <c r="LK159" s="54"/>
      <c r="LL159" s="54"/>
      <c r="LM159" s="54"/>
      <c r="LN159" s="54"/>
      <c r="LO159" s="54"/>
      <c r="LP159" s="54"/>
      <c r="LQ159" s="54"/>
      <c r="LR159" s="54"/>
      <c r="LS159" s="54"/>
      <c r="LT159" s="54"/>
      <c r="LU159" s="54"/>
      <c r="LV159" s="54"/>
      <c r="LW159" s="54"/>
      <c r="LX159" s="54"/>
      <c r="LY159" s="54"/>
      <c r="LZ159" s="54"/>
      <c r="MA159" s="54"/>
      <c r="MB159" s="54"/>
      <c r="MC159" s="54"/>
      <c r="MD159" s="54"/>
      <c r="ME159" s="54"/>
      <c r="MF159" s="54"/>
      <c r="MG159" s="54"/>
      <c r="MH159" s="54"/>
      <c r="MI159" s="54"/>
      <c r="MJ159" s="54"/>
      <c r="MK159" s="54"/>
      <c r="ML159" s="54"/>
      <c r="MM159" s="54"/>
      <c r="MN159" s="54"/>
      <c r="MO159" s="54"/>
      <c r="MP159" s="54"/>
      <c r="MQ159" s="54"/>
      <c r="MR159" s="54"/>
      <c r="MS159" s="54"/>
      <c r="MT159" s="54"/>
      <c r="MU159" s="54"/>
      <c r="MV159" s="54"/>
      <c r="MW159" s="54"/>
      <c r="MX159" s="54"/>
      <c r="MY159" s="54"/>
      <c r="MZ159" s="54"/>
      <c r="NA159" s="54"/>
      <c r="NB159" s="54"/>
      <c r="NC159" s="54"/>
      <c r="ND159" s="54"/>
      <c r="NE159" s="54"/>
      <c r="NF159" s="54"/>
      <c r="NG159" s="54"/>
      <c r="NH159" s="54"/>
      <c r="NI159" s="54"/>
      <c r="NJ159" s="54"/>
      <c r="NK159" s="54"/>
      <c r="NL159" s="54"/>
      <c r="NM159" s="54"/>
      <c r="NN159" s="54"/>
      <c r="NO159" s="54"/>
      <c r="NP159" s="54"/>
      <c r="NQ159" s="54"/>
      <c r="NR159" s="54"/>
      <c r="NS159" s="54"/>
      <c r="NT159" s="54"/>
      <c r="NU159" s="54"/>
      <c r="NV159" s="54"/>
      <c r="NW159" s="54"/>
      <c r="NX159" s="54"/>
      <c r="NY159" s="54"/>
      <c r="NZ159" s="54"/>
      <c r="OA159" s="54"/>
      <c r="OB159" s="54"/>
      <c r="OC159" s="54"/>
      <c r="OD159" s="54"/>
      <c r="OE159" s="54"/>
      <c r="OF159" s="54"/>
      <c r="OG159" s="54"/>
      <c r="OH159" s="54"/>
      <c r="OI159" s="54"/>
      <c r="OJ159" s="54"/>
      <c r="OK159" s="54"/>
      <c r="OL159" s="54"/>
      <c r="OM159" s="54"/>
      <c r="ON159" s="54"/>
      <c r="OO159" s="54"/>
      <c r="OP159" s="54"/>
      <c r="OQ159" s="54"/>
      <c r="OR159" s="54"/>
      <c r="OS159" s="54"/>
      <c r="OT159" s="54"/>
      <c r="OU159" s="54"/>
      <c r="OV159" s="54"/>
      <c r="OW159" s="54"/>
      <c r="OX159" s="54"/>
      <c r="OY159" s="54"/>
      <c r="OZ159" s="54"/>
      <c r="PA159" s="54"/>
      <c r="PB159" s="54"/>
      <c r="PC159" s="54"/>
      <c r="PD159" s="54"/>
      <c r="PE159" s="54"/>
      <c r="PF159" s="54"/>
      <c r="PG159" s="54"/>
      <c r="PH159" s="54"/>
      <c r="PI159" s="54"/>
      <c r="PJ159" s="54"/>
      <c r="PK159" s="54"/>
      <c r="PL159" s="54"/>
      <c r="PM159" s="54"/>
      <c r="PN159" s="54"/>
      <c r="PO159" s="54"/>
      <c r="PP159" s="54"/>
      <c r="PQ159" s="54"/>
      <c r="PR159" s="54"/>
      <c r="PS159" s="54"/>
      <c r="PT159" s="54"/>
      <c r="PU159" s="54"/>
      <c r="PV159" s="54"/>
      <c r="PW159" s="54"/>
      <c r="PX159" s="54"/>
      <c r="PY159" s="54"/>
      <c r="PZ159" s="54"/>
      <c r="QA159" s="54"/>
      <c r="QB159" s="54"/>
      <c r="QC159" s="54"/>
      <c r="QD159" s="54"/>
      <c r="QE159" s="54"/>
      <c r="QF159" s="54"/>
      <c r="QG159" s="54"/>
      <c r="QH159" s="54"/>
      <c r="QI159" s="54"/>
      <c r="QJ159" s="54"/>
      <c r="QK159" s="54"/>
      <c r="QL159" s="54"/>
      <c r="QM159" s="54"/>
      <c r="QN159" s="54"/>
      <c r="QO159" s="54"/>
      <c r="QP159" s="54"/>
      <c r="QQ159" s="54"/>
      <c r="QR159" s="54"/>
      <c r="QS159" s="54"/>
      <c r="QT159" s="54"/>
      <c r="QU159" s="54"/>
      <c r="QV159" s="54"/>
      <c r="QW159" s="54"/>
      <c r="QX159" s="54"/>
      <c r="QY159" s="54"/>
      <c r="QZ159" s="54"/>
      <c r="RA159" s="54"/>
      <c r="RB159" s="54"/>
      <c r="RC159" s="54"/>
      <c r="RD159" s="54"/>
      <c r="RE159" s="54"/>
      <c r="RF159" s="54"/>
      <c r="RG159" s="54"/>
      <c r="RH159" s="54"/>
      <c r="RI159" s="54"/>
      <c r="RJ159" s="54"/>
      <c r="RK159" s="54"/>
      <c r="RL159" s="54"/>
      <c r="RM159" s="54"/>
      <c r="RN159" s="54"/>
      <c r="RO159" s="54"/>
      <c r="RP159" s="54"/>
      <c r="RQ159" s="54"/>
      <c r="RR159" s="54"/>
      <c r="RS159" s="54"/>
      <c r="RT159" s="54"/>
      <c r="RU159" s="54"/>
      <c r="RV159" s="54"/>
      <c r="RW159" s="54"/>
      <c r="RX159" s="54"/>
      <c r="RY159" s="54"/>
      <c r="RZ159" s="54"/>
      <c r="SA159" s="54"/>
      <c r="SB159" s="54"/>
      <c r="SC159" s="54"/>
      <c r="SD159" s="54"/>
      <c r="SE159" s="54"/>
      <c r="SF159" s="54"/>
      <c r="SG159" s="54"/>
      <c r="SH159" s="54"/>
      <c r="SI159" s="54"/>
      <c r="SJ159" s="54"/>
      <c r="SK159" s="54"/>
      <c r="SL159" s="54"/>
      <c r="SM159" s="54"/>
      <c r="SN159" s="54"/>
      <c r="SO159" s="54"/>
      <c r="SP159" s="54"/>
      <c r="SQ159" s="54"/>
      <c r="SR159" s="54"/>
    </row>
    <row r="160" spans="1:512" s="55" customFormat="1" ht="15" customHeight="1" x14ac:dyDescent="0.7">
      <c r="A160" s="173"/>
      <c r="B160" s="173"/>
      <c r="C160" s="173"/>
      <c r="D160" s="173"/>
      <c r="E160" s="173"/>
      <c r="F160" s="173"/>
      <c r="G160" s="173"/>
      <c r="H160" s="74"/>
      <c r="I160" s="75"/>
      <c r="J160" s="76"/>
      <c r="K160" s="191"/>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c r="IX160" s="56"/>
      <c r="IY160" s="56"/>
      <c r="IZ160" s="56"/>
      <c r="JA160" s="56"/>
      <c r="JB160" s="56"/>
      <c r="JC160" s="56"/>
      <c r="JD160" s="56"/>
      <c r="JE160" s="56"/>
      <c r="JF160" s="56"/>
      <c r="JG160" s="56"/>
      <c r="JH160" s="56"/>
      <c r="JI160" s="56"/>
      <c r="JJ160" s="56"/>
      <c r="JK160" s="56"/>
      <c r="JL160" s="56"/>
      <c r="JM160" s="56"/>
      <c r="JN160" s="56"/>
      <c r="JO160" s="56"/>
      <c r="JP160" s="56"/>
      <c r="JQ160" s="56"/>
      <c r="JR160" s="56"/>
      <c r="JS160" s="56"/>
      <c r="JT160" s="56"/>
      <c r="JU160" s="56"/>
      <c r="JV160" s="56"/>
      <c r="JW160" s="56"/>
      <c r="JX160" s="56"/>
      <c r="JY160" s="56"/>
      <c r="JZ160" s="56"/>
      <c r="KA160" s="56"/>
      <c r="KB160" s="56"/>
      <c r="KC160" s="56"/>
      <c r="KD160" s="56"/>
      <c r="KE160" s="56"/>
      <c r="KF160" s="56"/>
      <c r="KG160" s="56"/>
      <c r="KH160" s="56"/>
      <c r="KI160" s="56"/>
      <c r="KJ160" s="56"/>
      <c r="KK160" s="56"/>
      <c r="KL160" s="56"/>
      <c r="KM160" s="56"/>
      <c r="KN160" s="56"/>
      <c r="KO160" s="56"/>
      <c r="KP160" s="56"/>
      <c r="KQ160" s="56"/>
      <c r="KR160" s="56"/>
      <c r="KS160" s="56"/>
      <c r="KT160" s="56"/>
      <c r="KU160" s="56"/>
      <c r="KV160" s="56"/>
      <c r="KW160" s="56"/>
      <c r="KX160" s="56"/>
      <c r="KY160" s="56"/>
      <c r="KZ160" s="56"/>
      <c r="LA160" s="56"/>
      <c r="LB160" s="56"/>
      <c r="LC160" s="56"/>
      <c r="LD160" s="56"/>
      <c r="LE160" s="56"/>
      <c r="LF160" s="56"/>
      <c r="LG160" s="56"/>
      <c r="LH160" s="56"/>
      <c r="LI160" s="56"/>
      <c r="LJ160" s="56"/>
      <c r="LK160" s="56"/>
      <c r="LL160" s="56"/>
      <c r="LM160" s="56"/>
      <c r="LN160" s="56"/>
      <c r="LO160" s="56"/>
      <c r="LP160" s="56"/>
      <c r="LQ160" s="56"/>
      <c r="LR160" s="56"/>
      <c r="LS160" s="56"/>
      <c r="LT160" s="56"/>
      <c r="LU160" s="56"/>
      <c r="LV160" s="56"/>
      <c r="LW160" s="56"/>
      <c r="LX160" s="56"/>
      <c r="LY160" s="56"/>
      <c r="LZ160" s="56"/>
      <c r="MA160" s="56"/>
      <c r="MB160" s="56"/>
      <c r="MC160" s="56"/>
      <c r="MD160" s="56"/>
      <c r="ME160" s="56"/>
      <c r="MF160" s="56"/>
      <c r="MG160" s="56"/>
      <c r="MH160" s="56"/>
      <c r="MI160" s="56"/>
      <c r="MJ160" s="56"/>
      <c r="MK160" s="56"/>
      <c r="ML160" s="56"/>
      <c r="MM160" s="56"/>
      <c r="MN160" s="56"/>
      <c r="MO160" s="56"/>
      <c r="MP160" s="56"/>
      <c r="MQ160" s="56"/>
      <c r="MR160" s="56"/>
      <c r="MS160" s="56"/>
      <c r="MT160" s="56"/>
      <c r="MU160" s="56"/>
      <c r="MV160" s="56"/>
      <c r="MW160" s="56"/>
      <c r="MX160" s="56"/>
      <c r="MY160" s="56"/>
      <c r="MZ160" s="56"/>
      <c r="NA160" s="56"/>
      <c r="NB160" s="56"/>
      <c r="NC160" s="56"/>
      <c r="ND160" s="56"/>
      <c r="NE160" s="56"/>
      <c r="NF160" s="56"/>
      <c r="NG160" s="56"/>
      <c r="NH160" s="56"/>
      <c r="NI160" s="56"/>
      <c r="NJ160" s="56"/>
      <c r="NK160" s="56"/>
      <c r="NL160" s="56"/>
      <c r="NM160" s="56"/>
      <c r="NN160" s="56"/>
      <c r="NO160" s="56"/>
      <c r="NP160" s="56"/>
      <c r="NQ160" s="56"/>
      <c r="NR160" s="56"/>
      <c r="NS160" s="56"/>
      <c r="NT160" s="56"/>
      <c r="NU160" s="56"/>
      <c r="NV160" s="56"/>
      <c r="NW160" s="56"/>
      <c r="NX160" s="56"/>
      <c r="NY160" s="56"/>
      <c r="NZ160" s="56"/>
      <c r="OA160" s="56"/>
      <c r="OB160" s="56"/>
      <c r="OC160" s="56"/>
      <c r="OD160" s="56"/>
      <c r="OE160" s="56"/>
      <c r="OF160" s="56"/>
      <c r="OG160" s="56"/>
      <c r="OH160" s="56"/>
      <c r="OI160" s="56"/>
      <c r="OJ160" s="56"/>
      <c r="OK160" s="56"/>
      <c r="OL160" s="56"/>
      <c r="OM160" s="56"/>
      <c r="ON160" s="56"/>
      <c r="OO160" s="56"/>
      <c r="OP160" s="56"/>
      <c r="OQ160" s="56"/>
      <c r="OR160" s="56"/>
      <c r="OS160" s="56"/>
      <c r="OT160" s="56"/>
      <c r="OU160" s="56"/>
      <c r="OV160" s="56"/>
      <c r="OW160" s="56"/>
      <c r="OX160" s="56"/>
      <c r="OY160" s="56"/>
      <c r="OZ160" s="56"/>
      <c r="PA160" s="56"/>
      <c r="PB160" s="56"/>
      <c r="PC160" s="56"/>
      <c r="PD160" s="56"/>
      <c r="PE160" s="56"/>
      <c r="PF160" s="56"/>
      <c r="PG160" s="56"/>
      <c r="PH160" s="56"/>
      <c r="PI160" s="56"/>
      <c r="PJ160" s="56"/>
      <c r="PK160" s="56"/>
      <c r="PL160" s="56"/>
      <c r="PM160" s="56"/>
      <c r="PN160" s="56"/>
      <c r="PO160" s="56"/>
      <c r="PP160" s="56"/>
      <c r="PQ160" s="56"/>
      <c r="PR160" s="56"/>
      <c r="PS160" s="56"/>
      <c r="PT160" s="56"/>
      <c r="PU160" s="56"/>
      <c r="PV160" s="56"/>
      <c r="PW160" s="56"/>
      <c r="PX160" s="56"/>
      <c r="PY160" s="56"/>
      <c r="PZ160" s="56"/>
      <c r="QA160" s="56"/>
      <c r="QB160" s="56"/>
      <c r="QC160" s="56"/>
      <c r="QD160" s="56"/>
      <c r="QE160" s="56"/>
      <c r="QF160" s="56"/>
      <c r="QG160" s="56"/>
      <c r="QH160" s="56"/>
      <c r="QI160" s="56"/>
      <c r="QJ160" s="56"/>
      <c r="QK160" s="56"/>
      <c r="QL160" s="56"/>
      <c r="QM160" s="56"/>
      <c r="QN160" s="56"/>
      <c r="QO160" s="56"/>
      <c r="QP160" s="56"/>
      <c r="QQ160" s="56"/>
      <c r="QR160" s="56"/>
      <c r="QS160" s="56"/>
      <c r="QT160" s="56"/>
      <c r="QU160" s="56"/>
      <c r="QV160" s="56"/>
      <c r="QW160" s="56"/>
      <c r="QX160" s="56"/>
      <c r="QY160" s="56"/>
      <c r="QZ160" s="56"/>
      <c r="RA160" s="56"/>
      <c r="RB160" s="56"/>
      <c r="RC160" s="56"/>
      <c r="RD160" s="56"/>
      <c r="RE160" s="56"/>
      <c r="RF160" s="56"/>
      <c r="RG160" s="56"/>
      <c r="RH160" s="56"/>
      <c r="RI160" s="56"/>
      <c r="RJ160" s="56"/>
      <c r="RK160" s="56"/>
      <c r="RL160" s="56"/>
      <c r="RM160" s="56"/>
      <c r="RN160" s="56"/>
      <c r="RO160" s="56"/>
      <c r="RP160" s="56"/>
      <c r="RQ160" s="56"/>
      <c r="RR160" s="56"/>
      <c r="RS160" s="56"/>
      <c r="RT160" s="56"/>
      <c r="RU160" s="56"/>
      <c r="RV160" s="56"/>
      <c r="RW160" s="56"/>
      <c r="RX160" s="56"/>
      <c r="RY160" s="56"/>
      <c r="RZ160" s="56"/>
      <c r="SA160" s="56"/>
      <c r="SB160" s="56"/>
      <c r="SC160" s="56"/>
      <c r="SD160" s="56"/>
      <c r="SE160" s="56"/>
      <c r="SF160" s="56"/>
      <c r="SG160" s="56"/>
      <c r="SH160" s="56"/>
      <c r="SI160" s="56"/>
      <c r="SJ160" s="56"/>
      <c r="SK160" s="56"/>
      <c r="SL160" s="56"/>
      <c r="SM160" s="56"/>
      <c r="SN160" s="56"/>
      <c r="SO160" s="56"/>
      <c r="SP160" s="56"/>
      <c r="SQ160" s="56"/>
      <c r="SR160" s="56"/>
    </row>
    <row r="161" spans="1:512" ht="15" customHeight="1" x14ac:dyDescent="0.7">
      <c r="A161" s="171" t="s">
        <v>344</v>
      </c>
      <c r="B161" s="171" t="s">
        <v>344</v>
      </c>
      <c r="C161" s="171" t="s">
        <v>344</v>
      </c>
      <c r="D161" s="171"/>
      <c r="E161" s="171" t="s">
        <v>344</v>
      </c>
      <c r="F161" s="171"/>
      <c r="G161" s="188" t="s">
        <v>344</v>
      </c>
      <c r="H161" s="71" t="s">
        <v>344</v>
      </c>
      <c r="I161" s="72" t="s">
        <v>344</v>
      </c>
      <c r="J161" s="73" t="s">
        <v>344</v>
      </c>
      <c r="K161" s="189" t="s">
        <v>344</v>
      </c>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c r="HP161" s="54"/>
      <c r="HQ161" s="54"/>
      <c r="HR161" s="54"/>
      <c r="HS161" s="54"/>
      <c r="HT161" s="54"/>
      <c r="HU161" s="54"/>
      <c r="HV161" s="54"/>
      <c r="HW161" s="54"/>
      <c r="HX161" s="54"/>
      <c r="HY161" s="54"/>
      <c r="HZ161" s="54"/>
      <c r="IA161" s="54"/>
      <c r="IB161" s="54"/>
      <c r="IC161" s="54"/>
      <c r="ID161" s="54"/>
      <c r="IE161" s="54"/>
      <c r="IF161" s="54"/>
      <c r="IG161" s="54"/>
      <c r="IH161" s="54"/>
      <c r="II161" s="54"/>
      <c r="IJ161" s="54"/>
      <c r="IK161" s="54"/>
      <c r="IL161" s="54"/>
      <c r="IM161" s="54"/>
      <c r="IN161" s="54"/>
      <c r="IO161" s="54"/>
      <c r="IP161" s="54"/>
      <c r="IQ161" s="54"/>
      <c r="IR161" s="54"/>
      <c r="IS161" s="54"/>
      <c r="IT161" s="54"/>
      <c r="IU161" s="54"/>
      <c r="IV161" s="54"/>
      <c r="IW161" s="54"/>
      <c r="IX161" s="54"/>
      <c r="IY161" s="54"/>
      <c r="IZ161" s="54"/>
      <c r="JA161" s="54"/>
      <c r="JB161" s="54"/>
      <c r="JC161" s="54"/>
      <c r="JD161" s="54"/>
      <c r="JE161" s="54"/>
      <c r="JF161" s="54"/>
      <c r="JG161" s="54"/>
      <c r="JH161" s="54"/>
      <c r="JI161" s="54"/>
      <c r="JJ161" s="54"/>
      <c r="JK161" s="54"/>
      <c r="JL161" s="54"/>
      <c r="JM161" s="54"/>
      <c r="JN161" s="54"/>
      <c r="JO161" s="54"/>
      <c r="JP161" s="54"/>
      <c r="JQ161" s="54"/>
      <c r="JR161" s="54"/>
      <c r="JS161" s="54"/>
      <c r="JT161" s="54"/>
      <c r="JU161" s="54"/>
      <c r="JV161" s="54"/>
      <c r="JW161" s="54"/>
      <c r="JX161" s="54"/>
      <c r="JY161" s="54"/>
      <c r="JZ161" s="54"/>
      <c r="KA161" s="54"/>
      <c r="KB161" s="54"/>
      <c r="KC161" s="54"/>
      <c r="KD161" s="54"/>
      <c r="KE161" s="54"/>
      <c r="KF161" s="54"/>
      <c r="KG161" s="54"/>
      <c r="KH161" s="54"/>
      <c r="KI161" s="54"/>
      <c r="KJ161" s="54"/>
      <c r="KK161" s="54"/>
      <c r="KL161" s="54"/>
      <c r="KM161" s="54"/>
      <c r="KN161" s="54"/>
      <c r="KO161" s="54"/>
      <c r="KP161" s="54"/>
      <c r="KQ161" s="54"/>
      <c r="KR161" s="54"/>
      <c r="KS161" s="54"/>
      <c r="KT161" s="54"/>
      <c r="KU161" s="54"/>
      <c r="KV161" s="54"/>
      <c r="KW161" s="54"/>
      <c r="KX161" s="54"/>
      <c r="KY161" s="54"/>
      <c r="KZ161" s="54"/>
      <c r="LA161" s="54"/>
      <c r="LB161" s="54"/>
      <c r="LC161" s="54"/>
      <c r="LD161" s="54"/>
      <c r="LE161" s="54"/>
      <c r="LF161" s="54"/>
      <c r="LG161" s="54"/>
      <c r="LH161" s="54"/>
      <c r="LI161" s="54"/>
      <c r="LJ161" s="54"/>
      <c r="LK161" s="54"/>
      <c r="LL161" s="54"/>
      <c r="LM161" s="54"/>
      <c r="LN161" s="54"/>
      <c r="LO161" s="54"/>
      <c r="LP161" s="54"/>
      <c r="LQ161" s="54"/>
      <c r="LR161" s="54"/>
      <c r="LS161" s="54"/>
      <c r="LT161" s="54"/>
      <c r="LU161" s="54"/>
      <c r="LV161" s="54"/>
      <c r="LW161" s="54"/>
      <c r="LX161" s="54"/>
      <c r="LY161" s="54"/>
      <c r="LZ161" s="54"/>
      <c r="MA161" s="54"/>
      <c r="MB161" s="54"/>
      <c r="MC161" s="54"/>
      <c r="MD161" s="54"/>
      <c r="ME161" s="54"/>
      <c r="MF161" s="54"/>
      <c r="MG161" s="54"/>
      <c r="MH161" s="54"/>
      <c r="MI161" s="54"/>
      <c r="MJ161" s="54"/>
      <c r="MK161" s="54"/>
      <c r="ML161" s="54"/>
      <c r="MM161" s="54"/>
      <c r="MN161" s="54"/>
      <c r="MO161" s="54"/>
      <c r="MP161" s="54"/>
      <c r="MQ161" s="54"/>
      <c r="MR161" s="54"/>
      <c r="MS161" s="54"/>
      <c r="MT161" s="54"/>
      <c r="MU161" s="54"/>
      <c r="MV161" s="54"/>
      <c r="MW161" s="54"/>
      <c r="MX161" s="54"/>
      <c r="MY161" s="54"/>
      <c r="MZ161" s="54"/>
      <c r="NA161" s="54"/>
      <c r="NB161" s="54"/>
      <c r="NC161" s="54"/>
      <c r="ND161" s="54"/>
      <c r="NE161" s="54"/>
      <c r="NF161" s="54"/>
      <c r="NG161" s="54"/>
      <c r="NH161" s="54"/>
      <c r="NI161" s="54"/>
      <c r="NJ161" s="54"/>
      <c r="NK161" s="54"/>
      <c r="NL161" s="54"/>
      <c r="NM161" s="54"/>
      <c r="NN161" s="54"/>
      <c r="NO161" s="54"/>
      <c r="NP161" s="54"/>
      <c r="NQ161" s="54"/>
      <c r="NR161" s="54"/>
      <c r="NS161" s="54"/>
      <c r="NT161" s="54"/>
      <c r="NU161" s="54"/>
      <c r="NV161" s="54"/>
      <c r="NW161" s="54"/>
      <c r="NX161" s="54"/>
      <c r="NY161" s="54"/>
      <c r="NZ161" s="54"/>
      <c r="OA161" s="54"/>
      <c r="OB161" s="54"/>
      <c r="OC161" s="54"/>
      <c r="OD161" s="54"/>
      <c r="OE161" s="54"/>
      <c r="OF161" s="54"/>
      <c r="OG161" s="54"/>
      <c r="OH161" s="54"/>
      <c r="OI161" s="54"/>
      <c r="OJ161" s="54"/>
      <c r="OK161" s="54"/>
      <c r="OL161" s="54"/>
      <c r="OM161" s="54"/>
      <c r="ON161" s="54"/>
      <c r="OO161" s="54"/>
      <c r="OP161" s="54"/>
      <c r="OQ161" s="54"/>
      <c r="OR161" s="54"/>
      <c r="OS161" s="54"/>
      <c r="OT161" s="54"/>
      <c r="OU161" s="54"/>
      <c r="OV161" s="54"/>
      <c r="OW161" s="54"/>
      <c r="OX161" s="54"/>
      <c r="OY161" s="54"/>
      <c r="OZ161" s="54"/>
      <c r="PA161" s="54"/>
      <c r="PB161" s="54"/>
      <c r="PC161" s="54"/>
      <c r="PD161" s="54"/>
      <c r="PE161" s="54"/>
      <c r="PF161" s="54"/>
      <c r="PG161" s="54"/>
      <c r="PH161" s="54"/>
      <c r="PI161" s="54"/>
      <c r="PJ161" s="54"/>
      <c r="PK161" s="54"/>
      <c r="PL161" s="54"/>
      <c r="PM161" s="54"/>
      <c r="PN161" s="54"/>
      <c r="PO161" s="54"/>
      <c r="PP161" s="54"/>
      <c r="PQ161" s="54"/>
      <c r="PR161" s="54"/>
      <c r="PS161" s="54"/>
      <c r="PT161" s="54"/>
      <c r="PU161" s="54"/>
      <c r="PV161" s="54"/>
      <c r="PW161" s="54"/>
      <c r="PX161" s="54"/>
      <c r="PY161" s="54"/>
      <c r="PZ161" s="54"/>
      <c r="QA161" s="54"/>
      <c r="QB161" s="54"/>
      <c r="QC161" s="54"/>
      <c r="QD161" s="54"/>
      <c r="QE161" s="54"/>
      <c r="QF161" s="54"/>
      <c r="QG161" s="54"/>
      <c r="QH161" s="54"/>
      <c r="QI161" s="54"/>
      <c r="QJ161" s="54"/>
      <c r="QK161" s="54"/>
      <c r="QL161" s="54"/>
      <c r="QM161" s="54"/>
      <c r="QN161" s="54"/>
      <c r="QO161" s="54"/>
      <c r="QP161" s="54"/>
      <c r="QQ161" s="54"/>
      <c r="QR161" s="54"/>
      <c r="QS161" s="54"/>
      <c r="QT161" s="54"/>
      <c r="QU161" s="54"/>
      <c r="QV161" s="54"/>
      <c r="QW161" s="54"/>
      <c r="QX161" s="54"/>
      <c r="QY161" s="54"/>
      <c r="QZ161" s="54"/>
      <c r="RA161" s="54"/>
      <c r="RB161" s="54"/>
      <c r="RC161" s="54"/>
      <c r="RD161" s="54"/>
      <c r="RE161" s="54"/>
      <c r="RF161" s="54"/>
      <c r="RG161" s="54"/>
      <c r="RH161" s="54"/>
      <c r="RI161" s="54"/>
      <c r="RJ161" s="54"/>
      <c r="RK161" s="54"/>
      <c r="RL161" s="54"/>
      <c r="RM161" s="54"/>
      <c r="RN161" s="54"/>
      <c r="RO161" s="54"/>
      <c r="RP161" s="54"/>
      <c r="RQ161" s="54"/>
      <c r="RR161" s="54"/>
      <c r="RS161" s="54"/>
      <c r="RT161" s="54"/>
      <c r="RU161" s="54"/>
      <c r="RV161" s="54"/>
      <c r="RW161" s="54"/>
      <c r="RX161" s="54"/>
      <c r="RY161" s="54"/>
      <c r="RZ161" s="54"/>
      <c r="SA161" s="54"/>
      <c r="SB161" s="54"/>
      <c r="SC161" s="54"/>
      <c r="SD161" s="54"/>
      <c r="SE161" s="54"/>
      <c r="SF161" s="54"/>
      <c r="SG161" s="54"/>
      <c r="SH161" s="54"/>
      <c r="SI161" s="54"/>
      <c r="SJ161" s="54"/>
      <c r="SK161" s="54"/>
      <c r="SL161" s="54"/>
      <c r="SM161" s="54"/>
      <c r="SN161" s="54"/>
      <c r="SO161" s="54"/>
      <c r="SP161" s="54"/>
      <c r="SQ161" s="54"/>
      <c r="SR161" s="54"/>
    </row>
    <row r="162" spans="1:512" ht="15" customHeight="1" x14ac:dyDescent="0.7">
      <c r="A162" s="172"/>
      <c r="B162" s="172"/>
      <c r="C162" s="172"/>
      <c r="D162" s="172"/>
      <c r="E162" s="172"/>
      <c r="F162" s="172"/>
      <c r="G162" s="172"/>
      <c r="I162" s="72" t="s">
        <v>344</v>
      </c>
      <c r="J162" s="73" t="s">
        <v>344</v>
      </c>
      <c r="K162" s="190"/>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4"/>
      <c r="EF162" s="54"/>
      <c r="EG162" s="54"/>
      <c r="EH162" s="54"/>
      <c r="EI162" s="54"/>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c r="FP162" s="54"/>
      <c r="FQ162" s="54"/>
      <c r="FR162" s="54"/>
      <c r="FS162" s="54"/>
      <c r="FT162" s="54"/>
      <c r="FU162" s="54"/>
      <c r="FV162" s="54"/>
      <c r="FW162" s="54"/>
      <c r="FX162" s="54"/>
      <c r="FY162" s="54"/>
      <c r="FZ162" s="54"/>
      <c r="GA162" s="54"/>
      <c r="GB162" s="54"/>
      <c r="GC162" s="54"/>
      <c r="GD162" s="54"/>
      <c r="GE162" s="54"/>
      <c r="GF162" s="54"/>
      <c r="GG162" s="54"/>
      <c r="GH162" s="54"/>
      <c r="GI162" s="54"/>
      <c r="GJ162" s="54"/>
      <c r="GK162" s="54"/>
      <c r="GL162" s="54"/>
      <c r="GM162" s="54"/>
      <c r="GN162" s="54"/>
      <c r="GO162" s="54"/>
      <c r="GP162" s="54"/>
      <c r="GQ162" s="54"/>
      <c r="GR162" s="54"/>
      <c r="GS162" s="54"/>
      <c r="GT162" s="54"/>
      <c r="GU162" s="54"/>
      <c r="GV162" s="54"/>
      <c r="GW162" s="54"/>
      <c r="GX162" s="54"/>
      <c r="GY162" s="54"/>
      <c r="GZ162" s="54"/>
      <c r="HA162" s="54"/>
      <c r="HB162" s="54"/>
      <c r="HC162" s="54"/>
      <c r="HD162" s="54"/>
      <c r="HE162" s="54"/>
      <c r="HF162" s="54"/>
      <c r="HG162" s="54"/>
      <c r="HH162" s="54"/>
      <c r="HI162" s="54"/>
      <c r="HJ162" s="54"/>
      <c r="HK162" s="54"/>
      <c r="HL162" s="54"/>
      <c r="HM162" s="54"/>
      <c r="HN162" s="54"/>
      <c r="HO162" s="54"/>
      <c r="HP162" s="54"/>
      <c r="HQ162" s="54"/>
      <c r="HR162" s="54"/>
      <c r="HS162" s="54"/>
      <c r="HT162" s="54"/>
      <c r="HU162" s="54"/>
      <c r="HV162" s="54"/>
      <c r="HW162" s="54"/>
      <c r="HX162" s="54"/>
      <c r="HY162" s="54"/>
      <c r="HZ162" s="54"/>
      <c r="IA162" s="54"/>
      <c r="IB162" s="54"/>
      <c r="IC162" s="54"/>
      <c r="ID162" s="54"/>
      <c r="IE162" s="54"/>
      <c r="IF162" s="54"/>
      <c r="IG162" s="54"/>
      <c r="IH162" s="54"/>
      <c r="II162" s="54"/>
      <c r="IJ162" s="54"/>
      <c r="IK162" s="54"/>
      <c r="IL162" s="54"/>
      <c r="IM162" s="54"/>
      <c r="IN162" s="54"/>
      <c r="IO162" s="54"/>
      <c r="IP162" s="54"/>
      <c r="IQ162" s="54"/>
      <c r="IR162" s="54"/>
      <c r="IS162" s="54"/>
      <c r="IT162" s="54"/>
      <c r="IU162" s="54"/>
      <c r="IV162" s="54"/>
      <c r="IW162" s="54"/>
      <c r="IX162" s="54"/>
      <c r="IY162" s="54"/>
      <c r="IZ162" s="54"/>
      <c r="JA162" s="54"/>
      <c r="JB162" s="54"/>
      <c r="JC162" s="54"/>
      <c r="JD162" s="54"/>
      <c r="JE162" s="54"/>
      <c r="JF162" s="54"/>
      <c r="JG162" s="54"/>
      <c r="JH162" s="54"/>
      <c r="JI162" s="54"/>
      <c r="JJ162" s="54"/>
      <c r="JK162" s="54"/>
      <c r="JL162" s="54"/>
      <c r="JM162" s="54"/>
      <c r="JN162" s="54"/>
      <c r="JO162" s="54"/>
      <c r="JP162" s="54"/>
      <c r="JQ162" s="54"/>
      <c r="JR162" s="54"/>
      <c r="JS162" s="54"/>
      <c r="JT162" s="54"/>
      <c r="JU162" s="54"/>
      <c r="JV162" s="54"/>
      <c r="JW162" s="54"/>
      <c r="JX162" s="54"/>
      <c r="JY162" s="54"/>
      <c r="JZ162" s="54"/>
      <c r="KA162" s="54"/>
      <c r="KB162" s="54"/>
      <c r="KC162" s="54"/>
      <c r="KD162" s="54"/>
      <c r="KE162" s="54"/>
      <c r="KF162" s="54"/>
      <c r="KG162" s="54"/>
      <c r="KH162" s="54"/>
      <c r="KI162" s="54"/>
      <c r="KJ162" s="54"/>
      <c r="KK162" s="54"/>
      <c r="KL162" s="54"/>
      <c r="KM162" s="54"/>
      <c r="KN162" s="54"/>
      <c r="KO162" s="54"/>
      <c r="KP162" s="54"/>
      <c r="KQ162" s="54"/>
      <c r="KR162" s="54"/>
      <c r="KS162" s="54"/>
      <c r="KT162" s="54"/>
      <c r="KU162" s="54"/>
      <c r="KV162" s="54"/>
      <c r="KW162" s="54"/>
      <c r="KX162" s="54"/>
      <c r="KY162" s="54"/>
      <c r="KZ162" s="54"/>
      <c r="LA162" s="54"/>
      <c r="LB162" s="54"/>
      <c r="LC162" s="54"/>
      <c r="LD162" s="54"/>
      <c r="LE162" s="54"/>
      <c r="LF162" s="54"/>
      <c r="LG162" s="54"/>
      <c r="LH162" s="54"/>
      <c r="LI162" s="54"/>
      <c r="LJ162" s="54"/>
      <c r="LK162" s="54"/>
      <c r="LL162" s="54"/>
      <c r="LM162" s="54"/>
      <c r="LN162" s="54"/>
      <c r="LO162" s="54"/>
      <c r="LP162" s="54"/>
      <c r="LQ162" s="54"/>
      <c r="LR162" s="54"/>
      <c r="LS162" s="54"/>
      <c r="LT162" s="54"/>
      <c r="LU162" s="54"/>
      <c r="LV162" s="54"/>
      <c r="LW162" s="54"/>
      <c r="LX162" s="54"/>
      <c r="LY162" s="54"/>
      <c r="LZ162" s="54"/>
      <c r="MA162" s="54"/>
      <c r="MB162" s="54"/>
      <c r="MC162" s="54"/>
      <c r="MD162" s="54"/>
      <c r="ME162" s="54"/>
      <c r="MF162" s="54"/>
      <c r="MG162" s="54"/>
      <c r="MH162" s="54"/>
      <c r="MI162" s="54"/>
      <c r="MJ162" s="54"/>
      <c r="MK162" s="54"/>
      <c r="ML162" s="54"/>
      <c r="MM162" s="54"/>
      <c r="MN162" s="54"/>
      <c r="MO162" s="54"/>
      <c r="MP162" s="54"/>
      <c r="MQ162" s="54"/>
      <c r="MR162" s="54"/>
      <c r="MS162" s="54"/>
      <c r="MT162" s="54"/>
      <c r="MU162" s="54"/>
      <c r="MV162" s="54"/>
      <c r="MW162" s="54"/>
      <c r="MX162" s="54"/>
      <c r="MY162" s="54"/>
      <c r="MZ162" s="54"/>
      <c r="NA162" s="54"/>
      <c r="NB162" s="54"/>
      <c r="NC162" s="54"/>
      <c r="ND162" s="54"/>
      <c r="NE162" s="54"/>
      <c r="NF162" s="54"/>
      <c r="NG162" s="54"/>
      <c r="NH162" s="54"/>
      <c r="NI162" s="54"/>
      <c r="NJ162" s="54"/>
      <c r="NK162" s="54"/>
      <c r="NL162" s="54"/>
      <c r="NM162" s="54"/>
      <c r="NN162" s="54"/>
      <c r="NO162" s="54"/>
      <c r="NP162" s="54"/>
      <c r="NQ162" s="54"/>
      <c r="NR162" s="54"/>
      <c r="NS162" s="54"/>
      <c r="NT162" s="54"/>
      <c r="NU162" s="54"/>
      <c r="NV162" s="54"/>
      <c r="NW162" s="54"/>
      <c r="NX162" s="54"/>
      <c r="NY162" s="54"/>
      <c r="NZ162" s="54"/>
      <c r="OA162" s="54"/>
      <c r="OB162" s="54"/>
      <c r="OC162" s="54"/>
      <c r="OD162" s="54"/>
      <c r="OE162" s="54"/>
      <c r="OF162" s="54"/>
      <c r="OG162" s="54"/>
      <c r="OH162" s="54"/>
      <c r="OI162" s="54"/>
      <c r="OJ162" s="54"/>
      <c r="OK162" s="54"/>
      <c r="OL162" s="54"/>
      <c r="OM162" s="54"/>
      <c r="ON162" s="54"/>
      <c r="OO162" s="54"/>
      <c r="OP162" s="54"/>
      <c r="OQ162" s="54"/>
      <c r="OR162" s="54"/>
      <c r="OS162" s="54"/>
      <c r="OT162" s="54"/>
      <c r="OU162" s="54"/>
      <c r="OV162" s="54"/>
      <c r="OW162" s="54"/>
      <c r="OX162" s="54"/>
      <c r="OY162" s="54"/>
      <c r="OZ162" s="54"/>
      <c r="PA162" s="54"/>
      <c r="PB162" s="54"/>
      <c r="PC162" s="54"/>
      <c r="PD162" s="54"/>
      <c r="PE162" s="54"/>
      <c r="PF162" s="54"/>
      <c r="PG162" s="54"/>
      <c r="PH162" s="54"/>
      <c r="PI162" s="54"/>
      <c r="PJ162" s="54"/>
      <c r="PK162" s="54"/>
      <c r="PL162" s="54"/>
      <c r="PM162" s="54"/>
      <c r="PN162" s="54"/>
      <c r="PO162" s="54"/>
      <c r="PP162" s="54"/>
      <c r="PQ162" s="54"/>
      <c r="PR162" s="54"/>
      <c r="PS162" s="54"/>
      <c r="PT162" s="54"/>
      <c r="PU162" s="54"/>
      <c r="PV162" s="54"/>
      <c r="PW162" s="54"/>
      <c r="PX162" s="54"/>
      <c r="PY162" s="54"/>
      <c r="PZ162" s="54"/>
      <c r="QA162" s="54"/>
      <c r="QB162" s="54"/>
      <c r="QC162" s="54"/>
      <c r="QD162" s="54"/>
      <c r="QE162" s="54"/>
      <c r="QF162" s="54"/>
      <c r="QG162" s="54"/>
      <c r="QH162" s="54"/>
      <c r="QI162" s="54"/>
      <c r="QJ162" s="54"/>
      <c r="QK162" s="54"/>
      <c r="QL162" s="54"/>
      <c r="QM162" s="54"/>
      <c r="QN162" s="54"/>
      <c r="QO162" s="54"/>
      <c r="QP162" s="54"/>
      <c r="QQ162" s="54"/>
      <c r="QR162" s="54"/>
      <c r="QS162" s="54"/>
      <c r="QT162" s="54"/>
      <c r="QU162" s="54"/>
      <c r="QV162" s="54"/>
      <c r="QW162" s="54"/>
      <c r="QX162" s="54"/>
      <c r="QY162" s="54"/>
      <c r="QZ162" s="54"/>
      <c r="RA162" s="54"/>
      <c r="RB162" s="54"/>
      <c r="RC162" s="54"/>
      <c r="RD162" s="54"/>
      <c r="RE162" s="54"/>
      <c r="RF162" s="54"/>
      <c r="RG162" s="54"/>
      <c r="RH162" s="54"/>
      <c r="RI162" s="54"/>
      <c r="RJ162" s="54"/>
      <c r="RK162" s="54"/>
      <c r="RL162" s="54"/>
      <c r="RM162" s="54"/>
      <c r="RN162" s="54"/>
      <c r="RO162" s="54"/>
      <c r="RP162" s="54"/>
      <c r="RQ162" s="54"/>
      <c r="RR162" s="54"/>
      <c r="RS162" s="54"/>
      <c r="RT162" s="54"/>
      <c r="RU162" s="54"/>
      <c r="RV162" s="54"/>
      <c r="RW162" s="54"/>
      <c r="RX162" s="54"/>
      <c r="RY162" s="54"/>
      <c r="RZ162" s="54"/>
      <c r="SA162" s="54"/>
      <c r="SB162" s="54"/>
      <c r="SC162" s="54"/>
      <c r="SD162" s="54"/>
      <c r="SE162" s="54"/>
      <c r="SF162" s="54"/>
      <c r="SG162" s="54"/>
      <c r="SH162" s="54"/>
      <c r="SI162" s="54"/>
      <c r="SJ162" s="54"/>
      <c r="SK162" s="54"/>
      <c r="SL162" s="54"/>
      <c r="SM162" s="54"/>
      <c r="SN162" s="54"/>
      <c r="SO162" s="54"/>
      <c r="SP162" s="54"/>
      <c r="SQ162" s="54"/>
      <c r="SR162" s="54"/>
    </row>
    <row r="163" spans="1:512" s="55" customFormat="1" ht="15" customHeight="1" x14ac:dyDescent="0.7">
      <c r="A163" s="173"/>
      <c r="B163" s="173"/>
      <c r="C163" s="173"/>
      <c r="D163" s="173"/>
      <c r="E163" s="173"/>
      <c r="F163" s="173"/>
      <c r="G163" s="173"/>
      <c r="H163" s="74"/>
      <c r="I163" s="75"/>
      <c r="J163" s="76"/>
      <c r="K163" s="191"/>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c r="CN163" s="56"/>
      <c r="CO163" s="56"/>
      <c r="CP163" s="56"/>
      <c r="CQ163" s="56"/>
      <c r="CR163" s="56"/>
      <c r="CS163" s="56"/>
      <c r="CT163" s="56"/>
      <c r="CU163" s="56"/>
      <c r="CV163" s="56"/>
      <c r="CW163" s="56"/>
      <c r="CX163" s="56"/>
      <c r="CY163" s="56"/>
      <c r="CZ163" s="56"/>
      <c r="DA163" s="56"/>
      <c r="DB163" s="56"/>
      <c r="DC163" s="56"/>
      <c r="DD163" s="56"/>
      <c r="DE163" s="56"/>
      <c r="DF163" s="56"/>
      <c r="DG163" s="56"/>
      <c r="DH163" s="56"/>
      <c r="DI163" s="56"/>
      <c r="DJ163" s="56"/>
      <c r="DK163" s="56"/>
      <c r="DL163" s="56"/>
      <c r="DM163" s="56"/>
      <c r="DN163" s="56"/>
      <c r="DO163" s="56"/>
      <c r="DP163" s="56"/>
      <c r="DQ163" s="56"/>
      <c r="DR163" s="56"/>
      <c r="DS163" s="56"/>
      <c r="DT163" s="56"/>
      <c r="DU163" s="56"/>
      <c r="DV163" s="56"/>
      <c r="DW163" s="56"/>
      <c r="DX163" s="56"/>
      <c r="DY163" s="56"/>
      <c r="DZ163" s="56"/>
      <c r="EA163" s="56"/>
      <c r="EB163" s="56"/>
      <c r="EC163" s="56"/>
      <c r="ED163" s="56"/>
      <c r="EE163" s="56"/>
      <c r="EF163" s="56"/>
      <c r="EG163" s="56"/>
      <c r="EH163" s="56"/>
      <c r="EI163" s="56"/>
      <c r="EJ163" s="56"/>
      <c r="EK163" s="56"/>
      <c r="EL163" s="56"/>
      <c r="EM163" s="56"/>
      <c r="EN163" s="56"/>
      <c r="EO163" s="56"/>
      <c r="EP163" s="56"/>
      <c r="EQ163" s="56"/>
      <c r="ER163" s="56"/>
      <c r="ES163" s="56"/>
      <c r="ET163" s="56"/>
      <c r="EU163" s="56"/>
      <c r="EV163" s="56"/>
      <c r="EW163" s="56"/>
      <c r="EX163" s="56"/>
      <c r="EY163" s="56"/>
      <c r="EZ163" s="56"/>
      <c r="FA163" s="56"/>
      <c r="FB163" s="56"/>
      <c r="FC163" s="56"/>
      <c r="FD163" s="56"/>
      <c r="FE163" s="56"/>
      <c r="FF163" s="56"/>
      <c r="FG163" s="56"/>
      <c r="FH163" s="56"/>
      <c r="FI163" s="56"/>
      <c r="FJ163" s="56"/>
      <c r="FK163" s="56"/>
      <c r="FL163" s="56"/>
      <c r="FM163" s="56"/>
      <c r="FN163" s="56"/>
      <c r="FO163" s="56"/>
      <c r="FP163" s="56"/>
      <c r="FQ163" s="56"/>
      <c r="FR163" s="56"/>
      <c r="FS163" s="56"/>
      <c r="FT163" s="56"/>
      <c r="FU163" s="56"/>
      <c r="FV163" s="56"/>
      <c r="FW163" s="56"/>
      <c r="FX163" s="56"/>
      <c r="FY163" s="56"/>
      <c r="FZ163" s="56"/>
      <c r="GA163" s="56"/>
      <c r="GB163" s="56"/>
      <c r="GC163" s="56"/>
      <c r="GD163" s="56"/>
      <c r="GE163" s="56"/>
      <c r="GF163" s="56"/>
      <c r="GG163" s="56"/>
      <c r="GH163" s="56"/>
      <c r="GI163" s="56"/>
      <c r="GJ163" s="56"/>
      <c r="GK163" s="56"/>
      <c r="GL163" s="56"/>
      <c r="GM163" s="56"/>
      <c r="GN163" s="56"/>
      <c r="GO163" s="56"/>
      <c r="GP163" s="56"/>
      <c r="GQ163" s="56"/>
      <c r="GR163" s="56"/>
      <c r="GS163" s="56"/>
      <c r="GT163" s="56"/>
      <c r="GU163" s="56"/>
      <c r="GV163" s="56"/>
      <c r="GW163" s="56"/>
      <c r="GX163" s="56"/>
      <c r="GY163" s="56"/>
      <c r="GZ163" s="56"/>
      <c r="HA163" s="56"/>
      <c r="HB163" s="56"/>
      <c r="HC163" s="56"/>
      <c r="HD163" s="56"/>
      <c r="HE163" s="56"/>
      <c r="HF163" s="56"/>
      <c r="HG163" s="56"/>
      <c r="HH163" s="56"/>
      <c r="HI163" s="56"/>
      <c r="HJ163" s="56"/>
      <c r="HK163" s="56"/>
      <c r="HL163" s="56"/>
      <c r="HM163" s="56"/>
      <c r="HN163" s="56"/>
      <c r="HO163" s="56"/>
      <c r="HP163" s="56"/>
      <c r="HQ163" s="56"/>
      <c r="HR163" s="56"/>
      <c r="HS163" s="56"/>
      <c r="HT163" s="56"/>
      <c r="HU163" s="56"/>
      <c r="HV163" s="56"/>
      <c r="HW163" s="56"/>
      <c r="HX163" s="56"/>
      <c r="HY163" s="56"/>
      <c r="HZ163" s="56"/>
      <c r="IA163" s="56"/>
      <c r="IB163" s="56"/>
      <c r="IC163" s="56"/>
      <c r="ID163" s="56"/>
      <c r="IE163" s="56"/>
      <c r="IF163" s="56"/>
      <c r="IG163" s="56"/>
      <c r="IH163" s="56"/>
      <c r="II163" s="56"/>
      <c r="IJ163" s="56"/>
      <c r="IK163" s="56"/>
      <c r="IL163" s="56"/>
      <c r="IM163" s="56"/>
      <c r="IN163" s="56"/>
      <c r="IO163" s="56"/>
      <c r="IP163" s="56"/>
      <c r="IQ163" s="56"/>
      <c r="IR163" s="56"/>
      <c r="IS163" s="56"/>
      <c r="IT163" s="56"/>
      <c r="IU163" s="56"/>
      <c r="IV163" s="56"/>
      <c r="IW163" s="56"/>
      <c r="IX163" s="56"/>
      <c r="IY163" s="56"/>
      <c r="IZ163" s="56"/>
      <c r="JA163" s="56"/>
      <c r="JB163" s="56"/>
      <c r="JC163" s="56"/>
      <c r="JD163" s="56"/>
      <c r="JE163" s="56"/>
      <c r="JF163" s="56"/>
      <c r="JG163" s="56"/>
      <c r="JH163" s="56"/>
      <c r="JI163" s="56"/>
      <c r="JJ163" s="56"/>
      <c r="JK163" s="56"/>
      <c r="JL163" s="56"/>
      <c r="JM163" s="56"/>
      <c r="JN163" s="56"/>
      <c r="JO163" s="56"/>
      <c r="JP163" s="56"/>
      <c r="JQ163" s="56"/>
      <c r="JR163" s="56"/>
      <c r="JS163" s="56"/>
      <c r="JT163" s="56"/>
      <c r="JU163" s="56"/>
      <c r="JV163" s="56"/>
      <c r="JW163" s="56"/>
      <c r="JX163" s="56"/>
      <c r="JY163" s="56"/>
      <c r="JZ163" s="56"/>
      <c r="KA163" s="56"/>
      <c r="KB163" s="56"/>
      <c r="KC163" s="56"/>
      <c r="KD163" s="56"/>
      <c r="KE163" s="56"/>
      <c r="KF163" s="56"/>
      <c r="KG163" s="56"/>
      <c r="KH163" s="56"/>
      <c r="KI163" s="56"/>
      <c r="KJ163" s="56"/>
      <c r="KK163" s="56"/>
      <c r="KL163" s="56"/>
      <c r="KM163" s="56"/>
      <c r="KN163" s="56"/>
      <c r="KO163" s="56"/>
      <c r="KP163" s="56"/>
      <c r="KQ163" s="56"/>
      <c r="KR163" s="56"/>
      <c r="KS163" s="56"/>
      <c r="KT163" s="56"/>
      <c r="KU163" s="56"/>
      <c r="KV163" s="56"/>
      <c r="KW163" s="56"/>
      <c r="KX163" s="56"/>
      <c r="KY163" s="56"/>
      <c r="KZ163" s="56"/>
      <c r="LA163" s="56"/>
      <c r="LB163" s="56"/>
      <c r="LC163" s="56"/>
      <c r="LD163" s="56"/>
      <c r="LE163" s="56"/>
      <c r="LF163" s="56"/>
      <c r="LG163" s="56"/>
      <c r="LH163" s="56"/>
      <c r="LI163" s="56"/>
      <c r="LJ163" s="56"/>
      <c r="LK163" s="56"/>
      <c r="LL163" s="56"/>
      <c r="LM163" s="56"/>
      <c r="LN163" s="56"/>
      <c r="LO163" s="56"/>
      <c r="LP163" s="56"/>
      <c r="LQ163" s="56"/>
      <c r="LR163" s="56"/>
      <c r="LS163" s="56"/>
      <c r="LT163" s="56"/>
      <c r="LU163" s="56"/>
      <c r="LV163" s="56"/>
      <c r="LW163" s="56"/>
      <c r="LX163" s="56"/>
      <c r="LY163" s="56"/>
      <c r="LZ163" s="56"/>
      <c r="MA163" s="56"/>
      <c r="MB163" s="56"/>
      <c r="MC163" s="56"/>
      <c r="MD163" s="56"/>
      <c r="ME163" s="56"/>
      <c r="MF163" s="56"/>
      <c r="MG163" s="56"/>
      <c r="MH163" s="56"/>
      <c r="MI163" s="56"/>
      <c r="MJ163" s="56"/>
      <c r="MK163" s="56"/>
      <c r="ML163" s="56"/>
      <c r="MM163" s="56"/>
      <c r="MN163" s="56"/>
      <c r="MO163" s="56"/>
      <c r="MP163" s="56"/>
      <c r="MQ163" s="56"/>
      <c r="MR163" s="56"/>
      <c r="MS163" s="56"/>
      <c r="MT163" s="56"/>
      <c r="MU163" s="56"/>
      <c r="MV163" s="56"/>
      <c r="MW163" s="56"/>
      <c r="MX163" s="56"/>
      <c r="MY163" s="56"/>
      <c r="MZ163" s="56"/>
      <c r="NA163" s="56"/>
      <c r="NB163" s="56"/>
      <c r="NC163" s="56"/>
      <c r="ND163" s="56"/>
      <c r="NE163" s="56"/>
      <c r="NF163" s="56"/>
      <c r="NG163" s="56"/>
      <c r="NH163" s="56"/>
      <c r="NI163" s="56"/>
      <c r="NJ163" s="56"/>
      <c r="NK163" s="56"/>
      <c r="NL163" s="56"/>
      <c r="NM163" s="56"/>
      <c r="NN163" s="56"/>
      <c r="NO163" s="56"/>
      <c r="NP163" s="56"/>
      <c r="NQ163" s="56"/>
      <c r="NR163" s="56"/>
      <c r="NS163" s="56"/>
      <c r="NT163" s="56"/>
      <c r="NU163" s="56"/>
      <c r="NV163" s="56"/>
      <c r="NW163" s="56"/>
      <c r="NX163" s="56"/>
      <c r="NY163" s="56"/>
      <c r="NZ163" s="56"/>
      <c r="OA163" s="56"/>
      <c r="OB163" s="56"/>
      <c r="OC163" s="56"/>
      <c r="OD163" s="56"/>
      <c r="OE163" s="56"/>
      <c r="OF163" s="56"/>
      <c r="OG163" s="56"/>
      <c r="OH163" s="56"/>
      <c r="OI163" s="56"/>
      <c r="OJ163" s="56"/>
      <c r="OK163" s="56"/>
      <c r="OL163" s="56"/>
      <c r="OM163" s="56"/>
      <c r="ON163" s="56"/>
      <c r="OO163" s="56"/>
      <c r="OP163" s="56"/>
      <c r="OQ163" s="56"/>
      <c r="OR163" s="56"/>
      <c r="OS163" s="56"/>
      <c r="OT163" s="56"/>
      <c r="OU163" s="56"/>
      <c r="OV163" s="56"/>
      <c r="OW163" s="56"/>
      <c r="OX163" s="56"/>
      <c r="OY163" s="56"/>
      <c r="OZ163" s="56"/>
      <c r="PA163" s="56"/>
      <c r="PB163" s="56"/>
      <c r="PC163" s="56"/>
      <c r="PD163" s="56"/>
      <c r="PE163" s="56"/>
      <c r="PF163" s="56"/>
      <c r="PG163" s="56"/>
      <c r="PH163" s="56"/>
      <c r="PI163" s="56"/>
      <c r="PJ163" s="56"/>
      <c r="PK163" s="56"/>
      <c r="PL163" s="56"/>
      <c r="PM163" s="56"/>
      <c r="PN163" s="56"/>
      <c r="PO163" s="56"/>
      <c r="PP163" s="56"/>
      <c r="PQ163" s="56"/>
      <c r="PR163" s="56"/>
      <c r="PS163" s="56"/>
      <c r="PT163" s="56"/>
      <c r="PU163" s="56"/>
      <c r="PV163" s="56"/>
      <c r="PW163" s="56"/>
      <c r="PX163" s="56"/>
      <c r="PY163" s="56"/>
      <c r="PZ163" s="56"/>
      <c r="QA163" s="56"/>
      <c r="QB163" s="56"/>
      <c r="QC163" s="56"/>
      <c r="QD163" s="56"/>
      <c r="QE163" s="56"/>
      <c r="QF163" s="56"/>
      <c r="QG163" s="56"/>
      <c r="QH163" s="56"/>
      <c r="QI163" s="56"/>
      <c r="QJ163" s="56"/>
      <c r="QK163" s="56"/>
      <c r="QL163" s="56"/>
      <c r="QM163" s="56"/>
      <c r="QN163" s="56"/>
      <c r="QO163" s="56"/>
      <c r="QP163" s="56"/>
      <c r="QQ163" s="56"/>
      <c r="QR163" s="56"/>
      <c r="QS163" s="56"/>
      <c r="QT163" s="56"/>
      <c r="QU163" s="56"/>
      <c r="QV163" s="56"/>
      <c r="QW163" s="56"/>
      <c r="QX163" s="56"/>
      <c r="QY163" s="56"/>
      <c r="QZ163" s="56"/>
      <c r="RA163" s="56"/>
      <c r="RB163" s="56"/>
      <c r="RC163" s="56"/>
      <c r="RD163" s="56"/>
      <c r="RE163" s="56"/>
      <c r="RF163" s="56"/>
      <c r="RG163" s="56"/>
      <c r="RH163" s="56"/>
      <c r="RI163" s="56"/>
      <c r="RJ163" s="56"/>
      <c r="RK163" s="56"/>
      <c r="RL163" s="56"/>
      <c r="RM163" s="56"/>
      <c r="RN163" s="56"/>
      <c r="RO163" s="56"/>
      <c r="RP163" s="56"/>
      <c r="RQ163" s="56"/>
      <c r="RR163" s="56"/>
      <c r="RS163" s="56"/>
      <c r="RT163" s="56"/>
      <c r="RU163" s="56"/>
      <c r="RV163" s="56"/>
      <c r="RW163" s="56"/>
      <c r="RX163" s="56"/>
      <c r="RY163" s="56"/>
      <c r="RZ163" s="56"/>
      <c r="SA163" s="56"/>
      <c r="SB163" s="56"/>
      <c r="SC163" s="56"/>
      <c r="SD163" s="56"/>
      <c r="SE163" s="56"/>
      <c r="SF163" s="56"/>
      <c r="SG163" s="56"/>
      <c r="SH163" s="56"/>
      <c r="SI163" s="56"/>
      <c r="SJ163" s="56"/>
      <c r="SK163" s="56"/>
      <c r="SL163" s="56"/>
      <c r="SM163" s="56"/>
      <c r="SN163" s="56"/>
      <c r="SO163" s="56"/>
      <c r="SP163" s="56"/>
      <c r="SQ163" s="56"/>
      <c r="SR163" s="56"/>
    </row>
    <row r="164" spans="1:512" ht="15" customHeight="1" x14ac:dyDescent="0.7">
      <c r="A164" s="171" t="s">
        <v>344</v>
      </c>
      <c r="B164" s="171" t="s">
        <v>344</v>
      </c>
      <c r="C164" s="171" t="s">
        <v>344</v>
      </c>
      <c r="D164" s="171"/>
      <c r="E164" s="171" t="s">
        <v>344</v>
      </c>
      <c r="F164" s="171"/>
      <c r="G164" s="188" t="s">
        <v>344</v>
      </c>
      <c r="H164" s="71" t="s">
        <v>344</v>
      </c>
      <c r="I164" s="72" t="s">
        <v>344</v>
      </c>
      <c r="J164" s="73" t="s">
        <v>344</v>
      </c>
      <c r="K164" s="189" t="s">
        <v>344</v>
      </c>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4"/>
      <c r="EF164" s="54"/>
      <c r="EG164" s="54"/>
      <c r="EH164" s="54"/>
      <c r="EI164" s="54"/>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c r="FP164" s="54"/>
      <c r="FQ164" s="54"/>
      <c r="FR164" s="54"/>
      <c r="FS164" s="54"/>
      <c r="FT164" s="54"/>
      <c r="FU164" s="54"/>
      <c r="FV164" s="54"/>
      <c r="FW164" s="54"/>
      <c r="FX164" s="54"/>
      <c r="FY164" s="54"/>
      <c r="FZ164" s="54"/>
      <c r="GA164" s="54"/>
      <c r="GB164" s="54"/>
      <c r="GC164" s="54"/>
      <c r="GD164" s="54"/>
      <c r="GE164" s="54"/>
      <c r="GF164" s="54"/>
      <c r="GG164" s="54"/>
      <c r="GH164" s="54"/>
      <c r="GI164" s="54"/>
      <c r="GJ164" s="54"/>
      <c r="GK164" s="54"/>
      <c r="GL164" s="54"/>
      <c r="GM164" s="54"/>
      <c r="GN164" s="54"/>
      <c r="GO164" s="54"/>
      <c r="GP164" s="54"/>
      <c r="GQ164" s="54"/>
      <c r="GR164" s="54"/>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c r="HP164" s="54"/>
      <c r="HQ164" s="54"/>
      <c r="HR164" s="54"/>
      <c r="HS164" s="54"/>
      <c r="HT164" s="54"/>
      <c r="HU164" s="54"/>
      <c r="HV164" s="54"/>
      <c r="HW164" s="54"/>
      <c r="HX164" s="54"/>
      <c r="HY164" s="54"/>
      <c r="HZ164" s="54"/>
      <c r="IA164" s="54"/>
      <c r="IB164" s="54"/>
      <c r="IC164" s="54"/>
      <c r="ID164" s="54"/>
      <c r="IE164" s="54"/>
      <c r="IF164" s="54"/>
      <c r="IG164" s="54"/>
      <c r="IH164" s="54"/>
      <c r="II164" s="54"/>
      <c r="IJ164" s="54"/>
      <c r="IK164" s="54"/>
      <c r="IL164" s="54"/>
      <c r="IM164" s="54"/>
      <c r="IN164" s="54"/>
      <c r="IO164" s="54"/>
      <c r="IP164" s="54"/>
      <c r="IQ164" s="54"/>
      <c r="IR164" s="54"/>
      <c r="IS164" s="54"/>
      <c r="IT164" s="54"/>
      <c r="IU164" s="54"/>
      <c r="IV164" s="54"/>
      <c r="IW164" s="54"/>
      <c r="IX164" s="54"/>
      <c r="IY164" s="54"/>
      <c r="IZ164" s="54"/>
      <c r="JA164" s="54"/>
      <c r="JB164" s="54"/>
      <c r="JC164" s="54"/>
      <c r="JD164" s="54"/>
      <c r="JE164" s="54"/>
      <c r="JF164" s="54"/>
      <c r="JG164" s="54"/>
      <c r="JH164" s="54"/>
      <c r="JI164" s="54"/>
      <c r="JJ164" s="54"/>
      <c r="JK164" s="54"/>
      <c r="JL164" s="54"/>
      <c r="JM164" s="54"/>
      <c r="JN164" s="54"/>
      <c r="JO164" s="54"/>
      <c r="JP164" s="54"/>
      <c r="JQ164" s="54"/>
      <c r="JR164" s="54"/>
      <c r="JS164" s="54"/>
      <c r="JT164" s="54"/>
      <c r="JU164" s="54"/>
      <c r="JV164" s="54"/>
      <c r="JW164" s="54"/>
      <c r="JX164" s="54"/>
      <c r="JY164" s="54"/>
      <c r="JZ164" s="54"/>
      <c r="KA164" s="54"/>
      <c r="KB164" s="54"/>
      <c r="KC164" s="54"/>
      <c r="KD164" s="54"/>
      <c r="KE164" s="54"/>
      <c r="KF164" s="54"/>
      <c r="KG164" s="54"/>
      <c r="KH164" s="54"/>
      <c r="KI164" s="54"/>
      <c r="KJ164" s="54"/>
      <c r="KK164" s="54"/>
      <c r="KL164" s="54"/>
      <c r="KM164" s="54"/>
      <c r="KN164" s="54"/>
      <c r="KO164" s="54"/>
      <c r="KP164" s="54"/>
      <c r="KQ164" s="54"/>
      <c r="KR164" s="54"/>
      <c r="KS164" s="54"/>
      <c r="KT164" s="54"/>
      <c r="KU164" s="54"/>
      <c r="KV164" s="54"/>
      <c r="KW164" s="54"/>
      <c r="KX164" s="54"/>
      <c r="KY164" s="54"/>
      <c r="KZ164" s="54"/>
      <c r="LA164" s="54"/>
      <c r="LB164" s="54"/>
      <c r="LC164" s="54"/>
      <c r="LD164" s="54"/>
      <c r="LE164" s="54"/>
      <c r="LF164" s="54"/>
      <c r="LG164" s="54"/>
      <c r="LH164" s="54"/>
      <c r="LI164" s="54"/>
      <c r="LJ164" s="54"/>
      <c r="LK164" s="54"/>
      <c r="LL164" s="54"/>
      <c r="LM164" s="54"/>
      <c r="LN164" s="54"/>
      <c r="LO164" s="54"/>
      <c r="LP164" s="54"/>
      <c r="LQ164" s="54"/>
      <c r="LR164" s="54"/>
      <c r="LS164" s="54"/>
      <c r="LT164" s="54"/>
      <c r="LU164" s="54"/>
      <c r="LV164" s="54"/>
      <c r="LW164" s="54"/>
      <c r="LX164" s="54"/>
      <c r="LY164" s="54"/>
      <c r="LZ164" s="54"/>
      <c r="MA164" s="54"/>
      <c r="MB164" s="54"/>
      <c r="MC164" s="54"/>
      <c r="MD164" s="54"/>
      <c r="ME164" s="54"/>
      <c r="MF164" s="54"/>
      <c r="MG164" s="54"/>
      <c r="MH164" s="54"/>
      <c r="MI164" s="54"/>
      <c r="MJ164" s="54"/>
      <c r="MK164" s="54"/>
      <c r="ML164" s="54"/>
      <c r="MM164" s="54"/>
      <c r="MN164" s="54"/>
      <c r="MO164" s="54"/>
      <c r="MP164" s="54"/>
      <c r="MQ164" s="54"/>
      <c r="MR164" s="54"/>
      <c r="MS164" s="54"/>
      <c r="MT164" s="54"/>
      <c r="MU164" s="54"/>
      <c r="MV164" s="54"/>
      <c r="MW164" s="54"/>
      <c r="MX164" s="54"/>
      <c r="MY164" s="54"/>
      <c r="MZ164" s="54"/>
      <c r="NA164" s="54"/>
      <c r="NB164" s="54"/>
      <c r="NC164" s="54"/>
      <c r="ND164" s="54"/>
      <c r="NE164" s="54"/>
      <c r="NF164" s="54"/>
      <c r="NG164" s="54"/>
      <c r="NH164" s="54"/>
      <c r="NI164" s="54"/>
      <c r="NJ164" s="54"/>
      <c r="NK164" s="54"/>
      <c r="NL164" s="54"/>
      <c r="NM164" s="54"/>
      <c r="NN164" s="54"/>
      <c r="NO164" s="54"/>
      <c r="NP164" s="54"/>
      <c r="NQ164" s="54"/>
      <c r="NR164" s="54"/>
      <c r="NS164" s="54"/>
      <c r="NT164" s="54"/>
      <c r="NU164" s="54"/>
      <c r="NV164" s="54"/>
      <c r="NW164" s="54"/>
      <c r="NX164" s="54"/>
      <c r="NY164" s="54"/>
      <c r="NZ164" s="54"/>
      <c r="OA164" s="54"/>
      <c r="OB164" s="54"/>
      <c r="OC164" s="54"/>
      <c r="OD164" s="54"/>
      <c r="OE164" s="54"/>
      <c r="OF164" s="54"/>
      <c r="OG164" s="54"/>
      <c r="OH164" s="54"/>
      <c r="OI164" s="54"/>
      <c r="OJ164" s="54"/>
      <c r="OK164" s="54"/>
      <c r="OL164" s="54"/>
      <c r="OM164" s="54"/>
      <c r="ON164" s="54"/>
      <c r="OO164" s="54"/>
      <c r="OP164" s="54"/>
      <c r="OQ164" s="54"/>
      <c r="OR164" s="54"/>
      <c r="OS164" s="54"/>
      <c r="OT164" s="54"/>
      <c r="OU164" s="54"/>
      <c r="OV164" s="54"/>
      <c r="OW164" s="54"/>
      <c r="OX164" s="54"/>
      <c r="OY164" s="54"/>
      <c r="OZ164" s="54"/>
      <c r="PA164" s="54"/>
      <c r="PB164" s="54"/>
      <c r="PC164" s="54"/>
      <c r="PD164" s="54"/>
      <c r="PE164" s="54"/>
      <c r="PF164" s="54"/>
      <c r="PG164" s="54"/>
      <c r="PH164" s="54"/>
      <c r="PI164" s="54"/>
      <c r="PJ164" s="54"/>
      <c r="PK164" s="54"/>
      <c r="PL164" s="54"/>
      <c r="PM164" s="54"/>
      <c r="PN164" s="54"/>
      <c r="PO164" s="54"/>
      <c r="PP164" s="54"/>
      <c r="PQ164" s="54"/>
      <c r="PR164" s="54"/>
      <c r="PS164" s="54"/>
      <c r="PT164" s="54"/>
      <c r="PU164" s="54"/>
      <c r="PV164" s="54"/>
      <c r="PW164" s="54"/>
      <c r="PX164" s="54"/>
      <c r="PY164" s="54"/>
      <c r="PZ164" s="54"/>
      <c r="QA164" s="54"/>
      <c r="QB164" s="54"/>
      <c r="QC164" s="54"/>
      <c r="QD164" s="54"/>
      <c r="QE164" s="54"/>
      <c r="QF164" s="54"/>
      <c r="QG164" s="54"/>
      <c r="QH164" s="54"/>
      <c r="QI164" s="54"/>
      <c r="QJ164" s="54"/>
      <c r="QK164" s="54"/>
      <c r="QL164" s="54"/>
      <c r="QM164" s="54"/>
      <c r="QN164" s="54"/>
      <c r="QO164" s="54"/>
      <c r="QP164" s="54"/>
      <c r="QQ164" s="54"/>
      <c r="QR164" s="54"/>
      <c r="QS164" s="54"/>
      <c r="QT164" s="54"/>
      <c r="QU164" s="54"/>
      <c r="QV164" s="54"/>
      <c r="QW164" s="54"/>
      <c r="QX164" s="54"/>
      <c r="QY164" s="54"/>
      <c r="QZ164" s="54"/>
      <c r="RA164" s="54"/>
      <c r="RB164" s="54"/>
      <c r="RC164" s="54"/>
      <c r="RD164" s="54"/>
      <c r="RE164" s="54"/>
      <c r="RF164" s="54"/>
      <c r="RG164" s="54"/>
      <c r="RH164" s="54"/>
      <c r="RI164" s="54"/>
      <c r="RJ164" s="54"/>
      <c r="RK164" s="54"/>
      <c r="RL164" s="54"/>
      <c r="RM164" s="54"/>
      <c r="RN164" s="54"/>
      <c r="RO164" s="54"/>
      <c r="RP164" s="54"/>
      <c r="RQ164" s="54"/>
      <c r="RR164" s="54"/>
      <c r="RS164" s="54"/>
      <c r="RT164" s="54"/>
      <c r="RU164" s="54"/>
      <c r="RV164" s="54"/>
      <c r="RW164" s="54"/>
      <c r="RX164" s="54"/>
      <c r="RY164" s="54"/>
      <c r="RZ164" s="54"/>
      <c r="SA164" s="54"/>
      <c r="SB164" s="54"/>
      <c r="SC164" s="54"/>
      <c r="SD164" s="54"/>
      <c r="SE164" s="54"/>
      <c r="SF164" s="54"/>
      <c r="SG164" s="54"/>
      <c r="SH164" s="54"/>
      <c r="SI164" s="54"/>
      <c r="SJ164" s="54"/>
      <c r="SK164" s="54"/>
      <c r="SL164" s="54"/>
      <c r="SM164" s="54"/>
      <c r="SN164" s="54"/>
      <c r="SO164" s="54"/>
      <c r="SP164" s="54"/>
      <c r="SQ164" s="54"/>
      <c r="SR164" s="54"/>
    </row>
    <row r="165" spans="1:512" ht="15" customHeight="1" x14ac:dyDescent="0.7">
      <c r="A165" s="172"/>
      <c r="B165" s="172"/>
      <c r="C165" s="172"/>
      <c r="D165" s="172"/>
      <c r="E165" s="172"/>
      <c r="F165" s="172"/>
      <c r="G165" s="172"/>
      <c r="I165" s="72" t="s">
        <v>344</v>
      </c>
      <c r="J165" s="73" t="s">
        <v>344</v>
      </c>
      <c r="K165" s="190"/>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c r="FP165" s="54"/>
      <c r="FQ165" s="54"/>
      <c r="FR165" s="54"/>
      <c r="FS165" s="54"/>
      <c r="FT165" s="54"/>
      <c r="FU165" s="54"/>
      <c r="FV165" s="54"/>
      <c r="FW165" s="54"/>
      <c r="FX165" s="54"/>
      <c r="FY165" s="54"/>
      <c r="FZ165" s="54"/>
      <c r="GA165" s="54"/>
      <c r="GB165" s="54"/>
      <c r="GC165" s="54"/>
      <c r="GD165" s="54"/>
      <c r="GE165" s="54"/>
      <c r="GF165" s="54"/>
      <c r="GG165" s="54"/>
      <c r="GH165" s="54"/>
      <c r="GI165" s="54"/>
      <c r="GJ165" s="54"/>
      <c r="GK165" s="54"/>
      <c r="GL165" s="54"/>
      <c r="GM165" s="54"/>
      <c r="GN165" s="54"/>
      <c r="GO165" s="54"/>
      <c r="GP165" s="54"/>
      <c r="GQ165" s="54"/>
      <c r="GR165" s="54"/>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c r="HP165" s="54"/>
      <c r="HQ165" s="54"/>
      <c r="HR165" s="54"/>
      <c r="HS165" s="54"/>
      <c r="HT165" s="54"/>
      <c r="HU165" s="54"/>
      <c r="HV165" s="54"/>
      <c r="HW165" s="54"/>
      <c r="HX165" s="54"/>
      <c r="HY165" s="54"/>
      <c r="HZ165" s="54"/>
      <c r="IA165" s="54"/>
      <c r="IB165" s="54"/>
      <c r="IC165" s="54"/>
      <c r="ID165" s="54"/>
      <c r="IE165" s="54"/>
      <c r="IF165" s="54"/>
      <c r="IG165" s="54"/>
      <c r="IH165" s="54"/>
      <c r="II165" s="54"/>
      <c r="IJ165" s="54"/>
      <c r="IK165" s="54"/>
      <c r="IL165" s="54"/>
      <c r="IM165" s="54"/>
      <c r="IN165" s="54"/>
      <c r="IO165" s="54"/>
      <c r="IP165" s="54"/>
      <c r="IQ165" s="54"/>
      <c r="IR165" s="54"/>
      <c r="IS165" s="54"/>
      <c r="IT165" s="54"/>
      <c r="IU165" s="54"/>
      <c r="IV165" s="54"/>
      <c r="IW165" s="54"/>
      <c r="IX165" s="54"/>
      <c r="IY165" s="54"/>
      <c r="IZ165" s="54"/>
      <c r="JA165" s="54"/>
      <c r="JB165" s="54"/>
      <c r="JC165" s="54"/>
      <c r="JD165" s="54"/>
      <c r="JE165" s="54"/>
      <c r="JF165" s="54"/>
      <c r="JG165" s="54"/>
      <c r="JH165" s="54"/>
      <c r="JI165" s="54"/>
      <c r="JJ165" s="54"/>
      <c r="JK165" s="54"/>
      <c r="JL165" s="54"/>
      <c r="JM165" s="54"/>
      <c r="JN165" s="54"/>
      <c r="JO165" s="54"/>
      <c r="JP165" s="54"/>
      <c r="JQ165" s="54"/>
      <c r="JR165" s="54"/>
      <c r="JS165" s="54"/>
      <c r="JT165" s="54"/>
      <c r="JU165" s="54"/>
      <c r="JV165" s="54"/>
      <c r="JW165" s="54"/>
      <c r="JX165" s="54"/>
      <c r="JY165" s="54"/>
      <c r="JZ165" s="54"/>
      <c r="KA165" s="54"/>
      <c r="KB165" s="54"/>
      <c r="KC165" s="54"/>
      <c r="KD165" s="54"/>
      <c r="KE165" s="54"/>
      <c r="KF165" s="54"/>
      <c r="KG165" s="54"/>
      <c r="KH165" s="54"/>
      <c r="KI165" s="54"/>
      <c r="KJ165" s="54"/>
      <c r="KK165" s="54"/>
      <c r="KL165" s="54"/>
      <c r="KM165" s="54"/>
      <c r="KN165" s="54"/>
      <c r="KO165" s="54"/>
      <c r="KP165" s="54"/>
      <c r="KQ165" s="54"/>
      <c r="KR165" s="54"/>
      <c r="KS165" s="54"/>
      <c r="KT165" s="54"/>
      <c r="KU165" s="54"/>
      <c r="KV165" s="54"/>
      <c r="KW165" s="54"/>
      <c r="KX165" s="54"/>
      <c r="KY165" s="54"/>
      <c r="KZ165" s="54"/>
      <c r="LA165" s="54"/>
      <c r="LB165" s="54"/>
      <c r="LC165" s="54"/>
      <c r="LD165" s="54"/>
      <c r="LE165" s="54"/>
      <c r="LF165" s="54"/>
      <c r="LG165" s="54"/>
      <c r="LH165" s="54"/>
      <c r="LI165" s="54"/>
      <c r="LJ165" s="54"/>
      <c r="LK165" s="54"/>
      <c r="LL165" s="54"/>
      <c r="LM165" s="54"/>
      <c r="LN165" s="54"/>
      <c r="LO165" s="54"/>
      <c r="LP165" s="54"/>
      <c r="LQ165" s="54"/>
      <c r="LR165" s="54"/>
      <c r="LS165" s="54"/>
      <c r="LT165" s="54"/>
      <c r="LU165" s="54"/>
      <c r="LV165" s="54"/>
      <c r="LW165" s="54"/>
      <c r="LX165" s="54"/>
      <c r="LY165" s="54"/>
      <c r="LZ165" s="54"/>
      <c r="MA165" s="54"/>
      <c r="MB165" s="54"/>
      <c r="MC165" s="54"/>
      <c r="MD165" s="54"/>
      <c r="ME165" s="54"/>
      <c r="MF165" s="54"/>
      <c r="MG165" s="54"/>
      <c r="MH165" s="54"/>
      <c r="MI165" s="54"/>
      <c r="MJ165" s="54"/>
      <c r="MK165" s="54"/>
      <c r="ML165" s="54"/>
      <c r="MM165" s="54"/>
      <c r="MN165" s="54"/>
      <c r="MO165" s="54"/>
      <c r="MP165" s="54"/>
      <c r="MQ165" s="54"/>
      <c r="MR165" s="54"/>
      <c r="MS165" s="54"/>
      <c r="MT165" s="54"/>
      <c r="MU165" s="54"/>
      <c r="MV165" s="54"/>
      <c r="MW165" s="54"/>
      <c r="MX165" s="54"/>
      <c r="MY165" s="54"/>
      <c r="MZ165" s="54"/>
      <c r="NA165" s="54"/>
      <c r="NB165" s="54"/>
      <c r="NC165" s="54"/>
      <c r="ND165" s="54"/>
      <c r="NE165" s="54"/>
      <c r="NF165" s="54"/>
      <c r="NG165" s="54"/>
      <c r="NH165" s="54"/>
      <c r="NI165" s="54"/>
      <c r="NJ165" s="54"/>
      <c r="NK165" s="54"/>
      <c r="NL165" s="54"/>
      <c r="NM165" s="54"/>
      <c r="NN165" s="54"/>
      <c r="NO165" s="54"/>
      <c r="NP165" s="54"/>
      <c r="NQ165" s="54"/>
      <c r="NR165" s="54"/>
      <c r="NS165" s="54"/>
      <c r="NT165" s="54"/>
      <c r="NU165" s="54"/>
      <c r="NV165" s="54"/>
      <c r="NW165" s="54"/>
      <c r="NX165" s="54"/>
      <c r="NY165" s="54"/>
      <c r="NZ165" s="54"/>
      <c r="OA165" s="54"/>
      <c r="OB165" s="54"/>
      <c r="OC165" s="54"/>
      <c r="OD165" s="54"/>
      <c r="OE165" s="54"/>
      <c r="OF165" s="54"/>
      <c r="OG165" s="54"/>
      <c r="OH165" s="54"/>
      <c r="OI165" s="54"/>
      <c r="OJ165" s="54"/>
      <c r="OK165" s="54"/>
      <c r="OL165" s="54"/>
      <c r="OM165" s="54"/>
      <c r="ON165" s="54"/>
      <c r="OO165" s="54"/>
      <c r="OP165" s="54"/>
      <c r="OQ165" s="54"/>
      <c r="OR165" s="54"/>
      <c r="OS165" s="54"/>
      <c r="OT165" s="54"/>
      <c r="OU165" s="54"/>
      <c r="OV165" s="54"/>
      <c r="OW165" s="54"/>
      <c r="OX165" s="54"/>
      <c r="OY165" s="54"/>
      <c r="OZ165" s="54"/>
      <c r="PA165" s="54"/>
      <c r="PB165" s="54"/>
      <c r="PC165" s="54"/>
      <c r="PD165" s="54"/>
      <c r="PE165" s="54"/>
      <c r="PF165" s="54"/>
      <c r="PG165" s="54"/>
      <c r="PH165" s="54"/>
      <c r="PI165" s="54"/>
      <c r="PJ165" s="54"/>
      <c r="PK165" s="54"/>
      <c r="PL165" s="54"/>
      <c r="PM165" s="54"/>
      <c r="PN165" s="54"/>
      <c r="PO165" s="54"/>
      <c r="PP165" s="54"/>
      <c r="PQ165" s="54"/>
      <c r="PR165" s="54"/>
      <c r="PS165" s="54"/>
      <c r="PT165" s="54"/>
      <c r="PU165" s="54"/>
      <c r="PV165" s="54"/>
      <c r="PW165" s="54"/>
      <c r="PX165" s="54"/>
      <c r="PY165" s="54"/>
      <c r="PZ165" s="54"/>
      <c r="QA165" s="54"/>
      <c r="QB165" s="54"/>
      <c r="QC165" s="54"/>
      <c r="QD165" s="54"/>
      <c r="QE165" s="54"/>
      <c r="QF165" s="54"/>
      <c r="QG165" s="54"/>
      <c r="QH165" s="54"/>
      <c r="QI165" s="54"/>
      <c r="QJ165" s="54"/>
      <c r="QK165" s="54"/>
      <c r="QL165" s="54"/>
      <c r="QM165" s="54"/>
      <c r="QN165" s="54"/>
      <c r="QO165" s="54"/>
      <c r="QP165" s="54"/>
      <c r="QQ165" s="54"/>
      <c r="QR165" s="54"/>
      <c r="QS165" s="54"/>
      <c r="QT165" s="54"/>
      <c r="QU165" s="54"/>
      <c r="QV165" s="54"/>
      <c r="QW165" s="54"/>
      <c r="QX165" s="54"/>
      <c r="QY165" s="54"/>
      <c r="QZ165" s="54"/>
      <c r="RA165" s="54"/>
      <c r="RB165" s="54"/>
      <c r="RC165" s="54"/>
      <c r="RD165" s="54"/>
      <c r="RE165" s="54"/>
      <c r="RF165" s="54"/>
      <c r="RG165" s="54"/>
      <c r="RH165" s="54"/>
      <c r="RI165" s="54"/>
      <c r="RJ165" s="54"/>
      <c r="RK165" s="54"/>
      <c r="RL165" s="54"/>
      <c r="RM165" s="54"/>
      <c r="RN165" s="54"/>
      <c r="RO165" s="54"/>
      <c r="RP165" s="54"/>
      <c r="RQ165" s="54"/>
      <c r="RR165" s="54"/>
      <c r="RS165" s="54"/>
      <c r="RT165" s="54"/>
      <c r="RU165" s="54"/>
      <c r="RV165" s="54"/>
      <c r="RW165" s="54"/>
      <c r="RX165" s="54"/>
      <c r="RY165" s="54"/>
      <c r="RZ165" s="54"/>
      <c r="SA165" s="54"/>
      <c r="SB165" s="54"/>
      <c r="SC165" s="54"/>
      <c r="SD165" s="54"/>
      <c r="SE165" s="54"/>
      <c r="SF165" s="54"/>
      <c r="SG165" s="54"/>
      <c r="SH165" s="54"/>
      <c r="SI165" s="54"/>
      <c r="SJ165" s="54"/>
      <c r="SK165" s="54"/>
      <c r="SL165" s="54"/>
      <c r="SM165" s="54"/>
      <c r="SN165" s="54"/>
      <c r="SO165" s="54"/>
      <c r="SP165" s="54"/>
      <c r="SQ165" s="54"/>
      <c r="SR165" s="54"/>
    </row>
    <row r="166" spans="1:512" s="55" customFormat="1" ht="15" customHeight="1" x14ac:dyDescent="0.7">
      <c r="A166" s="173"/>
      <c r="B166" s="173"/>
      <c r="C166" s="173"/>
      <c r="D166" s="173"/>
      <c r="E166" s="173"/>
      <c r="F166" s="173"/>
      <c r="G166" s="173"/>
      <c r="H166" s="74"/>
      <c r="I166" s="75"/>
      <c r="J166" s="76"/>
      <c r="K166" s="191"/>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c r="IX166" s="56"/>
      <c r="IY166" s="56"/>
      <c r="IZ166" s="56"/>
      <c r="JA166" s="56"/>
      <c r="JB166" s="56"/>
      <c r="JC166" s="56"/>
      <c r="JD166" s="56"/>
      <c r="JE166" s="56"/>
      <c r="JF166" s="56"/>
      <c r="JG166" s="56"/>
      <c r="JH166" s="56"/>
      <c r="JI166" s="56"/>
      <c r="JJ166" s="56"/>
      <c r="JK166" s="56"/>
      <c r="JL166" s="56"/>
      <c r="JM166" s="56"/>
      <c r="JN166" s="56"/>
      <c r="JO166" s="56"/>
      <c r="JP166" s="56"/>
      <c r="JQ166" s="56"/>
      <c r="JR166" s="56"/>
      <c r="JS166" s="56"/>
      <c r="JT166" s="56"/>
      <c r="JU166" s="56"/>
      <c r="JV166" s="56"/>
      <c r="JW166" s="56"/>
      <c r="JX166" s="56"/>
      <c r="JY166" s="56"/>
      <c r="JZ166" s="56"/>
      <c r="KA166" s="56"/>
      <c r="KB166" s="56"/>
      <c r="KC166" s="56"/>
      <c r="KD166" s="56"/>
      <c r="KE166" s="56"/>
      <c r="KF166" s="56"/>
      <c r="KG166" s="56"/>
      <c r="KH166" s="56"/>
      <c r="KI166" s="56"/>
      <c r="KJ166" s="56"/>
      <c r="KK166" s="56"/>
      <c r="KL166" s="56"/>
      <c r="KM166" s="56"/>
      <c r="KN166" s="56"/>
      <c r="KO166" s="56"/>
      <c r="KP166" s="56"/>
      <c r="KQ166" s="56"/>
      <c r="KR166" s="56"/>
      <c r="KS166" s="56"/>
      <c r="KT166" s="56"/>
      <c r="KU166" s="56"/>
      <c r="KV166" s="56"/>
      <c r="KW166" s="56"/>
      <c r="KX166" s="56"/>
      <c r="KY166" s="56"/>
      <c r="KZ166" s="56"/>
      <c r="LA166" s="56"/>
      <c r="LB166" s="56"/>
      <c r="LC166" s="56"/>
      <c r="LD166" s="56"/>
      <c r="LE166" s="56"/>
      <c r="LF166" s="56"/>
      <c r="LG166" s="56"/>
      <c r="LH166" s="56"/>
      <c r="LI166" s="56"/>
      <c r="LJ166" s="56"/>
      <c r="LK166" s="56"/>
      <c r="LL166" s="56"/>
      <c r="LM166" s="56"/>
      <c r="LN166" s="56"/>
      <c r="LO166" s="56"/>
      <c r="LP166" s="56"/>
      <c r="LQ166" s="56"/>
      <c r="LR166" s="56"/>
      <c r="LS166" s="56"/>
      <c r="LT166" s="56"/>
      <c r="LU166" s="56"/>
      <c r="LV166" s="56"/>
      <c r="LW166" s="56"/>
      <c r="LX166" s="56"/>
      <c r="LY166" s="56"/>
      <c r="LZ166" s="56"/>
      <c r="MA166" s="56"/>
      <c r="MB166" s="56"/>
      <c r="MC166" s="56"/>
      <c r="MD166" s="56"/>
      <c r="ME166" s="56"/>
      <c r="MF166" s="56"/>
      <c r="MG166" s="56"/>
      <c r="MH166" s="56"/>
      <c r="MI166" s="56"/>
      <c r="MJ166" s="56"/>
      <c r="MK166" s="56"/>
      <c r="ML166" s="56"/>
      <c r="MM166" s="56"/>
      <c r="MN166" s="56"/>
      <c r="MO166" s="56"/>
      <c r="MP166" s="56"/>
      <c r="MQ166" s="56"/>
      <c r="MR166" s="56"/>
      <c r="MS166" s="56"/>
      <c r="MT166" s="56"/>
      <c r="MU166" s="56"/>
      <c r="MV166" s="56"/>
      <c r="MW166" s="56"/>
      <c r="MX166" s="56"/>
      <c r="MY166" s="56"/>
      <c r="MZ166" s="56"/>
      <c r="NA166" s="56"/>
      <c r="NB166" s="56"/>
      <c r="NC166" s="56"/>
      <c r="ND166" s="56"/>
      <c r="NE166" s="56"/>
      <c r="NF166" s="56"/>
      <c r="NG166" s="56"/>
      <c r="NH166" s="56"/>
      <c r="NI166" s="56"/>
      <c r="NJ166" s="56"/>
      <c r="NK166" s="56"/>
      <c r="NL166" s="56"/>
      <c r="NM166" s="56"/>
      <c r="NN166" s="56"/>
      <c r="NO166" s="56"/>
      <c r="NP166" s="56"/>
      <c r="NQ166" s="56"/>
      <c r="NR166" s="56"/>
      <c r="NS166" s="56"/>
      <c r="NT166" s="56"/>
      <c r="NU166" s="56"/>
      <c r="NV166" s="56"/>
      <c r="NW166" s="56"/>
      <c r="NX166" s="56"/>
      <c r="NY166" s="56"/>
      <c r="NZ166" s="56"/>
      <c r="OA166" s="56"/>
      <c r="OB166" s="56"/>
      <c r="OC166" s="56"/>
      <c r="OD166" s="56"/>
      <c r="OE166" s="56"/>
      <c r="OF166" s="56"/>
      <c r="OG166" s="56"/>
      <c r="OH166" s="56"/>
      <c r="OI166" s="56"/>
      <c r="OJ166" s="56"/>
      <c r="OK166" s="56"/>
      <c r="OL166" s="56"/>
      <c r="OM166" s="56"/>
      <c r="ON166" s="56"/>
      <c r="OO166" s="56"/>
      <c r="OP166" s="56"/>
      <c r="OQ166" s="56"/>
      <c r="OR166" s="56"/>
      <c r="OS166" s="56"/>
      <c r="OT166" s="56"/>
      <c r="OU166" s="56"/>
      <c r="OV166" s="56"/>
      <c r="OW166" s="56"/>
      <c r="OX166" s="56"/>
      <c r="OY166" s="56"/>
      <c r="OZ166" s="56"/>
      <c r="PA166" s="56"/>
      <c r="PB166" s="56"/>
      <c r="PC166" s="56"/>
      <c r="PD166" s="56"/>
      <c r="PE166" s="56"/>
      <c r="PF166" s="56"/>
      <c r="PG166" s="56"/>
      <c r="PH166" s="56"/>
      <c r="PI166" s="56"/>
      <c r="PJ166" s="56"/>
      <c r="PK166" s="56"/>
      <c r="PL166" s="56"/>
      <c r="PM166" s="56"/>
      <c r="PN166" s="56"/>
      <c r="PO166" s="56"/>
      <c r="PP166" s="56"/>
      <c r="PQ166" s="56"/>
      <c r="PR166" s="56"/>
      <c r="PS166" s="56"/>
      <c r="PT166" s="56"/>
      <c r="PU166" s="56"/>
      <c r="PV166" s="56"/>
      <c r="PW166" s="56"/>
      <c r="PX166" s="56"/>
      <c r="PY166" s="56"/>
      <c r="PZ166" s="56"/>
      <c r="QA166" s="56"/>
      <c r="QB166" s="56"/>
      <c r="QC166" s="56"/>
      <c r="QD166" s="56"/>
      <c r="QE166" s="56"/>
      <c r="QF166" s="56"/>
      <c r="QG166" s="56"/>
      <c r="QH166" s="56"/>
      <c r="QI166" s="56"/>
      <c r="QJ166" s="56"/>
      <c r="QK166" s="56"/>
      <c r="QL166" s="56"/>
      <c r="QM166" s="56"/>
      <c r="QN166" s="56"/>
      <c r="QO166" s="56"/>
      <c r="QP166" s="56"/>
      <c r="QQ166" s="56"/>
      <c r="QR166" s="56"/>
      <c r="QS166" s="56"/>
      <c r="QT166" s="56"/>
      <c r="QU166" s="56"/>
      <c r="QV166" s="56"/>
      <c r="QW166" s="56"/>
      <c r="QX166" s="56"/>
      <c r="QY166" s="56"/>
      <c r="QZ166" s="56"/>
      <c r="RA166" s="56"/>
      <c r="RB166" s="56"/>
      <c r="RC166" s="56"/>
      <c r="RD166" s="56"/>
      <c r="RE166" s="56"/>
      <c r="RF166" s="56"/>
      <c r="RG166" s="56"/>
      <c r="RH166" s="56"/>
      <c r="RI166" s="56"/>
      <c r="RJ166" s="56"/>
      <c r="RK166" s="56"/>
      <c r="RL166" s="56"/>
      <c r="RM166" s="56"/>
      <c r="RN166" s="56"/>
      <c r="RO166" s="56"/>
      <c r="RP166" s="56"/>
      <c r="RQ166" s="56"/>
      <c r="RR166" s="56"/>
      <c r="RS166" s="56"/>
      <c r="RT166" s="56"/>
      <c r="RU166" s="56"/>
      <c r="RV166" s="56"/>
      <c r="RW166" s="56"/>
      <c r="RX166" s="56"/>
      <c r="RY166" s="56"/>
      <c r="RZ166" s="56"/>
      <c r="SA166" s="56"/>
      <c r="SB166" s="56"/>
      <c r="SC166" s="56"/>
      <c r="SD166" s="56"/>
      <c r="SE166" s="56"/>
      <c r="SF166" s="56"/>
      <c r="SG166" s="56"/>
      <c r="SH166" s="56"/>
      <c r="SI166" s="56"/>
      <c r="SJ166" s="56"/>
      <c r="SK166" s="56"/>
      <c r="SL166" s="56"/>
      <c r="SM166" s="56"/>
      <c r="SN166" s="56"/>
      <c r="SO166" s="56"/>
      <c r="SP166" s="56"/>
      <c r="SQ166" s="56"/>
      <c r="SR166" s="56"/>
    </row>
    <row r="167" spans="1:512" ht="15" customHeight="1" x14ac:dyDescent="0.7">
      <c r="A167" s="171" t="s">
        <v>344</v>
      </c>
      <c r="B167" s="171" t="s">
        <v>344</v>
      </c>
      <c r="C167" s="171" t="s">
        <v>344</v>
      </c>
      <c r="D167" s="171"/>
      <c r="E167" s="171" t="s">
        <v>344</v>
      </c>
      <c r="F167" s="171"/>
      <c r="G167" s="188" t="s">
        <v>344</v>
      </c>
      <c r="H167" s="71" t="s">
        <v>344</v>
      </c>
      <c r="I167" s="72" t="s">
        <v>344</v>
      </c>
      <c r="J167" s="73" t="s">
        <v>344</v>
      </c>
      <c r="K167" s="189" t="s">
        <v>344</v>
      </c>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4"/>
      <c r="EF167" s="54"/>
      <c r="EG167" s="54"/>
      <c r="EH167" s="54"/>
      <c r="EI167" s="54"/>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c r="FP167" s="54"/>
      <c r="FQ167" s="54"/>
      <c r="FR167" s="54"/>
      <c r="FS167" s="54"/>
      <c r="FT167" s="54"/>
      <c r="FU167" s="54"/>
      <c r="FV167" s="54"/>
      <c r="FW167" s="54"/>
      <c r="FX167" s="54"/>
      <c r="FY167" s="54"/>
      <c r="FZ167" s="54"/>
      <c r="GA167" s="54"/>
      <c r="GB167" s="54"/>
      <c r="GC167" s="54"/>
      <c r="GD167" s="54"/>
      <c r="GE167" s="54"/>
      <c r="GF167" s="54"/>
      <c r="GG167" s="54"/>
      <c r="GH167" s="54"/>
      <c r="GI167" s="54"/>
      <c r="GJ167" s="54"/>
      <c r="GK167" s="54"/>
      <c r="GL167" s="54"/>
      <c r="GM167" s="54"/>
      <c r="GN167" s="54"/>
      <c r="GO167" s="54"/>
      <c r="GP167" s="54"/>
      <c r="GQ167" s="54"/>
      <c r="GR167" s="54"/>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c r="HP167" s="54"/>
      <c r="HQ167" s="54"/>
      <c r="HR167" s="54"/>
      <c r="HS167" s="54"/>
      <c r="HT167" s="54"/>
      <c r="HU167" s="54"/>
      <c r="HV167" s="54"/>
      <c r="HW167" s="54"/>
      <c r="HX167" s="54"/>
      <c r="HY167" s="54"/>
      <c r="HZ167" s="54"/>
      <c r="IA167" s="54"/>
      <c r="IB167" s="54"/>
      <c r="IC167" s="54"/>
      <c r="ID167" s="54"/>
      <c r="IE167" s="54"/>
      <c r="IF167" s="54"/>
      <c r="IG167" s="54"/>
      <c r="IH167" s="54"/>
      <c r="II167" s="54"/>
      <c r="IJ167" s="54"/>
      <c r="IK167" s="54"/>
      <c r="IL167" s="54"/>
      <c r="IM167" s="54"/>
      <c r="IN167" s="54"/>
      <c r="IO167" s="54"/>
      <c r="IP167" s="54"/>
      <c r="IQ167" s="54"/>
      <c r="IR167" s="54"/>
      <c r="IS167" s="54"/>
      <c r="IT167" s="54"/>
      <c r="IU167" s="54"/>
      <c r="IV167" s="54"/>
      <c r="IW167" s="54"/>
      <c r="IX167" s="54"/>
      <c r="IY167" s="54"/>
      <c r="IZ167" s="54"/>
      <c r="JA167" s="54"/>
      <c r="JB167" s="54"/>
      <c r="JC167" s="54"/>
      <c r="JD167" s="54"/>
      <c r="JE167" s="54"/>
      <c r="JF167" s="54"/>
      <c r="JG167" s="54"/>
      <c r="JH167" s="54"/>
      <c r="JI167" s="54"/>
      <c r="JJ167" s="54"/>
      <c r="JK167" s="54"/>
      <c r="JL167" s="54"/>
      <c r="JM167" s="54"/>
      <c r="JN167" s="54"/>
      <c r="JO167" s="54"/>
      <c r="JP167" s="54"/>
      <c r="JQ167" s="54"/>
      <c r="JR167" s="54"/>
      <c r="JS167" s="54"/>
      <c r="JT167" s="54"/>
      <c r="JU167" s="54"/>
      <c r="JV167" s="54"/>
      <c r="JW167" s="54"/>
      <c r="JX167" s="54"/>
      <c r="JY167" s="54"/>
      <c r="JZ167" s="54"/>
      <c r="KA167" s="54"/>
      <c r="KB167" s="54"/>
      <c r="KC167" s="54"/>
      <c r="KD167" s="54"/>
      <c r="KE167" s="54"/>
      <c r="KF167" s="54"/>
      <c r="KG167" s="54"/>
      <c r="KH167" s="54"/>
      <c r="KI167" s="54"/>
      <c r="KJ167" s="54"/>
      <c r="KK167" s="54"/>
      <c r="KL167" s="54"/>
      <c r="KM167" s="54"/>
      <c r="KN167" s="54"/>
      <c r="KO167" s="54"/>
      <c r="KP167" s="54"/>
      <c r="KQ167" s="54"/>
      <c r="KR167" s="54"/>
      <c r="KS167" s="54"/>
      <c r="KT167" s="54"/>
      <c r="KU167" s="54"/>
      <c r="KV167" s="54"/>
      <c r="KW167" s="54"/>
      <c r="KX167" s="54"/>
      <c r="KY167" s="54"/>
      <c r="KZ167" s="54"/>
      <c r="LA167" s="54"/>
      <c r="LB167" s="54"/>
      <c r="LC167" s="54"/>
      <c r="LD167" s="54"/>
      <c r="LE167" s="54"/>
      <c r="LF167" s="54"/>
      <c r="LG167" s="54"/>
      <c r="LH167" s="54"/>
      <c r="LI167" s="54"/>
      <c r="LJ167" s="54"/>
      <c r="LK167" s="54"/>
      <c r="LL167" s="54"/>
      <c r="LM167" s="54"/>
      <c r="LN167" s="54"/>
      <c r="LO167" s="54"/>
      <c r="LP167" s="54"/>
      <c r="LQ167" s="54"/>
      <c r="LR167" s="54"/>
      <c r="LS167" s="54"/>
      <c r="LT167" s="54"/>
      <c r="LU167" s="54"/>
      <c r="LV167" s="54"/>
      <c r="LW167" s="54"/>
      <c r="LX167" s="54"/>
      <c r="LY167" s="54"/>
      <c r="LZ167" s="54"/>
      <c r="MA167" s="54"/>
      <c r="MB167" s="54"/>
      <c r="MC167" s="54"/>
      <c r="MD167" s="54"/>
      <c r="ME167" s="54"/>
      <c r="MF167" s="54"/>
      <c r="MG167" s="54"/>
      <c r="MH167" s="54"/>
      <c r="MI167" s="54"/>
      <c r="MJ167" s="54"/>
      <c r="MK167" s="54"/>
      <c r="ML167" s="54"/>
      <c r="MM167" s="54"/>
      <c r="MN167" s="54"/>
      <c r="MO167" s="54"/>
      <c r="MP167" s="54"/>
      <c r="MQ167" s="54"/>
      <c r="MR167" s="54"/>
      <c r="MS167" s="54"/>
      <c r="MT167" s="54"/>
      <c r="MU167" s="54"/>
      <c r="MV167" s="54"/>
      <c r="MW167" s="54"/>
      <c r="MX167" s="54"/>
      <c r="MY167" s="54"/>
      <c r="MZ167" s="54"/>
      <c r="NA167" s="54"/>
      <c r="NB167" s="54"/>
      <c r="NC167" s="54"/>
      <c r="ND167" s="54"/>
      <c r="NE167" s="54"/>
      <c r="NF167" s="54"/>
      <c r="NG167" s="54"/>
      <c r="NH167" s="54"/>
      <c r="NI167" s="54"/>
      <c r="NJ167" s="54"/>
      <c r="NK167" s="54"/>
      <c r="NL167" s="54"/>
      <c r="NM167" s="54"/>
      <c r="NN167" s="54"/>
      <c r="NO167" s="54"/>
      <c r="NP167" s="54"/>
      <c r="NQ167" s="54"/>
      <c r="NR167" s="54"/>
      <c r="NS167" s="54"/>
      <c r="NT167" s="54"/>
      <c r="NU167" s="54"/>
      <c r="NV167" s="54"/>
      <c r="NW167" s="54"/>
      <c r="NX167" s="54"/>
      <c r="NY167" s="54"/>
      <c r="NZ167" s="54"/>
      <c r="OA167" s="54"/>
      <c r="OB167" s="54"/>
      <c r="OC167" s="54"/>
      <c r="OD167" s="54"/>
      <c r="OE167" s="54"/>
      <c r="OF167" s="54"/>
      <c r="OG167" s="54"/>
      <c r="OH167" s="54"/>
      <c r="OI167" s="54"/>
      <c r="OJ167" s="54"/>
      <c r="OK167" s="54"/>
      <c r="OL167" s="54"/>
      <c r="OM167" s="54"/>
      <c r="ON167" s="54"/>
      <c r="OO167" s="54"/>
      <c r="OP167" s="54"/>
      <c r="OQ167" s="54"/>
      <c r="OR167" s="54"/>
      <c r="OS167" s="54"/>
      <c r="OT167" s="54"/>
      <c r="OU167" s="54"/>
      <c r="OV167" s="54"/>
      <c r="OW167" s="54"/>
      <c r="OX167" s="54"/>
      <c r="OY167" s="54"/>
      <c r="OZ167" s="54"/>
      <c r="PA167" s="54"/>
      <c r="PB167" s="54"/>
      <c r="PC167" s="54"/>
      <c r="PD167" s="54"/>
      <c r="PE167" s="54"/>
      <c r="PF167" s="54"/>
      <c r="PG167" s="54"/>
      <c r="PH167" s="54"/>
      <c r="PI167" s="54"/>
      <c r="PJ167" s="54"/>
      <c r="PK167" s="54"/>
      <c r="PL167" s="54"/>
      <c r="PM167" s="54"/>
      <c r="PN167" s="54"/>
      <c r="PO167" s="54"/>
      <c r="PP167" s="54"/>
      <c r="PQ167" s="54"/>
      <c r="PR167" s="54"/>
      <c r="PS167" s="54"/>
      <c r="PT167" s="54"/>
      <c r="PU167" s="54"/>
      <c r="PV167" s="54"/>
      <c r="PW167" s="54"/>
      <c r="PX167" s="54"/>
      <c r="PY167" s="54"/>
      <c r="PZ167" s="54"/>
      <c r="QA167" s="54"/>
      <c r="QB167" s="54"/>
      <c r="QC167" s="54"/>
      <c r="QD167" s="54"/>
      <c r="QE167" s="54"/>
      <c r="QF167" s="54"/>
      <c r="QG167" s="54"/>
      <c r="QH167" s="54"/>
      <c r="QI167" s="54"/>
      <c r="QJ167" s="54"/>
      <c r="QK167" s="54"/>
      <c r="QL167" s="54"/>
      <c r="QM167" s="54"/>
      <c r="QN167" s="54"/>
      <c r="QO167" s="54"/>
      <c r="QP167" s="54"/>
      <c r="QQ167" s="54"/>
      <c r="QR167" s="54"/>
      <c r="QS167" s="54"/>
      <c r="QT167" s="54"/>
      <c r="QU167" s="54"/>
      <c r="QV167" s="54"/>
      <c r="QW167" s="54"/>
      <c r="QX167" s="54"/>
      <c r="QY167" s="54"/>
      <c r="QZ167" s="54"/>
      <c r="RA167" s="54"/>
      <c r="RB167" s="54"/>
      <c r="RC167" s="54"/>
      <c r="RD167" s="54"/>
      <c r="RE167" s="54"/>
      <c r="RF167" s="54"/>
      <c r="RG167" s="54"/>
      <c r="RH167" s="54"/>
      <c r="RI167" s="54"/>
      <c r="RJ167" s="54"/>
      <c r="RK167" s="54"/>
      <c r="RL167" s="54"/>
      <c r="RM167" s="54"/>
      <c r="RN167" s="54"/>
      <c r="RO167" s="54"/>
      <c r="RP167" s="54"/>
      <c r="RQ167" s="54"/>
      <c r="RR167" s="54"/>
      <c r="RS167" s="54"/>
      <c r="RT167" s="54"/>
      <c r="RU167" s="54"/>
      <c r="RV167" s="54"/>
      <c r="RW167" s="54"/>
      <c r="RX167" s="54"/>
      <c r="RY167" s="54"/>
      <c r="RZ167" s="54"/>
      <c r="SA167" s="54"/>
      <c r="SB167" s="54"/>
      <c r="SC167" s="54"/>
      <c r="SD167" s="54"/>
      <c r="SE167" s="54"/>
      <c r="SF167" s="54"/>
      <c r="SG167" s="54"/>
      <c r="SH167" s="54"/>
      <c r="SI167" s="54"/>
      <c r="SJ167" s="54"/>
      <c r="SK167" s="54"/>
      <c r="SL167" s="54"/>
      <c r="SM167" s="54"/>
      <c r="SN167" s="54"/>
      <c r="SO167" s="54"/>
      <c r="SP167" s="54"/>
      <c r="SQ167" s="54"/>
      <c r="SR167" s="54"/>
    </row>
    <row r="168" spans="1:512" ht="15" customHeight="1" x14ac:dyDescent="0.7">
      <c r="A168" s="172"/>
      <c r="B168" s="172"/>
      <c r="C168" s="172"/>
      <c r="D168" s="172"/>
      <c r="E168" s="172"/>
      <c r="F168" s="172"/>
      <c r="G168" s="172"/>
      <c r="I168" s="72" t="s">
        <v>344</v>
      </c>
      <c r="J168" s="73" t="s">
        <v>344</v>
      </c>
      <c r="K168" s="190"/>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c r="HP168" s="54"/>
      <c r="HQ168" s="54"/>
      <c r="HR168" s="54"/>
      <c r="HS168" s="54"/>
      <c r="HT168" s="54"/>
      <c r="HU168" s="54"/>
      <c r="HV168" s="54"/>
      <c r="HW168" s="54"/>
      <c r="HX168" s="54"/>
      <c r="HY168" s="54"/>
      <c r="HZ168" s="54"/>
      <c r="IA168" s="54"/>
      <c r="IB168" s="54"/>
      <c r="IC168" s="54"/>
      <c r="ID168" s="54"/>
      <c r="IE168" s="54"/>
      <c r="IF168" s="54"/>
      <c r="IG168" s="54"/>
      <c r="IH168" s="54"/>
      <c r="II168" s="54"/>
      <c r="IJ168" s="54"/>
      <c r="IK168" s="54"/>
      <c r="IL168" s="54"/>
      <c r="IM168" s="54"/>
      <c r="IN168" s="54"/>
      <c r="IO168" s="54"/>
      <c r="IP168" s="54"/>
      <c r="IQ168" s="54"/>
      <c r="IR168" s="54"/>
      <c r="IS168" s="54"/>
      <c r="IT168" s="54"/>
      <c r="IU168" s="54"/>
      <c r="IV168" s="54"/>
      <c r="IW168" s="54"/>
      <c r="IX168" s="54"/>
      <c r="IY168" s="54"/>
      <c r="IZ168" s="54"/>
      <c r="JA168" s="54"/>
      <c r="JB168" s="54"/>
      <c r="JC168" s="54"/>
      <c r="JD168" s="54"/>
      <c r="JE168" s="54"/>
      <c r="JF168" s="54"/>
      <c r="JG168" s="54"/>
      <c r="JH168" s="54"/>
      <c r="JI168" s="54"/>
      <c r="JJ168" s="54"/>
      <c r="JK168" s="54"/>
      <c r="JL168" s="54"/>
      <c r="JM168" s="54"/>
      <c r="JN168" s="54"/>
      <c r="JO168" s="54"/>
      <c r="JP168" s="54"/>
      <c r="JQ168" s="54"/>
      <c r="JR168" s="54"/>
      <c r="JS168" s="54"/>
      <c r="JT168" s="54"/>
      <c r="JU168" s="54"/>
      <c r="JV168" s="54"/>
      <c r="JW168" s="54"/>
      <c r="JX168" s="54"/>
      <c r="JY168" s="54"/>
      <c r="JZ168" s="54"/>
      <c r="KA168" s="54"/>
      <c r="KB168" s="54"/>
      <c r="KC168" s="54"/>
      <c r="KD168" s="54"/>
      <c r="KE168" s="54"/>
      <c r="KF168" s="54"/>
      <c r="KG168" s="54"/>
      <c r="KH168" s="54"/>
      <c r="KI168" s="54"/>
      <c r="KJ168" s="54"/>
      <c r="KK168" s="54"/>
      <c r="KL168" s="54"/>
      <c r="KM168" s="54"/>
      <c r="KN168" s="54"/>
      <c r="KO168" s="54"/>
      <c r="KP168" s="54"/>
      <c r="KQ168" s="54"/>
      <c r="KR168" s="54"/>
      <c r="KS168" s="54"/>
      <c r="KT168" s="54"/>
      <c r="KU168" s="54"/>
      <c r="KV168" s="54"/>
      <c r="KW168" s="54"/>
      <c r="KX168" s="54"/>
      <c r="KY168" s="54"/>
      <c r="KZ168" s="54"/>
      <c r="LA168" s="54"/>
      <c r="LB168" s="54"/>
      <c r="LC168" s="54"/>
      <c r="LD168" s="54"/>
      <c r="LE168" s="54"/>
      <c r="LF168" s="54"/>
      <c r="LG168" s="54"/>
      <c r="LH168" s="54"/>
      <c r="LI168" s="54"/>
      <c r="LJ168" s="54"/>
      <c r="LK168" s="54"/>
      <c r="LL168" s="54"/>
      <c r="LM168" s="54"/>
      <c r="LN168" s="54"/>
      <c r="LO168" s="54"/>
      <c r="LP168" s="54"/>
      <c r="LQ168" s="54"/>
      <c r="LR168" s="54"/>
      <c r="LS168" s="54"/>
      <c r="LT168" s="54"/>
      <c r="LU168" s="54"/>
      <c r="LV168" s="54"/>
      <c r="LW168" s="54"/>
      <c r="LX168" s="54"/>
      <c r="LY168" s="54"/>
      <c r="LZ168" s="54"/>
      <c r="MA168" s="54"/>
      <c r="MB168" s="54"/>
      <c r="MC168" s="54"/>
      <c r="MD168" s="54"/>
      <c r="ME168" s="54"/>
      <c r="MF168" s="54"/>
      <c r="MG168" s="54"/>
      <c r="MH168" s="54"/>
      <c r="MI168" s="54"/>
      <c r="MJ168" s="54"/>
      <c r="MK168" s="54"/>
      <c r="ML168" s="54"/>
      <c r="MM168" s="54"/>
      <c r="MN168" s="54"/>
      <c r="MO168" s="54"/>
      <c r="MP168" s="54"/>
      <c r="MQ168" s="54"/>
      <c r="MR168" s="54"/>
      <c r="MS168" s="54"/>
      <c r="MT168" s="54"/>
      <c r="MU168" s="54"/>
      <c r="MV168" s="54"/>
      <c r="MW168" s="54"/>
      <c r="MX168" s="54"/>
      <c r="MY168" s="54"/>
      <c r="MZ168" s="54"/>
      <c r="NA168" s="54"/>
      <c r="NB168" s="54"/>
      <c r="NC168" s="54"/>
      <c r="ND168" s="54"/>
      <c r="NE168" s="54"/>
      <c r="NF168" s="54"/>
      <c r="NG168" s="54"/>
      <c r="NH168" s="54"/>
      <c r="NI168" s="54"/>
      <c r="NJ168" s="54"/>
      <c r="NK168" s="54"/>
      <c r="NL168" s="54"/>
      <c r="NM168" s="54"/>
      <c r="NN168" s="54"/>
      <c r="NO168" s="54"/>
      <c r="NP168" s="54"/>
      <c r="NQ168" s="54"/>
      <c r="NR168" s="54"/>
      <c r="NS168" s="54"/>
      <c r="NT168" s="54"/>
      <c r="NU168" s="54"/>
      <c r="NV168" s="54"/>
      <c r="NW168" s="54"/>
      <c r="NX168" s="54"/>
      <c r="NY168" s="54"/>
      <c r="NZ168" s="54"/>
      <c r="OA168" s="54"/>
      <c r="OB168" s="54"/>
      <c r="OC168" s="54"/>
      <c r="OD168" s="54"/>
      <c r="OE168" s="54"/>
      <c r="OF168" s="54"/>
      <c r="OG168" s="54"/>
      <c r="OH168" s="54"/>
      <c r="OI168" s="54"/>
      <c r="OJ168" s="54"/>
      <c r="OK168" s="54"/>
      <c r="OL168" s="54"/>
      <c r="OM168" s="54"/>
      <c r="ON168" s="54"/>
      <c r="OO168" s="54"/>
      <c r="OP168" s="54"/>
      <c r="OQ168" s="54"/>
      <c r="OR168" s="54"/>
      <c r="OS168" s="54"/>
      <c r="OT168" s="54"/>
      <c r="OU168" s="54"/>
      <c r="OV168" s="54"/>
      <c r="OW168" s="54"/>
      <c r="OX168" s="54"/>
      <c r="OY168" s="54"/>
      <c r="OZ168" s="54"/>
      <c r="PA168" s="54"/>
      <c r="PB168" s="54"/>
      <c r="PC168" s="54"/>
      <c r="PD168" s="54"/>
      <c r="PE168" s="54"/>
      <c r="PF168" s="54"/>
      <c r="PG168" s="54"/>
      <c r="PH168" s="54"/>
      <c r="PI168" s="54"/>
      <c r="PJ168" s="54"/>
      <c r="PK168" s="54"/>
      <c r="PL168" s="54"/>
      <c r="PM168" s="54"/>
      <c r="PN168" s="54"/>
      <c r="PO168" s="54"/>
      <c r="PP168" s="54"/>
      <c r="PQ168" s="54"/>
      <c r="PR168" s="54"/>
      <c r="PS168" s="54"/>
      <c r="PT168" s="54"/>
      <c r="PU168" s="54"/>
      <c r="PV168" s="54"/>
      <c r="PW168" s="54"/>
      <c r="PX168" s="54"/>
      <c r="PY168" s="54"/>
      <c r="PZ168" s="54"/>
      <c r="QA168" s="54"/>
      <c r="QB168" s="54"/>
      <c r="QC168" s="54"/>
      <c r="QD168" s="54"/>
      <c r="QE168" s="54"/>
      <c r="QF168" s="54"/>
      <c r="QG168" s="54"/>
      <c r="QH168" s="54"/>
      <c r="QI168" s="54"/>
      <c r="QJ168" s="54"/>
      <c r="QK168" s="54"/>
      <c r="QL168" s="54"/>
      <c r="QM168" s="54"/>
      <c r="QN168" s="54"/>
      <c r="QO168" s="54"/>
      <c r="QP168" s="54"/>
      <c r="QQ168" s="54"/>
      <c r="QR168" s="54"/>
      <c r="QS168" s="54"/>
      <c r="QT168" s="54"/>
      <c r="QU168" s="54"/>
      <c r="QV168" s="54"/>
      <c r="QW168" s="54"/>
      <c r="QX168" s="54"/>
      <c r="QY168" s="54"/>
      <c r="QZ168" s="54"/>
      <c r="RA168" s="54"/>
      <c r="RB168" s="54"/>
      <c r="RC168" s="54"/>
      <c r="RD168" s="54"/>
      <c r="RE168" s="54"/>
      <c r="RF168" s="54"/>
      <c r="RG168" s="54"/>
      <c r="RH168" s="54"/>
      <c r="RI168" s="54"/>
      <c r="RJ168" s="54"/>
      <c r="RK168" s="54"/>
      <c r="RL168" s="54"/>
      <c r="RM168" s="54"/>
      <c r="RN168" s="54"/>
      <c r="RO168" s="54"/>
      <c r="RP168" s="54"/>
      <c r="RQ168" s="54"/>
      <c r="RR168" s="54"/>
      <c r="RS168" s="54"/>
      <c r="RT168" s="54"/>
      <c r="RU168" s="54"/>
      <c r="RV168" s="54"/>
      <c r="RW168" s="54"/>
      <c r="RX168" s="54"/>
      <c r="RY168" s="54"/>
      <c r="RZ168" s="54"/>
      <c r="SA168" s="54"/>
      <c r="SB168" s="54"/>
      <c r="SC168" s="54"/>
      <c r="SD168" s="54"/>
      <c r="SE168" s="54"/>
      <c r="SF168" s="54"/>
      <c r="SG168" s="54"/>
      <c r="SH168" s="54"/>
      <c r="SI168" s="54"/>
      <c r="SJ168" s="54"/>
      <c r="SK168" s="54"/>
      <c r="SL168" s="54"/>
      <c r="SM168" s="54"/>
      <c r="SN168" s="54"/>
      <c r="SO168" s="54"/>
      <c r="SP168" s="54"/>
      <c r="SQ168" s="54"/>
      <c r="SR168" s="54"/>
    </row>
    <row r="169" spans="1:512" s="55" customFormat="1" ht="15" customHeight="1" x14ac:dyDescent="0.7">
      <c r="A169" s="173"/>
      <c r="B169" s="173"/>
      <c r="C169" s="173"/>
      <c r="D169" s="173"/>
      <c r="E169" s="173"/>
      <c r="F169" s="173"/>
      <c r="G169" s="173"/>
      <c r="H169" s="74"/>
      <c r="I169" s="75"/>
      <c r="J169" s="76"/>
      <c r="K169" s="191"/>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c r="CJ169" s="56"/>
      <c r="CK169" s="56"/>
      <c r="CL169" s="56"/>
      <c r="CM169" s="56"/>
      <c r="CN169" s="56"/>
      <c r="CO169" s="56"/>
      <c r="CP169" s="56"/>
      <c r="CQ169" s="56"/>
      <c r="CR169" s="56"/>
      <c r="CS169" s="56"/>
      <c r="CT169" s="56"/>
      <c r="CU169" s="56"/>
      <c r="CV169" s="56"/>
      <c r="CW169" s="56"/>
      <c r="CX169" s="56"/>
      <c r="CY169" s="56"/>
      <c r="CZ169" s="56"/>
      <c r="DA169" s="56"/>
      <c r="DB169" s="56"/>
      <c r="DC169" s="56"/>
      <c r="DD169" s="56"/>
      <c r="DE169" s="56"/>
      <c r="DF169" s="56"/>
      <c r="DG169" s="56"/>
      <c r="DH169" s="56"/>
      <c r="DI169" s="56"/>
      <c r="DJ169" s="56"/>
      <c r="DK169" s="56"/>
      <c r="DL169" s="56"/>
      <c r="DM169" s="56"/>
      <c r="DN169" s="56"/>
      <c r="DO169" s="56"/>
      <c r="DP169" s="56"/>
      <c r="DQ169" s="56"/>
      <c r="DR169" s="56"/>
      <c r="DS169" s="56"/>
      <c r="DT169" s="56"/>
      <c r="DU169" s="56"/>
      <c r="DV169" s="56"/>
      <c r="DW169" s="56"/>
      <c r="DX169" s="56"/>
      <c r="DY169" s="56"/>
      <c r="DZ169" s="56"/>
      <c r="EA169" s="56"/>
      <c r="EB169" s="56"/>
      <c r="EC169" s="56"/>
      <c r="ED169" s="56"/>
      <c r="EE169" s="56"/>
      <c r="EF169" s="56"/>
      <c r="EG169" s="56"/>
      <c r="EH169" s="56"/>
      <c r="EI169" s="56"/>
      <c r="EJ169" s="56"/>
      <c r="EK169" s="56"/>
      <c r="EL169" s="56"/>
      <c r="EM169" s="56"/>
      <c r="EN169" s="56"/>
      <c r="EO169" s="56"/>
      <c r="EP169" s="56"/>
      <c r="EQ169" s="56"/>
      <c r="ER169" s="56"/>
      <c r="ES169" s="56"/>
      <c r="ET169" s="56"/>
      <c r="EU169" s="56"/>
      <c r="EV169" s="56"/>
      <c r="EW169" s="56"/>
      <c r="EX169" s="56"/>
      <c r="EY169" s="56"/>
      <c r="EZ169" s="56"/>
      <c r="FA169" s="56"/>
      <c r="FB169" s="56"/>
      <c r="FC169" s="56"/>
      <c r="FD169" s="56"/>
      <c r="FE169" s="56"/>
      <c r="FF169" s="56"/>
      <c r="FG169" s="56"/>
      <c r="FH169" s="56"/>
      <c r="FI169" s="56"/>
      <c r="FJ169" s="56"/>
      <c r="FK169" s="56"/>
      <c r="FL169" s="56"/>
      <c r="FM169" s="56"/>
      <c r="FN169" s="56"/>
      <c r="FO169" s="56"/>
      <c r="FP169" s="56"/>
      <c r="FQ169" s="56"/>
      <c r="FR169" s="56"/>
      <c r="FS169" s="56"/>
      <c r="FT169" s="56"/>
      <c r="FU169" s="56"/>
      <c r="FV169" s="56"/>
      <c r="FW169" s="56"/>
      <c r="FX169" s="56"/>
      <c r="FY169" s="56"/>
      <c r="FZ169" s="56"/>
      <c r="GA169" s="56"/>
      <c r="GB169" s="56"/>
      <c r="GC169" s="56"/>
      <c r="GD169" s="56"/>
      <c r="GE169" s="56"/>
      <c r="GF169" s="56"/>
      <c r="GG169" s="56"/>
      <c r="GH169" s="56"/>
      <c r="GI169" s="56"/>
      <c r="GJ169" s="56"/>
      <c r="GK169" s="56"/>
      <c r="GL169" s="56"/>
      <c r="GM169" s="56"/>
      <c r="GN169" s="56"/>
      <c r="GO169" s="56"/>
      <c r="GP169" s="56"/>
      <c r="GQ169" s="56"/>
      <c r="GR169" s="56"/>
      <c r="GS169" s="56"/>
      <c r="GT169" s="56"/>
      <c r="GU169" s="56"/>
      <c r="GV169" s="56"/>
      <c r="GW169" s="56"/>
      <c r="GX169" s="56"/>
      <c r="GY169" s="56"/>
      <c r="GZ169" s="56"/>
      <c r="HA169" s="56"/>
      <c r="HB169" s="56"/>
      <c r="HC169" s="56"/>
      <c r="HD169" s="56"/>
      <c r="HE169" s="56"/>
      <c r="HF169" s="56"/>
      <c r="HG169" s="56"/>
      <c r="HH169" s="56"/>
      <c r="HI169" s="56"/>
      <c r="HJ169" s="56"/>
      <c r="HK169" s="56"/>
      <c r="HL169" s="56"/>
      <c r="HM169" s="56"/>
      <c r="HN169" s="56"/>
      <c r="HO169" s="56"/>
      <c r="HP169" s="56"/>
      <c r="HQ169" s="56"/>
      <c r="HR169" s="56"/>
      <c r="HS169" s="56"/>
      <c r="HT169" s="56"/>
      <c r="HU169" s="56"/>
      <c r="HV169" s="56"/>
      <c r="HW169" s="56"/>
      <c r="HX169" s="56"/>
      <c r="HY169" s="56"/>
      <c r="HZ169" s="56"/>
      <c r="IA169" s="56"/>
      <c r="IB169" s="56"/>
      <c r="IC169" s="56"/>
      <c r="ID169" s="56"/>
      <c r="IE169" s="56"/>
      <c r="IF169" s="56"/>
      <c r="IG169" s="56"/>
      <c r="IH169" s="56"/>
      <c r="II169" s="56"/>
      <c r="IJ169" s="56"/>
      <c r="IK169" s="56"/>
      <c r="IL169" s="56"/>
      <c r="IM169" s="56"/>
      <c r="IN169" s="56"/>
      <c r="IO169" s="56"/>
      <c r="IP169" s="56"/>
      <c r="IQ169" s="56"/>
      <c r="IR169" s="56"/>
      <c r="IS169" s="56"/>
      <c r="IT169" s="56"/>
      <c r="IU169" s="56"/>
      <c r="IV169" s="56"/>
      <c r="IW169" s="56"/>
      <c r="IX169" s="56"/>
      <c r="IY169" s="56"/>
      <c r="IZ169" s="56"/>
      <c r="JA169" s="56"/>
      <c r="JB169" s="56"/>
      <c r="JC169" s="56"/>
      <c r="JD169" s="56"/>
      <c r="JE169" s="56"/>
      <c r="JF169" s="56"/>
      <c r="JG169" s="56"/>
      <c r="JH169" s="56"/>
      <c r="JI169" s="56"/>
      <c r="JJ169" s="56"/>
      <c r="JK169" s="56"/>
      <c r="JL169" s="56"/>
      <c r="JM169" s="56"/>
      <c r="JN169" s="56"/>
      <c r="JO169" s="56"/>
      <c r="JP169" s="56"/>
      <c r="JQ169" s="56"/>
      <c r="JR169" s="56"/>
      <c r="JS169" s="56"/>
      <c r="JT169" s="56"/>
      <c r="JU169" s="56"/>
      <c r="JV169" s="56"/>
      <c r="JW169" s="56"/>
      <c r="JX169" s="56"/>
      <c r="JY169" s="56"/>
      <c r="JZ169" s="56"/>
      <c r="KA169" s="56"/>
      <c r="KB169" s="56"/>
      <c r="KC169" s="56"/>
      <c r="KD169" s="56"/>
      <c r="KE169" s="56"/>
      <c r="KF169" s="56"/>
      <c r="KG169" s="56"/>
      <c r="KH169" s="56"/>
      <c r="KI169" s="56"/>
      <c r="KJ169" s="56"/>
      <c r="KK169" s="56"/>
      <c r="KL169" s="56"/>
      <c r="KM169" s="56"/>
      <c r="KN169" s="56"/>
      <c r="KO169" s="56"/>
      <c r="KP169" s="56"/>
      <c r="KQ169" s="56"/>
      <c r="KR169" s="56"/>
      <c r="KS169" s="56"/>
      <c r="KT169" s="56"/>
      <c r="KU169" s="56"/>
      <c r="KV169" s="56"/>
      <c r="KW169" s="56"/>
      <c r="KX169" s="56"/>
      <c r="KY169" s="56"/>
      <c r="KZ169" s="56"/>
      <c r="LA169" s="56"/>
      <c r="LB169" s="56"/>
      <c r="LC169" s="56"/>
      <c r="LD169" s="56"/>
      <c r="LE169" s="56"/>
      <c r="LF169" s="56"/>
      <c r="LG169" s="56"/>
      <c r="LH169" s="56"/>
      <c r="LI169" s="56"/>
      <c r="LJ169" s="56"/>
      <c r="LK169" s="56"/>
      <c r="LL169" s="56"/>
      <c r="LM169" s="56"/>
      <c r="LN169" s="56"/>
      <c r="LO169" s="56"/>
      <c r="LP169" s="56"/>
      <c r="LQ169" s="56"/>
      <c r="LR169" s="56"/>
      <c r="LS169" s="56"/>
      <c r="LT169" s="56"/>
      <c r="LU169" s="56"/>
      <c r="LV169" s="56"/>
      <c r="LW169" s="56"/>
      <c r="LX169" s="56"/>
      <c r="LY169" s="56"/>
      <c r="LZ169" s="56"/>
      <c r="MA169" s="56"/>
      <c r="MB169" s="56"/>
      <c r="MC169" s="56"/>
      <c r="MD169" s="56"/>
      <c r="ME169" s="56"/>
      <c r="MF169" s="56"/>
      <c r="MG169" s="56"/>
      <c r="MH169" s="56"/>
      <c r="MI169" s="56"/>
      <c r="MJ169" s="56"/>
      <c r="MK169" s="56"/>
      <c r="ML169" s="56"/>
      <c r="MM169" s="56"/>
      <c r="MN169" s="56"/>
      <c r="MO169" s="56"/>
      <c r="MP169" s="56"/>
      <c r="MQ169" s="56"/>
      <c r="MR169" s="56"/>
      <c r="MS169" s="56"/>
      <c r="MT169" s="56"/>
      <c r="MU169" s="56"/>
      <c r="MV169" s="56"/>
      <c r="MW169" s="56"/>
      <c r="MX169" s="56"/>
      <c r="MY169" s="56"/>
      <c r="MZ169" s="56"/>
      <c r="NA169" s="56"/>
      <c r="NB169" s="56"/>
      <c r="NC169" s="56"/>
      <c r="ND169" s="56"/>
      <c r="NE169" s="56"/>
      <c r="NF169" s="56"/>
      <c r="NG169" s="56"/>
      <c r="NH169" s="56"/>
      <c r="NI169" s="56"/>
      <c r="NJ169" s="56"/>
      <c r="NK169" s="56"/>
      <c r="NL169" s="56"/>
      <c r="NM169" s="56"/>
      <c r="NN169" s="56"/>
      <c r="NO169" s="56"/>
      <c r="NP169" s="56"/>
      <c r="NQ169" s="56"/>
      <c r="NR169" s="56"/>
      <c r="NS169" s="56"/>
      <c r="NT169" s="56"/>
      <c r="NU169" s="56"/>
      <c r="NV169" s="56"/>
      <c r="NW169" s="56"/>
      <c r="NX169" s="56"/>
      <c r="NY169" s="56"/>
      <c r="NZ169" s="56"/>
      <c r="OA169" s="56"/>
      <c r="OB169" s="56"/>
      <c r="OC169" s="56"/>
      <c r="OD169" s="56"/>
      <c r="OE169" s="56"/>
      <c r="OF169" s="56"/>
      <c r="OG169" s="56"/>
      <c r="OH169" s="56"/>
      <c r="OI169" s="56"/>
      <c r="OJ169" s="56"/>
      <c r="OK169" s="56"/>
      <c r="OL169" s="56"/>
      <c r="OM169" s="56"/>
      <c r="ON169" s="56"/>
      <c r="OO169" s="56"/>
      <c r="OP169" s="56"/>
      <c r="OQ169" s="56"/>
      <c r="OR169" s="56"/>
      <c r="OS169" s="56"/>
      <c r="OT169" s="56"/>
      <c r="OU169" s="56"/>
      <c r="OV169" s="56"/>
      <c r="OW169" s="56"/>
      <c r="OX169" s="56"/>
      <c r="OY169" s="56"/>
      <c r="OZ169" s="56"/>
      <c r="PA169" s="56"/>
      <c r="PB169" s="56"/>
      <c r="PC169" s="56"/>
      <c r="PD169" s="56"/>
      <c r="PE169" s="56"/>
      <c r="PF169" s="56"/>
      <c r="PG169" s="56"/>
      <c r="PH169" s="56"/>
      <c r="PI169" s="56"/>
      <c r="PJ169" s="56"/>
      <c r="PK169" s="56"/>
      <c r="PL169" s="56"/>
      <c r="PM169" s="56"/>
      <c r="PN169" s="56"/>
      <c r="PO169" s="56"/>
      <c r="PP169" s="56"/>
      <c r="PQ169" s="56"/>
      <c r="PR169" s="56"/>
      <c r="PS169" s="56"/>
      <c r="PT169" s="56"/>
      <c r="PU169" s="56"/>
      <c r="PV169" s="56"/>
      <c r="PW169" s="56"/>
      <c r="PX169" s="56"/>
      <c r="PY169" s="56"/>
      <c r="PZ169" s="56"/>
      <c r="QA169" s="56"/>
      <c r="QB169" s="56"/>
      <c r="QC169" s="56"/>
      <c r="QD169" s="56"/>
      <c r="QE169" s="56"/>
      <c r="QF169" s="56"/>
      <c r="QG169" s="56"/>
      <c r="QH169" s="56"/>
      <c r="QI169" s="56"/>
      <c r="QJ169" s="56"/>
      <c r="QK169" s="56"/>
      <c r="QL169" s="56"/>
      <c r="QM169" s="56"/>
      <c r="QN169" s="56"/>
      <c r="QO169" s="56"/>
      <c r="QP169" s="56"/>
      <c r="QQ169" s="56"/>
      <c r="QR169" s="56"/>
      <c r="QS169" s="56"/>
      <c r="QT169" s="56"/>
      <c r="QU169" s="56"/>
      <c r="QV169" s="56"/>
      <c r="QW169" s="56"/>
      <c r="QX169" s="56"/>
      <c r="QY169" s="56"/>
      <c r="QZ169" s="56"/>
      <c r="RA169" s="56"/>
      <c r="RB169" s="56"/>
      <c r="RC169" s="56"/>
      <c r="RD169" s="56"/>
      <c r="RE169" s="56"/>
      <c r="RF169" s="56"/>
      <c r="RG169" s="56"/>
      <c r="RH169" s="56"/>
      <c r="RI169" s="56"/>
      <c r="RJ169" s="56"/>
      <c r="RK169" s="56"/>
      <c r="RL169" s="56"/>
      <c r="RM169" s="56"/>
      <c r="RN169" s="56"/>
      <c r="RO169" s="56"/>
      <c r="RP169" s="56"/>
      <c r="RQ169" s="56"/>
      <c r="RR169" s="56"/>
      <c r="RS169" s="56"/>
      <c r="RT169" s="56"/>
      <c r="RU169" s="56"/>
      <c r="RV169" s="56"/>
      <c r="RW169" s="56"/>
      <c r="RX169" s="56"/>
      <c r="RY169" s="56"/>
      <c r="RZ169" s="56"/>
      <c r="SA169" s="56"/>
      <c r="SB169" s="56"/>
      <c r="SC169" s="56"/>
      <c r="SD169" s="56"/>
      <c r="SE169" s="56"/>
      <c r="SF169" s="56"/>
      <c r="SG169" s="56"/>
      <c r="SH169" s="56"/>
      <c r="SI169" s="56"/>
      <c r="SJ169" s="56"/>
      <c r="SK169" s="56"/>
      <c r="SL169" s="56"/>
      <c r="SM169" s="56"/>
      <c r="SN169" s="56"/>
      <c r="SO169" s="56"/>
      <c r="SP169" s="56"/>
      <c r="SQ169" s="56"/>
      <c r="SR169" s="56"/>
    </row>
    <row r="170" spans="1:512" ht="15" customHeight="1" x14ac:dyDescent="0.7">
      <c r="A170" s="171" t="s">
        <v>344</v>
      </c>
      <c r="B170" s="171" t="s">
        <v>344</v>
      </c>
      <c r="C170" s="171" t="s">
        <v>344</v>
      </c>
      <c r="D170" s="171"/>
      <c r="E170" s="171" t="s">
        <v>344</v>
      </c>
      <c r="F170" s="171"/>
      <c r="G170" s="188" t="s">
        <v>344</v>
      </c>
      <c r="H170" s="71" t="s">
        <v>344</v>
      </c>
      <c r="I170" s="72" t="s">
        <v>344</v>
      </c>
      <c r="J170" s="73" t="s">
        <v>344</v>
      </c>
      <c r="K170" s="189" t="s">
        <v>344</v>
      </c>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c r="HP170" s="54"/>
      <c r="HQ170" s="54"/>
      <c r="HR170" s="54"/>
      <c r="HS170" s="54"/>
      <c r="HT170" s="54"/>
      <c r="HU170" s="54"/>
      <c r="HV170" s="54"/>
      <c r="HW170" s="54"/>
      <c r="HX170" s="54"/>
      <c r="HY170" s="54"/>
      <c r="HZ170" s="54"/>
      <c r="IA170" s="54"/>
      <c r="IB170" s="54"/>
      <c r="IC170" s="54"/>
      <c r="ID170" s="54"/>
      <c r="IE170" s="54"/>
      <c r="IF170" s="54"/>
      <c r="IG170" s="54"/>
      <c r="IH170" s="54"/>
      <c r="II170" s="54"/>
      <c r="IJ170" s="54"/>
      <c r="IK170" s="54"/>
      <c r="IL170" s="54"/>
      <c r="IM170" s="54"/>
      <c r="IN170" s="54"/>
      <c r="IO170" s="54"/>
      <c r="IP170" s="54"/>
      <c r="IQ170" s="54"/>
      <c r="IR170" s="54"/>
      <c r="IS170" s="54"/>
      <c r="IT170" s="54"/>
      <c r="IU170" s="54"/>
      <c r="IV170" s="54"/>
      <c r="IW170" s="54"/>
      <c r="IX170" s="54"/>
      <c r="IY170" s="54"/>
      <c r="IZ170" s="54"/>
      <c r="JA170" s="54"/>
      <c r="JB170" s="54"/>
      <c r="JC170" s="54"/>
      <c r="JD170" s="54"/>
      <c r="JE170" s="54"/>
      <c r="JF170" s="54"/>
      <c r="JG170" s="54"/>
      <c r="JH170" s="54"/>
      <c r="JI170" s="54"/>
      <c r="JJ170" s="54"/>
      <c r="JK170" s="54"/>
      <c r="JL170" s="54"/>
      <c r="JM170" s="54"/>
      <c r="JN170" s="54"/>
      <c r="JO170" s="54"/>
      <c r="JP170" s="54"/>
      <c r="JQ170" s="54"/>
      <c r="JR170" s="54"/>
      <c r="JS170" s="54"/>
      <c r="JT170" s="54"/>
      <c r="JU170" s="54"/>
      <c r="JV170" s="54"/>
      <c r="JW170" s="54"/>
      <c r="JX170" s="54"/>
      <c r="JY170" s="54"/>
      <c r="JZ170" s="54"/>
      <c r="KA170" s="54"/>
      <c r="KB170" s="54"/>
      <c r="KC170" s="54"/>
      <c r="KD170" s="54"/>
      <c r="KE170" s="54"/>
      <c r="KF170" s="54"/>
      <c r="KG170" s="54"/>
      <c r="KH170" s="54"/>
      <c r="KI170" s="54"/>
      <c r="KJ170" s="54"/>
      <c r="KK170" s="54"/>
      <c r="KL170" s="54"/>
      <c r="KM170" s="54"/>
      <c r="KN170" s="54"/>
      <c r="KO170" s="54"/>
      <c r="KP170" s="54"/>
      <c r="KQ170" s="54"/>
      <c r="KR170" s="54"/>
      <c r="KS170" s="54"/>
      <c r="KT170" s="54"/>
      <c r="KU170" s="54"/>
      <c r="KV170" s="54"/>
      <c r="KW170" s="54"/>
      <c r="KX170" s="54"/>
      <c r="KY170" s="54"/>
      <c r="KZ170" s="54"/>
      <c r="LA170" s="54"/>
      <c r="LB170" s="54"/>
      <c r="LC170" s="54"/>
      <c r="LD170" s="54"/>
      <c r="LE170" s="54"/>
      <c r="LF170" s="54"/>
      <c r="LG170" s="54"/>
      <c r="LH170" s="54"/>
      <c r="LI170" s="54"/>
      <c r="LJ170" s="54"/>
      <c r="LK170" s="54"/>
      <c r="LL170" s="54"/>
      <c r="LM170" s="54"/>
      <c r="LN170" s="54"/>
      <c r="LO170" s="54"/>
      <c r="LP170" s="54"/>
      <c r="LQ170" s="54"/>
      <c r="LR170" s="54"/>
      <c r="LS170" s="54"/>
      <c r="LT170" s="54"/>
      <c r="LU170" s="54"/>
      <c r="LV170" s="54"/>
      <c r="LW170" s="54"/>
      <c r="LX170" s="54"/>
      <c r="LY170" s="54"/>
      <c r="LZ170" s="54"/>
      <c r="MA170" s="54"/>
      <c r="MB170" s="54"/>
      <c r="MC170" s="54"/>
      <c r="MD170" s="54"/>
      <c r="ME170" s="54"/>
      <c r="MF170" s="54"/>
      <c r="MG170" s="54"/>
      <c r="MH170" s="54"/>
      <c r="MI170" s="54"/>
      <c r="MJ170" s="54"/>
      <c r="MK170" s="54"/>
      <c r="ML170" s="54"/>
      <c r="MM170" s="54"/>
      <c r="MN170" s="54"/>
      <c r="MO170" s="54"/>
      <c r="MP170" s="54"/>
      <c r="MQ170" s="54"/>
      <c r="MR170" s="54"/>
      <c r="MS170" s="54"/>
      <c r="MT170" s="54"/>
      <c r="MU170" s="54"/>
      <c r="MV170" s="54"/>
      <c r="MW170" s="54"/>
      <c r="MX170" s="54"/>
      <c r="MY170" s="54"/>
      <c r="MZ170" s="54"/>
      <c r="NA170" s="54"/>
      <c r="NB170" s="54"/>
      <c r="NC170" s="54"/>
      <c r="ND170" s="54"/>
      <c r="NE170" s="54"/>
      <c r="NF170" s="54"/>
      <c r="NG170" s="54"/>
      <c r="NH170" s="54"/>
      <c r="NI170" s="54"/>
      <c r="NJ170" s="54"/>
      <c r="NK170" s="54"/>
      <c r="NL170" s="54"/>
      <c r="NM170" s="54"/>
      <c r="NN170" s="54"/>
      <c r="NO170" s="54"/>
      <c r="NP170" s="54"/>
      <c r="NQ170" s="54"/>
      <c r="NR170" s="54"/>
      <c r="NS170" s="54"/>
      <c r="NT170" s="54"/>
      <c r="NU170" s="54"/>
      <c r="NV170" s="54"/>
      <c r="NW170" s="54"/>
      <c r="NX170" s="54"/>
      <c r="NY170" s="54"/>
      <c r="NZ170" s="54"/>
      <c r="OA170" s="54"/>
      <c r="OB170" s="54"/>
      <c r="OC170" s="54"/>
      <c r="OD170" s="54"/>
      <c r="OE170" s="54"/>
      <c r="OF170" s="54"/>
      <c r="OG170" s="54"/>
      <c r="OH170" s="54"/>
      <c r="OI170" s="54"/>
      <c r="OJ170" s="54"/>
      <c r="OK170" s="54"/>
      <c r="OL170" s="54"/>
      <c r="OM170" s="54"/>
      <c r="ON170" s="54"/>
      <c r="OO170" s="54"/>
      <c r="OP170" s="54"/>
      <c r="OQ170" s="54"/>
      <c r="OR170" s="54"/>
      <c r="OS170" s="54"/>
      <c r="OT170" s="54"/>
      <c r="OU170" s="54"/>
      <c r="OV170" s="54"/>
      <c r="OW170" s="54"/>
      <c r="OX170" s="54"/>
      <c r="OY170" s="54"/>
      <c r="OZ170" s="54"/>
      <c r="PA170" s="54"/>
      <c r="PB170" s="54"/>
      <c r="PC170" s="54"/>
      <c r="PD170" s="54"/>
      <c r="PE170" s="54"/>
      <c r="PF170" s="54"/>
      <c r="PG170" s="54"/>
      <c r="PH170" s="54"/>
      <c r="PI170" s="54"/>
      <c r="PJ170" s="54"/>
      <c r="PK170" s="54"/>
      <c r="PL170" s="54"/>
      <c r="PM170" s="54"/>
      <c r="PN170" s="54"/>
      <c r="PO170" s="54"/>
      <c r="PP170" s="54"/>
      <c r="PQ170" s="54"/>
      <c r="PR170" s="54"/>
      <c r="PS170" s="54"/>
      <c r="PT170" s="54"/>
      <c r="PU170" s="54"/>
      <c r="PV170" s="54"/>
      <c r="PW170" s="54"/>
      <c r="PX170" s="54"/>
      <c r="PY170" s="54"/>
      <c r="PZ170" s="54"/>
      <c r="QA170" s="54"/>
      <c r="QB170" s="54"/>
      <c r="QC170" s="54"/>
      <c r="QD170" s="54"/>
      <c r="QE170" s="54"/>
      <c r="QF170" s="54"/>
      <c r="QG170" s="54"/>
      <c r="QH170" s="54"/>
      <c r="QI170" s="54"/>
      <c r="QJ170" s="54"/>
      <c r="QK170" s="54"/>
      <c r="QL170" s="54"/>
      <c r="QM170" s="54"/>
      <c r="QN170" s="54"/>
      <c r="QO170" s="54"/>
      <c r="QP170" s="54"/>
      <c r="QQ170" s="54"/>
      <c r="QR170" s="54"/>
      <c r="QS170" s="54"/>
      <c r="QT170" s="54"/>
      <c r="QU170" s="54"/>
      <c r="QV170" s="54"/>
      <c r="QW170" s="54"/>
      <c r="QX170" s="54"/>
      <c r="QY170" s="54"/>
      <c r="QZ170" s="54"/>
      <c r="RA170" s="54"/>
      <c r="RB170" s="54"/>
      <c r="RC170" s="54"/>
      <c r="RD170" s="54"/>
      <c r="RE170" s="54"/>
      <c r="RF170" s="54"/>
      <c r="RG170" s="54"/>
      <c r="RH170" s="54"/>
      <c r="RI170" s="54"/>
      <c r="RJ170" s="54"/>
      <c r="RK170" s="54"/>
      <c r="RL170" s="54"/>
      <c r="RM170" s="54"/>
      <c r="RN170" s="54"/>
      <c r="RO170" s="54"/>
      <c r="RP170" s="54"/>
      <c r="RQ170" s="54"/>
      <c r="RR170" s="54"/>
      <c r="RS170" s="54"/>
      <c r="RT170" s="54"/>
      <c r="RU170" s="54"/>
      <c r="RV170" s="54"/>
      <c r="RW170" s="54"/>
      <c r="RX170" s="54"/>
      <c r="RY170" s="54"/>
      <c r="RZ170" s="54"/>
      <c r="SA170" s="54"/>
      <c r="SB170" s="54"/>
      <c r="SC170" s="54"/>
      <c r="SD170" s="54"/>
      <c r="SE170" s="54"/>
      <c r="SF170" s="54"/>
      <c r="SG170" s="54"/>
      <c r="SH170" s="54"/>
      <c r="SI170" s="54"/>
      <c r="SJ170" s="54"/>
      <c r="SK170" s="54"/>
      <c r="SL170" s="54"/>
      <c r="SM170" s="54"/>
      <c r="SN170" s="54"/>
      <c r="SO170" s="54"/>
      <c r="SP170" s="54"/>
      <c r="SQ170" s="54"/>
      <c r="SR170" s="54"/>
    </row>
    <row r="171" spans="1:512" ht="15" customHeight="1" x14ac:dyDescent="0.7">
      <c r="A171" s="172"/>
      <c r="B171" s="172"/>
      <c r="C171" s="172"/>
      <c r="D171" s="172"/>
      <c r="E171" s="172"/>
      <c r="F171" s="172"/>
      <c r="G171" s="172"/>
      <c r="I171" s="72" t="s">
        <v>344</v>
      </c>
      <c r="J171" s="73" t="s">
        <v>344</v>
      </c>
      <c r="K171" s="190"/>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c r="HP171" s="54"/>
      <c r="HQ171" s="54"/>
      <c r="HR171" s="54"/>
      <c r="HS171" s="54"/>
      <c r="HT171" s="54"/>
      <c r="HU171" s="54"/>
      <c r="HV171" s="54"/>
      <c r="HW171" s="54"/>
      <c r="HX171" s="54"/>
      <c r="HY171" s="54"/>
      <c r="HZ171" s="54"/>
      <c r="IA171" s="54"/>
      <c r="IB171" s="54"/>
      <c r="IC171" s="54"/>
      <c r="ID171" s="54"/>
      <c r="IE171" s="54"/>
      <c r="IF171" s="54"/>
      <c r="IG171" s="54"/>
      <c r="IH171" s="54"/>
      <c r="II171" s="54"/>
      <c r="IJ171" s="54"/>
      <c r="IK171" s="54"/>
      <c r="IL171" s="54"/>
      <c r="IM171" s="54"/>
      <c r="IN171" s="54"/>
      <c r="IO171" s="54"/>
      <c r="IP171" s="54"/>
      <c r="IQ171" s="54"/>
      <c r="IR171" s="54"/>
      <c r="IS171" s="54"/>
      <c r="IT171" s="54"/>
      <c r="IU171" s="54"/>
      <c r="IV171" s="54"/>
      <c r="IW171" s="54"/>
      <c r="IX171" s="54"/>
      <c r="IY171" s="54"/>
      <c r="IZ171" s="54"/>
      <c r="JA171" s="54"/>
      <c r="JB171" s="54"/>
      <c r="JC171" s="54"/>
      <c r="JD171" s="54"/>
      <c r="JE171" s="54"/>
      <c r="JF171" s="54"/>
      <c r="JG171" s="54"/>
      <c r="JH171" s="54"/>
      <c r="JI171" s="54"/>
      <c r="JJ171" s="54"/>
      <c r="JK171" s="54"/>
      <c r="JL171" s="54"/>
      <c r="JM171" s="54"/>
      <c r="JN171" s="54"/>
      <c r="JO171" s="54"/>
      <c r="JP171" s="54"/>
      <c r="JQ171" s="54"/>
      <c r="JR171" s="54"/>
      <c r="JS171" s="54"/>
      <c r="JT171" s="54"/>
      <c r="JU171" s="54"/>
      <c r="JV171" s="54"/>
      <c r="JW171" s="54"/>
      <c r="JX171" s="54"/>
      <c r="JY171" s="54"/>
      <c r="JZ171" s="54"/>
      <c r="KA171" s="54"/>
      <c r="KB171" s="54"/>
      <c r="KC171" s="54"/>
      <c r="KD171" s="54"/>
      <c r="KE171" s="54"/>
      <c r="KF171" s="54"/>
      <c r="KG171" s="54"/>
      <c r="KH171" s="54"/>
      <c r="KI171" s="54"/>
      <c r="KJ171" s="54"/>
      <c r="KK171" s="54"/>
      <c r="KL171" s="54"/>
      <c r="KM171" s="54"/>
      <c r="KN171" s="54"/>
      <c r="KO171" s="54"/>
      <c r="KP171" s="54"/>
      <c r="KQ171" s="54"/>
      <c r="KR171" s="54"/>
      <c r="KS171" s="54"/>
      <c r="KT171" s="54"/>
      <c r="KU171" s="54"/>
      <c r="KV171" s="54"/>
      <c r="KW171" s="54"/>
      <c r="KX171" s="54"/>
      <c r="KY171" s="54"/>
      <c r="KZ171" s="54"/>
      <c r="LA171" s="54"/>
      <c r="LB171" s="54"/>
      <c r="LC171" s="54"/>
      <c r="LD171" s="54"/>
      <c r="LE171" s="54"/>
      <c r="LF171" s="54"/>
      <c r="LG171" s="54"/>
      <c r="LH171" s="54"/>
      <c r="LI171" s="54"/>
      <c r="LJ171" s="54"/>
      <c r="LK171" s="54"/>
      <c r="LL171" s="54"/>
      <c r="LM171" s="54"/>
      <c r="LN171" s="54"/>
      <c r="LO171" s="54"/>
      <c r="LP171" s="54"/>
      <c r="LQ171" s="54"/>
      <c r="LR171" s="54"/>
      <c r="LS171" s="54"/>
      <c r="LT171" s="54"/>
      <c r="LU171" s="54"/>
      <c r="LV171" s="54"/>
      <c r="LW171" s="54"/>
      <c r="LX171" s="54"/>
      <c r="LY171" s="54"/>
      <c r="LZ171" s="54"/>
      <c r="MA171" s="54"/>
      <c r="MB171" s="54"/>
      <c r="MC171" s="54"/>
      <c r="MD171" s="54"/>
      <c r="ME171" s="54"/>
      <c r="MF171" s="54"/>
      <c r="MG171" s="54"/>
      <c r="MH171" s="54"/>
      <c r="MI171" s="54"/>
      <c r="MJ171" s="54"/>
      <c r="MK171" s="54"/>
      <c r="ML171" s="54"/>
      <c r="MM171" s="54"/>
      <c r="MN171" s="54"/>
      <c r="MO171" s="54"/>
      <c r="MP171" s="54"/>
      <c r="MQ171" s="54"/>
      <c r="MR171" s="54"/>
      <c r="MS171" s="54"/>
      <c r="MT171" s="54"/>
      <c r="MU171" s="54"/>
      <c r="MV171" s="54"/>
      <c r="MW171" s="54"/>
      <c r="MX171" s="54"/>
      <c r="MY171" s="54"/>
      <c r="MZ171" s="54"/>
      <c r="NA171" s="54"/>
      <c r="NB171" s="54"/>
      <c r="NC171" s="54"/>
      <c r="ND171" s="54"/>
      <c r="NE171" s="54"/>
      <c r="NF171" s="54"/>
      <c r="NG171" s="54"/>
      <c r="NH171" s="54"/>
      <c r="NI171" s="54"/>
      <c r="NJ171" s="54"/>
      <c r="NK171" s="54"/>
      <c r="NL171" s="54"/>
      <c r="NM171" s="54"/>
      <c r="NN171" s="54"/>
      <c r="NO171" s="54"/>
      <c r="NP171" s="54"/>
      <c r="NQ171" s="54"/>
      <c r="NR171" s="54"/>
      <c r="NS171" s="54"/>
      <c r="NT171" s="54"/>
      <c r="NU171" s="54"/>
      <c r="NV171" s="54"/>
      <c r="NW171" s="54"/>
      <c r="NX171" s="54"/>
      <c r="NY171" s="54"/>
      <c r="NZ171" s="54"/>
      <c r="OA171" s="54"/>
      <c r="OB171" s="54"/>
      <c r="OC171" s="54"/>
      <c r="OD171" s="54"/>
      <c r="OE171" s="54"/>
      <c r="OF171" s="54"/>
      <c r="OG171" s="54"/>
      <c r="OH171" s="54"/>
      <c r="OI171" s="54"/>
      <c r="OJ171" s="54"/>
      <c r="OK171" s="54"/>
      <c r="OL171" s="54"/>
      <c r="OM171" s="54"/>
      <c r="ON171" s="54"/>
      <c r="OO171" s="54"/>
      <c r="OP171" s="54"/>
      <c r="OQ171" s="54"/>
      <c r="OR171" s="54"/>
      <c r="OS171" s="54"/>
      <c r="OT171" s="54"/>
      <c r="OU171" s="54"/>
      <c r="OV171" s="54"/>
      <c r="OW171" s="54"/>
      <c r="OX171" s="54"/>
      <c r="OY171" s="54"/>
      <c r="OZ171" s="54"/>
      <c r="PA171" s="54"/>
      <c r="PB171" s="54"/>
      <c r="PC171" s="54"/>
      <c r="PD171" s="54"/>
      <c r="PE171" s="54"/>
      <c r="PF171" s="54"/>
      <c r="PG171" s="54"/>
      <c r="PH171" s="54"/>
      <c r="PI171" s="54"/>
      <c r="PJ171" s="54"/>
      <c r="PK171" s="54"/>
      <c r="PL171" s="54"/>
      <c r="PM171" s="54"/>
      <c r="PN171" s="54"/>
      <c r="PO171" s="54"/>
      <c r="PP171" s="54"/>
      <c r="PQ171" s="54"/>
      <c r="PR171" s="54"/>
      <c r="PS171" s="54"/>
      <c r="PT171" s="54"/>
      <c r="PU171" s="54"/>
      <c r="PV171" s="54"/>
      <c r="PW171" s="54"/>
      <c r="PX171" s="54"/>
      <c r="PY171" s="54"/>
      <c r="PZ171" s="54"/>
      <c r="QA171" s="54"/>
      <c r="QB171" s="54"/>
      <c r="QC171" s="54"/>
      <c r="QD171" s="54"/>
      <c r="QE171" s="54"/>
      <c r="QF171" s="54"/>
      <c r="QG171" s="54"/>
      <c r="QH171" s="54"/>
      <c r="QI171" s="54"/>
      <c r="QJ171" s="54"/>
      <c r="QK171" s="54"/>
      <c r="QL171" s="54"/>
      <c r="QM171" s="54"/>
      <c r="QN171" s="54"/>
      <c r="QO171" s="54"/>
      <c r="QP171" s="54"/>
      <c r="QQ171" s="54"/>
      <c r="QR171" s="54"/>
      <c r="QS171" s="54"/>
      <c r="QT171" s="54"/>
      <c r="QU171" s="54"/>
      <c r="QV171" s="54"/>
      <c r="QW171" s="54"/>
      <c r="QX171" s="54"/>
      <c r="QY171" s="54"/>
      <c r="QZ171" s="54"/>
      <c r="RA171" s="54"/>
      <c r="RB171" s="54"/>
      <c r="RC171" s="54"/>
      <c r="RD171" s="54"/>
      <c r="RE171" s="54"/>
      <c r="RF171" s="54"/>
      <c r="RG171" s="54"/>
      <c r="RH171" s="54"/>
      <c r="RI171" s="54"/>
      <c r="RJ171" s="54"/>
      <c r="RK171" s="54"/>
      <c r="RL171" s="54"/>
      <c r="RM171" s="54"/>
      <c r="RN171" s="54"/>
      <c r="RO171" s="54"/>
      <c r="RP171" s="54"/>
      <c r="RQ171" s="54"/>
      <c r="RR171" s="54"/>
      <c r="RS171" s="54"/>
      <c r="RT171" s="54"/>
      <c r="RU171" s="54"/>
      <c r="RV171" s="54"/>
      <c r="RW171" s="54"/>
      <c r="RX171" s="54"/>
      <c r="RY171" s="54"/>
      <c r="RZ171" s="54"/>
      <c r="SA171" s="54"/>
      <c r="SB171" s="54"/>
      <c r="SC171" s="54"/>
      <c r="SD171" s="54"/>
      <c r="SE171" s="54"/>
      <c r="SF171" s="54"/>
      <c r="SG171" s="54"/>
      <c r="SH171" s="54"/>
      <c r="SI171" s="54"/>
      <c r="SJ171" s="54"/>
      <c r="SK171" s="54"/>
      <c r="SL171" s="54"/>
      <c r="SM171" s="54"/>
      <c r="SN171" s="54"/>
      <c r="SO171" s="54"/>
      <c r="SP171" s="54"/>
      <c r="SQ171" s="54"/>
      <c r="SR171" s="54"/>
    </row>
    <row r="172" spans="1:512" s="55" customFormat="1" ht="15" customHeight="1" x14ac:dyDescent="0.7">
      <c r="A172" s="173"/>
      <c r="B172" s="173"/>
      <c r="C172" s="173"/>
      <c r="D172" s="173"/>
      <c r="E172" s="173"/>
      <c r="F172" s="173"/>
      <c r="G172" s="173"/>
      <c r="H172" s="74"/>
      <c r="I172" s="75"/>
      <c r="J172" s="76"/>
      <c r="K172" s="191"/>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c r="IX172" s="56"/>
      <c r="IY172" s="56"/>
      <c r="IZ172" s="56"/>
      <c r="JA172" s="56"/>
      <c r="JB172" s="56"/>
      <c r="JC172" s="56"/>
      <c r="JD172" s="56"/>
      <c r="JE172" s="56"/>
      <c r="JF172" s="56"/>
      <c r="JG172" s="56"/>
      <c r="JH172" s="56"/>
      <c r="JI172" s="56"/>
      <c r="JJ172" s="56"/>
      <c r="JK172" s="56"/>
      <c r="JL172" s="56"/>
      <c r="JM172" s="56"/>
      <c r="JN172" s="56"/>
      <c r="JO172" s="56"/>
      <c r="JP172" s="56"/>
      <c r="JQ172" s="56"/>
      <c r="JR172" s="56"/>
      <c r="JS172" s="56"/>
      <c r="JT172" s="56"/>
      <c r="JU172" s="56"/>
      <c r="JV172" s="56"/>
      <c r="JW172" s="56"/>
      <c r="JX172" s="56"/>
      <c r="JY172" s="56"/>
      <c r="JZ172" s="56"/>
      <c r="KA172" s="56"/>
      <c r="KB172" s="56"/>
      <c r="KC172" s="56"/>
      <c r="KD172" s="56"/>
      <c r="KE172" s="56"/>
      <c r="KF172" s="56"/>
      <c r="KG172" s="56"/>
      <c r="KH172" s="56"/>
      <c r="KI172" s="56"/>
      <c r="KJ172" s="56"/>
      <c r="KK172" s="56"/>
      <c r="KL172" s="56"/>
      <c r="KM172" s="56"/>
      <c r="KN172" s="56"/>
      <c r="KO172" s="56"/>
      <c r="KP172" s="56"/>
      <c r="KQ172" s="56"/>
      <c r="KR172" s="56"/>
      <c r="KS172" s="56"/>
      <c r="KT172" s="56"/>
      <c r="KU172" s="56"/>
      <c r="KV172" s="56"/>
      <c r="KW172" s="56"/>
      <c r="KX172" s="56"/>
      <c r="KY172" s="56"/>
      <c r="KZ172" s="56"/>
      <c r="LA172" s="56"/>
      <c r="LB172" s="56"/>
      <c r="LC172" s="56"/>
      <c r="LD172" s="56"/>
      <c r="LE172" s="56"/>
      <c r="LF172" s="56"/>
      <c r="LG172" s="56"/>
      <c r="LH172" s="56"/>
      <c r="LI172" s="56"/>
      <c r="LJ172" s="56"/>
      <c r="LK172" s="56"/>
      <c r="LL172" s="56"/>
      <c r="LM172" s="56"/>
      <c r="LN172" s="56"/>
      <c r="LO172" s="56"/>
      <c r="LP172" s="56"/>
      <c r="LQ172" s="56"/>
      <c r="LR172" s="56"/>
      <c r="LS172" s="56"/>
      <c r="LT172" s="56"/>
      <c r="LU172" s="56"/>
      <c r="LV172" s="56"/>
      <c r="LW172" s="56"/>
      <c r="LX172" s="56"/>
      <c r="LY172" s="56"/>
      <c r="LZ172" s="56"/>
      <c r="MA172" s="56"/>
      <c r="MB172" s="56"/>
      <c r="MC172" s="56"/>
      <c r="MD172" s="56"/>
      <c r="ME172" s="56"/>
      <c r="MF172" s="56"/>
      <c r="MG172" s="56"/>
      <c r="MH172" s="56"/>
      <c r="MI172" s="56"/>
      <c r="MJ172" s="56"/>
      <c r="MK172" s="56"/>
      <c r="ML172" s="56"/>
      <c r="MM172" s="56"/>
      <c r="MN172" s="56"/>
      <c r="MO172" s="56"/>
      <c r="MP172" s="56"/>
      <c r="MQ172" s="56"/>
      <c r="MR172" s="56"/>
      <c r="MS172" s="56"/>
      <c r="MT172" s="56"/>
      <c r="MU172" s="56"/>
      <c r="MV172" s="56"/>
      <c r="MW172" s="56"/>
      <c r="MX172" s="56"/>
      <c r="MY172" s="56"/>
      <c r="MZ172" s="56"/>
      <c r="NA172" s="56"/>
      <c r="NB172" s="56"/>
      <c r="NC172" s="56"/>
      <c r="ND172" s="56"/>
      <c r="NE172" s="56"/>
      <c r="NF172" s="56"/>
      <c r="NG172" s="56"/>
      <c r="NH172" s="56"/>
      <c r="NI172" s="56"/>
      <c r="NJ172" s="56"/>
      <c r="NK172" s="56"/>
      <c r="NL172" s="56"/>
      <c r="NM172" s="56"/>
      <c r="NN172" s="56"/>
      <c r="NO172" s="56"/>
      <c r="NP172" s="56"/>
      <c r="NQ172" s="56"/>
      <c r="NR172" s="56"/>
      <c r="NS172" s="56"/>
      <c r="NT172" s="56"/>
      <c r="NU172" s="56"/>
      <c r="NV172" s="56"/>
      <c r="NW172" s="56"/>
      <c r="NX172" s="56"/>
      <c r="NY172" s="56"/>
      <c r="NZ172" s="56"/>
      <c r="OA172" s="56"/>
      <c r="OB172" s="56"/>
      <c r="OC172" s="56"/>
      <c r="OD172" s="56"/>
      <c r="OE172" s="56"/>
      <c r="OF172" s="56"/>
      <c r="OG172" s="56"/>
      <c r="OH172" s="56"/>
      <c r="OI172" s="56"/>
      <c r="OJ172" s="56"/>
      <c r="OK172" s="56"/>
      <c r="OL172" s="56"/>
      <c r="OM172" s="56"/>
      <c r="ON172" s="56"/>
      <c r="OO172" s="56"/>
      <c r="OP172" s="56"/>
      <c r="OQ172" s="56"/>
      <c r="OR172" s="56"/>
      <c r="OS172" s="56"/>
      <c r="OT172" s="56"/>
      <c r="OU172" s="56"/>
      <c r="OV172" s="56"/>
      <c r="OW172" s="56"/>
      <c r="OX172" s="56"/>
      <c r="OY172" s="56"/>
      <c r="OZ172" s="56"/>
      <c r="PA172" s="56"/>
      <c r="PB172" s="56"/>
      <c r="PC172" s="56"/>
      <c r="PD172" s="56"/>
      <c r="PE172" s="56"/>
      <c r="PF172" s="56"/>
      <c r="PG172" s="56"/>
      <c r="PH172" s="56"/>
      <c r="PI172" s="56"/>
      <c r="PJ172" s="56"/>
      <c r="PK172" s="56"/>
      <c r="PL172" s="56"/>
      <c r="PM172" s="56"/>
      <c r="PN172" s="56"/>
      <c r="PO172" s="56"/>
      <c r="PP172" s="56"/>
      <c r="PQ172" s="56"/>
      <c r="PR172" s="56"/>
      <c r="PS172" s="56"/>
      <c r="PT172" s="56"/>
      <c r="PU172" s="56"/>
      <c r="PV172" s="56"/>
      <c r="PW172" s="56"/>
      <c r="PX172" s="56"/>
      <c r="PY172" s="56"/>
      <c r="PZ172" s="56"/>
      <c r="QA172" s="56"/>
      <c r="QB172" s="56"/>
      <c r="QC172" s="56"/>
      <c r="QD172" s="56"/>
      <c r="QE172" s="56"/>
      <c r="QF172" s="56"/>
      <c r="QG172" s="56"/>
      <c r="QH172" s="56"/>
      <c r="QI172" s="56"/>
      <c r="QJ172" s="56"/>
      <c r="QK172" s="56"/>
      <c r="QL172" s="56"/>
      <c r="QM172" s="56"/>
      <c r="QN172" s="56"/>
      <c r="QO172" s="56"/>
      <c r="QP172" s="56"/>
      <c r="QQ172" s="56"/>
      <c r="QR172" s="56"/>
      <c r="QS172" s="56"/>
      <c r="QT172" s="56"/>
      <c r="QU172" s="56"/>
      <c r="QV172" s="56"/>
      <c r="QW172" s="56"/>
      <c r="QX172" s="56"/>
      <c r="QY172" s="56"/>
      <c r="QZ172" s="56"/>
      <c r="RA172" s="56"/>
      <c r="RB172" s="56"/>
      <c r="RC172" s="56"/>
      <c r="RD172" s="56"/>
      <c r="RE172" s="56"/>
      <c r="RF172" s="56"/>
      <c r="RG172" s="56"/>
      <c r="RH172" s="56"/>
      <c r="RI172" s="56"/>
      <c r="RJ172" s="56"/>
      <c r="RK172" s="56"/>
      <c r="RL172" s="56"/>
      <c r="RM172" s="56"/>
      <c r="RN172" s="56"/>
      <c r="RO172" s="56"/>
      <c r="RP172" s="56"/>
      <c r="RQ172" s="56"/>
      <c r="RR172" s="56"/>
      <c r="RS172" s="56"/>
      <c r="RT172" s="56"/>
      <c r="RU172" s="56"/>
      <c r="RV172" s="56"/>
      <c r="RW172" s="56"/>
      <c r="RX172" s="56"/>
      <c r="RY172" s="56"/>
      <c r="RZ172" s="56"/>
      <c r="SA172" s="56"/>
      <c r="SB172" s="56"/>
      <c r="SC172" s="56"/>
      <c r="SD172" s="56"/>
      <c r="SE172" s="56"/>
      <c r="SF172" s="56"/>
      <c r="SG172" s="56"/>
      <c r="SH172" s="56"/>
      <c r="SI172" s="56"/>
      <c r="SJ172" s="56"/>
      <c r="SK172" s="56"/>
      <c r="SL172" s="56"/>
      <c r="SM172" s="56"/>
      <c r="SN172" s="56"/>
      <c r="SO172" s="56"/>
      <c r="SP172" s="56"/>
      <c r="SQ172" s="56"/>
      <c r="SR172" s="56"/>
    </row>
    <row r="173" spans="1:512" ht="15" customHeight="1" x14ac:dyDescent="0.7">
      <c r="A173" s="171" t="s">
        <v>344</v>
      </c>
      <c r="B173" s="171" t="s">
        <v>344</v>
      </c>
      <c r="C173" s="171" t="s">
        <v>344</v>
      </c>
      <c r="D173" s="171"/>
      <c r="E173" s="171" t="s">
        <v>344</v>
      </c>
      <c r="F173" s="171"/>
      <c r="G173" s="188" t="s">
        <v>344</v>
      </c>
      <c r="H173" s="71" t="s">
        <v>344</v>
      </c>
      <c r="I173" s="72" t="s">
        <v>344</v>
      </c>
      <c r="J173" s="73" t="s">
        <v>344</v>
      </c>
      <c r="K173" s="189" t="s">
        <v>344</v>
      </c>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c r="HP173" s="54"/>
      <c r="HQ173" s="54"/>
      <c r="HR173" s="54"/>
      <c r="HS173" s="54"/>
      <c r="HT173" s="54"/>
      <c r="HU173" s="54"/>
      <c r="HV173" s="54"/>
      <c r="HW173" s="54"/>
      <c r="HX173" s="54"/>
      <c r="HY173" s="54"/>
      <c r="HZ173" s="54"/>
      <c r="IA173" s="54"/>
      <c r="IB173" s="54"/>
      <c r="IC173" s="54"/>
      <c r="ID173" s="54"/>
      <c r="IE173" s="54"/>
      <c r="IF173" s="54"/>
      <c r="IG173" s="54"/>
      <c r="IH173" s="54"/>
      <c r="II173" s="54"/>
      <c r="IJ173" s="54"/>
      <c r="IK173" s="54"/>
      <c r="IL173" s="54"/>
      <c r="IM173" s="54"/>
      <c r="IN173" s="54"/>
      <c r="IO173" s="54"/>
      <c r="IP173" s="54"/>
      <c r="IQ173" s="54"/>
      <c r="IR173" s="54"/>
      <c r="IS173" s="54"/>
      <c r="IT173" s="54"/>
      <c r="IU173" s="54"/>
      <c r="IV173" s="54"/>
      <c r="IW173" s="54"/>
      <c r="IX173" s="54"/>
      <c r="IY173" s="54"/>
      <c r="IZ173" s="54"/>
      <c r="JA173" s="54"/>
      <c r="JB173" s="54"/>
      <c r="JC173" s="54"/>
      <c r="JD173" s="54"/>
      <c r="JE173" s="54"/>
      <c r="JF173" s="54"/>
      <c r="JG173" s="54"/>
      <c r="JH173" s="54"/>
      <c r="JI173" s="54"/>
      <c r="JJ173" s="54"/>
      <c r="JK173" s="54"/>
      <c r="JL173" s="54"/>
      <c r="JM173" s="54"/>
      <c r="JN173" s="54"/>
      <c r="JO173" s="54"/>
      <c r="JP173" s="54"/>
      <c r="JQ173" s="54"/>
      <c r="JR173" s="54"/>
      <c r="JS173" s="54"/>
      <c r="JT173" s="54"/>
      <c r="JU173" s="54"/>
      <c r="JV173" s="54"/>
      <c r="JW173" s="54"/>
      <c r="JX173" s="54"/>
      <c r="JY173" s="54"/>
      <c r="JZ173" s="54"/>
      <c r="KA173" s="54"/>
      <c r="KB173" s="54"/>
      <c r="KC173" s="54"/>
      <c r="KD173" s="54"/>
      <c r="KE173" s="54"/>
      <c r="KF173" s="54"/>
      <c r="KG173" s="54"/>
      <c r="KH173" s="54"/>
      <c r="KI173" s="54"/>
      <c r="KJ173" s="54"/>
      <c r="KK173" s="54"/>
      <c r="KL173" s="54"/>
      <c r="KM173" s="54"/>
      <c r="KN173" s="54"/>
      <c r="KO173" s="54"/>
      <c r="KP173" s="54"/>
      <c r="KQ173" s="54"/>
      <c r="KR173" s="54"/>
      <c r="KS173" s="54"/>
      <c r="KT173" s="54"/>
      <c r="KU173" s="54"/>
      <c r="KV173" s="54"/>
      <c r="KW173" s="54"/>
      <c r="KX173" s="54"/>
      <c r="KY173" s="54"/>
      <c r="KZ173" s="54"/>
      <c r="LA173" s="54"/>
      <c r="LB173" s="54"/>
      <c r="LC173" s="54"/>
      <c r="LD173" s="54"/>
      <c r="LE173" s="54"/>
      <c r="LF173" s="54"/>
      <c r="LG173" s="54"/>
      <c r="LH173" s="54"/>
      <c r="LI173" s="54"/>
      <c r="LJ173" s="54"/>
      <c r="LK173" s="54"/>
      <c r="LL173" s="54"/>
      <c r="LM173" s="54"/>
      <c r="LN173" s="54"/>
      <c r="LO173" s="54"/>
      <c r="LP173" s="54"/>
      <c r="LQ173" s="54"/>
      <c r="LR173" s="54"/>
      <c r="LS173" s="54"/>
      <c r="LT173" s="54"/>
      <c r="LU173" s="54"/>
      <c r="LV173" s="54"/>
      <c r="LW173" s="54"/>
      <c r="LX173" s="54"/>
      <c r="LY173" s="54"/>
      <c r="LZ173" s="54"/>
      <c r="MA173" s="54"/>
      <c r="MB173" s="54"/>
      <c r="MC173" s="54"/>
      <c r="MD173" s="54"/>
      <c r="ME173" s="54"/>
      <c r="MF173" s="54"/>
      <c r="MG173" s="54"/>
      <c r="MH173" s="54"/>
      <c r="MI173" s="54"/>
      <c r="MJ173" s="54"/>
      <c r="MK173" s="54"/>
      <c r="ML173" s="54"/>
      <c r="MM173" s="54"/>
      <c r="MN173" s="54"/>
      <c r="MO173" s="54"/>
      <c r="MP173" s="54"/>
      <c r="MQ173" s="54"/>
      <c r="MR173" s="54"/>
      <c r="MS173" s="54"/>
      <c r="MT173" s="54"/>
      <c r="MU173" s="54"/>
      <c r="MV173" s="54"/>
      <c r="MW173" s="54"/>
      <c r="MX173" s="54"/>
      <c r="MY173" s="54"/>
      <c r="MZ173" s="54"/>
      <c r="NA173" s="54"/>
      <c r="NB173" s="54"/>
      <c r="NC173" s="54"/>
      <c r="ND173" s="54"/>
      <c r="NE173" s="54"/>
      <c r="NF173" s="54"/>
      <c r="NG173" s="54"/>
      <c r="NH173" s="54"/>
      <c r="NI173" s="54"/>
      <c r="NJ173" s="54"/>
      <c r="NK173" s="54"/>
      <c r="NL173" s="54"/>
      <c r="NM173" s="54"/>
      <c r="NN173" s="54"/>
      <c r="NO173" s="54"/>
      <c r="NP173" s="54"/>
      <c r="NQ173" s="54"/>
      <c r="NR173" s="54"/>
      <c r="NS173" s="54"/>
      <c r="NT173" s="54"/>
      <c r="NU173" s="54"/>
      <c r="NV173" s="54"/>
      <c r="NW173" s="54"/>
      <c r="NX173" s="54"/>
      <c r="NY173" s="54"/>
      <c r="NZ173" s="54"/>
      <c r="OA173" s="54"/>
      <c r="OB173" s="54"/>
      <c r="OC173" s="54"/>
      <c r="OD173" s="54"/>
      <c r="OE173" s="54"/>
      <c r="OF173" s="54"/>
      <c r="OG173" s="54"/>
      <c r="OH173" s="54"/>
      <c r="OI173" s="54"/>
      <c r="OJ173" s="54"/>
      <c r="OK173" s="54"/>
      <c r="OL173" s="54"/>
      <c r="OM173" s="54"/>
      <c r="ON173" s="54"/>
      <c r="OO173" s="54"/>
      <c r="OP173" s="54"/>
      <c r="OQ173" s="54"/>
      <c r="OR173" s="54"/>
      <c r="OS173" s="54"/>
      <c r="OT173" s="54"/>
      <c r="OU173" s="54"/>
      <c r="OV173" s="54"/>
      <c r="OW173" s="54"/>
      <c r="OX173" s="54"/>
      <c r="OY173" s="54"/>
      <c r="OZ173" s="54"/>
      <c r="PA173" s="54"/>
      <c r="PB173" s="54"/>
      <c r="PC173" s="54"/>
      <c r="PD173" s="54"/>
      <c r="PE173" s="54"/>
      <c r="PF173" s="54"/>
      <c r="PG173" s="54"/>
      <c r="PH173" s="54"/>
      <c r="PI173" s="54"/>
      <c r="PJ173" s="54"/>
      <c r="PK173" s="54"/>
      <c r="PL173" s="54"/>
      <c r="PM173" s="54"/>
      <c r="PN173" s="54"/>
      <c r="PO173" s="54"/>
      <c r="PP173" s="54"/>
      <c r="PQ173" s="54"/>
      <c r="PR173" s="54"/>
      <c r="PS173" s="54"/>
      <c r="PT173" s="54"/>
      <c r="PU173" s="54"/>
      <c r="PV173" s="54"/>
      <c r="PW173" s="54"/>
      <c r="PX173" s="54"/>
      <c r="PY173" s="54"/>
      <c r="PZ173" s="54"/>
      <c r="QA173" s="54"/>
      <c r="QB173" s="54"/>
      <c r="QC173" s="54"/>
      <c r="QD173" s="54"/>
      <c r="QE173" s="54"/>
      <c r="QF173" s="54"/>
      <c r="QG173" s="54"/>
      <c r="QH173" s="54"/>
      <c r="QI173" s="54"/>
      <c r="QJ173" s="54"/>
      <c r="QK173" s="54"/>
      <c r="QL173" s="54"/>
      <c r="QM173" s="54"/>
      <c r="QN173" s="54"/>
      <c r="QO173" s="54"/>
      <c r="QP173" s="54"/>
      <c r="QQ173" s="54"/>
      <c r="QR173" s="54"/>
      <c r="QS173" s="54"/>
      <c r="QT173" s="54"/>
      <c r="QU173" s="54"/>
      <c r="QV173" s="54"/>
      <c r="QW173" s="54"/>
      <c r="QX173" s="54"/>
      <c r="QY173" s="54"/>
      <c r="QZ173" s="54"/>
      <c r="RA173" s="54"/>
      <c r="RB173" s="54"/>
      <c r="RC173" s="54"/>
      <c r="RD173" s="54"/>
      <c r="RE173" s="54"/>
      <c r="RF173" s="54"/>
      <c r="RG173" s="54"/>
      <c r="RH173" s="54"/>
      <c r="RI173" s="54"/>
      <c r="RJ173" s="54"/>
      <c r="RK173" s="54"/>
      <c r="RL173" s="54"/>
      <c r="RM173" s="54"/>
      <c r="RN173" s="54"/>
      <c r="RO173" s="54"/>
      <c r="RP173" s="54"/>
      <c r="RQ173" s="54"/>
      <c r="RR173" s="54"/>
      <c r="RS173" s="54"/>
      <c r="RT173" s="54"/>
      <c r="RU173" s="54"/>
      <c r="RV173" s="54"/>
      <c r="RW173" s="54"/>
      <c r="RX173" s="54"/>
      <c r="RY173" s="54"/>
      <c r="RZ173" s="54"/>
      <c r="SA173" s="54"/>
      <c r="SB173" s="54"/>
      <c r="SC173" s="54"/>
      <c r="SD173" s="54"/>
      <c r="SE173" s="54"/>
      <c r="SF173" s="54"/>
      <c r="SG173" s="54"/>
      <c r="SH173" s="54"/>
      <c r="SI173" s="54"/>
      <c r="SJ173" s="54"/>
      <c r="SK173" s="54"/>
      <c r="SL173" s="54"/>
      <c r="SM173" s="54"/>
      <c r="SN173" s="54"/>
      <c r="SO173" s="54"/>
      <c r="SP173" s="54"/>
      <c r="SQ173" s="54"/>
      <c r="SR173" s="54"/>
    </row>
    <row r="174" spans="1:512" ht="15" customHeight="1" x14ac:dyDescent="0.7">
      <c r="A174" s="172"/>
      <c r="B174" s="172"/>
      <c r="C174" s="172"/>
      <c r="D174" s="172"/>
      <c r="E174" s="172"/>
      <c r="F174" s="172"/>
      <c r="G174" s="172"/>
      <c r="I174" s="72" t="s">
        <v>344</v>
      </c>
      <c r="J174" s="73" t="s">
        <v>344</v>
      </c>
      <c r="K174" s="190"/>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c r="FR174" s="54"/>
      <c r="FS174" s="54"/>
      <c r="FT174" s="54"/>
      <c r="FU174" s="54"/>
      <c r="FV174" s="54"/>
      <c r="FW174" s="54"/>
      <c r="FX174" s="54"/>
      <c r="FY174" s="54"/>
      <c r="FZ174" s="54"/>
      <c r="GA174" s="54"/>
      <c r="GB174" s="54"/>
      <c r="GC174" s="54"/>
      <c r="GD174" s="54"/>
      <c r="GE174" s="54"/>
      <c r="GF174" s="54"/>
      <c r="GG174" s="54"/>
      <c r="GH174" s="54"/>
      <c r="GI174" s="54"/>
      <c r="GJ174" s="54"/>
      <c r="GK174" s="54"/>
      <c r="GL174" s="54"/>
      <c r="GM174" s="54"/>
      <c r="GN174" s="54"/>
      <c r="GO174" s="54"/>
      <c r="GP174" s="54"/>
      <c r="GQ174" s="54"/>
      <c r="GR174" s="54"/>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c r="HP174" s="54"/>
      <c r="HQ174" s="54"/>
      <c r="HR174" s="54"/>
      <c r="HS174" s="54"/>
      <c r="HT174" s="54"/>
      <c r="HU174" s="54"/>
      <c r="HV174" s="54"/>
      <c r="HW174" s="54"/>
      <c r="HX174" s="54"/>
      <c r="HY174" s="54"/>
      <c r="HZ174" s="54"/>
      <c r="IA174" s="54"/>
      <c r="IB174" s="54"/>
      <c r="IC174" s="54"/>
      <c r="ID174" s="54"/>
      <c r="IE174" s="54"/>
      <c r="IF174" s="54"/>
      <c r="IG174" s="54"/>
      <c r="IH174" s="54"/>
      <c r="II174" s="54"/>
      <c r="IJ174" s="54"/>
      <c r="IK174" s="54"/>
      <c r="IL174" s="54"/>
      <c r="IM174" s="54"/>
      <c r="IN174" s="54"/>
      <c r="IO174" s="54"/>
      <c r="IP174" s="54"/>
      <c r="IQ174" s="54"/>
      <c r="IR174" s="54"/>
      <c r="IS174" s="54"/>
      <c r="IT174" s="54"/>
      <c r="IU174" s="54"/>
      <c r="IV174" s="54"/>
      <c r="IW174" s="54"/>
      <c r="IX174" s="54"/>
      <c r="IY174" s="54"/>
      <c r="IZ174" s="54"/>
      <c r="JA174" s="54"/>
      <c r="JB174" s="54"/>
      <c r="JC174" s="54"/>
      <c r="JD174" s="54"/>
      <c r="JE174" s="54"/>
      <c r="JF174" s="54"/>
      <c r="JG174" s="54"/>
      <c r="JH174" s="54"/>
      <c r="JI174" s="54"/>
      <c r="JJ174" s="54"/>
      <c r="JK174" s="54"/>
      <c r="JL174" s="54"/>
      <c r="JM174" s="54"/>
      <c r="JN174" s="54"/>
      <c r="JO174" s="54"/>
      <c r="JP174" s="54"/>
      <c r="JQ174" s="54"/>
      <c r="JR174" s="54"/>
      <c r="JS174" s="54"/>
      <c r="JT174" s="54"/>
      <c r="JU174" s="54"/>
      <c r="JV174" s="54"/>
      <c r="JW174" s="54"/>
      <c r="JX174" s="54"/>
      <c r="JY174" s="54"/>
      <c r="JZ174" s="54"/>
      <c r="KA174" s="54"/>
      <c r="KB174" s="54"/>
      <c r="KC174" s="54"/>
      <c r="KD174" s="54"/>
      <c r="KE174" s="54"/>
      <c r="KF174" s="54"/>
      <c r="KG174" s="54"/>
      <c r="KH174" s="54"/>
      <c r="KI174" s="54"/>
      <c r="KJ174" s="54"/>
      <c r="KK174" s="54"/>
      <c r="KL174" s="54"/>
      <c r="KM174" s="54"/>
      <c r="KN174" s="54"/>
      <c r="KO174" s="54"/>
      <c r="KP174" s="54"/>
      <c r="KQ174" s="54"/>
      <c r="KR174" s="54"/>
      <c r="KS174" s="54"/>
      <c r="KT174" s="54"/>
      <c r="KU174" s="54"/>
      <c r="KV174" s="54"/>
      <c r="KW174" s="54"/>
      <c r="KX174" s="54"/>
      <c r="KY174" s="54"/>
      <c r="KZ174" s="54"/>
      <c r="LA174" s="54"/>
      <c r="LB174" s="54"/>
      <c r="LC174" s="54"/>
      <c r="LD174" s="54"/>
      <c r="LE174" s="54"/>
      <c r="LF174" s="54"/>
      <c r="LG174" s="54"/>
      <c r="LH174" s="54"/>
      <c r="LI174" s="54"/>
      <c r="LJ174" s="54"/>
      <c r="LK174" s="54"/>
      <c r="LL174" s="54"/>
      <c r="LM174" s="54"/>
      <c r="LN174" s="54"/>
      <c r="LO174" s="54"/>
      <c r="LP174" s="54"/>
      <c r="LQ174" s="54"/>
      <c r="LR174" s="54"/>
      <c r="LS174" s="54"/>
      <c r="LT174" s="54"/>
      <c r="LU174" s="54"/>
      <c r="LV174" s="54"/>
      <c r="LW174" s="54"/>
      <c r="LX174" s="54"/>
      <c r="LY174" s="54"/>
      <c r="LZ174" s="54"/>
      <c r="MA174" s="54"/>
      <c r="MB174" s="54"/>
      <c r="MC174" s="54"/>
      <c r="MD174" s="54"/>
      <c r="ME174" s="54"/>
      <c r="MF174" s="54"/>
      <c r="MG174" s="54"/>
      <c r="MH174" s="54"/>
      <c r="MI174" s="54"/>
      <c r="MJ174" s="54"/>
      <c r="MK174" s="54"/>
      <c r="ML174" s="54"/>
      <c r="MM174" s="54"/>
      <c r="MN174" s="54"/>
      <c r="MO174" s="54"/>
      <c r="MP174" s="54"/>
      <c r="MQ174" s="54"/>
      <c r="MR174" s="54"/>
      <c r="MS174" s="54"/>
      <c r="MT174" s="54"/>
      <c r="MU174" s="54"/>
      <c r="MV174" s="54"/>
      <c r="MW174" s="54"/>
      <c r="MX174" s="54"/>
      <c r="MY174" s="54"/>
      <c r="MZ174" s="54"/>
      <c r="NA174" s="54"/>
      <c r="NB174" s="54"/>
      <c r="NC174" s="54"/>
      <c r="ND174" s="54"/>
      <c r="NE174" s="54"/>
      <c r="NF174" s="54"/>
      <c r="NG174" s="54"/>
      <c r="NH174" s="54"/>
      <c r="NI174" s="54"/>
      <c r="NJ174" s="54"/>
      <c r="NK174" s="54"/>
      <c r="NL174" s="54"/>
      <c r="NM174" s="54"/>
      <c r="NN174" s="54"/>
      <c r="NO174" s="54"/>
      <c r="NP174" s="54"/>
      <c r="NQ174" s="54"/>
      <c r="NR174" s="54"/>
      <c r="NS174" s="54"/>
      <c r="NT174" s="54"/>
      <c r="NU174" s="54"/>
      <c r="NV174" s="54"/>
      <c r="NW174" s="54"/>
      <c r="NX174" s="54"/>
      <c r="NY174" s="54"/>
      <c r="NZ174" s="54"/>
      <c r="OA174" s="54"/>
      <c r="OB174" s="54"/>
      <c r="OC174" s="54"/>
      <c r="OD174" s="54"/>
      <c r="OE174" s="54"/>
      <c r="OF174" s="54"/>
      <c r="OG174" s="54"/>
      <c r="OH174" s="54"/>
      <c r="OI174" s="54"/>
      <c r="OJ174" s="54"/>
      <c r="OK174" s="54"/>
      <c r="OL174" s="54"/>
      <c r="OM174" s="54"/>
      <c r="ON174" s="54"/>
      <c r="OO174" s="54"/>
      <c r="OP174" s="54"/>
      <c r="OQ174" s="54"/>
      <c r="OR174" s="54"/>
      <c r="OS174" s="54"/>
      <c r="OT174" s="54"/>
      <c r="OU174" s="54"/>
      <c r="OV174" s="54"/>
      <c r="OW174" s="54"/>
      <c r="OX174" s="54"/>
      <c r="OY174" s="54"/>
      <c r="OZ174" s="54"/>
      <c r="PA174" s="54"/>
      <c r="PB174" s="54"/>
      <c r="PC174" s="54"/>
      <c r="PD174" s="54"/>
      <c r="PE174" s="54"/>
      <c r="PF174" s="54"/>
      <c r="PG174" s="54"/>
      <c r="PH174" s="54"/>
      <c r="PI174" s="54"/>
      <c r="PJ174" s="54"/>
      <c r="PK174" s="54"/>
      <c r="PL174" s="54"/>
      <c r="PM174" s="54"/>
      <c r="PN174" s="54"/>
      <c r="PO174" s="54"/>
      <c r="PP174" s="54"/>
      <c r="PQ174" s="54"/>
      <c r="PR174" s="54"/>
      <c r="PS174" s="54"/>
      <c r="PT174" s="54"/>
      <c r="PU174" s="54"/>
      <c r="PV174" s="54"/>
      <c r="PW174" s="54"/>
      <c r="PX174" s="54"/>
      <c r="PY174" s="54"/>
      <c r="PZ174" s="54"/>
      <c r="QA174" s="54"/>
      <c r="QB174" s="54"/>
      <c r="QC174" s="54"/>
      <c r="QD174" s="54"/>
      <c r="QE174" s="54"/>
      <c r="QF174" s="54"/>
      <c r="QG174" s="54"/>
      <c r="QH174" s="54"/>
      <c r="QI174" s="54"/>
      <c r="QJ174" s="54"/>
      <c r="QK174" s="54"/>
      <c r="QL174" s="54"/>
      <c r="QM174" s="54"/>
      <c r="QN174" s="54"/>
      <c r="QO174" s="54"/>
      <c r="QP174" s="54"/>
      <c r="QQ174" s="54"/>
      <c r="QR174" s="54"/>
      <c r="QS174" s="54"/>
      <c r="QT174" s="54"/>
      <c r="QU174" s="54"/>
      <c r="QV174" s="54"/>
      <c r="QW174" s="54"/>
      <c r="QX174" s="54"/>
      <c r="QY174" s="54"/>
      <c r="QZ174" s="54"/>
      <c r="RA174" s="54"/>
      <c r="RB174" s="54"/>
      <c r="RC174" s="54"/>
      <c r="RD174" s="54"/>
      <c r="RE174" s="54"/>
      <c r="RF174" s="54"/>
      <c r="RG174" s="54"/>
      <c r="RH174" s="54"/>
      <c r="RI174" s="54"/>
      <c r="RJ174" s="54"/>
      <c r="RK174" s="54"/>
      <c r="RL174" s="54"/>
      <c r="RM174" s="54"/>
      <c r="RN174" s="54"/>
      <c r="RO174" s="54"/>
      <c r="RP174" s="54"/>
      <c r="RQ174" s="54"/>
      <c r="RR174" s="54"/>
      <c r="RS174" s="54"/>
      <c r="RT174" s="54"/>
      <c r="RU174" s="54"/>
      <c r="RV174" s="54"/>
      <c r="RW174" s="54"/>
      <c r="RX174" s="54"/>
      <c r="RY174" s="54"/>
      <c r="RZ174" s="54"/>
      <c r="SA174" s="54"/>
      <c r="SB174" s="54"/>
      <c r="SC174" s="54"/>
      <c r="SD174" s="54"/>
      <c r="SE174" s="54"/>
      <c r="SF174" s="54"/>
      <c r="SG174" s="54"/>
      <c r="SH174" s="54"/>
      <c r="SI174" s="54"/>
      <c r="SJ174" s="54"/>
      <c r="SK174" s="54"/>
      <c r="SL174" s="54"/>
      <c r="SM174" s="54"/>
      <c r="SN174" s="54"/>
      <c r="SO174" s="54"/>
      <c r="SP174" s="54"/>
      <c r="SQ174" s="54"/>
      <c r="SR174" s="54"/>
    </row>
    <row r="175" spans="1:512" s="55" customFormat="1" ht="15" customHeight="1" x14ac:dyDescent="0.7">
      <c r="A175" s="173"/>
      <c r="B175" s="173"/>
      <c r="C175" s="173"/>
      <c r="D175" s="173"/>
      <c r="E175" s="173"/>
      <c r="F175" s="173"/>
      <c r="G175" s="173"/>
      <c r="H175" s="74"/>
      <c r="I175" s="75"/>
      <c r="J175" s="76"/>
      <c r="K175" s="191"/>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c r="IX175" s="56"/>
      <c r="IY175" s="56"/>
      <c r="IZ175" s="56"/>
      <c r="JA175" s="56"/>
      <c r="JB175" s="56"/>
      <c r="JC175" s="56"/>
      <c r="JD175" s="56"/>
      <c r="JE175" s="56"/>
      <c r="JF175" s="56"/>
      <c r="JG175" s="56"/>
      <c r="JH175" s="56"/>
      <c r="JI175" s="56"/>
      <c r="JJ175" s="56"/>
      <c r="JK175" s="56"/>
      <c r="JL175" s="56"/>
      <c r="JM175" s="56"/>
      <c r="JN175" s="56"/>
      <c r="JO175" s="56"/>
      <c r="JP175" s="56"/>
      <c r="JQ175" s="56"/>
      <c r="JR175" s="56"/>
      <c r="JS175" s="56"/>
      <c r="JT175" s="56"/>
      <c r="JU175" s="56"/>
      <c r="JV175" s="56"/>
      <c r="JW175" s="56"/>
      <c r="JX175" s="56"/>
      <c r="JY175" s="56"/>
      <c r="JZ175" s="56"/>
      <c r="KA175" s="56"/>
      <c r="KB175" s="56"/>
      <c r="KC175" s="56"/>
      <c r="KD175" s="56"/>
      <c r="KE175" s="56"/>
      <c r="KF175" s="56"/>
      <c r="KG175" s="56"/>
      <c r="KH175" s="56"/>
      <c r="KI175" s="56"/>
      <c r="KJ175" s="56"/>
      <c r="KK175" s="56"/>
      <c r="KL175" s="56"/>
      <c r="KM175" s="56"/>
      <c r="KN175" s="56"/>
      <c r="KO175" s="56"/>
      <c r="KP175" s="56"/>
      <c r="KQ175" s="56"/>
      <c r="KR175" s="56"/>
      <c r="KS175" s="56"/>
      <c r="KT175" s="56"/>
      <c r="KU175" s="56"/>
      <c r="KV175" s="56"/>
      <c r="KW175" s="56"/>
      <c r="KX175" s="56"/>
      <c r="KY175" s="56"/>
      <c r="KZ175" s="56"/>
      <c r="LA175" s="56"/>
      <c r="LB175" s="56"/>
      <c r="LC175" s="56"/>
      <c r="LD175" s="56"/>
      <c r="LE175" s="56"/>
      <c r="LF175" s="56"/>
      <c r="LG175" s="56"/>
      <c r="LH175" s="56"/>
      <c r="LI175" s="56"/>
      <c r="LJ175" s="56"/>
      <c r="LK175" s="56"/>
      <c r="LL175" s="56"/>
      <c r="LM175" s="56"/>
      <c r="LN175" s="56"/>
      <c r="LO175" s="56"/>
      <c r="LP175" s="56"/>
      <c r="LQ175" s="56"/>
      <c r="LR175" s="56"/>
      <c r="LS175" s="56"/>
      <c r="LT175" s="56"/>
      <c r="LU175" s="56"/>
      <c r="LV175" s="56"/>
      <c r="LW175" s="56"/>
      <c r="LX175" s="56"/>
      <c r="LY175" s="56"/>
      <c r="LZ175" s="56"/>
      <c r="MA175" s="56"/>
      <c r="MB175" s="56"/>
      <c r="MC175" s="56"/>
      <c r="MD175" s="56"/>
      <c r="ME175" s="56"/>
      <c r="MF175" s="56"/>
      <c r="MG175" s="56"/>
      <c r="MH175" s="56"/>
      <c r="MI175" s="56"/>
      <c r="MJ175" s="56"/>
      <c r="MK175" s="56"/>
      <c r="ML175" s="56"/>
      <c r="MM175" s="56"/>
      <c r="MN175" s="56"/>
      <c r="MO175" s="56"/>
      <c r="MP175" s="56"/>
      <c r="MQ175" s="56"/>
      <c r="MR175" s="56"/>
      <c r="MS175" s="56"/>
      <c r="MT175" s="56"/>
      <c r="MU175" s="56"/>
      <c r="MV175" s="56"/>
      <c r="MW175" s="56"/>
      <c r="MX175" s="56"/>
      <c r="MY175" s="56"/>
      <c r="MZ175" s="56"/>
      <c r="NA175" s="56"/>
      <c r="NB175" s="56"/>
      <c r="NC175" s="56"/>
      <c r="ND175" s="56"/>
      <c r="NE175" s="56"/>
      <c r="NF175" s="56"/>
      <c r="NG175" s="56"/>
      <c r="NH175" s="56"/>
      <c r="NI175" s="56"/>
      <c r="NJ175" s="56"/>
      <c r="NK175" s="56"/>
      <c r="NL175" s="56"/>
      <c r="NM175" s="56"/>
      <c r="NN175" s="56"/>
      <c r="NO175" s="56"/>
      <c r="NP175" s="56"/>
      <c r="NQ175" s="56"/>
      <c r="NR175" s="56"/>
      <c r="NS175" s="56"/>
      <c r="NT175" s="56"/>
      <c r="NU175" s="56"/>
      <c r="NV175" s="56"/>
      <c r="NW175" s="56"/>
      <c r="NX175" s="56"/>
      <c r="NY175" s="56"/>
      <c r="NZ175" s="56"/>
      <c r="OA175" s="56"/>
      <c r="OB175" s="56"/>
      <c r="OC175" s="56"/>
      <c r="OD175" s="56"/>
      <c r="OE175" s="56"/>
      <c r="OF175" s="56"/>
      <c r="OG175" s="56"/>
      <c r="OH175" s="56"/>
      <c r="OI175" s="56"/>
      <c r="OJ175" s="56"/>
      <c r="OK175" s="56"/>
      <c r="OL175" s="56"/>
      <c r="OM175" s="56"/>
      <c r="ON175" s="56"/>
      <c r="OO175" s="56"/>
      <c r="OP175" s="56"/>
      <c r="OQ175" s="56"/>
      <c r="OR175" s="56"/>
      <c r="OS175" s="56"/>
      <c r="OT175" s="56"/>
      <c r="OU175" s="56"/>
      <c r="OV175" s="56"/>
      <c r="OW175" s="56"/>
      <c r="OX175" s="56"/>
      <c r="OY175" s="56"/>
      <c r="OZ175" s="56"/>
      <c r="PA175" s="56"/>
      <c r="PB175" s="56"/>
      <c r="PC175" s="56"/>
      <c r="PD175" s="56"/>
      <c r="PE175" s="56"/>
      <c r="PF175" s="56"/>
      <c r="PG175" s="56"/>
      <c r="PH175" s="56"/>
      <c r="PI175" s="56"/>
      <c r="PJ175" s="56"/>
      <c r="PK175" s="56"/>
      <c r="PL175" s="56"/>
      <c r="PM175" s="56"/>
      <c r="PN175" s="56"/>
      <c r="PO175" s="56"/>
      <c r="PP175" s="56"/>
      <c r="PQ175" s="56"/>
      <c r="PR175" s="56"/>
      <c r="PS175" s="56"/>
      <c r="PT175" s="56"/>
      <c r="PU175" s="56"/>
      <c r="PV175" s="56"/>
      <c r="PW175" s="56"/>
      <c r="PX175" s="56"/>
      <c r="PY175" s="56"/>
      <c r="PZ175" s="56"/>
      <c r="QA175" s="56"/>
      <c r="QB175" s="56"/>
      <c r="QC175" s="56"/>
      <c r="QD175" s="56"/>
      <c r="QE175" s="56"/>
      <c r="QF175" s="56"/>
      <c r="QG175" s="56"/>
      <c r="QH175" s="56"/>
      <c r="QI175" s="56"/>
      <c r="QJ175" s="56"/>
      <c r="QK175" s="56"/>
      <c r="QL175" s="56"/>
      <c r="QM175" s="56"/>
      <c r="QN175" s="56"/>
      <c r="QO175" s="56"/>
      <c r="QP175" s="56"/>
      <c r="QQ175" s="56"/>
      <c r="QR175" s="56"/>
      <c r="QS175" s="56"/>
      <c r="QT175" s="56"/>
      <c r="QU175" s="56"/>
      <c r="QV175" s="56"/>
      <c r="QW175" s="56"/>
      <c r="QX175" s="56"/>
      <c r="QY175" s="56"/>
      <c r="QZ175" s="56"/>
      <c r="RA175" s="56"/>
      <c r="RB175" s="56"/>
      <c r="RC175" s="56"/>
      <c r="RD175" s="56"/>
      <c r="RE175" s="56"/>
      <c r="RF175" s="56"/>
      <c r="RG175" s="56"/>
      <c r="RH175" s="56"/>
      <c r="RI175" s="56"/>
      <c r="RJ175" s="56"/>
      <c r="RK175" s="56"/>
      <c r="RL175" s="56"/>
      <c r="RM175" s="56"/>
      <c r="RN175" s="56"/>
      <c r="RO175" s="56"/>
      <c r="RP175" s="56"/>
      <c r="RQ175" s="56"/>
      <c r="RR175" s="56"/>
      <c r="RS175" s="56"/>
      <c r="RT175" s="56"/>
      <c r="RU175" s="56"/>
      <c r="RV175" s="56"/>
      <c r="RW175" s="56"/>
      <c r="RX175" s="56"/>
      <c r="RY175" s="56"/>
      <c r="RZ175" s="56"/>
      <c r="SA175" s="56"/>
      <c r="SB175" s="56"/>
      <c r="SC175" s="56"/>
      <c r="SD175" s="56"/>
      <c r="SE175" s="56"/>
      <c r="SF175" s="56"/>
      <c r="SG175" s="56"/>
      <c r="SH175" s="56"/>
      <c r="SI175" s="56"/>
      <c r="SJ175" s="56"/>
      <c r="SK175" s="56"/>
      <c r="SL175" s="56"/>
      <c r="SM175" s="56"/>
      <c r="SN175" s="56"/>
      <c r="SO175" s="56"/>
      <c r="SP175" s="56"/>
      <c r="SQ175" s="56"/>
      <c r="SR175" s="56"/>
    </row>
    <row r="176" spans="1:512" ht="15" customHeight="1" x14ac:dyDescent="0.7">
      <c r="A176" s="171" t="s">
        <v>344</v>
      </c>
      <c r="B176" s="171" t="s">
        <v>344</v>
      </c>
      <c r="C176" s="171" t="s">
        <v>344</v>
      </c>
      <c r="D176" s="171"/>
      <c r="E176" s="171" t="s">
        <v>344</v>
      </c>
      <c r="F176" s="171"/>
      <c r="G176" s="188" t="s">
        <v>344</v>
      </c>
      <c r="H176" s="71" t="s">
        <v>344</v>
      </c>
      <c r="I176" s="72" t="s">
        <v>344</v>
      </c>
      <c r="J176" s="73" t="s">
        <v>344</v>
      </c>
      <c r="K176" s="189" t="s">
        <v>344</v>
      </c>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54"/>
      <c r="CW176" s="54"/>
      <c r="CX176" s="54"/>
      <c r="CY176" s="54"/>
      <c r="CZ176" s="54"/>
      <c r="DA176" s="54"/>
      <c r="DB176" s="54"/>
      <c r="DC176" s="54"/>
      <c r="DD176" s="54"/>
      <c r="DE176" s="54"/>
      <c r="DF176" s="54"/>
      <c r="DG176" s="54"/>
      <c r="DH176" s="54"/>
      <c r="DI176" s="54"/>
      <c r="DJ176" s="54"/>
      <c r="DK176" s="54"/>
      <c r="DL176" s="54"/>
      <c r="DM176" s="54"/>
      <c r="DN176" s="54"/>
      <c r="DO176" s="54"/>
      <c r="DP176" s="54"/>
      <c r="DQ176" s="54"/>
      <c r="DR176" s="54"/>
      <c r="DS176" s="54"/>
      <c r="DT176" s="54"/>
      <c r="DU176" s="54"/>
      <c r="DV176" s="54"/>
      <c r="DW176" s="54"/>
      <c r="DX176" s="54"/>
      <c r="DY176" s="54"/>
      <c r="DZ176" s="54"/>
      <c r="EA176" s="54"/>
      <c r="EB176" s="54"/>
      <c r="EC176" s="54"/>
      <c r="ED176" s="54"/>
      <c r="EE176" s="54"/>
      <c r="EF176" s="54"/>
      <c r="EG176" s="54"/>
      <c r="EH176" s="54"/>
      <c r="EI176" s="54"/>
      <c r="EJ176" s="54"/>
      <c r="EK176" s="54"/>
      <c r="EL176" s="54"/>
      <c r="EM176" s="54"/>
      <c r="EN176" s="54"/>
      <c r="EO176" s="54"/>
      <c r="EP176" s="54"/>
      <c r="EQ176" s="54"/>
      <c r="ER176" s="54"/>
      <c r="ES176" s="54"/>
      <c r="ET176" s="54"/>
      <c r="EU176" s="54"/>
      <c r="EV176" s="54"/>
      <c r="EW176" s="54"/>
      <c r="EX176" s="54"/>
      <c r="EY176" s="54"/>
      <c r="EZ176" s="54"/>
      <c r="FA176" s="54"/>
      <c r="FB176" s="54"/>
      <c r="FC176" s="54"/>
      <c r="FD176" s="54"/>
      <c r="FE176" s="54"/>
      <c r="FF176" s="54"/>
      <c r="FG176" s="54"/>
      <c r="FH176" s="54"/>
      <c r="FI176" s="54"/>
      <c r="FJ176" s="54"/>
      <c r="FK176" s="54"/>
      <c r="FL176" s="54"/>
      <c r="FM176" s="54"/>
      <c r="FN176" s="54"/>
      <c r="FO176" s="54"/>
      <c r="FP176" s="54"/>
      <c r="FQ176" s="54"/>
      <c r="FR176" s="54"/>
      <c r="FS176" s="54"/>
      <c r="FT176" s="54"/>
      <c r="FU176" s="54"/>
      <c r="FV176" s="54"/>
      <c r="FW176" s="54"/>
      <c r="FX176" s="54"/>
      <c r="FY176" s="54"/>
      <c r="FZ176" s="54"/>
      <c r="GA176" s="54"/>
      <c r="GB176" s="54"/>
      <c r="GC176" s="54"/>
      <c r="GD176" s="54"/>
      <c r="GE176" s="54"/>
      <c r="GF176" s="54"/>
      <c r="GG176" s="54"/>
      <c r="GH176" s="54"/>
      <c r="GI176" s="54"/>
      <c r="GJ176" s="54"/>
      <c r="GK176" s="54"/>
      <c r="GL176" s="54"/>
      <c r="GM176" s="54"/>
      <c r="GN176" s="54"/>
      <c r="GO176" s="54"/>
      <c r="GP176" s="54"/>
      <c r="GQ176" s="54"/>
      <c r="GR176" s="54"/>
      <c r="GS176" s="54"/>
      <c r="GT176" s="54"/>
      <c r="GU176" s="54"/>
      <c r="GV176" s="54"/>
      <c r="GW176" s="54"/>
      <c r="GX176" s="54"/>
      <c r="GY176" s="54"/>
      <c r="GZ176" s="54"/>
      <c r="HA176" s="54"/>
      <c r="HB176" s="54"/>
      <c r="HC176" s="54"/>
      <c r="HD176" s="54"/>
      <c r="HE176" s="54"/>
      <c r="HF176" s="54"/>
      <c r="HG176" s="54"/>
      <c r="HH176" s="54"/>
      <c r="HI176" s="54"/>
      <c r="HJ176" s="54"/>
      <c r="HK176" s="54"/>
      <c r="HL176" s="54"/>
      <c r="HM176" s="54"/>
      <c r="HN176" s="54"/>
      <c r="HO176" s="54"/>
      <c r="HP176" s="54"/>
      <c r="HQ176" s="54"/>
      <c r="HR176" s="54"/>
      <c r="HS176" s="54"/>
      <c r="HT176" s="54"/>
      <c r="HU176" s="54"/>
      <c r="HV176" s="54"/>
      <c r="HW176" s="54"/>
      <c r="HX176" s="54"/>
      <c r="HY176" s="54"/>
      <c r="HZ176" s="54"/>
      <c r="IA176" s="54"/>
      <c r="IB176" s="54"/>
      <c r="IC176" s="54"/>
      <c r="ID176" s="54"/>
      <c r="IE176" s="54"/>
      <c r="IF176" s="54"/>
      <c r="IG176" s="54"/>
      <c r="IH176" s="54"/>
      <c r="II176" s="54"/>
      <c r="IJ176" s="54"/>
      <c r="IK176" s="54"/>
      <c r="IL176" s="54"/>
      <c r="IM176" s="54"/>
      <c r="IN176" s="54"/>
      <c r="IO176" s="54"/>
      <c r="IP176" s="54"/>
      <c r="IQ176" s="54"/>
      <c r="IR176" s="54"/>
      <c r="IS176" s="54"/>
      <c r="IT176" s="54"/>
      <c r="IU176" s="54"/>
      <c r="IV176" s="54"/>
      <c r="IW176" s="54"/>
      <c r="IX176" s="54"/>
      <c r="IY176" s="54"/>
      <c r="IZ176" s="54"/>
      <c r="JA176" s="54"/>
      <c r="JB176" s="54"/>
      <c r="JC176" s="54"/>
      <c r="JD176" s="54"/>
      <c r="JE176" s="54"/>
      <c r="JF176" s="54"/>
      <c r="JG176" s="54"/>
      <c r="JH176" s="54"/>
      <c r="JI176" s="54"/>
      <c r="JJ176" s="54"/>
      <c r="JK176" s="54"/>
      <c r="JL176" s="54"/>
      <c r="JM176" s="54"/>
      <c r="JN176" s="54"/>
      <c r="JO176" s="54"/>
      <c r="JP176" s="54"/>
      <c r="JQ176" s="54"/>
      <c r="JR176" s="54"/>
      <c r="JS176" s="54"/>
      <c r="JT176" s="54"/>
      <c r="JU176" s="54"/>
      <c r="JV176" s="54"/>
      <c r="JW176" s="54"/>
      <c r="JX176" s="54"/>
      <c r="JY176" s="54"/>
      <c r="JZ176" s="54"/>
      <c r="KA176" s="54"/>
      <c r="KB176" s="54"/>
      <c r="KC176" s="54"/>
      <c r="KD176" s="54"/>
      <c r="KE176" s="54"/>
      <c r="KF176" s="54"/>
      <c r="KG176" s="54"/>
      <c r="KH176" s="54"/>
      <c r="KI176" s="54"/>
      <c r="KJ176" s="54"/>
      <c r="KK176" s="54"/>
      <c r="KL176" s="54"/>
      <c r="KM176" s="54"/>
      <c r="KN176" s="54"/>
      <c r="KO176" s="54"/>
      <c r="KP176" s="54"/>
      <c r="KQ176" s="54"/>
      <c r="KR176" s="54"/>
      <c r="KS176" s="54"/>
      <c r="KT176" s="54"/>
      <c r="KU176" s="54"/>
      <c r="KV176" s="54"/>
      <c r="KW176" s="54"/>
      <c r="KX176" s="54"/>
      <c r="KY176" s="54"/>
      <c r="KZ176" s="54"/>
      <c r="LA176" s="54"/>
      <c r="LB176" s="54"/>
      <c r="LC176" s="54"/>
      <c r="LD176" s="54"/>
      <c r="LE176" s="54"/>
      <c r="LF176" s="54"/>
      <c r="LG176" s="54"/>
      <c r="LH176" s="54"/>
      <c r="LI176" s="54"/>
      <c r="LJ176" s="54"/>
      <c r="LK176" s="54"/>
      <c r="LL176" s="54"/>
      <c r="LM176" s="54"/>
      <c r="LN176" s="54"/>
      <c r="LO176" s="54"/>
      <c r="LP176" s="54"/>
      <c r="LQ176" s="54"/>
      <c r="LR176" s="54"/>
      <c r="LS176" s="54"/>
      <c r="LT176" s="54"/>
      <c r="LU176" s="54"/>
      <c r="LV176" s="54"/>
      <c r="LW176" s="54"/>
      <c r="LX176" s="54"/>
      <c r="LY176" s="54"/>
      <c r="LZ176" s="54"/>
      <c r="MA176" s="54"/>
      <c r="MB176" s="54"/>
      <c r="MC176" s="54"/>
      <c r="MD176" s="54"/>
      <c r="ME176" s="54"/>
      <c r="MF176" s="54"/>
      <c r="MG176" s="54"/>
      <c r="MH176" s="54"/>
      <c r="MI176" s="54"/>
      <c r="MJ176" s="54"/>
      <c r="MK176" s="54"/>
      <c r="ML176" s="54"/>
      <c r="MM176" s="54"/>
      <c r="MN176" s="54"/>
      <c r="MO176" s="54"/>
      <c r="MP176" s="54"/>
      <c r="MQ176" s="54"/>
      <c r="MR176" s="54"/>
      <c r="MS176" s="54"/>
      <c r="MT176" s="54"/>
      <c r="MU176" s="54"/>
      <c r="MV176" s="54"/>
      <c r="MW176" s="54"/>
      <c r="MX176" s="54"/>
      <c r="MY176" s="54"/>
      <c r="MZ176" s="54"/>
      <c r="NA176" s="54"/>
      <c r="NB176" s="54"/>
      <c r="NC176" s="54"/>
      <c r="ND176" s="54"/>
      <c r="NE176" s="54"/>
      <c r="NF176" s="54"/>
      <c r="NG176" s="54"/>
      <c r="NH176" s="54"/>
      <c r="NI176" s="54"/>
      <c r="NJ176" s="54"/>
      <c r="NK176" s="54"/>
      <c r="NL176" s="54"/>
      <c r="NM176" s="54"/>
      <c r="NN176" s="54"/>
      <c r="NO176" s="54"/>
      <c r="NP176" s="54"/>
      <c r="NQ176" s="54"/>
      <c r="NR176" s="54"/>
      <c r="NS176" s="54"/>
      <c r="NT176" s="54"/>
      <c r="NU176" s="54"/>
      <c r="NV176" s="54"/>
      <c r="NW176" s="54"/>
      <c r="NX176" s="54"/>
      <c r="NY176" s="54"/>
      <c r="NZ176" s="54"/>
      <c r="OA176" s="54"/>
      <c r="OB176" s="54"/>
      <c r="OC176" s="54"/>
      <c r="OD176" s="54"/>
      <c r="OE176" s="54"/>
      <c r="OF176" s="54"/>
      <c r="OG176" s="54"/>
      <c r="OH176" s="54"/>
      <c r="OI176" s="54"/>
      <c r="OJ176" s="54"/>
      <c r="OK176" s="54"/>
      <c r="OL176" s="54"/>
      <c r="OM176" s="54"/>
      <c r="ON176" s="54"/>
      <c r="OO176" s="54"/>
      <c r="OP176" s="54"/>
      <c r="OQ176" s="54"/>
      <c r="OR176" s="54"/>
      <c r="OS176" s="54"/>
      <c r="OT176" s="54"/>
      <c r="OU176" s="54"/>
      <c r="OV176" s="54"/>
      <c r="OW176" s="54"/>
      <c r="OX176" s="54"/>
      <c r="OY176" s="54"/>
      <c r="OZ176" s="54"/>
      <c r="PA176" s="54"/>
      <c r="PB176" s="54"/>
      <c r="PC176" s="54"/>
      <c r="PD176" s="54"/>
      <c r="PE176" s="54"/>
      <c r="PF176" s="54"/>
      <c r="PG176" s="54"/>
      <c r="PH176" s="54"/>
      <c r="PI176" s="54"/>
      <c r="PJ176" s="54"/>
      <c r="PK176" s="54"/>
      <c r="PL176" s="54"/>
      <c r="PM176" s="54"/>
      <c r="PN176" s="54"/>
      <c r="PO176" s="54"/>
      <c r="PP176" s="54"/>
      <c r="PQ176" s="54"/>
      <c r="PR176" s="54"/>
      <c r="PS176" s="54"/>
      <c r="PT176" s="54"/>
      <c r="PU176" s="54"/>
      <c r="PV176" s="54"/>
      <c r="PW176" s="54"/>
      <c r="PX176" s="54"/>
      <c r="PY176" s="54"/>
      <c r="PZ176" s="54"/>
      <c r="QA176" s="54"/>
      <c r="QB176" s="54"/>
      <c r="QC176" s="54"/>
      <c r="QD176" s="54"/>
      <c r="QE176" s="54"/>
      <c r="QF176" s="54"/>
      <c r="QG176" s="54"/>
      <c r="QH176" s="54"/>
      <c r="QI176" s="54"/>
      <c r="QJ176" s="54"/>
      <c r="QK176" s="54"/>
      <c r="QL176" s="54"/>
      <c r="QM176" s="54"/>
      <c r="QN176" s="54"/>
      <c r="QO176" s="54"/>
      <c r="QP176" s="54"/>
      <c r="QQ176" s="54"/>
      <c r="QR176" s="54"/>
      <c r="QS176" s="54"/>
      <c r="QT176" s="54"/>
      <c r="QU176" s="54"/>
      <c r="QV176" s="54"/>
      <c r="QW176" s="54"/>
      <c r="QX176" s="54"/>
      <c r="QY176" s="54"/>
      <c r="QZ176" s="54"/>
      <c r="RA176" s="54"/>
      <c r="RB176" s="54"/>
      <c r="RC176" s="54"/>
      <c r="RD176" s="54"/>
      <c r="RE176" s="54"/>
      <c r="RF176" s="54"/>
      <c r="RG176" s="54"/>
      <c r="RH176" s="54"/>
      <c r="RI176" s="54"/>
      <c r="RJ176" s="54"/>
      <c r="RK176" s="54"/>
      <c r="RL176" s="54"/>
      <c r="RM176" s="54"/>
      <c r="RN176" s="54"/>
      <c r="RO176" s="54"/>
      <c r="RP176" s="54"/>
      <c r="RQ176" s="54"/>
      <c r="RR176" s="54"/>
      <c r="RS176" s="54"/>
      <c r="RT176" s="54"/>
      <c r="RU176" s="54"/>
      <c r="RV176" s="54"/>
      <c r="RW176" s="54"/>
      <c r="RX176" s="54"/>
      <c r="RY176" s="54"/>
      <c r="RZ176" s="54"/>
      <c r="SA176" s="54"/>
      <c r="SB176" s="54"/>
      <c r="SC176" s="54"/>
      <c r="SD176" s="54"/>
      <c r="SE176" s="54"/>
      <c r="SF176" s="54"/>
      <c r="SG176" s="54"/>
      <c r="SH176" s="54"/>
      <c r="SI176" s="54"/>
      <c r="SJ176" s="54"/>
      <c r="SK176" s="54"/>
      <c r="SL176" s="54"/>
      <c r="SM176" s="54"/>
      <c r="SN176" s="54"/>
      <c r="SO176" s="54"/>
      <c r="SP176" s="54"/>
      <c r="SQ176" s="54"/>
      <c r="SR176" s="54"/>
    </row>
    <row r="177" spans="1:512" ht="15" customHeight="1" x14ac:dyDescent="0.7">
      <c r="A177" s="172"/>
      <c r="B177" s="172"/>
      <c r="C177" s="172"/>
      <c r="D177" s="172"/>
      <c r="E177" s="172"/>
      <c r="F177" s="172"/>
      <c r="G177" s="172"/>
      <c r="I177" s="72" t="s">
        <v>344</v>
      </c>
      <c r="J177" s="73" t="s">
        <v>344</v>
      </c>
      <c r="K177" s="190"/>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4"/>
      <c r="EF177" s="54"/>
      <c r="EG177" s="54"/>
      <c r="EH177" s="54"/>
      <c r="EI177" s="54"/>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c r="FP177" s="54"/>
      <c r="FQ177" s="54"/>
      <c r="FR177" s="54"/>
      <c r="FS177" s="54"/>
      <c r="FT177" s="54"/>
      <c r="FU177" s="54"/>
      <c r="FV177" s="54"/>
      <c r="FW177" s="54"/>
      <c r="FX177" s="54"/>
      <c r="FY177" s="54"/>
      <c r="FZ177" s="54"/>
      <c r="GA177" s="54"/>
      <c r="GB177" s="54"/>
      <c r="GC177" s="54"/>
      <c r="GD177" s="54"/>
      <c r="GE177" s="54"/>
      <c r="GF177" s="54"/>
      <c r="GG177" s="54"/>
      <c r="GH177" s="54"/>
      <c r="GI177" s="54"/>
      <c r="GJ177" s="54"/>
      <c r="GK177" s="54"/>
      <c r="GL177" s="54"/>
      <c r="GM177" s="54"/>
      <c r="GN177" s="54"/>
      <c r="GO177" s="54"/>
      <c r="GP177" s="54"/>
      <c r="GQ177" s="54"/>
      <c r="GR177" s="54"/>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c r="HP177" s="54"/>
      <c r="HQ177" s="54"/>
      <c r="HR177" s="54"/>
      <c r="HS177" s="54"/>
      <c r="HT177" s="54"/>
      <c r="HU177" s="54"/>
      <c r="HV177" s="54"/>
      <c r="HW177" s="54"/>
      <c r="HX177" s="54"/>
      <c r="HY177" s="54"/>
      <c r="HZ177" s="54"/>
      <c r="IA177" s="54"/>
      <c r="IB177" s="54"/>
      <c r="IC177" s="54"/>
      <c r="ID177" s="54"/>
      <c r="IE177" s="54"/>
      <c r="IF177" s="54"/>
      <c r="IG177" s="54"/>
      <c r="IH177" s="54"/>
      <c r="II177" s="54"/>
      <c r="IJ177" s="54"/>
      <c r="IK177" s="54"/>
      <c r="IL177" s="54"/>
      <c r="IM177" s="54"/>
      <c r="IN177" s="54"/>
      <c r="IO177" s="54"/>
      <c r="IP177" s="54"/>
      <c r="IQ177" s="54"/>
      <c r="IR177" s="54"/>
      <c r="IS177" s="54"/>
      <c r="IT177" s="54"/>
      <c r="IU177" s="54"/>
      <c r="IV177" s="54"/>
      <c r="IW177" s="54"/>
      <c r="IX177" s="54"/>
      <c r="IY177" s="54"/>
      <c r="IZ177" s="54"/>
      <c r="JA177" s="54"/>
      <c r="JB177" s="54"/>
      <c r="JC177" s="54"/>
      <c r="JD177" s="54"/>
      <c r="JE177" s="54"/>
      <c r="JF177" s="54"/>
      <c r="JG177" s="54"/>
      <c r="JH177" s="54"/>
      <c r="JI177" s="54"/>
      <c r="JJ177" s="54"/>
      <c r="JK177" s="54"/>
      <c r="JL177" s="54"/>
      <c r="JM177" s="54"/>
      <c r="JN177" s="54"/>
      <c r="JO177" s="54"/>
      <c r="JP177" s="54"/>
      <c r="JQ177" s="54"/>
      <c r="JR177" s="54"/>
      <c r="JS177" s="54"/>
      <c r="JT177" s="54"/>
      <c r="JU177" s="54"/>
      <c r="JV177" s="54"/>
      <c r="JW177" s="54"/>
      <c r="JX177" s="54"/>
      <c r="JY177" s="54"/>
      <c r="JZ177" s="54"/>
      <c r="KA177" s="54"/>
      <c r="KB177" s="54"/>
      <c r="KC177" s="54"/>
      <c r="KD177" s="54"/>
      <c r="KE177" s="54"/>
      <c r="KF177" s="54"/>
      <c r="KG177" s="54"/>
      <c r="KH177" s="54"/>
      <c r="KI177" s="54"/>
      <c r="KJ177" s="54"/>
      <c r="KK177" s="54"/>
      <c r="KL177" s="54"/>
      <c r="KM177" s="54"/>
      <c r="KN177" s="54"/>
      <c r="KO177" s="54"/>
      <c r="KP177" s="54"/>
      <c r="KQ177" s="54"/>
      <c r="KR177" s="54"/>
      <c r="KS177" s="54"/>
      <c r="KT177" s="54"/>
      <c r="KU177" s="54"/>
      <c r="KV177" s="54"/>
      <c r="KW177" s="54"/>
      <c r="KX177" s="54"/>
      <c r="KY177" s="54"/>
      <c r="KZ177" s="54"/>
      <c r="LA177" s="54"/>
      <c r="LB177" s="54"/>
      <c r="LC177" s="54"/>
      <c r="LD177" s="54"/>
      <c r="LE177" s="54"/>
      <c r="LF177" s="54"/>
      <c r="LG177" s="54"/>
      <c r="LH177" s="54"/>
      <c r="LI177" s="54"/>
      <c r="LJ177" s="54"/>
      <c r="LK177" s="54"/>
      <c r="LL177" s="54"/>
      <c r="LM177" s="54"/>
      <c r="LN177" s="54"/>
      <c r="LO177" s="54"/>
      <c r="LP177" s="54"/>
      <c r="LQ177" s="54"/>
      <c r="LR177" s="54"/>
      <c r="LS177" s="54"/>
      <c r="LT177" s="54"/>
      <c r="LU177" s="54"/>
      <c r="LV177" s="54"/>
      <c r="LW177" s="54"/>
      <c r="LX177" s="54"/>
      <c r="LY177" s="54"/>
      <c r="LZ177" s="54"/>
      <c r="MA177" s="54"/>
      <c r="MB177" s="54"/>
      <c r="MC177" s="54"/>
      <c r="MD177" s="54"/>
      <c r="ME177" s="54"/>
      <c r="MF177" s="54"/>
      <c r="MG177" s="54"/>
      <c r="MH177" s="54"/>
      <c r="MI177" s="54"/>
      <c r="MJ177" s="54"/>
      <c r="MK177" s="54"/>
      <c r="ML177" s="54"/>
      <c r="MM177" s="54"/>
      <c r="MN177" s="54"/>
      <c r="MO177" s="54"/>
      <c r="MP177" s="54"/>
      <c r="MQ177" s="54"/>
      <c r="MR177" s="54"/>
      <c r="MS177" s="54"/>
      <c r="MT177" s="54"/>
      <c r="MU177" s="54"/>
      <c r="MV177" s="54"/>
      <c r="MW177" s="54"/>
      <c r="MX177" s="54"/>
      <c r="MY177" s="54"/>
      <c r="MZ177" s="54"/>
      <c r="NA177" s="54"/>
      <c r="NB177" s="54"/>
      <c r="NC177" s="54"/>
      <c r="ND177" s="54"/>
      <c r="NE177" s="54"/>
      <c r="NF177" s="54"/>
      <c r="NG177" s="54"/>
      <c r="NH177" s="54"/>
      <c r="NI177" s="54"/>
      <c r="NJ177" s="54"/>
      <c r="NK177" s="54"/>
      <c r="NL177" s="54"/>
      <c r="NM177" s="54"/>
      <c r="NN177" s="54"/>
      <c r="NO177" s="54"/>
      <c r="NP177" s="54"/>
      <c r="NQ177" s="54"/>
      <c r="NR177" s="54"/>
      <c r="NS177" s="54"/>
      <c r="NT177" s="54"/>
      <c r="NU177" s="54"/>
      <c r="NV177" s="54"/>
      <c r="NW177" s="54"/>
      <c r="NX177" s="54"/>
      <c r="NY177" s="54"/>
      <c r="NZ177" s="54"/>
      <c r="OA177" s="54"/>
      <c r="OB177" s="54"/>
      <c r="OC177" s="54"/>
      <c r="OD177" s="54"/>
      <c r="OE177" s="54"/>
      <c r="OF177" s="54"/>
      <c r="OG177" s="54"/>
      <c r="OH177" s="54"/>
      <c r="OI177" s="54"/>
      <c r="OJ177" s="54"/>
      <c r="OK177" s="54"/>
      <c r="OL177" s="54"/>
      <c r="OM177" s="54"/>
      <c r="ON177" s="54"/>
      <c r="OO177" s="54"/>
      <c r="OP177" s="54"/>
      <c r="OQ177" s="54"/>
      <c r="OR177" s="54"/>
      <c r="OS177" s="54"/>
      <c r="OT177" s="54"/>
      <c r="OU177" s="54"/>
      <c r="OV177" s="54"/>
      <c r="OW177" s="54"/>
      <c r="OX177" s="54"/>
      <c r="OY177" s="54"/>
      <c r="OZ177" s="54"/>
      <c r="PA177" s="54"/>
      <c r="PB177" s="54"/>
      <c r="PC177" s="54"/>
      <c r="PD177" s="54"/>
      <c r="PE177" s="54"/>
      <c r="PF177" s="54"/>
      <c r="PG177" s="54"/>
      <c r="PH177" s="54"/>
      <c r="PI177" s="54"/>
      <c r="PJ177" s="54"/>
      <c r="PK177" s="54"/>
      <c r="PL177" s="54"/>
      <c r="PM177" s="54"/>
      <c r="PN177" s="54"/>
      <c r="PO177" s="54"/>
      <c r="PP177" s="54"/>
      <c r="PQ177" s="54"/>
      <c r="PR177" s="54"/>
      <c r="PS177" s="54"/>
      <c r="PT177" s="54"/>
      <c r="PU177" s="54"/>
      <c r="PV177" s="54"/>
      <c r="PW177" s="54"/>
      <c r="PX177" s="54"/>
      <c r="PY177" s="54"/>
      <c r="PZ177" s="54"/>
      <c r="QA177" s="54"/>
      <c r="QB177" s="54"/>
      <c r="QC177" s="54"/>
      <c r="QD177" s="54"/>
      <c r="QE177" s="54"/>
      <c r="QF177" s="54"/>
      <c r="QG177" s="54"/>
      <c r="QH177" s="54"/>
      <c r="QI177" s="54"/>
      <c r="QJ177" s="54"/>
      <c r="QK177" s="54"/>
      <c r="QL177" s="54"/>
      <c r="QM177" s="54"/>
      <c r="QN177" s="54"/>
      <c r="QO177" s="54"/>
      <c r="QP177" s="54"/>
      <c r="QQ177" s="54"/>
      <c r="QR177" s="54"/>
      <c r="QS177" s="54"/>
      <c r="QT177" s="54"/>
      <c r="QU177" s="54"/>
      <c r="QV177" s="54"/>
      <c r="QW177" s="54"/>
      <c r="QX177" s="54"/>
      <c r="QY177" s="54"/>
      <c r="QZ177" s="54"/>
      <c r="RA177" s="54"/>
      <c r="RB177" s="54"/>
      <c r="RC177" s="54"/>
      <c r="RD177" s="54"/>
      <c r="RE177" s="54"/>
      <c r="RF177" s="54"/>
      <c r="RG177" s="54"/>
      <c r="RH177" s="54"/>
      <c r="RI177" s="54"/>
      <c r="RJ177" s="54"/>
      <c r="RK177" s="54"/>
      <c r="RL177" s="54"/>
      <c r="RM177" s="54"/>
      <c r="RN177" s="54"/>
      <c r="RO177" s="54"/>
      <c r="RP177" s="54"/>
      <c r="RQ177" s="54"/>
      <c r="RR177" s="54"/>
      <c r="RS177" s="54"/>
      <c r="RT177" s="54"/>
      <c r="RU177" s="54"/>
      <c r="RV177" s="54"/>
      <c r="RW177" s="54"/>
      <c r="RX177" s="54"/>
      <c r="RY177" s="54"/>
      <c r="RZ177" s="54"/>
      <c r="SA177" s="54"/>
      <c r="SB177" s="54"/>
      <c r="SC177" s="54"/>
      <c r="SD177" s="54"/>
      <c r="SE177" s="54"/>
      <c r="SF177" s="54"/>
      <c r="SG177" s="54"/>
      <c r="SH177" s="54"/>
      <c r="SI177" s="54"/>
      <c r="SJ177" s="54"/>
      <c r="SK177" s="54"/>
      <c r="SL177" s="54"/>
      <c r="SM177" s="54"/>
      <c r="SN177" s="54"/>
      <c r="SO177" s="54"/>
      <c r="SP177" s="54"/>
      <c r="SQ177" s="54"/>
      <c r="SR177" s="54"/>
    </row>
    <row r="178" spans="1:512" s="55" customFormat="1" ht="15" customHeight="1" x14ac:dyDescent="0.7">
      <c r="A178" s="173"/>
      <c r="B178" s="173"/>
      <c r="C178" s="173"/>
      <c r="D178" s="173"/>
      <c r="E178" s="173"/>
      <c r="F178" s="173"/>
      <c r="G178" s="173"/>
      <c r="H178" s="74"/>
      <c r="I178" s="75"/>
      <c r="J178" s="76"/>
      <c r="K178" s="191"/>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c r="IX178" s="56"/>
      <c r="IY178" s="56"/>
      <c r="IZ178" s="56"/>
      <c r="JA178" s="56"/>
      <c r="JB178" s="56"/>
      <c r="JC178" s="56"/>
      <c r="JD178" s="56"/>
      <c r="JE178" s="56"/>
      <c r="JF178" s="56"/>
      <c r="JG178" s="56"/>
      <c r="JH178" s="56"/>
      <c r="JI178" s="56"/>
      <c r="JJ178" s="56"/>
      <c r="JK178" s="56"/>
      <c r="JL178" s="56"/>
      <c r="JM178" s="56"/>
      <c r="JN178" s="56"/>
      <c r="JO178" s="56"/>
      <c r="JP178" s="56"/>
      <c r="JQ178" s="56"/>
      <c r="JR178" s="56"/>
      <c r="JS178" s="56"/>
      <c r="JT178" s="56"/>
      <c r="JU178" s="56"/>
      <c r="JV178" s="56"/>
      <c r="JW178" s="56"/>
      <c r="JX178" s="56"/>
      <c r="JY178" s="56"/>
      <c r="JZ178" s="56"/>
      <c r="KA178" s="56"/>
      <c r="KB178" s="56"/>
      <c r="KC178" s="56"/>
      <c r="KD178" s="56"/>
      <c r="KE178" s="56"/>
      <c r="KF178" s="56"/>
      <c r="KG178" s="56"/>
      <c r="KH178" s="56"/>
      <c r="KI178" s="56"/>
      <c r="KJ178" s="56"/>
      <c r="KK178" s="56"/>
      <c r="KL178" s="56"/>
      <c r="KM178" s="56"/>
      <c r="KN178" s="56"/>
      <c r="KO178" s="56"/>
      <c r="KP178" s="56"/>
      <c r="KQ178" s="56"/>
      <c r="KR178" s="56"/>
      <c r="KS178" s="56"/>
      <c r="KT178" s="56"/>
      <c r="KU178" s="56"/>
      <c r="KV178" s="56"/>
      <c r="KW178" s="56"/>
      <c r="KX178" s="56"/>
      <c r="KY178" s="56"/>
      <c r="KZ178" s="56"/>
      <c r="LA178" s="56"/>
      <c r="LB178" s="56"/>
      <c r="LC178" s="56"/>
      <c r="LD178" s="56"/>
      <c r="LE178" s="56"/>
      <c r="LF178" s="56"/>
      <c r="LG178" s="56"/>
      <c r="LH178" s="56"/>
      <c r="LI178" s="56"/>
      <c r="LJ178" s="56"/>
      <c r="LK178" s="56"/>
      <c r="LL178" s="56"/>
      <c r="LM178" s="56"/>
      <c r="LN178" s="56"/>
      <c r="LO178" s="56"/>
      <c r="LP178" s="56"/>
      <c r="LQ178" s="56"/>
      <c r="LR178" s="56"/>
      <c r="LS178" s="56"/>
      <c r="LT178" s="56"/>
      <c r="LU178" s="56"/>
      <c r="LV178" s="56"/>
      <c r="LW178" s="56"/>
      <c r="LX178" s="56"/>
      <c r="LY178" s="56"/>
      <c r="LZ178" s="56"/>
      <c r="MA178" s="56"/>
      <c r="MB178" s="56"/>
      <c r="MC178" s="56"/>
      <c r="MD178" s="56"/>
      <c r="ME178" s="56"/>
      <c r="MF178" s="56"/>
      <c r="MG178" s="56"/>
      <c r="MH178" s="56"/>
      <c r="MI178" s="56"/>
      <c r="MJ178" s="56"/>
      <c r="MK178" s="56"/>
      <c r="ML178" s="56"/>
      <c r="MM178" s="56"/>
      <c r="MN178" s="56"/>
      <c r="MO178" s="56"/>
      <c r="MP178" s="56"/>
      <c r="MQ178" s="56"/>
      <c r="MR178" s="56"/>
      <c r="MS178" s="56"/>
      <c r="MT178" s="56"/>
      <c r="MU178" s="56"/>
      <c r="MV178" s="56"/>
      <c r="MW178" s="56"/>
      <c r="MX178" s="56"/>
      <c r="MY178" s="56"/>
      <c r="MZ178" s="56"/>
      <c r="NA178" s="56"/>
      <c r="NB178" s="56"/>
      <c r="NC178" s="56"/>
      <c r="ND178" s="56"/>
      <c r="NE178" s="56"/>
      <c r="NF178" s="56"/>
      <c r="NG178" s="56"/>
      <c r="NH178" s="56"/>
      <c r="NI178" s="56"/>
      <c r="NJ178" s="56"/>
      <c r="NK178" s="56"/>
      <c r="NL178" s="56"/>
      <c r="NM178" s="56"/>
      <c r="NN178" s="56"/>
      <c r="NO178" s="56"/>
      <c r="NP178" s="56"/>
      <c r="NQ178" s="56"/>
      <c r="NR178" s="56"/>
      <c r="NS178" s="56"/>
      <c r="NT178" s="56"/>
      <c r="NU178" s="56"/>
      <c r="NV178" s="56"/>
      <c r="NW178" s="56"/>
      <c r="NX178" s="56"/>
      <c r="NY178" s="56"/>
      <c r="NZ178" s="56"/>
      <c r="OA178" s="56"/>
      <c r="OB178" s="56"/>
      <c r="OC178" s="56"/>
      <c r="OD178" s="56"/>
      <c r="OE178" s="56"/>
      <c r="OF178" s="56"/>
      <c r="OG178" s="56"/>
      <c r="OH178" s="56"/>
      <c r="OI178" s="56"/>
      <c r="OJ178" s="56"/>
      <c r="OK178" s="56"/>
      <c r="OL178" s="56"/>
      <c r="OM178" s="56"/>
      <c r="ON178" s="56"/>
      <c r="OO178" s="56"/>
      <c r="OP178" s="56"/>
      <c r="OQ178" s="56"/>
      <c r="OR178" s="56"/>
      <c r="OS178" s="56"/>
      <c r="OT178" s="56"/>
      <c r="OU178" s="56"/>
      <c r="OV178" s="56"/>
      <c r="OW178" s="56"/>
      <c r="OX178" s="56"/>
      <c r="OY178" s="56"/>
      <c r="OZ178" s="56"/>
      <c r="PA178" s="56"/>
      <c r="PB178" s="56"/>
      <c r="PC178" s="56"/>
      <c r="PD178" s="56"/>
      <c r="PE178" s="56"/>
      <c r="PF178" s="56"/>
      <c r="PG178" s="56"/>
      <c r="PH178" s="56"/>
      <c r="PI178" s="56"/>
      <c r="PJ178" s="56"/>
      <c r="PK178" s="56"/>
      <c r="PL178" s="56"/>
      <c r="PM178" s="56"/>
      <c r="PN178" s="56"/>
      <c r="PO178" s="56"/>
      <c r="PP178" s="56"/>
      <c r="PQ178" s="56"/>
      <c r="PR178" s="56"/>
      <c r="PS178" s="56"/>
      <c r="PT178" s="56"/>
      <c r="PU178" s="56"/>
      <c r="PV178" s="56"/>
      <c r="PW178" s="56"/>
      <c r="PX178" s="56"/>
      <c r="PY178" s="56"/>
      <c r="PZ178" s="56"/>
      <c r="QA178" s="56"/>
      <c r="QB178" s="56"/>
      <c r="QC178" s="56"/>
      <c r="QD178" s="56"/>
      <c r="QE178" s="56"/>
      <c r="QF178" s="56"/>
      <c r="QG178" s="56"/>
      <c r="QH178" s="56"/>
      <c r="QI178" s="56"/>
      <c r="QJ178" s="56"/>
      <c r="QK178" s="56"/>
      <c r="QL178" s="56"/>
      <c r="QM178" s="56"/>
      <c r="QN178" s="56"/>
      <c r="QO178" s="56"/>
      <c r="QP178" s="56"/>
      <c r="QQ178" s="56"/>
      <c r="QR178" s="56"/>
      <c r="QS178" s="56"/>
      <c r="QT178" s="56"/>
      <c r="QU178" s="56"/>
      <c r="QV178" s="56"/>
      <c r="QW178" s="56"/>
      <c r="QX178" s="56"/>
      <c r="QY178" s="56"/>
      <c r="QZ178" s="56"/>
      <c r="RA178" s="56"/>
      <c r="RB178" s="56"/>
      <c r="RC178" s="56"/>
      <c r="RD178" s="56"/>
      <c r="RE178" s="56"/>
      <c r="RF178" s="56"/>
      <c r="RG178" s="56"/>
      <c r="RH178" s="56"/>
      <c r="RI178" s="56"/>
      <c r="RJ178" s="56"/>
      <c r="RK178" s="56"/>
      <c r="RL178" s="56"/>
      <c r="RM178" s="56"/>
      <c r="RN178" s="56"/>
      <c r="RO178" s="56"/>
      <c r="RP178" s="56"/>
      <c r="RQ178" s="56"/>
      <c r="RR178" s="56"/>
      <c r="RS178" s="56"/>
      <c r="RT178" s="56"/>
      <c r="RU178" s="56"/>
      <c r="RV178" s="56"/>
      <c r="RW178" s="56"/>
      <c r="RX178" s="56"/>
      <c r="RY178" s="56"/>
      <c r="RZ178" s="56"/>
      <c r="SA178" s="56"/>
      <c r="SB178" s="56"/>
      <c r="SC178" s="56"/>
      <c r="SD178" s="56"/>
      <c r="SE178" s="56"/>
      <c r="SF178" s="56"/>
      <c r="SG178" s="56"/>
      <c r="SH178" s="56"/>
      <c r="SI178" s="56"/>
      <c r="SJ178" s="56"/>
      <c r="SK178" s="56"/>
      <c r="SL178" s="56"/>
      <c r="SM178" s="56"/>
      <c r="SN178" s="56"/>
      <c r="SO178" s="56"/>
      <c r="SP178" s="56"/>
      <c r="SQ178" s="56"/>
      <c r="SR178" s="56"/>
    </row>
    <row r="179" spans="1:512" ht="15" customHeight="1" x14ac:dyDescent="0.7">
      <c r="A179" s="171" t="s">
        <v>344</v>
      </c>
      <c r="B179" s="171" t="s">
        <v>344</v>
      </c>
      <c r="C179" s="171" t="s">
        <v>344</v>
      </c>
      <c r="D179" s="171"/>
      <c r="E179" s="171" t="s">
        <v>344</v>
      </c>
      <c r="F179" s="171"/>
      <c r="G179" s="188" t="s">
        <v>344</v>
      </c>
      <c r="H179" s="71" t="s">
        <v>344</v>
      </c>
      <c r="I179" s="72" t="s">
        <v>344</v>
      </c>
      <c r="J179" s="73" t="s">
        <v>344</v>
      </c>
      <c r="K179" s="189" t="s">
        <v>344</v>
      </c>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4"/>
      <c r="EF179" s="54"/>
      <c r="EG179" s="54"/>
      <c r="EH179" s="54"/>
      <c r="EI179" s="54"/>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c r="FP179" s="54"/>
      <c r="FQ179" s="54"/>
      <c r="FR179" s="54"/>
      <c r="FS179" s="54"/>
      <c r="FT179" s="54"/>
      <c r="FU179" s="54"/>
      <c r="FV179" s="54"/>
      <c r="FW179" s="54"/>
      <c r="FX179" s="54"/>
      <c r="FY179" s="54"/>
      <c r="FZ179" s="54"/>
      <c r="GA179" s="54"/>
      <c r="GB179" s="54"/>
      <c r="GC179" s="54"/>
      <c r="GD179" s="54"/>
      <c r="GE179" s="54"/>
      <c r="GF179" s="54"/>
      <c r="GG179" s="54"/>
      <c r="GH179" s="54"/>
      <c r="GI179" s="54"/>
      <c r="GJ179" s="54"/>
      <c r="GK179" s="54"/>
      <c r="GL179" s="54"/>
      <c r="GM179" s="54"/>
      <c r="GN179" s="54"/>
      <c r="GO179" s="54"/>
      <c r="GP179" s="54"/>
      <c r="GQ179" s="54"/>
      <c r="GR179" s="54"/>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c r="HP179" s="54"/>
      <c r="HQ179" s="54"/>
      <c r="HR179" s="54"/>
      <c r="HS179" s="54"/>
      <c r="HT179" s="54"/>
      <c r="HU179" s="54"/>
      <c r="HV179" s="54"/>
      <c r="HW179" s="54"/>
      <c r="HX179" s="54"/>
      <c r="HY179" s="54"/>
      <c r="HZ179" s="54"/>
      <c r="IA179" s="54"/>
      <c r="IB179" s="54"/>
      <c r="IC179" s="54"/>
      <c r="ID179" s="54"/>
      <c r="IE179" s="54"/>
      <c r="IF179" s="54"/>
      <c r="IG179" s="54"/>
      <c r="IH179" s="54"/>
      <c r="II179" s="54"/>
      <c r="IJ179" s="54"/>
      <c r="IK179" s="54"/>
      <c r="IL179" s="54"/>
      <c r="IM179" s="54"/>
      <c r="IN179" s="54"/>
      <c r="IO179" s="54"/>
      <c r="IP179" s="54"/>
      <c r="IQ179" s="54"/>
      <c r="IR179" s="54"/>
      <c r="IS179" s="54"/>
      <c r="IT179" s="54"/>
      <c r="IU179" s="54"/>
      <c r="IV179" s="54"/>
      <c r="IW179" s="54"/>
      <c r="IX179" s="54"/>
      <c r="IY179" s="54"/>
      <c r="IZ179" s="54"/>
      <c r="JA179" s="54"/>
      <c r="JB179" s="54"/>
      <c r="JC179" s="54"/>
      <c r="JD179" s="54"/>
      <c r="JE179" s="54"/>
      <c r="JF179" s="54"/>
      <c r="JG179" s="54"/>
      <c r="JH179" s="54"/>
      <c r="JI179" s="54"/>
      <c r="JJ179" s="54"/>
      <c r="JK179" s="54"/>
      <c r="JL179" s="54"/>
      <c r="JM179" s="54"/>
      <c r="JN179" s="54"/>
      <c r="JO179" s="54"/>
      <c r="JP179" s="54"/>
      <c r="JQ179" s="54"/>
      <c r="JR179" s="54"/>
      <c r="JS179" s="54"/>
      <c r="JT179" s="54"/>
      <c r="JU179" s="54"/>
      <c r="JV179" s="54"/>
      <c r="JW179" s="54"/>
      <c r="JX179" s="54"/>
      <c r="JY179" s="54"/>
      <c r="JZ179" s="54"/>
      <c r="KA179" s="54"/>
      <c r="KB179" s="54"/>
      <c r="KC179" s="54"/>
      <c r="KD179" s="54"/>
      <c r="KE179" s="54"/>
      <c r="KF179" s="54"/>
      <c r="KG179" s="54"/>
      <c r="KH179" s="54"/>
      <c r="KI179" s="54"/>
      <c r="KJ179" s="54"/>
      <c r="KK179" s="54"/>
      <c r="KL179" s="54"/>
      <c r="KM179" s="54"/>
      <c r="KN179" s="54"/>
      <c r="KO179" s="54"/>
      <c r="KP179" s="54"/>
      <c r="KQ179" s="54"/>
      <c r="KR179" s="54"/>
      <c r="KS179" s="54"/>
      <c r="KT179" s="54"/>
      <c r="KU179" s="54"/>
      <c r="KV179" s="54"/>
      <c r="KW179" s="54"/>
      <c r="KX179" s="54"/>
      <c r="KY179" s="54"/>
      <c r="KZ179" s="54"/>
      <c r="LA179" s="54"/>
      <c r="LB179" s="54"/>
      <c r="LC179" s="54"/>
      <c r="LD179" s="54"/>
      <c r="LE179" s="54"/>
      <c r="LF179" s="54"/>
      <c r="LG179" s="54"/>
      <c r="LH179" s="54"/>
      <c r="LI179" s="54"/>
      <c r="LJ179" s="54"/>
      <c r="LK179" s="54"/>
      <c r="LL179" s="54"/>
      <c r="LM179" s="54"/>
      <c r="LN179" s="54"/>
      <c r="LO179" s="54"/>
      <c r="LP179" s="54"/>
      <c r="LQ179" s="54"/>
      <c r="LR179" s="54"/>
      <c r="LS179" s="54"/>
      <c r="LT179" s="54"/>
      <c r="LU179" s="54"/>
      <c r="LV179" s="54"/>
      <c r="LW179" s="54"/>
      <c r="LX179" s="54"/>
      <c r="LY179" s="54"/>
      <c r="LZ179" s="54"/>
      <c r="MA179" s="54"/>
      <c r="MB179" s="54"/>
      <c r="MC179" s="54"/>
      <c r="MD179" s="54"/>
      <c r="ME179" s="54"/>
      <c r="MF179" s="54"/>
      <c r="MG179" s="54"/>
      <c r="MH179" s="54"/>
      <c r="MI179" s="54"/>
      <c r="MJ179" s="54"/>
      <c r="MK179" s="54"/>
      <c r="ML179" s="54"/>
      <c r="MM179" s="54"/>
      <c r="MN179" s="54"/>
      <c r="MO179" s="54"/>
      <c r="MP179" s="54"/>
      <c r="MQ179" s="54"/>
      <c r="MR179" s="54"/>
      <c r="MS179" s="54"/>
      <c r="MT179" s="54"/>
      <c r="MU179" s="54"/>
      <c r="MV179" s="54"/>
      <c r="MW179" s="54"/>
      <c r="MX179" s="54"/>
      <c r="MY179" s="54"/>
      <c r="MZ179" s="54"/>
      <c r="NA179" s="54"/>
      <c r="NB179" s="54"/>
      <c r="NC179" s="54"/>
      <c r="ND179" s="54"/>
      <c r="NE179" s="54"/>
      <c r="NF179" s="54"/>
      <c r="NG179" s="54"/>
      <c r="NH179" s="54"/>
      <c r="NI179" s="54"/>
      <c r="NJ179" s="54"/>
      <c r="NK179" s="54"/>
      <c r="NL179" s="54"/>
      <c r="NM179" s="54"/>
      <c r="NN179" s="54"/>
      <c r="NO179" s="54"/>
      <c r="NP179" s="54"/>
      <c r="NQ179" s="54"/>
      <c r="NR179" s="54"/>
      <c r="NS179" s="54"/>
      <c r="NT179" s="54"/>
      <c r="NU179" s="54"/>
      <c r="NV179" s="54"/>
      <c r="NW179" s="54"/>
      <c r="NX179" s="54"/>
      <c r="NY179" s="54"/>
      <c r="NZ179" s="54"/>
      <c r="OA179" s="54"/>
      <c r="OB179" s="54"/>
      <c r="OC179" s="54"/>
      <c r="OD179" s="54"/>
      <c r="OE179" s="54"/>
      <c r="OF179" s="54"/>
      <c r="OG179" s="54"/>
      <c r="OH179" s="54"/>
      <c r="OI179" s="54"/>
      <c r="OJ179" s="54"/>
      <c r="OK179" s="54"/>
      <c r="OL179" s="54"/>
      <c r="OM179" s="54"/>
      <c r="ON179" s="54"/>
      <c r="OO179" s="54"/>
      <c r="OP179" s="54"/>
      <c r="OQ179" s="54"/>
      <c r="OR179" s="54"/>
      <c r="OS179" s="54"/>
      <c r="OT179" s="54"/>
      <c r="OU179" s="54"/>
      <c r="OV179" s="54"/>
      <c r="OW179" s="54"/>
      <c r="OX179" s="54"/>
      <c r="OY179" s="54"/>
      <c r="OZ179" s="54"/>
      <c r="PA179" s="54"/>
      <c r="PB179" s="54"/>
      <c r="PC179" s="54"/>
      <c r="PD179" s="54"/>
      <c r="PE179" s="54"/>
      <c r="PF179" s="54"/>
      <c r="PG179" s="54"/>
      <c r="PH179" s="54"/>
      <c r="PI179" s="54"/>
      <c r="PJ179" s="54"/>
      <c r="PK179" s="54"/>
      <c r="PL179" s="54"/>
      <c r="PM179" s="54"/>
      <c r="PN179" s="54"/>
      <c r="PO179" s="54"/>
      <c r="PP179" s="54"/>
      <c r="PQ179" s="54"/>
      <c r="PR179" s="54"/>
      <c r="PS179" s="54"/>
      <c r="PT179" s="54"/>
      <c r="PU179" s="54"/>
      <c r="PV179" s="54"/>
      <c r="PW179" s="54"/>
      <c r="PX179" s="54"/>
      <c r="PY179" s="54"/>
      <c r="PZ179" s="54"/>
      <c r="QA179" s="54"/>
      <c r="QB179" s="54"/>
      <c r="QC179" s="54"/>
      <c r="QD179" s="54"/>
      <c r="QE179" s="54"/>
      <c r="QF179" s="54"/>
      <c r="QG179" s="54"/>
      <c r="QH179" s="54"/>
      <c r="QI179" s="54"/>
      <c r="QJ179" s="54"/>
      <c r="QK179" s="54"/>
      <c r="QL179" s="54"/>
      <c r="QM179" s="54"/>
      <c r="QN179" s="54"/>
      <c r="QO179" s="54"/>
      <c r="QP179" s="54"/>
      <c r="QQ179" s="54"/>
      <c r="QR179" s="54"/>
      <c r="QS179" s="54"/>
      <c r="QT179" s="54"/>
      <c r="QU179" s="54"/>
      <c r="QV179" s="54"/>
      <c r="QW179" s="54"/>
      <c r="QX179" s="54"/>
      <c r="QY179" s="54"/>
      <c r="QZ179" s="54"/>
      <c r="RA179" s="54"/>
      <c r="RB179" s="54"/>
      <c r="RC179" s="54"/>
      <c r="RD179" s="54"/>
      <c r="RE179" s="54"/>
      <c r="RF179" s="54"/>
      <c r="RG179" s="54"/>
      <c r="RH179" s="54"/>
      <c r="RI179" s="54"/>
      <c r="RJ179" s="54"/>
      <c r="RK179" s="54"/>
      <c r="RL179" s="54"/>
      <c r="RM179" s="54"/>
      <c r="RN179" s="54"/>
      <c r="RO179" s="54"/>
      <c r="RP179" s="54"/>
      <c r="RQ179" s="54"/>
      <c r="RR179" s="54"/>
      <c r="RS179" s="54"/>
      <c r="RT179" s="54"/>
      <c r="RU179" s="54"/>
      <c r="RV179" s="54"/>
      <c r="RW179" s="54"/>
      <c r="RX179" s="54"/>
      <c r="RY179" s="54"/>
      <c r="RZ179" s="54"/>
      <c r="SA179" s="54"/>
      <c r="SB179" s="54"/>
      <c r="SC179" s="54"/>
      <c r="SD179" s="54"/>
      <c r="SE179" s="54"/>
      <c r="SF179" s="54"/>
      <c r="SG179" s="54"/>
      <c r="SH179" s="54"/>
      <c r="SI179" s="54"/>
      <c r="SJ179" s="54"/>
      <c r="SK179" s="54"/>
      <c r="SL179" s="54"/>
      <c r="SM179" s="54"/>
      <c r="SN179" s="54"/>
      <c r="SO179" s="54"/>
      <c r="SP179" s="54"/>
      <c r="SQ179" s="54"/>
      <c r="SR179" s="54"/>
    </row>
    <row r="180" spans="1:512" ht="15" customHeight="1" x14ac:dyDescent="0.7">
      <c r="A180" s="172"/>
      <c r="B180" s="172"/>
      <c r="C180" s="172"/>
      <c r="D180" s="172"/>
      <c r="E180" s="172"/>
      <c r="F180" s="172"/>
      <c r="G180" s="172"/>
      <c r="I180" s="72" t="s">
        <v>344</v>
      </c>
      <c r="J180" s="73" t="s">
        <v>344</v>
      </c>
      <c r="K180" s="190"/>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4"/>
      <c r="EF180" s="54"/>
      <c r="EG180" s="54"/>
      <c r="EH180" s="54"/>
      <c r="EI180" s="54"/>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c r="FP180" s="54"/>
      <c r="FQ180" s="54"/>
      <c r="FR180" s="54"/>
      <c r="FS180" s="54"/>
      <c r="FT180" s="54"/>
      <c r="FU180" s="54"/>
      <c r="FV180" s="54"/>
      <c r="FW180" s="54"/>
      <c r="FX180" s="54"/>
      <c r="FY180" s="54"/>
      <c r="FZ180" s="54"/>
      <c r="GA180" s="54"/>
      <c r="GB180" s="54"/>
      <c r="GC180" s="54"/>
      <c r="GD180" s="54"/>
      <c r="GE180" s="54"/>
      <c r="GF180" s="54"/>
      <c r="GG180" s="54"/>
      <c r="GH180" s="54"/>
      <c r="GI180" s="54"/>
      <c r="GJ180" s="54"/>
      <c r="GK180" s="54"/>
      <c r="GL180" s="54"/>
      <c r="GM180" s="54"/>
      <c r="GN180" s="54"/>
      <c r="GO180" s="54"/>
      <c r="GP180" s="54"/>
      <c r="GQ180" s="54"/>
      <c r="GR180" s="54"/>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c r="HP180" s="54"/>
      <c r="HQ180" s="54"/>
      <c r="HR180" s="54"/>
      <c r="HS180" s="54"/>
      <c r="HT180" s="54"/>
      <c r="HU180" s="54"/>
      <c r="HV180" s="54"/>
      <c r="HW180" s="54"/>
      <c r="HX180" s="54"/>
      <c r="HY180" s="54"/>
      <c r="HZ180" s="54"/>
      <c r="IA180" s="54"/>
      <c r="IB180" s="54"/>
      <c r="IC180" s="54"/>
      <c r="ID180" s="54"/>
      <c r="IE180" s="54"/>
      <c r="IF180" s="54"/>
      <c r="IG180" s="54"/>
      <c r="IH180" s="54"/>
      <c r="II180" s="54"/>
      <c r="IJ180" s="54"/>
      <c r="IK180" s="54"/>
      <c r="IL180" s="54"/>
      <c r="IM180" s="54"/>
      <c r="IN180" s="54"/>
      <c r="IO180" s="54"/>
      <c r="IP180" s="54"/>
      <c r="IQ180" s="54"/>
      <c r="IR180" s="54"/>
      <c r="IS180" s="54"/>
      <c r="IT180" s="54"/>
      <c r="IU180" s="54"/>
      <c r="IV180" s="54"/>
      <c r="IW180" s="54"/>
      <c r="IX180" s="54"/>
      <c r="IY180" s="54"/>
      <c r="IZ180" s="54"/>
      <c r="JA180" s="54"/>
      <c r="JB180" s="54"/>
      <c r="JC180" s="54"/>
      <c r="JD180" s="54"/>
      <c r="JE180" s="54"/>
      <c r="JF180" s="54"/>
      <c r="JG180" s="54"/>
      <c r="JH180" s="54"/>
      <c r="JI180" s="54"/>
      <c r="JJ180" s="54"/>
      <c r="JK180" s="54"/>
      <c r="JL180" s="54"/>
      <c r="JM180" s="54"/>
      <c r="JN180" s="54"/>
      <c r="JO180" s="54"/>
      <c r="JP180" s="54"/>
      <c r="JQ180" s="54"/>
      <c r="JR180" s="54"/>
      <c r="JS180" s="54"/>
      <c r="JT180" s="54"/>
      <c r="JU180" s="54"/>
      <c r="JV180" s="54"/>
      <c r="JW180" s="54"/>
      <c r="JX180" s="54"/>
      <c r="JY180" s="54"/>
      <c r="JZ180" s="54"/>
      <c r="KA180" s="54"/>
      <c r="KB180" s="54"/>
      <c r="KC180" s="54"/>
      <c r="KD180" s="54"/>
      <c r="KE180" s="54"/>
      <c r="KF180" s="54"/>
      <c r="KG180" s="54"/>
      <c r="KH180" s="54"/>
      <c r="KI180" s="54"/>
      <c r="KJ180" s="54"/>
      <c r="KK180" s="54"/>
      <c r="KL180" s="54"/>
      <c r="KM180" s="54"/>
      <c r="KN180" s="54"/>
      <c r="KO180" s="54"/>
      <c r="KP180" s="54"/>
      <c r="KQ180" s="54"/>
      <c r="KR180" s="54"/>
      <c r="KS180" s="54"/>
      <c r="KT180" s="54"/>
      <c r="KU180" s="54"/>
      <c r="KV180" s="54"/>
      <c r="KW180" s="54"/>
      <c r="KX180" s="54"/>
      <c r="KY180" s="54"/>
      <c r="KZ180" s="54"/>
      <c r="LA180" s="54"/>
      <c r="LB180" s="54"/>
      <c r="LC180" s="54"/>
      <c r="LD180" s="54"/>
      <c r="LE180" s="54"/>
      <c r="LF180" s="54"/>
      <c r="LG180" s="54"/>
      <c r="LH180" s="54"/>
      <c r="LI180" s="54"/>
      <c r="LJ180" s="54"/>
      <c r="LK180" s="54"/>
      <c r="LL180" s="54"/>
      <c r="LM180" s="54"/>
      <c r="LN180" s="54"/>
      <c r="LO180" s="54"/>
      <c r="LP180" s="54"/>
      <c r="LQ180" s="54"/>
      <c r="LR180" s="54"/>
      <c r="LS180" s="54"/>
      <c r="LT180" s="54"/>
      <c r="LU180" s="54"/>
      <c r="LV180" s="54"/>
      <c r="LW180" s="54"/>
      <c r="LX180" s="54"/>
      <c r="LY180" s="54"/>
      <c r="LZ180" s="54"/>
      <c r="MA180" s="54"/>
      <c r="MB180" s="54"/>
      <c r="MC180" s="54"/>
      <c r="MD180" s="54"/>
      <c r="ME180" s="54"/>
      <c r="MF180" s="54"/>
      <c r="MG180" s="54"/>
      <c r="MH180" s="54"/>
      <c r="MI180" s="54"/>
      <c r="MJ180" s="54"/>
      <c r="MK180" s="54"/>
      <c r="ML180" s="54"/>
      <c r="MM180" s="54"/>
      <c r="MN180" s="54"/>
      <c r="MO180" s="54"/>
      <c r="MP180" s="54"/>
      <c r="MQ180" s="54"/>
      <c r="MR180" s="54"/>
      <c r="MS180" s="54"/>
      <c r="MT180" s="54"/>
      <c r="MU180" s="54"/>
      <c r="MV180" s="54"/>
      <c r="MW180" s="54"/>
      <c r="MX180" s="54"/>
      <c r="MY180" s="54"/>
      <c r="MZ180" s="54"/>
      <c r="NA180" s="54"/>
      <c r="NB180" s="54"/>
      <c r="NC180" s="54"/>
      <c r="ND180" s="54"/>
      <c r="NE180" s="54"/>
      <c r="NF180" s="54"/>
      <c r="NG180" s="54"/>
      <c r="NH180" s="54"/>
      <c r="NI180" s="54"/>
      <c r="NJ180" s="54"/>
      <c r="NK180" s="54"/>
      <c r="NL180" s="54"/>
      <c r="NM180" s="54"/>
      <c r="NN180" s="54"/>
      <c r="NO180" s="54"/>
      <c r="NP180" s="54"/>
      <c r="NQ180" s="54"/>
      <c r="NR180" s="54"/>
      <c r="NS180" s="54"/>
      <c r="NT180" s="54"/>
      <c r="NU180" s="54"/>
      <c r="NV180" s="54"/>
      <c r="NW180" s="54"/>
      <c r="NX180" s="54"/>
      <c r="NY180" s="54"/>
      <c r="NZ180" s="54"/>
      <c r="OA180" s="54"/>
      <c r="OB180" s="54"/>
      <c r="OC180" s="54"/>
      <c r="OD180" s="54"/>
      <c r="OE180" s="54"/>
      <c r="OF180" s="54"/>
      <c r="OG180" s="54"/>
      <c r="OH180" s="54"/>
      <c r="OI180" s="54"/>
      <c r="OJ180" s="54"/>
      <c r="OK180" s="54"/>
      <c r="OL180" s="54"/>
      <c r="OM180" s="54"/>
      <c r="ON180" s="54"/>
      <c r="OO180" s="54"/>
      <c r="OP180" s="54"/>
      <c r="OQ180" s="54"/>
      <c r="OR180" s="54"/>
      <c r="OS180" s="54"/>
      <c r="OT180" s="54"/>
      <c r="OU180" s="54"/>
      <c r="OV180" s="54"/>
      <c r="OW180" s="54"/>
      <c r="OX180" s="54"/>
      <c r="OY180" s="54"/>
      <c r="OZ180" s="54"/>
      <c r="PA180" s="54"/>
      <c r="PB180" s="54"/>
      <c r="PC180" s="54"/>
      <c r="PD180" s="54"/>
      <c r="PE180" s="54"/>
      <c r="PF180" s="54"/>
      <c r="PG180" s="54"/>
      <c r="PH180" s="54"/>
      <c r="PI180" s="54"/>
      <c r="PJ180" s="54"/>
      <c r="PK180" s="54"/>
      <c r="PL180" s="54"/>
      <c r="PM180" s="54"/>
      <c r="PN180" s="54"/>
      <c r="PO180" s="54"/>
      <c r="PP180" s="54"/>
      <c r="PQ180" s="54"/>
      <c r="PR180" s="54"/>
      <c r="PS180" s="54"/>
      <c r="PT180" s="54"/>
      <c r="PU180" s="54"/>
      <c r="PV180" s="54"/>
      <c r="PW180" s="54"/>
      <c r="PX180" s="54"/>
      <c r="PY180" s="54"/>
      <c r="PZ180" s="54"/>
      <c r="QA180" s="54"/>
      <c r="QB180" s="54"/>
      <c r="QC180" s="54"/>
      <c r="QD180" s="54"/>
      <c r="QE180" s="54"/>
      <c r="QF180" s="54"/>
      <c r="QG180" s="54"/>
      <c r="QH180" s="54"/>
      <c r="QI180" s="54"/>
      <c r="QJ180" s="54"/>
      <c r="QK180" s="54"/>
      <c r="QL180" s="54"/>
      <c r="QM180" s="54"/>
      <c r="QN180" s="54"/>
      <c r="QO180" s="54"/>
      <c r="QP180" s="54"/>
      <c r="QQ180" s="54"/>
      <c r="QR180" s="54"/>
      <c r="QS180" s="54"/>
      <c r="QT180" s="54"/>
      <c r="QU180" s="54"/>
      <c r="QV180" s="54"/>
      <c r="QW180" s="54"/>
      <c r="QX180" s="54"/>
      <c r="QY180" s="54"/>
      <c r="QZ180" s="54"/>
      <c r="RA180" s="54"/>
      <c r="RB180" s="54"/>
      <c r="RC180" s="54"/>
      <c r="RD180" s="54"/>
      <c r="RE180" s="54"/>
      <c r="RF180" s="54"/>
      <c r="RG180" s="54"/>
      <c r="RH180" s="54"/>
      <c r="RI180" s="54"/>
      <c r="RJ180" s="54"/>
      <c r="RK180" s="54"/>
      <c r="RL180" s="54"/>
      <c r="RM180" s="54"/>
      <c r="RN180" s="54"/>
      <c r="RO180" s="54"/>
      <c r="RP180" s="54"/>
      <c r="RQ180" s="54"/>
      <c r="RR180" s="54"/>
      <c r="RS180" s="54"/>
      <c r="RT180" s="54"/>
      <c r="RU180" s="54"/>
      <c r="RV180" s="54"/>
      <c r="RW180" s="54"/>
      <c r="RX180" s="54"/>
      <c r="RY180" s="54"/>
      <c r="RZ180" s="54"/>
      <c r="SA180" s="54"/>
      <c r="SB180" s="54"/>
      <c r="SC180" s="54"/>
      <c r="SD180" s="54"/>
      <c r="SE180" s="54"/>
      <c r="SF180" s="54"/>
      <c r="SG180" s="54"/>
      <c r="SH180" s="54"/>
      <c r="SI180" s="54"/>
      <c r="SJ180" s="54"/>
      <c r="SK180" s="54"/>
      <c r="SL180" s="54"/>
      <c r="SM180" s="54"/>
      <c r="SN180" s="54"/>
      <c r="SO180" s="54"/>
      <c r="SP180" s="54"/>
      <c r="SQ180" s="54"/>
      <c r="SR180" s="54"/>
    </row>
    <row r="181" spans="1:512" s="55" customFormat="1" ht="15" customHeight="1" x14ac:dyDescent="0.7">
      <c r="A181" s="173"/>
      <c r="B181" s="173"/>
      <c r="C181" s="173"/>
      <c r="D181" s="173"/>
      <c r="E181" s="173"/>
      <c r="F181" s="173"/>
      <c r="G181" s="173"/>
      <c r="H181" s="74"/>
      <c r="I181" s="75"/>
      <c r="J181" s="76"/>
      <c r="K181" s="191"/>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c r="CA181" s="56"/>
      <c r="CB181" s="56"/>
      <c r="CC181" s="56"/>
      <c r="CD181" s="56"/>
      <c r="CE181" s="56"/>
      <c r="CF181" s="56"/>
      <c r="CG181" s="56"/>
      <c r="CH181" s="56"/>
      <c r="CI181" s="56"/>
      <c r="CJ181" s="56"/>
      <c r="CK181" s="56"/>
      <c r="CL181" s="56"/>
      <c r="CM181" s="56"/>
      <c r="CN181" s="56"/>
      <c r="CO181" s="56"/>
      <c r="CP181" s="56"/>
      <c r="CQ181" s="56"/>
      <c r="CR181" s="56"/>
      <c r="CS181" s="56"/>
      <c r="CT181" s="56"/>
      <c r="CU181" s="56"/>
      <c r="CV181" s="56"/>
      <c r="CW181" s="56"/>
      <c r="CX181" s="56"/>
      <c r="CY181" s="56"/>
      <c r="CZ181" s="56"/>
      <c r="DA181" s="56"/>
      <c r="DB181" s="56"/>
      <c r="DC181" s="56"/>
      <c r="DD181" s="56"/>
      <c r="DE181" s="56"/>
      <c r="DF181" s="56"/>
      <c r="DG181" s="56"/>
      <c r="DH181" s="56"/>
      <c r="DI181" s="56"/>
      <c r="DJ181" s="56"/>
      <c r="DK181" s="56"/>
      <c r="DL181" s="56"/>
      <c r="DM181" s="56"/>
      <c r="DN181" s="56"/>
      <c r="DO181" s="56"/>
      <c r="DP181" s="56"/>
      <c r="DQ181" s="56"/>
      <c r="DR181" s="56"/>
      <c r="DS181" s="56"/>
      <c r="DT181" s="56"/>
      <c r="DU181" s="56"/>
      <c r="DV181" s="56"/>
      <c r="DW181" s="56"/>
      <c r="DX181" s="56"/>
      <c r="DY181" s="56"/>
      <c r="DZ181" s="56"/>
      <c r="EA181" s="56"/>
      <c r="EB181" s="56"/>
      <c r="EC181" s="56"/>
      <c r="ED181" s="56"/>
      <c r="EE181" s="56"/>
      <c r="EF181" s="56"/>
      <c r="EG181" s="56"/>
      <c r="EH181" s="56"/>
      <c r="EI181" s="56"/>
      <c r="EJ181" s="56"/>
      <c r="EK181" s="56"/>
      <c r="EL181" s="56"/>
      <c r="EM181" s="56"/>
      <c r="EN181" s="56"/>
      <c r="EO181" s="56"/>
      <c r="EP181" s="56"/>
      <c r="EQ181" s="56"/>
      <c r="ER181" s="56"/>
      <c r="ES181" s="56"/>
      <c r="ET181" s="56"/>
      <c r="EU181" s="56"/>
      <c r="EV181" s="56"/>
      <c r="EW181" s="56"/>
      <c r="EX181" s="56"/>
      <c r="EY181" s="56"/>
      <c r="EZ181" s="56"/>
      <c r="FA181" s="56"/>
      <c r="FB181" s="56"/>
      <c r="FC181" s="56"/>
      <c r="FD181" s="56"/>
      <c r="FE181" s="56"/>
      <c r="FF181" s="56"/>
      <c r="FG181" s="56"/>
      <c r="FH181" s="56"/>
      <c r="FI181" s="56"/>
      <c r="FJ181" s="56"/>
      <c r="FK181" s="56"/>
      <c r="FL181" s="56"/>
      <c r="FM181" s="56"/>
      <c r="FN181" s="56"/>
      <c r="FO181" s="56"/>
      <c r="FP181" s="56"/>
      <c r="FQ181" s="56"/>
      <c r="FR181" s="56"/>
      <c r="FS181" s="56"/>
      <c r="FT181" s="56"/>
      <c r="FU181" s="56"/>
      <c r="FV181" s="56"/>
      <c r="FW181" s="56"/>
      <c r="FX181" s="56"/>
      <c r="FY181" s="56"/>
      <c r="FZ181" s="56"/>
      <c r="GA181" s="56"/>
      <c r="GB181" s="56"/>
      <c r="GC181" s="56"/>
      <c r="GD181" s="56"/>
      <c r="GE181" s="56"/>
      <c r="GF181" s="56"/>
      <c r="GG181" s="56"/>
      <c r="GH181" s="56"/>
      <c r="GI181" s="56"/>
      <c r="GJ181" s="56"/>
      <c r="GK181" s="56"/>
      <c r="GL181" s="56"/>
      <c r="GM181" s="56"/>
      <c r="GN181" s="56"/>
      <c r="GO181" s="56"/>
      <c r="GP181" s="56"/>
      <c r="GQ181" s="56"/>
      <c r="GR181" s="56"/>
      <c r="GS181" s="56"/>
      <c r="GT181" s="56"/>
      <c r="GU181" s="56"/>
      <c r="GV181" s="56"/>
      <c r="GW181" s="56"/>
      <c r="GX181" s="56"/>
      <c r="GY181" s="56"/>
      <c r="GZ181" s="56"/>
      <c r="HA181" s="56"/>
      <c r="HB181" s="56"/>
      <c r="HC181" s="56"/>
      <c r="HD181" s="56"/>
      <c r="HE181" s="56"/>
      <c r="HF181" s="56"/>
      <c r="HG181" s="56"/>
      <c r="HH181" s="56"/>
      <c r="HI181" s="56"/>
      <c r="HJ181" s="56"/>
      <c r="HK181" s="56"/>
      <c r="HL181" s="56"/>
      <c r="HM181" s="56"/>
      <c r="HN181" s="56"/>
      <c r="HO181" s="56"/>
      <c r="HP181" s="56"/>
      <c r="HQ181" s="56"/>
      <c r="HR181" s="56"/>
      <c r="HS181" s="56"/>
      <c r="HT181" s="56"/>
      <c r="HU181" s="56"/>
      <c r="HV181" s="56"/>
      <c r="HW181" s="56"/>
      <c r="HX181" s="56"/>
      <c r="HY181" s="56"/>
      <c r="HZ181" s="56"/>
      <c r="IA181" s="56"/>
      <c r="IB181" s="56"/>
      <c r="IC181" s="56"/>
      <c r="ID181" s="56"/>
      <c r="IE181" s="56"/>
      <c r="IF181" s="56"/>
      <c r="IG181" s="56"/>
      <c r="IH181" s="56"/>
      <c r="II181" s="56"/>
      <c r="IJ181" s="56"/>
      <c r="IK181" s="56"/>
      <c r="IL181" s="56"/>
      <c r="IM181" s="56"/>
      <c r="IN181" s="56"/>
      <c r="IO181" s="56"/>
      <c r="IP181" s="56"/>
      <c r="IQ181" s="56"/>
      <c r="IR181" s="56"/>
      <c r="IS181" s="56"/>
      <c r="IT181" s="56"/>
      <c r="IU181" s="56"/>
      <c r="IV181" s="56"/>
      <c r="IW181" s="56"/>
      <c r="IX181" s="56"/>
      <c r="IY181" s="56"/>
      <c r="IZ181" s="56"/>
      <c r="JA181" s="56"/>
      <c r="JB181" s="56"/>
      <c r="JC181" s="56"/>
      <c r="JD181" s="56"/>
      <c r="JE181" s="56"/>
      <c r="JF181" s="56"/>
      <c r="JG181" s="56"/>
      <c r="JH181" s="56"/>
      <c r="JI181" s="56"/>
      <c r="JJ181" s="56"/>
      <c r="JK181" s="56"/>
      <c r="JL181" s="56"/>
      <c r="JM181" s="56"/>
      <c r="JN181" s="56"/>
      <c r="JO181" s="56"/>
      <c r="JP181" s="56"/>
      <c r="JQ181" s="56"/>
      <c r="JR181" s="56"/>
      <c r="JS181" s="56"/>
      <c r="JT181" s="56"/>
      <c r="JU181" s="56"/>
      <c r="JV181" s="56"/>
      <c r="JW181" s="56"/>
      <c r="JX181" s="56"/>
      <c r="JY181" s="56"/>
      <c r="JZ181" s="56"/>
      <c r="KA181" s="56"/>
      <c r="KB181" s="56"/>
      <c r="KC181" s="56"/>
      <c r="KD181" s="56"/>
      <c r="KE181" s="56"/>
      <c r="KF181" s="56"/>
      <c r="KG181" s="56"/>
      <c r="KH181" s="56"/>
      <c r="KI181" s="56"/>
      <c r="KJ181" s="56"/>
      <c r="KK181" s="56"/>
      <c r="KL181" s="56"/>
      <c r="KM181" s="56"/>
      <c r="KN181" s="56"/>
      <c r="KO181" s="56"/>
      <c r="KP181" s="56"/>
      <c r="KQ181" s="56"/>
      <c r="KR181" s="56"/>
      <c r="KS181" s="56"/>
      <c r="KT181" s="56"/>
      <c r="KU181" s="56"/>
      <c r="KV181" s="56"/>
      <c r="KW181" s="56"/>
      <c r="KX181" s="56"/>
      <c r="KY181" s="56"/>
      <c r="KZ181" s="56"/>
      <c r="LA181" s="56"/>
      <c r="LB181" s="56"/>
      <c r="LC181" s="56"/>
      <c r="LD181" s="56"/>
      <c r="LE181" s="56"/>
      <c r="LF181" s="56"/>
      <c r="LG181" s="56"/>
      <c r="LH181" s="56"/>
      <c r="LI181" s="56"/>
      <c r="LJ181" s="56"/>
      <c r="LK181" s="56"/>
      <c r="LL181" s="56"/>
      <c r="LM181" s="56"/>
      <c r="LN181" s="56"/>
      <c r="LO181" s="56"/>
      <c r="LP181" s="56"/>
      <c r="LQ181" s="56"/>
      <c r="LR181" s="56"/>
      <c r="LS181" s="56"/>
      <c r="LT181" s="56"/>
      <c r="LU181" s="56"/>
      <c r="LV181" s="56"/>
      <c r="LW181" s="56"/>
      <c r="LX181" s="56"/>
      <c r="LY181" s="56"/>
      <c r="LZ181" s="56"/>
      <c r="MA181" s="56"/>
      <c r="MB181" s="56"/>
      <c r="MC181" s="56"/>
      <c r="MD181" s="56"/>
      <c r="ME181" s="56"/>
      <c r="MF181" s="56"/>
      <c r="MG181" s="56"/>
      <c r="MH181" s="56"/>
      <c r="MI181" s="56"/>
      <c r="MJ181" s="56"/>
      <c r="MK181" s="56"/>
      <c r="ML181" s="56"/>
      <c r="MM181" s="56"/>
      <c r="MN181" s="56"/>
      <c r="MO181" s="56"/>
      <c r="MP181" s="56"/>
      <c r="MQ181" s="56"/>
      <c r="MR181" s="56"/>
      <c r="MS181" s="56"/>
      <c r="MT181" s="56"/>
      <c r="MU181" s="56"/>
      <c r="MV181" s="56"/>
      <c r="MW181" s="56"/>
      <c r="MX181" s="56"/>
      <c r="MY181" s="56"/>
      <c r="MZ181" s="56"/>
      <c r="NA181" s="56"/>
      <c r="NB181" s="56"/>
      <c r="NC181" s="56"/>
      <c r="ND181" s="56"/>
      <c r="NE181" s="56"/>
      <c r="NF181" s="56"/>
      <c r="NG181" s="56"/>
      <c r="NH181" s="56"/>
      <c r="NI181" s="56"/>
      <c r="NJ181" s="56"/>
      <c r="NK181" s="56"/>
      <c r="NL181" s="56"/>
      <c r="NM181" s="56"/>
      <c r="NN181" s="56"/>
      <c r="NO181" s="56"/>
      <c r="NP181" s="56"/>
      <c r="NQ181" s="56"/>
      <c r="NR181" s="56"/>
      <c r="NS181" s="56"/>
      <c r="NT181" s="56"/>
      <c r="NU181" s="56"/>
      <c r="NV181" s="56"/>
      <c r="NW181" s="56"/>
      <c r="NX181" s="56"/>
      <c r="NY181" s="56"/>
      <c r="NZ181" s="56"/>
      <c r="OA181" s="56"/>
      <c r="OB181" s="56"/>
      <c r="OC181" s="56"/>
      <c r="OD181" s="56"/>
      <c r="OE181" s="56"/>
      <c r="OF181" s="56"/>
      <c r="OG181" s="56"/>
      <c r="OH181" s="56"/>
      <c r="OI181" s="56"/>
      <c r="OJ181" s="56"/>
      <c r="OK181" s="56"/>
      <c r="OL181" s="56"/>
      <c r="OM181" s="56"/>
      <c r="ON181" s="56"/>
      <c r="OO181" s="56"/>
      <c r="OP181" s="56"/>
      <c r="OQ181" s="56"/>
      <c r="OR181" s="56"/>
      <c r="OS181" s="56"/>
      <c r="OT181" s="56"/>
      <c r="OU181" s="56"/>
      <c r="OV181" s="56"/>
      <c r="OW181" s="56"/>
      <c r="OX181" s="56"/>
      <c r="OY181" s="56"/>
      <c r="OZ181" s="56"/>
      <c r="PA181" s="56"/>
      <c r="PB181" s="56"/>
      <c r="PC181" s="56"/>
      <c r="PD181" s="56"/>
      <c r="PE181" s="56"/>
      <c r="PF181" s="56"/>
      <c r="PG181" s="56"/>
      <c r="PH181" s="56"/>
      <c r="PI181" s="56"/>
      <c r="PJ181" s="56"/>
      <c r="PK181" s="56"/>
      <c r="PL181" s="56"/>
      <c r="PM181" s="56"/>
      <c r="PN181" s="56"/>
      <c r="PO181" s="56"/>
      <c r="PP181" s="56"/>
      <c r="PQ181" s="56"/>
      <c r="PR181" s="56"/>
      <c r="PS181" s="56"/>
      <c r="PT181" s="56"/>
      <c r="PU181" s="56"/>
      <c r="PV181" s="56"/>
      <c r="PW181" s="56"/>
      <c r="PX181" s="56"/>
      <c r="PY181" s="56"/>
      <c r="PZ181" s="56"/>
      <c r="QA181" s="56"/>
      <c r="QB181" s="56"/>
      <c r="QC181" s="56"/>
      <c r="QD181" s="56"/>
      <c r="QE181" s="56"/>
      <c r="QF181" s="56"/>
      <c r="QG181" s="56"/>
      <c r="QH181" s="56"/>
      <c r="QI181" s="56"/>
      <c r="QJ181" s="56"/>
      <c r="QK181" s="56"/>
      <c r="QL181" s="56"/>
      <c r="QM181" s="56"/>
      <c r="QN181" s="56"/>
      <c r="QO181" s="56"/>
      <c r="QP181" s="56"/>
      <c r="QQ181" s="56"/>
      <c r="QR181" s="56"/>
      <c r="QS181" s="56"/>
      <c r="QT181" s="56"/>
      <c r="QU181" s="56"/>
      <c r="QV181" s="56"/>
      <c r="QW181" s="56"/>
      <c r="QX181" s="56"/>
      <c r="QY181" s="56"/>
      <c r="QZ181" s="56"/>
      <c r="RA181" s="56"/>
      <c r="RB181" s="56"/>
      <c r="RC181" s="56"/>
      <c r="RD181" s="56"/>
      <c r="RE181" s="56"/>
      <c r="RF181" s="56"/>
      <c r="RG181" s="56"/>
      <c r="RH181" s="56"/>
      <c r="RI181" s="56"/>
      <c r="RJ181" s="56"/>
      <c r="RK181" s="56"/>
      <c r="RL181" s="56"/>
      <c r="RM181" s="56"/>
      <c r="RN181" s="56"/>
      <c r="RO181" s="56"/>
      <c r="RP181" s="56"/>
      <c r="RQ181" s="56"/>
      <c r="RR181" s="56"/>
      <c r="RS181" s="56"/>
      <c r="RT181" s="56"/>
      <c r="RU181" s="56"/>
      <c r="RV181" s="56"/>
      <c r="RW181" s="56"/>
      <c r="RX181" s="56"/>
      <c r="RY181" s="56"/>
      <c r="RZ181" s="56"/>
      <c r="SA181" s="56"/>
      <c r="SB181" s="56"/>
      <c r="SC181" s="56"/>
      <c r="SD181" s="56"/>
      <c r="SE181" s="56"/>
      <c r="SF181" s="56"/>
      <c r="SG181" s="56"/>
      <c r="SH181" s="56"/>
      <c r="SI181" s="56"/>
      <c r="SJ181" s="56"/>
      <c r="SK181" s="56"/>
      <c r="SL181" s="56"/>
      <c r="SM181" s="56"/>
      <c r="SN181" s="56"/>
      <c r="SO181" s="56"/>
      <c r="SP181" s="56"/>
      <c r="SQ181" s="56"/>
      <c r="SR181" s="56"/>
    </row>
    <row r="182" spans="1:512" ht="15" customHeight="1" x14ac:dyDescent="0.7">
      <c r="A182" s="171" t="s">
        <v>344</v>
      </c>
      <c r="B182" s="171" t="s">
        <v>344</v>
      </c>
      <c r="C182" s="171" t="s">
        <v>344</v>
      </c>
      <c r="D182" s="171"/>
      <c r="E182" s="171" t="s">
        <v>344</v>
      </c>
      <c r="F182" s="171"/>
      <c r="G182" s="188" t="s">
        <v>344</v>
      </c>
      <c r="H182" s="71" t="s">
        <v>344</v>
      </c>
      <c r="I182" s="72" t="s">
        <v>344</v>
      </c>
      <c r="J182" s="73" t="s">
        <v>344</v>
      </c>
      <c r="K182" s="189" t="s">
        <v>344</v>
      </c>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c r="FP182" s="54"/>
      <c r="FQ182" s="54"/>
      <c r="FR182" s="54"/>
      <c r="FS182" s="54"/>
      <c r="FT182" s="54"/>
      <c r="FU182" s="54"/>
      <c r="FV182" s="54"/>
      <c r="FW182" s="54"/>
      <c r="FX182" s="54"/>
      <c r="FY182" s="54"/>
      <c r="FZ182" s="54"/>
      <c r="GA182" s="54"/>
      <c r="GB182" s="54"/>
      <c r="GC182" s="54"/>
      <c r="GD182" s="54"/>
      <c r="GE182" s="54"/>
      <c r="GF182" s="54"/>
      <c r="GG182" s="54"/>
      <c r="GH182" s="54"/>
      <c r="GI182" s="54"/>
      <c r="GJ182" s="54"/>
      <c r="GK182" s="54"/>
      <c r="GL182" s="54"/>
      <c r="GM182" s="54"/>
      <c r="GN182" s="54"/>
      <c r="GO182" s="54"/>
      <c r="GP182" s="54"/>
      <c r="GQ182" s="54"/>
      <c r="GR182" s="54"/>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c r="HP182" s="54"/>
      <c r="HQ182" s="54"/>
      <c r="HR182" s="54"/>
      <c r="HS182" s="54"/>
      <c r="HT182" s="54"/>
      <c r="HU182" s="54"/>
      <c r="HV182" s="54"/>
      <c r="HW182" s="54"/>
      <c r="HX182" s="54"/>
      <c r="HY182" s="54"/>
      <c r="HZ182" s="54"/>
      <c r="IA182" s="54"/>
      <c r="IB182" s="54"/>
      <c r="IC182" s="54"/>
      <c r="ID182" s="54"/>
      <c r="IE182" s="54"/>
      <c r="IF182" s="54"/>
      <c r="IG182" s="54"/>
      <c r="IH182" s="54"/>
      <c r="II182" s="54"/>
      <c r="IJ182" s="54"/>
      <c r="IK182" s="54"/>
      <c r="IL182" s="54"/>
      <c r="IM182" s="54"/>
      <c r="IN182" s="54"/>
      <c r="IO182" s="54"/>
      <c r="IP182" s="54"/>
      <c r="IQ182" s="54"/>
      <c r="IR182" s="54"/>
      <c r="IS182" s="54"/>
      <c r="IT182" s="54"/>
      <c r="IU182" s="54"/>
      <c r="IV182" s="54"/>
      <c r="IW182" s="54"/>
      <c r="IX182" s="54"/>
      <c r="IY182" s="54"/>
      <c r="IZ182" s="54"/>
      <c r="JA182" s="54"/>
      <c r="JB182" s="54"/>
      <c r="JC182" s="54"/>
      <c r="JD182" s="54"/>
      <c r="JE182" s="54"/>
      <c r="JF182" s="54"/>
      <c r="JG182" s="54"/>
      <c r="JH182" s="54"/>
      <c r="JI182" s="54"/>
      <c r="JJ182" s="54"/>
      <c r="JK182" s="54"/>
      <c r="JL182" s="54"/>
      <c r="JM182" s="54"/>
      <c r="JN182" s="54"/>
      <c r="JO182" s="54"/>
      <c r="JP182" s="54"/>
      <c r="JQ182" s="54"/>
      <c r="JR182" s="54"/>
      <c r="JS182" s="54"/>
      <c r="JT182" s="54"/>
      <c r="JU182" s="54"/>
      <c r="JV182" s="54"/>
      <c r="JW182" s="54"/>
      <c r="JX182" s="54"/>
      <c r="JY182" s="54"/>
      <c r="JZ182" s="54"/>
      <c r="KA182" s="54"/>
      <c r="KB182" s="54"/>
      <c r="KC182" s="54"/>
      <c r="KD182" s="54"/>
      <c r="KE182" s="54"/>
      <c r="KF182" s="54"/>
      <c r="KG182" s="54"/>
      <c r="KH182" s="54"/>
      <c r="KI182" s="54"/>
      <c r="KJ182" s="54"/>
      <c r="KK182" s="54"/>
      <c r="KL182" s="54"/>
      <c r="KM182" s="54"/>
      <c r="KN182" s="54"/>
      <c r="KO182" s="54"/>
      <c r="KP182" s="54"/>
      <c r="KQ182" s="54"/>
      <c r="KR182" s="54"/>
      <c r="KS182" s="54"/>
      <c r="KT182" s="54"/>
      <c r="KU182" s="54"/>
      <c r="KV182" s="54"/>
      <c r="KW182" s="54"/>
      <c r="KX182" s="54"/>
      <c r="KY182" s="54"/>
      <c r="KZ182" s="54"/>
      <c r="LA182" s="54"/>
      <c r="LB182" s="54"/>
      <c r="LC182" s="54"/>
      <c r="LD182" s="54"/>
      <c r="LE182" s="54"/>
      <c r="LF182" s="54"/>
      <c r="LG182" s="54"/>
      <c r="LH182" s="54"/>
      <c r="LI182" s="54"/>
      <c r="LJ182" s="54"/>
      <c r="LK182" s="54"/>
      <c r="LL182" s="54"/>
      <c r="LM182" s="54"/>
      <c r="LN182" s="54"/>
      <c r="LO182" s="54"/>
      <c r="LP182" s="54"/>
      <c r="LQ182" s="54"/>
      <c r="LR182" s="54"/>
      <c r="LS182" s="54"/>
      <c r="LT182" s="54"/>
      <c r="LU182" s="54"/>
      <c r="LV182" s="54"/>
      <c r="LW182" s="54"/>
      <c r="LX182" s="54"/>
      <c r="LY182" s="54"/>
      <c r="LZ182" s="54"/>
      <c r="MA182" s="54"/>
      <c r="MB182" s="54"/>
      <c r="MC182" s="54"/>
      <c r="MD182" s="54"/>
      <c r="ME182" s="54"/>
      <c r="MF182" s="54"/>
      <c r="MG182" s="54"/>
      <c r="MH182" s="54"/>
      <c r="MI182" s="54"/>
      <c r="MJ182" s="54"/>
      <c r="MK182" s="54"/>
      <c r="ML182" s="54"/>
      <c r="MM182" s="54"/>
      <c r="MN182" s="54"/>
      <c r="MO182" s="54"/>
      <c r="MP182" s="54"/>
      <c r="MQ182" s="54"/>
      <c r="MR182" s="54"/>
      <c r="MS182" s="54"/>
      <c r="MT182" s="54"/>
      <c r="MU182" s="54"/>
      <c r="MV182" s="54"/>
      <c r="MW182" s="54"/>
      <c r="MX182" s="54"/>
      <c r="MY182" s="54"/>
      <c r="MZ182" s="54"/>
      <c r="NA182" s="54"/>
      <c r="NB182" s="54"/>
      <c r="NC182" s="54"/>
      <c r="ND182" s="54"/>
      <c r="NE182" s="54"/>
      <c r="NF182" s="54"/>
      <c r="NG182" s="54"/>
      <c r="NH182" s="54"/>
      <c r="NI182" s="54"/>
      <c r="NJ182" s="54"/>
      <c r="NK182" s="54"/>
      <c r="NL182" s="54"/>
      <c r="NM182" s="54"/>
      <c r="NN182" s="54"/>
      <c r="NO182" s="54"/>
      <c r="NP182" s="54"/>
      <c r="NQ182" s="54"/>
      <c r="NR182" s="54"/>
      <c r="NS182" s="54"/>
      <c r="NT182" s="54"/>
      <c r="NU182" s="54"/>
      <c r="NV182" s="54"/>
      <c r="NW182" s="54"/>
      <c r="NX182" s="54"/>
      <c r="NY182" s="54"/>
      <c r="NZ182" s="54"/>
      <c r="OA182" s="54"/>
      <c r="OB182" s="54"/>
      <c r="OC182" s="54"/>
      <c r="OD182" s="54"/>
      <c r="OE182" s="54"/>
      <c r="OF182" s="54"/>
      <c r="OG182" s="54"/>
      <c r="OH182" s="54"/>
      <c r="OI182" s="54"/>
      <c r="OJ182" s="54"/>
      <c r="OK182" s="54"/>
      <c r="OL182" s="54"/>
      <c r="OM182" s="54"/>
      <c r="ON182" s="54"/>
      <c r="OO182" s="54"/>
      <c r="OP182" s="54"/>
      <c r="OQ182" s="54"/>
      <c r="OR182" s="54"/>
      <c r="OS182" s="54"/>
      <c r="OT182" s="54"/>
      <c r="OU182" s="54"/>
      <c r="OV182" s="54"/>
      <c r="OW182" s="54"/>
      <c r="OX182" s="54"/>
      <c r="OY182" s="54"/>
      <c r="OZ182" s="54"/>
      <c r="PA182" s="54"/>
      <c r="PB182" s="54"/>
      <c r="PC182" s="54"/>
      <c r="PD182" s="54"/>
      <c r="PE182" s="54"/>
      <c r="PF182" s="54"/>
      <c r="PG182" s="54"/>
      <c r="PH182" s="54"/>
      <c r="PI182" s="54"/>
      <c r="PJ182" s="54"/>
      <c r="PK182" s="54"/>
      <c r="PL182" s="54"/>
      <c r="PM182" s="54"/>
      <c r="PN182" s="54"/>
      <c r="PO182" s="54"/>
      <c r="PP182" s="54"/>
      <c r="PQ182" s="54"/>
      <c r="PR182" s="54"/>
      <c r="PS182" s="54"/>
      <c r="PT182" s="54"/>
      <c r="PU182" s="54"/>
      <c r="PV182" s="54"/>
      <c r="PW182" s="54"/>
      <c r="PX182" s="54"/>
      <c r="PY182" s="54"/>
      <c r="PZ182" s="54"/>
      <c r="QA182" s="54"/>
      <c r="QB182" s="54"/>
      <c r="QC182" s="54"/>
      <c r="QD182" s="54"/>
      <c r="QE182" s="54"/>
      <c r="QF182" s="54"/>
      <c r="QG182" s="54"/>
      <c r="QH182" s="54"/>
      <c r="QI182" s="54"/>
      <c r="QJ182" s="54"/>
      <c r="QK182" s="54"/>
      <c r="QL182" s="54"/>
      <c r="QM182" s="54"/>
      <c r="QN182" s="54"/>
      <c r="QO182" s="54"/>
      <c r="QP182" s="54"/>
      <c r="QQ182" s="54"/>
      <c r="QR182" s="54"/>
      <c r="QS182" s="54"/>
      <c r="QT182" s="54"/>
      <c r="QU182" s="54"/>
      <c r="QV182" s="54"/>
      <c r="QW182" s="54"/>
      <c r="QX182" s="54"/>
      <c r="QY182" s="54"/>
      <c r="QZ182" s="54"/>
      <c r="RA182" s="54"/>
      <c r="RB182" s="54"/>
      <c r="RC182" s="54"/>
      <c r="RD182" s="54"/>
      <c r="RE182" s="54"/>
      <c r="RF182" s="54"/>
      <c r="RG182" s="54"/>
      <c r="RH182" s="54"/>
      <c r="RI182" s="54"/>
      <c r="RJ182" s="54"/>
      <c r="RK182" s="54"/>
      <c r="RL182" s="54"/>
      <c r="RM182" s="54"/>
      <c r="RN182" s="54"/>
      <c r="RO182" s="54"/>
      <c r="RP182" s="54"/>
      <c r="RQ182" s="54"/>
      <c r="RR182" s="54"/>
      <c r="RS182" s="54"/>
      <c r="RT182" s="54"/>
      <c r="RU182" s="54"/>
      <c r="RV182" s="54"/>
      <c r="RW182" s="54"/>
      <c r="RX182" s="54"/>
      <c r="RY182" s="54"/>
      <c r="RZ182" s="54"/>
      <c r="SA182" s="54"/>
      <c r="SB182" s="54"/>
      <c r="SC182" s="54"/>
      <c r="SD182" s="54"/>
      <c r="SE182" s="54"/>
      <c r="SF182" s="54"/>
      <c r="SG182" s="54"/>
      <c r="SH182" s="54"/>
      <c r="SI182" s="54"/>
      <c r="SJ182" s="54"/>
      <c r="SK182" s="54"/>
      <c r="SL182" s="54"/>
      <c r="SM182" s="54"/>
      <c r="SN182" s="54"/>
      <c r="SO182" s="54"/>
      <c r="SP182" s="54"/>
      <c r="SQ182" s="54"/>
      <c r="SR182" s="54"/>
    </row>
    <row r="183" spans="1:512" ht="15" customHeight="1" x14ac:dyDescent="0.7">
      <c r="A183" s="172"/>
      <c r="B183" s="172"/>
      <c r="C183" s="172"/>
      <c r="D183" s="172"/>
      <c r="E183" s="172"/>
      <c r="F183" s="172"/>
      <c r="G183" s="172"/>
      <c r="I183" s="72" t="s">
        <v>344</v>
      </c>
      <c r="J183" s="73" t="s">
        <v>344</v>
      </c>
      <c r="K183" s="190"/>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4"/>
      <c r="DI183" s="54"/>
      <c r="DJ183" s="54"/>
      <c r="DK183" s="54"/>
      <c r="DL183" s="54"/>
      <c r="DM183" s="54"/>
      <c r="DN183" s="54"/>
      <c r="DO183" s="54"/>
      <c r="DP183" s="54"/>
      <c r="DQ183" s="54"/>
      <c r="DR183" s="54"/>
      <c r="DS183" s="54"/>
      <c r="DT183" s="54"/>
      <c r="DU183" s="54"/>
      <c r="DV183" s="54"/>
      <c r="DW183" s="54"/>
      <c r="DX183" s="54"/>
      <c r="DY183" s="54"/>
      <c r="DZ183" s="54"/>
      <c r="EA183" s="54"/>
      <c r="EB183" s="54"/>
      <c r="EC183" s="54"/>
      <c r="ED183" s="54"/>
      <c r="EE183" s="54"/>
      <c r="EF183" s="54"/>
      <c r="EG183" s="54"/>
      <c r="EH183" s="54"/>
      <c r="EI183" s="54"/>
      <c r="EJ183" s="54"/>
      <c r="EK183" s="54"/>
      <c r="EL183" s="54"/>
      <c r="EM183" s="54"/>
      <c r="EN183" s="54"/>
      <c r="EO183" s="54"/>
      <c r="EP183" s="54"/>
      <c r="EQ183" s="54"/>
      <c r="ER183" s="54"/>
      <c r="ES183" s="54"/>
      <c r="ET183" s="54"/>
      <c r="EU183" s="54"/>
      <c r="EV183" s="54"/>
      <c r="EW183" s="54"/>
      <c r="EX183" s="54"/>
      <c r="EY183" s="54"/>
      <c r="EZ183" s="54"/>
      <c r="FA183" s="54"/>
      <c r="FB183" s="54"/>
      <c r="FC183" s="54"/>
      <c r="FD183" s="54"/>
      <c r="FE183" s="54"/>
      <c r="FF183" s="54"/>
      <c r="FG183" s="54"/>
      <c r="FH183" s="54"/>
      <c r="FI183" s="54"/>
      <c r="FJ183" s="54"/>
      <c r="FK183" s="54"/>
      <c r="FL183" s="54"/>
      <c r="FM183" s="54"/>
      <c r="FN183" s="54"/>
      <c r="FO183" s="54"/>
      <c r="FP183" s="54"/>
      <c r="FQ183" s="54"/>
      <c r="FR183" s="54"/>
      <c r="FS183" s="54"/>
      <c r="FT183" s="54"/>
      <c r="FU183" s="54"/>
      <c r="FV183" s="54"/>
      <c r="FW183" s="54"/>
      <c r="FX183" s="54"/>
      <c r="FY183" s="54"/>
      <c r="FZ183" s="54"/>
      <c r="GA183" s="54"/>
      <c r="GB183" s="54"/>
      <c r="GC183" s="54"/>
      <c r="GD183" s="54"/>
      <c r="GE183" s="54"/>
      <c r="GF183" s="54"/>
      <c r="GG183" s="54"/>
      <c r="GH183" s="54"/>
      <c r="GI183" s="54"/>
      <c r="GJ183" s="54"/>
      <c r="GK183" s="54"/>
      <c r="GL183" s="54"/>
      <c r="GM183" s="54"/>
      <c r="GN183" s="54"/>
      <c r="GO183" s="54"/>
      <c r="GP183" s="54"/>
      <c r="GQ183" s="54"/>
      <c r="GR183" s="54"/>
      <c r="GS183" s="54"/>
      <c r="GT183" s="54"/>
      <c r="GU183" s="54"/>
      <c r="GV183" s="54"/>
      <c r="GW183" s="54"/>
      <c r="GX183" s="54"/>
      <c r="GY183" s="54"/>
      <c r="GZ183" s="54"/>
      <c r="HA183" s="54"/>
      <c r="HB183" s="54"/>
      <c r="HC183" s="54"/>
      <c r="HD183" s="54"/>
      <c r="HE183" s="54"/>
      <c r="HF183" s="54"/>
      <c r="HG183" s="54"/>
      <c r="HH183" s="54"/>
      <c r="HI183" s="54"/>
      <c r="HJ183" s="54"/>
      <c r="HK183" s="54"/>
      <c r="HL183" s="54"/>
      <c r="HM183" s="54"/>
      <c r="HN183" s="54"/>
      <c r="HO183" s="54"/>
      <c r="HP183" s="54"/>
      <c r="HQ183" s="54"/>
      <c r="HR183" s="54"/>
      <c r="HS183" s="54"/>
      <c r="HT183" s="54"/>
      <c r="HU183" s="54"/>
      <c r="HV183" s="54"/>
      <c r="HW183" s="54"/>
      <c r="HX183" s="54"/>
      <c r="HY183" s="54"/>
      <c r="HZ183" s="54"/>
      <c r="IA183" s="54"/>
      <c r="IB183" s="54"/>
      <c r="IC183" s="54"/>
      <c r="ID183" s="54"/>
      <c r="IE183" s="54"/>
      <c r="IF183" s="54"/>
      <c r="IG183" s="54"/>
      <c r="IH183" s="54"/>
      <c r="II183" s="54"/>
      <c r="IJ183" s="54"/>
      <c r="IK183" s="54"/>
      <c r="IL183" s="54"/>
      <c r="IM183" s="54"/>
      <c r="IN183" s="54"/>
      <c r="IO183" s="54"/>
      <c r="IP183" s="54"/>
      <c r="IQ183" s="54"/>
      <c r="IR183" s="54"/>
      <c r="IS183" s="54"/>
      <c r="IT183" s="54"/>
      <c r="IU183" s="54"/>
      <c r="IV183" s="54"/>
      <c r="IW183" s="54"/>
      <c r="IX183" s="54"/>
      <c r="IY183" s="54"/>
      <c r="IZ183" s="54"/>
      <c r="JA183" s="54"/>
      <c r="JB183" s="54"/>
      <c r="JC183" s="54"/>
      <c r="JD183" s="54"/>
      <c r="JE183" s="54"/>
      <c r="JF183" s="54"/>
      <c r="JG183" s="54"/>
      <c r="JH183" s="54"/>
      <c r="JI183" s="54"/>
      <c r="JJ183" s="54"/>
      <c r="JK183" s="54"/>
      <c r="JL183" s="54"/>
      <c r="JM183" s="54"/>
      <c r="JN183" s="54"/>
      <c r="JO183" s="54"/>
      <c r="JP183" s="54"/>
      <c r="JQ183" s="54"/>
      <c r="JR183" s="54"/>
      <c r="JS183" s="54"/>
      <c r="JT183" s="54"/>
      <c r="JU183" s="54"/>
      <c r="JV183" s="54"/>
      <c r="JW183" s="54"/>
      <c r="JX183" s="54"/>
      <c r="JY183" s="54"/>
      <c r="JZ183" s="54"/>
      <c r="KA183" s="54"/>
      <c r="KB183" s="54"/>
      <c r="KC183" s="54"/>
      <c r="KD183" s="54"/>
      <c r="KE183" s="54"/>
      <c r="KF183" s="54"/>
      <c r="KG183" s="54"/>
      <c r="KH183" s="54"/>
      <c r="KI183" s="54"/>
      <c r="KJ183" s="54"/>
      <c r="KK183" s="54"/>
      <c r="KL183" s="54"/>
      <c r="KM183" s="54"/>
      <c r="KN183" s="54"/>
      <c r="KO183" s="54"/>
      <c r="KP183" s="54"/>
      <c r="KQ183" s="54"/>
      <c r="KR183" s="54"/>
      <c r="KS183" s="54"/>
      <c r="KT183" s="54"/>
      <c r="KU183" s="54"/>
      <c r="KV183" s="54"/>
      <c r="KW183" s="54"/>
      <c r="KX183" s="54"/>
      <c r="KY183" s="54"/>
      <c r="KZ183" s="54"/>
      <c r="LA183" s="54"/>
      <c r="LB183" s="54"/>
      <c r="LC183" s="54"/>
      <c r="LD183" s="54"/>
      <c r="LE183" s="54"/>
      <c r="LF183" s="54"/>
      <c r="LG183" s="54"/>
      <c r="LH183" s="54"/>
      <c r="LI183" s="54"/>
      <c r="LJ183" s="54"/>
      <c r="LK183" s="54"/>
      <c r="LL183" s="54"/>
      <c r="LM183" s="54"/>
      <c r="LN183" s="54"/>
      <c r="LO183" s="54"/>
      <c r="LP183" s="54"/>
      <c r="LQ183" s="54"/>
      <c r="LR183" s="54"/>
      <c r="LS183" s="54"/>
      <c r="LT183" s="54"/>
      <c r="LU183" s="54"/>
      <c r="LV183" s="54"/>
      <c r="LW183" s="54"/>
      <c r="LX183" s="54"/>
      <c r="LY183" s="54"/>
      <c r="LZ183" s="54"/>
      <c r="MA183" s="54"/>
      <c r="MB183" s="54"/>
      <c r="MC183" s="54"/>
      <c r="MD183" s="54"/>
      <c r="ME183" s="54"/>
      <c r="MF183" s="54"/>
      <c r="MG183" s="54"/>
      <c r="MH183" s="54"/>
      <c r="MI183" s="54"/>
      <c r="MJ183" s="54"/>
      <c r="MK183" s="54"/>
      <c r="ML183" s="54"/>
      <c r="MM183" s="54"/>
      <c r="MN183" s="54"/>
      <c r="MO183" s="54"/>
      <c r="MP183" s="54"/>
      <c r="MQ183" s="54"/>
      <c r="MR183" s="54"/>
      <c r="MS183" s="54"/>
      <c r="MT183" s="54"/>
      <c r="MU183" s="54"/>
      <c r="MV183" s="54"/>
      <c r="MW183" s="54"/>
      <c r="MX183" s="54"/>
      <c r="MY183" s="54"/>
      <c r="MZ183" s="54"/>
      <c r="NA183" s="54"/>
      <c r="NB183" s="54"/>
      <c r="NC183" s="54"/>
      <c r="ND183" s="54"/>
      <c r="NE183" s="54"/>
      <c r="NF183" s="54"/>
      <c r="NG183" s="54"/>
      <c r="NH183" s="54"/>
      <c r="NI183" s="54"/>
      <c r="NJ183" s="54"/>
      <c r="NK183" s="54"/>
      <c r="NL183" s="54"/>
      <c r="NM183" s="54"/>
      <c r="NN183" s="54"/>
      <c r="NO183" s="54"/>
      <c r="NP183" s="54"/>
      <c r="NQ183" s="54"/>
      <c r="NR183" s="54"/>
      <c r="NS183" s="54"/>
      <c r="NT183" s="54"/>
      <c r="NU183" s="54"/>
      <c r="NV183" s="54"/>
      <c r="NW183" s="54"/>
      <c r="NX183" s="54"/>
      <c r="NY183" s="54"/>
      <c r="NZ183" s="54"/>
      <c r="OA183" s="54"/>
      <c r="OB183" s="54"/>
      <c r="OC183" s="54"/>
      <c r="OD183" s="54"/>
      <c r="OE183" s="54"/>
      <c r="OF183" s="54"/>
      <c r="OG183" s="54"/>
      <c r="OH183" s="54"/>
      <c r="OI183" s="54"/>
      <c r="OJ183" s="54"/>
      <c r="OK183" s="54"/>
      <c r="OL183" s="54"/>
      <c r="OM183" s="54"/>
      <c r="ON183" s="54"/>
      <c r="OO183" s="54"/>
      <c r="OP183" s="54"/>
      <c r="OQ183" s="54"/>
      <c r="OR183" s="54"/>
      <c r="OS183" s="54"/>
      <c r="OT183" s="54"/>
      <c r="OU183" s="54"/>
      <c r="OV183" s="54"/>
      <c r="OW183" s="54"/>
      <c r="OX183" s="54"/>
      <c r="OY183" s="54"/>
      <c r="OZ183" s="54"/>
      <c r="PA183" s="54"/>
      <c r="PB183" s="54"/>
      <c r="PC183" s="54"/>
      <c r="PD183" s="54"/>
      <c r="PE183" s="54"/>
      <c r="PF183" s="54"/>
      <c r="PG183" s="54"/>
      <c r="PH183" s="54"/>
      <c r="PI183" s="54"/>
      <c r="PJ183" s="54"/>
      <c r="PK183" s="54"/>
      <c r="PL183" s="54"/>
      <c r="PM183" s="54"/>
      <c r="PN183" s="54"/>
      <c r="PO183" s="54"/>
      <c r="PP183" s="54"/>
      <c r="PQ183" s="54"/>
      <c r="PR183" s="54"/>
      <c r="PS183" s="54"/>
      <c r="PT183" s="54"/>
      <c r="PU183" s="54"/>
      <c r="PV183" s="54"/>
      <c r="PW183" s="54"/>
      <c r="PX183" s="54"/>
      <c r="PY183" s="54"/>
      <c r="PZ183" s="54"/>
      <c r="QA183" s="54"/>
      <c r="QB183" s="54"/>
      <c r="QC183" s="54"/>
      <c r="QD183" s="54"/>
      <c r="QE183" s="54"/>
      <c r="QF183" s="54"/>
      <c r="QG183" s="54"/>
      <c r="QH183" s="54"/>
      <c r="QI183" s="54"/>
      <c r="QJ183" s="54"/>
      <c r="QK183" s="54"/>
      <c r="QL183" s="54"/>
      <c r="QM183" s="54"/>
      <c r="QN183" s="54"/>
      <c r="QO183" s="54"/>
      <c r="QP183" s="54"/>
      <c r="QQ183" s="54"/>
      <c r="QR183" s="54"/>
      <c r="QS183" s="54"/>
      <c r="QT183" s="54"/>
      <c r="QU183" s="54"/>
      <c r="QV183" s="54"/>
      <c r="QW183" s="54"/>
      <c r="QX183" s="54"/>
      <c r="QY183" s="54"/>
      <c r="QZ183" s="54"/>
      <c r="RA183" s="54"/>
      <c r="RB183" s="54"/>
      <c r="RC183" s="54"/>
      <c r="RD183" s="54"/>
      <c r="RE183" s="54"/>
      <c r="RF183" s="54"/>
      <c r="RG183" s="54"/>
      <c r="RH183" s="54"/>
      <c r="RI183" s="54"/>
      <c r="RJ183" s="54"/>
      <c r="RK183" s="54"/>
      <c r="RL183" s="54"/>
      <c r="RM183" s="54"/>
      <c r="RN183" s="54"/>
      <c r="RO183" s="54"/>
      <c r="RP183" s="54"/>
      <c r="RQ183" s="54"/>
      <c r="RR183" s="54"/>
      <c r="RS183" s="54"/>
      <c r="RT183" s="54"/>
      <c r="RU183" s="54"/>
      <c r="RV183" s="54"/>
      <c r="RW183" s="54"/>
      <c r="RX183" s="54"/>
      <c r="RY183" s="54"/>
      <c r="RZ183" s="54"/>
      <c r="SA183" s="54"/>
      <c r="SB183" s="54"/>
      <c r="SC183" s="54"/>
      <c r="SD183" s="54"/>
      <c r="SE183" s="54"/>
      <c r="SF183" s="54"/>
      <c r="SG183" s="54"/>
      <c r="SH183" s="54"/>
      <c r="SI183" s="54"/>
      <c r="SJ183" s="54"/>
      <c r="SK183" s="54"/>
      <c r="SL183" s="54"/>
      <c r="SM183" s="54"/>
      <c r="SN183" s="54"/>
      <c r="SO183" s="54"/>
      <c r="SP183" s="54"/>
      <c r="SQ183" s="54"/>
      <c r="SR183" s="54"/>
    </row>
    <row r="184" spans="1:512" s="55" customFormat="1" ht="15" customHeight="1" x14ac:dyDescent="0.7">
      <c r="A184" s="173"/>
      <c r="B184" s="173"/>
      <c r="C184" s="173"/>
      <c r="D184" s="173"/>
      <c r="E184" s="173"/>
      <c r="F184" s="173"/>
      <c r="G184" s="173"/>
      <c r="H184" s="74"/>
      <c r="I184" s="75"/>
      <c r="J184" s="76"/>
      <c r="K184" s="191"/>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c r="CA184" s="56"/>
      <c r="CB184" s="56"/>
      <c r="CC184" s="56"/>
      <c r="CD184" s="56"/>
      <c r="CE184" s="56"/>
      <c r="CF184" s="56"/>
      <c r="CG184" s="56"/>
      <c r="CH184" s="56"/>
      <c r="CI184" s="56"/>
      <c r="CJ184" s="56"/>
      <c r="CK184" s="56"/>
      <c r="CL184" s="56"/>
      <c r="CM184" s="56"/>
      <c r="CN184" s="56"/>
      <c r="CO184" s="56"/>
      <c r="CP184" s="56"/>
      <c r="CQ184" s="56"/>
      <c r="CR184" s="56"/>
      <c r="CS184" s="56"/>
      <c r="CT184" s="56"/>
      <c r="CU184" s="56"/>
      <c r="CV184" s="56"/>
      <c r="CW184" s="56"/>
      <c r="CX184" s="56"/>
      <c r="CY184" s="56"/>
      <c r="CZ184" s="56"/>
      <c r="DA184" s="56"/>
      <c r="DB184" s="56"/>
      <c r="DC184" s="56"/>
      <c r="DD184" s="56"/>
      <c r="DE184" s="56"/>
      <c r="DF184" s="56"/>
      <c r="DG184" s="56"/>
      <c r="DH184" s="56"/>
      <c r="DI184" s="56"/>
      <c r="DJ184" s="56"/>
      <c r="DK184" s="56"/>
      <c r="DL184" s="56"/>
      <c r="DM184" s="56"/>
      <c r="DN184" s="56"/>
      <c r="DO184" s="56"/>
      <c r="DP184" s="56"/>
      <c r="DQ184" s="56"/>
      <c r="DR184" s="56"/>
      <c r="DS184" s="56"/>
      <c r="DT184" s="56"/>
      <c r="DU184" s="56"/>
      <c r="DV184" s="56"/>
      <c r="DW184" s="56"/>
      <c r="DX184" s="56"/>
      <c r="DY184" s="56"/>
      <c r="DZ184" s="56"/>
      <c r="EA184" s="56"/>
      <c r="EB184" s="56"/>
      <c r="EC184" s="56"/>
      <c r="ED184" s="56"/>
      <c r="EE184" s="56"/>
      <c r="EF184" s="56"/>
      <c r="EG184" s="56"/>
      <c r="EH184" s="56"/>
      <c r="EI184" s="56"/>
      <c r="EJ184" s="56"/>
      <c r="EK184" s="56"/>
      <c r="EL184" s="56"/>
      <c r="EM184" s="56"/>
      <c r="EN184" s="56"/>
      <c r="EO184" s="56"/>
      <c r="EP184" s="56"/>
      <c r="EQ184" s="56"/>
      <c r="ER184" s="56"/>
      <c r="ES184" s="56"/>
      <c r="ET184" s="56"/>
      <c r="EU184" s="56"/>
      <c r="EV184" s="56"/>
      <c r="EW184" s="56"/>
      <c r="EX184" s="56"/>
      <c r="EY184" s="56"/>
      <c r="EZ184" s="56"/>
      <c r="FA184" s="56"/>
      <c r="FB184" s="56"/>
      <c r="FC184" s="56"/>
      <c r="FD184" s="56"/>
      <c r="FE184" s="56"/>
      <c r="FF184" s="56"/>
      <c r="FG184" s="56"/>
      <c r="FH184" s="56"/>
      <c r="FI184" s="56"/>
      <c r="FJ184" s="56"/>
      <c r="FK184" s="56"/>
      <c r="FL184" s="56"/>
      <c r="FM184" s="56"/>
      <c r="FN184" s="56"/>
      <c r="FO184" s="56"/>
      <c r="FP184" s="56"/>
      <c r="FQ184" s="56"/>
      <c r="FR184" s="56"/>
      <c r="FS184" s="56"/>
      <c r="FT184" s="56"/>
      <c r="FU184" s="56"/>
      <c r="FV184" s="56"/>
      <c r="FW184" s="56"/>
      <c r="FX184" s="56"/>
      <c r="FY184" s="56"/>
      <c r="FZ184" s="56"/>
      <c r="GA184" s="56"/>
      <c r="GB184" s="56"/>
      <c r="GC184" s="56"/>
      <c r="GD184" s="56"/>
      <c r="GE184" s="56"/>
      <c r="GF184" s="56"/>
      <c r="GG184" s="56"/>
      <c r="GH184" s="56"/>
      <c r="GI184" s="56"/>
      <c r="GJ184" s="56"/>
      <c r="GK184" s="56"/>
      <c r="GL184" s="56"/>
      <c r="GM184" s="56"/>
      <c r="GN184" s="56"/>
      <c r="GO184" s="56"/>
      <c r="GP184" s="56"/>
      <c r="GQ184" s="56"/>
      <c r="GR184" s="56"/>
      <c r="GS184" s="56"/>
      <c r="GT184" s="56"/>
      <c r="GU184" s="56"/>
      <c r="GV184" s="56"/>
      <c r="GW184" s="56"/>
      <c r="GX184" s="56"/>
      <c r="GY184" s="56"/>
      <c r="GZ184" s="56"/>
      <c r="HA184" s="56"/>
      <c r="HB184" s="56"/>
      <c r="HC184" s="56"/>
      <c r="HD184" s="56"/>
      <c r="HE184" s="56"/>
      <c r="HF184" s="56"/>
      <c r="HG184" s="56"/>
      <c r="HH184" s="56"/>
      <c r="HI184" s="56"/>
      <c r="HJ184" s="56"/>
      <c r="HK184" s="56"/>
      <c r="HL184" s="56"/>
      <c r="HM184" s="56"/>
      <c r="HN184" s="56"/>
      <c r="HO184" s="56"/>
      <c r="HP184" s="56"/>
      <c r="HQ184" s="56"/>
      <c r="HR184" s="56"/>
      <c r="HS184" s="56"/>
      <c r="HT184" s="56"/>
      <c r="HU184" s="56"/>
      <c r="HV184" s="56"/>
      <c r="HW184" s="56"/>
      <c r="HX184" s="56"/>
      <c r="HY184" s="56"/>
      <c r="HZ184" s="56"/>
      <c r="IA184" s="56"/>
      <c r="IB184" s="56"/>
      <c r="IC184" s="56"/>
      <c r="ID184" s="56"/>
      <c r="IE184" s="56"/>
      <c r="IF184" s="56"/>
      <c r="IG184" s="56"/>
      <c r="IH184" s="56"/>
      <c r="II184" s="56"/>
      <c r="IJ184" s="56"/>
      <c r="IK184" s="56"/>
      <c r="IL184" s="56"/>
      <c r="IM184" s="56"/>
      <c r="IN184" s="56"/>
      <c r="IO184" s="56"/>
      <c r="IP184" s="56"/>
      <c r="IQ184" s="56"/>
      <c r="IR184" s="56"/>
      <c r="IS184" s="56"/>
      <c r="IT184" s="56"/>
      <c r="IU184" s="56"/>
      <c r="IV184" s="56"/>
      <c r="IW184" s="56"/>
      <c r="IX184" s="56"/>
      <c r="IY184" s="56"/>
      <c r="IZ184" s="56"/>
      <c r="JA184" s="56"/>
      <c r="JB184" s="56"/>
      <c r="JC184" s="56"/>
      <c r="JD184" s="56"/>
      <c r="JE184" s="56"/>
      <c r="JF184" s="56"/>
      <c r="JG184" s="56"/>
      <c r="JH184" s="56"/>
      <c r="JI184" s="56"/>
      <c r="JJ184" s="56"/>
      <c r="JK184" s="56"/>
      <c r="JL184" s="56"/>
      <c r="JM184" s="56"/>
      <c r="JN184" s="56"/>
      <c r="JO184" s="56"/>
      <c r="JP184" s="56"/>
      <c r="JQ184" s="56"/>
      <c r="JR184" s="56"/>
      <c r="JS184" s="56"/>
      <c r="JT184" s="56"/>
      <c r="JU184" s="56"/>
      <c r="JV184" s="56"/>
      <c r="JW184" s="56"/>
      <c r="JX184" s="56"/>
      <c r="JY184" s="56"/>
      <c r="JZ184" s="56"/>
      <c r="KA184" s="56"/>
      <c r="KB184" s="56"/>
      <c r="KC184" s="56"/>
      <c r="KD184" s="56"/>
      <c r="KE184" s="56"/>
      <c r="KF184" s="56"/>
      <c r="KG184" s="56"/>
      <c r="KH184" s="56"/>
      <c r="KI184" s="56"/>
      <c r="KJ184" s="56"/>
      <c r="KK184" s="56"/>
      <c r="KL184" s="56"/>
      <c r="KM184" s="56"/>
      <c r="KN184" s="56"/>
      <c r="KO184" s="56"/>
      <c r="KP184" s="56"/>
      <c r="KQ184" s="56"/>
      <c r="KR184" s="56"/>
      <c r="KS184" s="56"/>
      <c r="KT184" s="56"/>
      <c r="KU184" s="56"/>
      <c r="KV184" s="56"/>
      <c r="KW184" s="56"/>
      <c r="KX184" s="56"/>
      <c r="KY184" s="56"/>
      <c r="KZ184" s="56"/>
      <c r="LA184" s="56"/>
      <c r="LB184" s="56"/>
      <c r="LC184" s="56"/>
      <c r="LD184" s="56"/>
      <c r="LE184" s="56"/>
      <c r="LF184" s="56"/>
      <c r="LG184" s="56"/>
      <c r="LH184" s="56"/>
      <c r="LI184" s="56"/>
      <c r="LJ184" s="56"/>
      <c r="LK184" s="56"/>
      <c r="LL184" s="56"/>
      <c r="LM184" s="56"/>
      <c r="LN184" s="56"/>
      <c r="LO184" s="56"/>
      <c r="LP184" s="56"/>
      <c r="LQ184" s="56"/>
      <c r="LR184" s="56"/>
      <c r="LS184" s="56"/>
      <c r="LT184" s="56"/>
      <c r="LU184" s="56"/>
      <c r="LV184" s="56"/>
      <c r="LW184" s="56"/>
      <c r="LX184" s="56"/>
      <c r="LY184" s="56"/>
      <c r="LZ184" s="56"/>
      <c r="MA184" s="56"/>
      <c r="MB184" s="56"/>
      <c r="MC184" s="56"/>
      <c r="MD184" s="56"/>
      <c r="ME184" s="56"/>
      <c r="MF184" s="56"/>
      <c r="MG184" s="56"/>
      <c r="MH184" s="56"/>
      <c r="MI184" s="56"/>
      <c r="MJ184" s="56"/>
      <c r="MK184" s="56"/>
      <c r="ML184" s="56"/>
      <c r="MM184" s="56"/>
      <c r="MN184" s="56"/>
      <c r="MO184" s="56"/>
      <c r="MP184" s="56"/>
      <c r="MQ184" s="56"/>
      <c r="MR184" s="56"/>
      <c r="MS184" s="56"/>
      <c r="MT184" s="56"/>
      <c r="MU184" s="56"/>
      <c r="MV184" s="56"/>
      <c r="MW184" s="56"/>
      <c r="MX184" s="56"/>
      <c r="MY184" s="56"/>
      <c r="MZ184" s="56"/>
      <c r="NA184" s="56"/>
      <c r="NB184" s="56"/>
      <c r="NC184" s="56"/>
      <c r="ND184" s="56"/>
      <c r="NE184" s="56"/>
      <c r="NF184" s="56"/>
      <c r="NG184" s="56"/>
      <c r="NH184" s="56"/>
      <c r="NI184" s="56"/>
      <c r="NJ184" s="56"/>
      <c r="NK184" s="56"/>
      <c r="NL184" s="56"/>
      <c r="NM184" s="56"/>
      <c r="NN184" s="56"/>
      <c r="NO184" s="56"/>
      <c r="NP184" s="56"/>
      <c r="NQ184" s="56"/>
      <c r="NR184" s="56"/>
      <c r="NS184" s="56"/>
      <c r="NT184" s="56"/>
      <c r="NU184" s="56"/>
      <c r="NV184" s="56"/>
      <c r="NW184" s="56"/>
      <c r="NX184" s="56"/>
      <c r="NY184" s="56"/>
      <c r="NZ184" s="56"/>
      <c r="OA184" s="56"/>
      <c r="OB184" s="56"/>
      <c r="OC184" s="56"/>
      <c r="OD184" s="56"/>
      <c r="OE184" s="56"/>
      <c r="OF184" s="56"/>
      <c r="OG184" s="56"/>
      <c r="OH184" s="56"/>
      <c r="OI184" s="56"/>
      <c r="OJ184" s="56"/>
      <c r="OK184" s="56"/>
      <c r="OL184" s="56"/>
      <c r="OM184" s="56"/>
      <c r="ON184" s="56"/>
      <c r="OO184" s="56"/>
      <c r="OP184" s="56"/>
      <c r="OQ184" s="56"/>
      <c r="OR184" s="56"/>
      <c r="OS184" s="56"/>
      <c r="OT184" s="56"/>
      <c r="OU184" s="56"/>
      <c r="OV184" s="56"/>
      <c r="OW184" s="56"/>
      <c r="OX184" s="56"/>
      <c r="OY184" s="56"/>
      <c r="OZ184" s="56"/>
      <c r="PA184" s="56"/>
      <c r="PB184" s="56"/>
      <c r="PC184" s="56"/>
      <c r="PD184" s="56"/>
      <c r="PE184" s="56"/>
      <c r="PF184" s="56"/>
      <c r="PG184" s="56"/>
      <c r="PH184" s="56"/>
      <c r="PI184" s="56"/>
      <c r="PJ184" s="56"/>
      <c r="PK184" s="56"/>
      <c r="PL184" s="56"/>
      <c r="PM184" s="56"/>
      <c r="PN184" s="56"/>
      <c r="PO184" s="56"/>
      <c r="PP184" s="56"/>
      <c r="PQ184" s="56"/>
      <c r="PR184" s="56"/>
      <c r="PS184" s="56"/>
      <c r="PT184" s="56"/>
      <c r="PU184" s="56"/>
      <c r="PV184" s="56"/>
      <c r="PW184" s="56"/>
      <c r="PX184" s="56"/>
      <c r="PY184" s="56"/>
      <c r="PZ184" s="56"/>
      <c r="QA184" s="56"/>
      <c r="QB184" s="56"/>
      <c r="QC184" s="56"/>
      <c r="QD184" s="56"/>
      <c r="QE184" s="56"/>
      <c r="QF184" s="56"/>
      <c r="QG184" s="56"/>
      <c r="QH184" s="56"/>
      <c r="QI184" s="56"/>
      <c r="QJ184" s="56"/>
      <c r="QK184" s="56"/>
      <c r="QL184" s="56"/>
      <c r="QM184" s="56"/>
      <c r="QN184" s="56"/>
      <c r="QO184" s="56"/>
      <c r="QP184" s="56"/>
      <c r="QQ184" s="56"/>
      <c r="QR184" s="56"/>
      <c r="QS184" s="56"/>
      <c r="QT184" s="56"/>
      <c r="QU184" s="56"/>
      <c r="QV184" s="56"/>
      <c r="QW184" s="56"/>
      <c r="QX184" s="56"/>
      <c r="QY184" s="56"/>
      <c r="QZ184" s="56"/>
      <c r="RA184" s="56"/>
      <c r="RB184" s="56"/>
      <c r="RC184" s="56"/>
      <c r="RD184" s="56"/>
      <c r="RE184" s="56"/>
      <c r="RF184" s="56"/>
      <c r="RG184" s="56"/>
      <c r="RH184" s="56"/>
      <c r="RI184" s="56"/>
      <c r="RJ184" s="56"/>
      <c r="RK184" s="56"/>
      <c r="RL184" s="56"/>
      <c r="RM184" s="56"/>
      <c r="RN184" s="56"/>
      <c r="RO184" s="56"/>
      <c r="RP184" s="56"/>
      <c r="RQ184" s="56"/>
      <c r="RR184" s="56"/>
      <c r="RS184" s="56"/>
      <c r="RT184" s="56"/>
      <c r="RU184" s="56"/>
      <c r="RV184" s="56"/>
      <c r="RW184" s="56"/>
      <c r="RX184" s="56"/>
      <c r="RY184" s="56"/>
      <c r="RZ184" s="56"/>
      <c r="SA184" s="56"/>
      <c r="SB184" s="56"/>
      <c r="SC184" s="56"/>
      <c r="SD184" s="56"/>
      <c r="SE184" s="56"/>
      <c r="SF184" s="56"/>
      <c r="SG184" s="56"/>
      <c r="SH184" s="56"/>
      <c r="SI184" s="56"/>
      <c r="SJ184" s="56"/>
      <c r="SK184" s="56"/>
      <c r="SL184" s="56"/>
      <c r="SM184" s="56"/>
      <c r="SN184" s="56"/>
      <c r="SO184" s="56"/>
      <c r="SP184" s="56"/>
      <c r="SQ184" s="56"/>
      <c r="SR184" s="56"/>
    </row>
    <row r="185" spans="1:512" ht="15" customHeight="1" x14ac:dyDescent="0.7">
      <c r="A185" s="171" t="s">
        <v>344</v>
      </c>
      <c r="B185" s="171" t="s">
        <v>344</v>
      </c>
      <c r="C185" s="171" t="s">
        <v>344</v>
      </c>
      <c r="D185" s="171"/>
      <c r="E185" s="171" t="s">
        <v>344</v>
      </c>
      <c r="F185" s="171"/>
      <c r="G185" s="188" t="s">
        <v>344</v>
      </c>
      <c r="H185" s="71" t="s">
        <v>344</v>
      </c>
      <c r="I185" s="72" t="s">
        <v>344</v>
      </c>
      <c r="J185" s="73" t="s">
        <v>344</v>
      </c>
      <c r="K185" s="189" t="s">
        <v>344</v>
      </c>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4"/>
      <c r="EF185" s="54"/>
      <c r="EG185" s="54"/>
      <c r="EH185" s="54"/>
      <c r="EI185" s="54"/>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c r="FP185" s="54"/>
      <c r="FQ185" s="54"/>
      <c r="FR185" s="54"/>
      <c r="FS185" s="54"/>
      <c r="FT185" s="54"/>
      <c r="FU185" s="54"/>
      <c r="FV185" s="54"/>
      <c r="FW185" s="54"/>
      <c r="FX185" s="54"/>
      <c r="FY185" s="54"/>
      <c r="FZ185" s="54"/>
      <c r="GA185" s="54"/>
      <c r="GB185" s="54"/>
      <c r="GC185" s="54"/>
      <c r="GD185" s="54"/>
      <c r="GE185" s="54"/>
      <c r="GF185" s="54"/>
      <c r="GG185" s="54"/>
      <c r="GH185" s="54"/>
      <c r="GI185" s="54"/>
      <c r="GJ185" s="54"/>
      <c r="GK185" s="54"/>
      <c r="GL185" s="54"/>
      <c r="GM185" s="54"/>
      <c r="GN185" s="54"/>
      <c r="GO185" s="54"/>
      <c r="GP185" s="54"/>
      <c r="GQ185" s="54"/>
      <c r="GR185" s="54"/>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c r="HP185" s="54"/>
      <c r="HQ185" s="54"/>
      <c r="HR185" s="54"/>
      <c r="HS185" s="54"/>
      <c r="HT185" s="54"/>
      <c r="HU185" s="54"/>
      <c r="HV185" s="54"/>
      <c r="HW185" s="54"/>
      <c r="HX185" s="54"/>
      <c r="HY185" s="54"/>
      <c r="HZ185" s="54"/>
      <c r="IA185" s="54"/>
      <c r="IB185" s="54"/>
      <c r="IC185" s="54"/>
      <c r="ID185" s="54"/>
      <c r="IE185" s="54"/>
      <c r="IF185" s="54"/>
      <c r="IG185" s="54"/>
      <c r="IH185" s="54"/>
      <c r="II185" s="54"/>
      <c r="IJ185" s="54"/>
      <c r="IK185" s="54"/>
      <c r="IL185" s="54"/>
      <c r="IM185" s="54"/>
      <c r="IN185" s="54"/>
      <c r="IO185" s="54"/>
      <c r="IP185" s="54"/>
      <c r="IQ185" s="54"/>
      <c r="IR185" s="54"/>
      <c r="IS185" s="54"/>
      <c r="IT185" s="54"/>
      <c r="IU185" s="54"/>
      <c r="IV185" s="54"/>
      <c r="IW185" s="54"/>
      <c r="IX185" s="54"/>
      <c r="IY185" s="54"/>
      <c r="IZ185" s="54"/>
      <c r="JA185" s="54"/>
      <c r="JB185" s="54"/>
      <c r="JC185" s="54"/>
      <c r="JD185" s="54"/>
      <c r="JE185" s="54"/>
      <c r="JF185" s="54"/>
      <c r="JG185" s="54"/>
      <c r="JH185" s="54"/>
      <c r="JI185" s="54"/>
      <c r="JJ185" s="54"/>
      <c r="JK185" s="54"/>
      <c r="JL185" s="54"/>
      <c r="JM185" s="54"/>
      <c r="JN185" s="54"/>
      <c r="JO185" s="54"/>
      <c r="JP185" s="54"/>
      <c r="JQ185" s="54"/>
      <c r="JR185" s="54"/>
      <c r="JS185" s="54"/>
      <c r="JT185" s="54"/>
      <c r="JU185" s="54"/>
      <c r="JV185" s="54"/>
      <c r="JW185" s="54"/>
      <c r="JX185" s="54"/>
      <c r="JY185" s="54"/>
      <c r="JZ185" s="54"/>
      <c r="KA185" s="54"/>
      <c r="KB185" s="54"/>
      <c r="KC185" s="54"/>
      <c r="KD185" s="54"/>
      <c r="KE185" s="54"/>
      <c r="KF185" s="54"/>
      <c r="KG185" s="54"/>
      <c r="KH185" s="54"/>
      <c r="KI185" s="54"/>
      <c r="KJ185" s="54"/>
      <c r="KK185" s="54"/>
      <c r="KL185" s="54"/>
      <c r="KM185" s="54"/>
      <c r="KN185" s="54"/>
      <c r="KO185" s="54"/>
      <c r="KP185" s="54"/>
      <c r="KQ185" s="54"/>
      <c r="KR185" s="54"/>
      <c r="KS185" s="54"/>
      <c r="KT185" s="54"/>
      <c r="KU185" s="54"/>
      <c r="KV185" s="54"/>
      <c r="KW185" s="54"/>
      <c r="KX185" s="54"/>
      <c r="KY185" s="54"/>
      <c r="KZ185" s="54"/>
      <c r="LA185" s="54"/>
      <c r="LB185" s="54"/>
      <c r="LC185" s="54"/>
      <c r="LD185" s="54"/>
      <c r="LE185" s="54"/>
      <c r="LF185" s="54"/>
      <c r="LG185" s="54"/>
      <c r="LH185" s="54"/>
      <c r="LI185" s="54"/>
      <c r="LJ185" s="54"/>
      <c r="LK185" s="54"/>
      <c r="LL185" s="54"/>
      <c r="LM185" s="54"/>
      <c r="LN185" s="54"/>
      <c r="LO185" s="54"/>
      <c r="LP185" s="54"/>
      <c r="LQ185" s="54"/>
      <c r="LR185" s="54"/>
      <c r="LS185" s="54"/>
      <c r="LT185" s="54"/>
      <c r="LU185" s="54"/>
      <c r="LV185" s="54"/>
      <c r="LW185" s="54"/>
      <c r="LX185" s="54"/>
      <c r="LY185" s="54"/>
      <c r="LZ185" s="54"/>
      <c r="MA185" s="54"/>
      <c r="MB185" s="54"/>
      <c r="MC185" s="54"/>
      <c r="MD185" s="54"/>
      <c r="ME185" s="54"/>
      <c r="MF185" s="54"/>
      <c r="MG185" s="54"/>
      <c r="MH185" s="54"/>
      <c r="MI185" s="54"/>
      <c r="MJ185" s="54"/>
      <c r="MK185" s="54"/>
      <c r="ML185" s="54"/>
      <c r="MM185" s="54"/>
      <c r="MN185" s="54"/>
      <c r="MO185" s="54"/>
      <c r="MP185" s="54"/>
      <c r="MQ185" s="54"/>
      <c r="MR185" s="54"/>
      <c r="MS185" s="54"/>
      <c r="MT185" s="54"/>
      <c r="MU185" s="54"/>
      <c r="MV185" s="54"/>
      <c r="MW185" s="54"/>
      <c r="MX185" s="54"/>
      <c r="MY185" s="54"/>
      <c r="MZ185" s="54"/>
      <c r="NA185" s="54"/>
      <c r="NB185" s="54"/>
      <c r="NC185" s="54"/>
      <c r="ND185" s="54"/>
      <c r="NE185" s="54"/>
      <c r="NF185" s="54"/>
      <c r="NG185" s="54"/>
      <c r="NH185" s="54"/>
      <c r="NI185" s="54"/>
      <c r="NJ185" s="54"/>
      <c r="NK185" s="54"/>
      <c r="NL185" s="54"/>
      <c r="NM185" s="54"/>
      <c r="NN185" s="54"/>
      <c r="NO185" s="54"/>
      <c r="NP185" s="54"/>
      <c r="NQ185" s="54"/>
      <c r="NR185" s="54"/>
      <c r="NS185" s="54"/>
      <c r="NT185" s="54"/>
      <c r="NU185" s="54"/>
      <c r="NV185" s="54"/>
      <c r="NW185" s="54"/>
      <c r="NX185" s="54"/>
      <c r="NY185" s="54"/>
      <c r="NZ185" s="54"/>
      <c r="OA185" s="54"/>
      <c r="OB185" s="54"/>
      <c r="OC185" s="54"/>
      <c r="OD185" s="54"/>
      <c r="OE185" s="54"/>
      <c r="OF185" s="54"/>
      <c r="OG185" s="54"/>
      <c r="OH185" s="54"/>
      <c r="OI185" s="54"/>
      <c r="OJ185" s="54"/>
      <c r="OK185" s="54"/>
      <c r="OL185" s="54"/>
      <c r="OM185" s="54"/>
      <c r="ON185" s="54"/>
      <c r="OO185" s="54"/>
      <c r="OP185" s="54"/>
      <c r="OQ185" s="54"/>
      <c r="OR185" s="54"/>
      <c r="OS185" s="54"/>
      <c r="OT185" s="54"/>
      <c r="OU185" s="54"/>
      <c r="OV185" s="54"/>
      <c r="OW185" s="54"/>
      <c r="OX185" s="54"/>
      <c r="OY185" s="54"/>
      <c r="OZ185" s="54"/>
      <c r="PA185" s="54"/>
      <c r="PB185" s="54"/>
      <c r="PC185" s="54"/>
      <c r="PD185" s="54"/>
      <c r="PE185" s="54"/>
      <c r="PF185" s="54"/>
      <c r="PG185" s="54"/>
      <c r="PH185" s="54"/>
      <c r="PI185" s="54"/>
      <c r="PJ185" s="54"/>
      <c r="PK185" s="54"/>
      <c r="PL185" s="54"/>
      <c r="PM185" s="54"/>
      <c r="PN185" s="54"/>
      <c r="PO185" s="54"/>
      <c r="PP185" s="54"/>
      <c r="PQ185" s="54"/>
      <c r="PR185" s="54"/>
      <c r="PS185" s="54"/>
      <c r="PT185" s="54"/>
      <c r="PU185" s="54"/>
      <c r="PV185" s="54"/>
      <c r="PW185" s="54"/>
      <c r="PX185" s="54"/>
      <c r="PY185" s="54"/>
      <c r="PZ185" s="54"/>
      <c r="QA185" s="54"/>
      <c r="QB185" s="54"/>
      <c r="QC185" s="54"/>
      <c r="QD185" s="54"/>
      <c r="QE185" s="54"/>
      <c r="QF185" s="54"/>
      <c r="QG185" s="54"/>
      <c r="QH185" s="54"/>
      <c r="QI185" s="54"/>
      <c r="QJ185" s="54"/>
      <c r="QK185" s="54"/>
      <c r="QL185" s="54"/>
      <c r="QM185" s="54"/>
      <c r="QN185" s="54"/>
      <c r="QO185" s="54"/>
      <c r="QP185" s="54"/>
      <c r="QQ185" s="54"/>
      <c r="QR185" s="54"/>
      <c r="QS185" s="54"/>
      <c r="QT185" s="54"/>
      <c r="QU185" s="54"/>
      <c r="QV185" s="54"/>
      <c r="QW185" s="54"/>
      <c r="QX185" s="54"/>
      <c r="QY185" s="54"/>
      <c r="QZ185" s="54"/>
      <c r="RA185" s="54"/>
      <c r="RB185" s="54"/>
      <c r="RC185" s="54"/>
      <c r="RD185" s="54"/>
      <c r="RE185" s="54"/>
      <c r="RF185" s="54"/>
      <c r="RG185" s="54"/>
      <c r="RH185" s="54"/>
      <c r="RI185" s="54"/>
      <c r="RJ185" s="54"/>
      <c r="RK185" s="54"/>
      <c r="RL185" s="54"/>
      <c r="RM185" s="54"/>
      <c r="RN185" s="54"/>
      <c r="RO185" s="54"/>
      <c r="RP185" s="54"/>
      <c r="RQ185" s="54"/>
      <c r="RR185" s="54"/>
      <c r="RS185" s="54"/>
      <c r="RT185" s="54"/>
      <c r="RU185" s="54"/>
      <c r="RV185" s="54"/>
      <c r="RW185" s="54"/>
      <c r="RX185" s="54"/>
      <c r="RY185" s="54"/>
      <c r="RZ185" s="54"/>
      <c r="SA185" s="54"/>
      <c r="SB185" s="54"/>
      <c r="SC185" s="54"/>
      <c r="SD185" s="54"/>
      <c r="SE185" s="54"/>
      <c r="SF185" s="54"/>
      <c r="SG185" s="54"/>
      <c r="SH185" s="54"/>
      <c r="SI185" s="54"/>
      <c r="SJ185" s="54"/>
      <c r="SK185" s="54"/>
      <c r="SL185" s="54"/>
      <c r="SM185" s="54"/>
      <c r="SN185" s="54"/>
      <c r="SO185" s="54"/>
      <c r="SP185" s="54"/>
      <c r="SQ185" s="54"/>
      <c r="SR185" s="54"/>
    </row>
    <row r="186" spans="1:512" ht="15" customHeight="1" x14ac:dyDescent="0.7">
      <c r="A186" s="172"/>
      <c r="B186" s="172"/>
      <c r="C186" s="172"/>
      <c r="D186" s="172"/>
      <c r="E186" s="172"/>
      <c r="F186" s="172"/>
      <c r="G186" s="172"/>
      <c r="I186" s="72" t="s">
        <v>344</v>
      </c>
      <c r="J186" s="73" t="s">
        <v>344</v>
      </c>
      <c r="K186" s="190"/>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c r="FP186" s="54"/>
      <c r="FQ186" s="54"/>
      <c r="FR186" s="54"/>
      <c r="FS186" s="54"/>
      <c r="FT186" s="54"/>
      <c r="FU186" s="54"/>
      <c r="FV186" s="54"/>
      <c r="FW186" s="54"/>
      <c r="FX186" s="54"/>
      <c r="FY186" s="54"/>
      <c r="FZ186" s="54"/>
      <c r="GA186" s="54"/>
      <c r="GB186" s="54"/>
      <c r="GC186" s="54"/>
      <c r="GD186" s="54"/>
      <c r="GE186" s="54"/>
      <c r="GF186" s="54"/>
      <c r="GG186" s="54"/>
      <c r="GH186" s="54"/>
      <c r="GI186" s="54"/>
      <c r="GJ186" s="54"/>
      <c r="GK186" s="54"/>
      <c r="GL186" s="54"/>
      <c r="GM186" s="54"/>
      <c r="GN186" s="54"/>
      <c r="GO186" s="54"/>
      <c r="GP186" s="54"/>
      <c r="GQ186" s="54"/>
      <c r="GR186" s="54"/>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c r="HP186" s="54"/>
      <c r="HQ186" s="54"/>
      <c r="HR186" s="54"/>
      <c r="HS186" s="54"/>
      <c r="HT186" s="54"/>
      <c r="HU186" s="54"/>
      <c r="HV186" s="54"/>
      <c r="HW186" s="54"/>
      <c r="HX186" s="54"/>
      <c r="HY186" s="54"/>
      <c r="HZ186" s="54"/>
      <c r="IA186" s="54"/>
      <c r="IB186" s="54"/>
      <c r="IC186" s="54"/>
      <c r="ID186" s="54"/>
      <c r="IE186" s="54"/>
      <c r="IF186" s="54"/>
      <c r="IG186" s="54"/>
      <c r="IH186" s="54"/>
      <c r="II186" s="54"/>
      <c r="IJ186" s="54"/>
      <c r="IK186" s="54"/>
      <c r="IL186" s="54"/>
      <c r="IM186" s="54"/>
      <c r="IN186" s="54"/>
      <c r="IO186" s="54"/>
      <c r="IP186" s="54"/>
      <c r="IQ186" s="54"/>
      <c r="IR186" s="54"/>
      <c r="IS186" s="54"/>
      <c r="IT186" s="54"/>
      <c r="IU186" s="54"/>
      <c r="IV186" s="54"/>
      <c r="IW186" s="54"/>
      <c r="IX186" s="54"/>
      <c r="IY186" s="54"/>
      <c r="IZ186" s="54"/>
      <c r="JA186" s="54"/>
      <c r="JB186" s="54"/>
      <c r="JC186" s="54"/>
      <c r="JD186" s="54"/>
      <c r="JE186" s="54"/>
      <c r="JF186" s="54"/>
      <c r="JG186" s="54"/>
      <c r="JH186" s="54"/>
      <c r="JI186" s="54"/>
      <c r="JJ186" s="54"/>
      <c r="JK186" s="54"/>
      <c r="JL186" s="54"/>
      <c r="JM186" s="54"/>
      <c r="JN186" s="54"/>
      <c r="JO186" s="54"/>
      <c r="JP186" s="54"/>
      <c r="JQ186" s="54"/>
      <c r="JR186" s="54"/>
      <c r="JS186" s="54"/>
      <c r="JT186" s="54"/>
      <c r="JU186" s="54"/>
      <c r="JV186" s="54"/>
      <c r="JW186" s="54"/>
      <c r="JX186" s="54"/>
      <c r="JY186" s="54"/>
      <c r="JZ186" s="54"/>
      <c r="KA186" s="54"/>
      <c r="KB186" s="54"/>
      <c r="KC186" s="54"/>
      <c r="KD186" s="54"/>
      <c r="KE186" s="54"/>
      <c r="KF186" s="54"/>
      <c r="KG186" s="54"/>
      <c r="KH186" s="54"/>
      <c r="KI186" s="54"/>
      <c r="KJ186" s="54"/>
      <c r="KK186" s="54"/>
      <c r="KL186" s="54"/>
      <c r="KM186" s="54"/>
      <c r="KN186" s="54"/>
      <c r="KO186" s="54"/>
      <c r="KP186" s="54"/>
      <c r="KQ186" s="54"/>
      <c r="KR186" s="54"/>
      <c r="KS186" s="54"/>
      <c r="KT186" s="54"/>
      <c r="KU186" s="54"/>
      <c r="KV186" s="54"/>
      <c r="KW186" s="54"/>
      <c r="KX186" s="54"/>
      <c r="KY186" s="54"/>
      <c r="KZ186" s="54"/>
      <c r="LA186" s="54"/>
      <c r="LB186" s="54"/>
      <c r="LC186" s="54"/>
      <c r="LD186" s="54"/>
      <c r="LE186" s="54"/>
      <c r="LF186" s="54"/>
      <c r="LG186" s="54"/>
      <c r="LH186" s="54"/>
      <c r="LI186" s="54"/>
      <c r="LJ186" s="54"/>
      <c r="LK186" s="54"/>
      <c r="LL186" s="54"/>
      <c r="LM186" s="54"/>
      <c r="LN186" s="54"/>
      <c r="LO186" s="54"/>
      <c r="LP186" s="54"/>
      <c r="LQ186" s="54"/>
      <c r="LR186" s="54"/>
      <c r="LS186" s="54"/>
      <c r="LT186" s="54"/>
      <c r="LU186" s="54"/>
      <c r="LV186" s="54"/>
      <c r="LW186" s="54"/>
      <c r="LX186" s="54"/>
      <c r="LY186" s="54"/>
      <c r="LZ186" s="54"/>
      <c r="MA186" s="54"/>
      <c r="MB186" s="54"/>
      <c r="MC186" s="54"/>
      <c r="MD186" s="54"/>
      <c r="ME186" s="54"/>
      <c r="MF186" s="54"/>
      <c r="MG186" s="54"/>
      <c r="MH186" s="54"/>
      <c r="MI186" s="54"/>
      <c r="MJ186" s="54"/>
      <c r="MK186" s="54"/>
      <c r="ML186" s="54"/>
      <c r="MM186" s="54"/>
      <c r="MN186" s="54"/>
      <c r="MO186" s="54"/>
      <c r="MP186" s="54"/>
      <c r="MQ186" s="54"/>
      <c r="MR186" s="54"/>
      <c r="MS186" s="54"/>
      <c r="MT186" s="54"/>
      <c r="MU186" s="54"/>
      <c r="MV186" s="54"/>
      <c r="MW186" s="54"/>
      <c r="MX186" s="54"/>
      <c r="MY186" s="54"/>
      <c r="MZ186" s="54"/>
      <c r="NA186" s="54"/>
      <c r="NB186" s="54"/>
      <c r="NC186" s="54"/>
      <c r="ND186" s="54"/>
      <c r="NE186" s="54"/>
      <c r="NF186" s="54"/>
      <c r="NG186" s="54"/>
      <c r="NH186" s="54"/>
      <c r="NI186" s="54"/>
      <c r="NJ186" s="54"/>
      <c r="NK186" s="54"/>
      <c r="NL186" s="54"/>
      <c r="NM186" s="54"/>
      <c r="NN186" s="54"/>
      <c r="NO186" s="54"/>
      <c r="NP186" s="54"/>
      <c r="NQ186" s="54"/>
      <c r="NR186" s="54"/>
      <c r="NS186" s="54"/>
      <c r="NT186" s="54"/>
      <c r="NU186" s="54"/>
      <c r="NV186" s="54"/>
      <c r="NW186" s="54"/>
      <c r="NX186" s="54"/>
      <c r="NY186" s="54"/>
      <c r="NZ186" s="54"/>
      <c r="OA186" s="54"/>
      <c r="OB186" s="54"/>
      <c r="OC186" s="54"/>
      <c r="OD186" s="54"/>
      <c r="OE186" s="54"/>
      <c r="OF186" s="54"/>
      <c r="OG186" s="54"/>
      <c r="OH186" s="54"/>
      <c r="OI186" s="54"/>
      <c r="OJ186" s="54"/>
      <c r="OK186" s="54"/>
      <c r="OL186" s="54"/>
      <c r="OM186" s="54"/>
      <c r="ON186" s="54"/>
      <c r="OO186" s="54"/>
      <c r="OP186" s="54"/>
      <c r="OQ186" s="54"/>
      <c r="OR186" s="54"/>
      <c r="OS186" s="54"/>
      <c r="OT186" s="54"/>
      <c r="OU186" s="54"/>
      <c r="OV186" s="54"/>
      <c r="OW186" s="54"/>
      <c r="OX186" s="54"/>
      <c r="OY186" s="54"/>
      <c r="OZ186" s="54"/>
      <c r="PA186" s="54"/>
      <c r="PB186" s="54"/>
      <c r="PC186" s="54"/>
      <c r="PD186" s="54"/>
      <c r="PE186" s="54"/>
      <c r="PF186" s="54"/>
      <c r="PG186" s="54"/>
      <c r="PH186" s="54"/>
      <c r="PI186" s="54"/>
      <c r="PJ186" s="54"/>
      <c r="PK186" s="54"/>
      <c r="PL186" s="54"/>
      <c r="PM186" s="54"/>
      <c r="PN186" s="54"/>
      <c r="PO186" s="54"/>
      <c r="PP186" s="54"/>
      <c r="PQ186" s="54"/>
      <c r="PR186" s="54"/>
      <c r="PS186" s="54"/>
      <c r="PT186" s="54"/>
      <c r="PU186" s="54"/>
      <c r="PV186" s="54"/>
      <c r="PW186" s="54"/>
      <c r="PX186" s="54"/>
      <c r="PY186" s="54"/>
      <c r="PZ186" s="54"/>
      <c r="QA186" s="54"/>
      <c r="QB186" s="54"/>
      <c r="QC186" s="54"/>
      <c r="QD186" s="54"/>
      <c r="QE186" s="54"/>
      <c r="QF186" s="54"/>
      <c r="QG186" s="54"/>
      <c r="QH186" s="54"/>
      <c r="QI186" s="54"/>
      <c r="QJ186" s="54"/>
      <c r="QK186" s="54"/>
      <c r="QL186" s="54"/>
      <c r="QM186" s="54"/>
      <c r="QN186" s="54"/>
      <c r="QO186" s="54"/>
      <c r="QP186" s="54"/>
      <c r="QQ186" s="54"/>
      <c r="QR186" s="54"/>
      <c r="QS186" s="54"/>
      <c r="QT186" s="54"/>
      <c r="QU186" s="54"/>
      <c r="QV186" s="54"/>
      <c r="QW186" s="54"/>
      <c r="QX186" s="54"/>
      <c r="QY186" s="54"/>
      <c r="QZ186" s="54"/>
      <c r="RA186" s="54"/>
      <c r="RB186" s="54"/>
      <c r="RC186" s="54"/>
      <c r="RD186" s="54"/>
      <c r="RE186" s="54"/>
      <c r="RF186" s="54"/>
      <c r="RG186" s="54"/>
      <c r="RH186" s="54"/>
      <c r="RI186" s="54"/>
      <c r="RJ186" s="54"/>
      <c r="RK186" s="54"/>
      <c r="RL186" s="54"/>
      <c r="RM186" s="54"/>
      <c r="RN186" s="54"/>
      <c r="RO186" s="54"/>
      <c r="RP186" s="54"/>
      <c r="RQ186" s="54"/>
      <c r="RR186" s="54"/>
      <c r="RS186" s="54"/>
      <c r="RT186" s="54"/>
      <c r="RU186" s="54"/>
      <c r="RV186" s="54"/>
      <c r="RW186" s="54"/>
      <c r="RX186" s="54"/>
      <c r="RY186" s="54"/>
      <c r="RZ186" s="54"/>
      <c r="SA186" s="54"/>
      <c r="SB186" s="54"/>
      <c r="SC186" s="54"/>
      <c r="SD186" s="54"/>
      <c r="SE186" s="54"/>
      <c r="SF186" s="54"/>
      <c r="SG186" s="54"/>
      <c r="SH186" s="54"/>
      <c r="SI186" s="54"/>
      <c r="SJ186" s="54"/>
      <c r="SK186" s="54"/>
      <c r="SL186" s="54"/>
      <c r="SM186" s="54"/>
      <c r="SN186" s="54"/>
      <c r="SO186" s="54"/>
      <c r="SP186" s="54"/>
      <c r="SQ186" s="54"/>
      <c r="SR186" s="54"/>
    </row>
    <row r="187" spans="1:512" s="55" customFormat="1" ht="15" customHeight="1" x14ac:dyDescent="0.7">
      <c r="A187" s="173"/>
      <c r="B187" s="173"/>
      <c r="C187" s="173"/>
      <c r="D187" s="173"/>
      <c r="E187" s="173"/>
      <c r="F187" s="173"/>
      <c r="G187" s="173"/>
      <c r="H187" s="74"/>
      <c r="I187" s="75"/>
      <c r="J187" s="76"/>
      <c r="K187" s="191"/>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c r="IX187" s="56"/>
      <c r="IY187" s="56"/>
      <c r="IZ187" s="56"/>
      <c r="JA187" s="56"/>
      <c r="JB187" s="56"/>
      <c r="JC187" s="56"/>
      <c r="JD187" s="56"/>
      <c r="JE187" s="56"/>
      <c r="JF187" s="56"/>
      <c r="JG187" s="56"/>
      <c r="JH187" s="56"/>
      <c r="JI187" s="56"/>
      <c r="JJ187" s="56"/>
      <c r="JK187" s="56"/>
      <c r="JL187" s="56"/>
      <c r="JM187" s="56"/>
      <c r="JN187" s="56"/>
      <c r="JO187" s="56"/>
      <c r="JP187" s="56"/>
      <c r="JQ187" s="56"/>
      <c r="JR187" s="56"/>
      <c r="JS187" s="56"/>
      <c r="JT187" s="56"/>
      <c r="JU187" s="56"/>
      <c r="JV187" s="56"/>
      <c r="JW187" s="56"/>
      <c r="JX187" s="56"/>
      <c r="JY187" s="56"/>
      <c r="JZ187" s="56"/>
      <c r="KA187" s="56"/>
      <c r="KB187" s="56"/>
      <c r="KC187" s="56"/>
      <c r="KD187" s="56"/>
      <c r="KE187" s="56"/>
      <c r="KF187" s="56"/>
      <c r="KG187" s="56"/>
      <c r="KH187" s="56"/>
      <c r="KI187" s="56"/>
      <c r="KJ187" s="56"/>
      <c r="KK187" s="56"/>
      <c r="KL187" s="56"/>
      <c r="KM187" s="56"/>
      <c r="KN187" s="56"/>
      <c r="KO187" s="56"/>
      <c r="KP187" s="56"/>
      <c r="KQ187" s="56"/>
      <c r="KR187" s="56"/>
      <c r="KS187" s="56"/>
      <c r="KT187" s="56"/>
      <c r="KU187" s="56"/>
      <c r="KV187" s="56"/>
      <c r="KW187" s="56"/>
      <c r="KX187" s="56"/>
      <c r="KY187" s="56"/>
      <c r="KZ187" s="56"/>
      <c r="LA187" s="56"/>
      <c r="LB187" s="56"/>
      <c r="LC187" s="56"/>
      <c r="LD187" s="56"/>
      <c r="LE187" s="56"/>
      <c r="LF187" s="56"/>
      <c r="LG187" s="56"/>
      <c r="LH187" s="56"/>
      <c r="LI187" s="56"/>
      <c r="LJ187" s="56"/>
      <c r="LK187" s="56"/>
      <c r="LL187" s="56"/>
      <c r="LM187" s="56"/>
      <c r="LN187" s="56"/>
      <c r="LO187" s="56"/>
      <c r="LP187" s="56"/>
      <c r="LQ187" s="56"/>
      <c r="LR187" s="56"/>
      <c r="LS187" s="56"/>
      <c r="LT187" s="56"/>
      <c r="LU187" s="56"/>
      <c r="LV187" s="56"/>
      <c r="LW187" s="56"/>
      <c r="LX187" s="56"/>
      <c r="LY187" s="56"/>
      <c r="LZ187" s="56"/>
      <c r="MA187" s="56"/>
      <c r="MB187" s="56"/>
      <c r="MC187" s="56"/>
      <c r="MD187" s="56"/>
      <c r="ME187" s="56"/>
      <c r="MF187" s="56"/>
      <c r="MG187" s="56"/>
      <c r="MH187" s="56"/>
      <c r="MI187" s="56"/>
      <c r="MJ187" s="56"/>
      <c r="MK187" s="56"/>
      <c r="ML187" s="56"/>
      <c r="MM187" s="56"/>
      <c r="MN187" s="56"/>
      <c r="MO187" s="56"/>
      <c r="MP187" s="56"/>
      <c r="MQ187" s="56"/>
      <c r="MR187" s="56"/>
      <c r="MS187" s="56"/>
      <c r="MT187" s="56"/>
      <c r="MU187" s="56"/>
      <c r="MV187" s="56"/>
      <c r="MW187" s="56"/>
      <c r="MX187" s="56"/>
      <c r="MY187" s="56"/>
      <c r="MZ187" s="56"/>
      <c r="NA187" s="56"/>
      <c r="NB187" s="56"/>
      <c r="NC187" s="56"/>
      <c r="ND187" s="56"/>
      <c r="NE187" s="56"/>
      <c r="NF187" s="56"/>
      <c r="NG187" s="56"/>
      <c r="NH187" s="56"/>
      <c r="NI187" s="56"/>
      <c r="NJ187" s="56"/>
      <c r="NK187" s="56"/>
      <c r="NL187" s="56"/>
      <c r="NM187" s="56"/>
      <c r="NN187" s="56"/>
      <c r="NO187" s="56"/>
      <c r="NP187" s="56"/>
      <c r="NQ187" s="56"/>
      <c r="NR187" s="56"/>
      <c r="NS187" s="56"/>
      <c r="NT187" s="56"/>
      <c r="NU187" s="56"/>
      <c r="NV187" s="56"/>
      <c r="NW187" s="56"/>
      <c r="NX187" s="56"/>
      <c r="NY187" s="56"/>
      <c r="NZ187" s="56"/>
      <c r="OA187" s="56"/>
      <c r="OB187" s="56"/>
      <c r="OC187" s="56"/>
      <c r="OD187" s="56"/>
      <c r="OE187" s="56"/>
      <c r="OF187" s="56"/>
      <c r="OG187" s="56"/>
      <c r="OH187" s="56"/>
      <c r="OI187" s="56"/>
      <c r="OJ187" s="56"/>
      <c r="OK187" s="56"/>
      <c r="OL187" s="56"/>
      <c r="OM187" s="56"/>
      <c r="ON187" s="56"/>
      <c r="OO187" s="56"/>
      <c r="OP187" s="56"/>
      <c r="OQ187" s="56"/>
      <c r="OR187" s="56"/>
      <c r="OS187" s="56"/>
      <c r="OT187" s="56"/>
      <c r="OU187" s="56"/>
      <c r="OV187" s="56"/>
      <c r="OW187" s="56"/>
      <c r="OX187" s="56"/>
      <c r="OY187" s="56"/>
      <c r="OZ187" s="56"/>
      <c r="PA187" s="56"/>
      <c r="PB187" s="56"/>
      <c r="PC187" s="56"/>
      <c r="PD187" s="56"/>
      <c r="PE187" s="56"/>
      <c r="PF187" s="56"/>
      <c r="PG187" s="56"/>
      <c r="PH187" s="56"/>
      <c r="PI187" s="56"/>
      <c r="PJ187" s="56"/>
      <c r="PK187" s="56"/>
      <c r="PL187" s="56"/>
      <c r="PM187" s="56"/>
      <c r="PN187" s="56"/>
      <c r="PO187" s="56"/>
      <c r="PP187" s="56"/>
      <c r="PQ187" s="56"/>
      <c r="PR187" s="56"/>
      <c r="PS187" s="56"/>
      <c r="PT187" s="56"/>
      <c r="PU187" s="56"/>
      <c r="PV187" s="56"/>
      <c r="PW187" s="56"/>
      <c r="PX187" s="56"/>
      <c r="PY187" s="56"/>
      <c r="PZ187" s="56"/>
      <c r="QA187" s="56"/>
      <c r="QB187" s="56"/>
      <c r="QC187" s="56"/>
      <c r="QD187" s="56"/>
      <c r="QE187" s="56"/>
      <c r="QF187" s="56"/>
      <c r="QG187" s="56"/>
      <c r="QH187" s="56"/>
      <c r="QI187" s="56"/>
      <c r="QJ187" s="56"/>
      <c r="QK187" s="56"/>
      <c r="QL187" s="56"/>
      <c r="QM187" s="56"/>
      <c r="QN187" s="56"/>
      <c r="QO187" s="56"/>
      <c r="QP187" s="56"/>
      <c r="QQ187" s="56"/>
      <c r="QR187" s="56"/>
      <c r="QS187" s="56"/>
      <c r="QT187" s="56"/>
      <c r="QU187" s="56"/>
      <c r="QV187" s="56"/>
      <c r="QW187" s="56"/>
      <c r="QX187" s="56"/>
      <c r="QY187" s="56"/>
      <c r="QZ187" s="56"/>
      <c r="RA187" s="56"/>
      <c r="RB187" s="56"/>
      <c r="RC187" s="56"/>
      <c r="RD187" s="56"/>
      <c r="RE187" s="56"/>
      <c r="RF187" s="56"/>
      <c r="RG187" s="56"/>
      <c r="RH187" s="56"/>
      <c r="RI187" s="56"/>
      <c r="RJ187" s="56"/>
      <c r="RK187" s="56"/>
      <c r="RL187" s="56"/>
      <c r="RM187" s="56"/>
      <c r="RN187" s="56"/>
      <c r="RO187" s="56"/>
      <c r="RP187" s="56"/>
      <c r="RQ187" s="56"/>
      <c r="RR187" s="56"/>
      <c r="RS187" s="56"/>
      <c r="RT187" s="56"/>
      <c r="RU187" s="56"/>
      <c r="RV187" s="56"/>
      <c r="RW187" s="56"/>
      <c r="RX187" s="56"/>
      <c r="RY187" s="56"/>
      <c r="RZ187" s="56"/>
      <c r="SA187" s="56"/>
      <c r="SB187" s="56"/>
      <c r="SC187" s="56"/>
      <c r="SD187" s="56"/>
      <c r="SE187" s="56"/>
      <c r="SF187" s="56"/>
      <c r="SG187" s="56"/>
      <c r="SH187" s="56"/>
      <c r="SI187" s="56"/>
      <c r="SJ187" s="56"/>
      <c r="SK187" s="56"/>
      <c r="SL187" s="56"/>
      <c r="SM187" s="56"/>
      <c r="SN187" s="56"/>
      <c r="SO187" s="56"/>
      <c r="SP187" s="56"/>
      <c r="SQ187" s="56"/>
      <c r="SR187" s="56"/>
    </row>
    <row r="188" spans="1:512" ht="15" customHeight="1" x14ac:dyDescent="0.7">
      <c r="A188" s="171" t="s">
        <v>344</v>
      </c>
      <c r="B188" s="171" t="s">
        <v>344</v>
      </c>
      <c r="C188" s="171" t="s">
        <v>344</v>
      </c>
      <c r="D188" s="171"/>
      <c r="E188" s="171" t="s">
        <v>344</v>
      </c>
      <c r="F188" s="171"/>
      <c r="G188" s="188" t="s">
        <v>344</v>
      </c>
      <c r="H188" s="71" t="s">
        <v>344</v>
      </c>
      <c r="I188" s="72" t="s">
        <v>344</v>
      </c>
      <c r="J188" s="73" t="s">
        <v>344</v>
      </c>
      <c r="K188" s="189" t="s">
        <v>344</v>
      </c>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4"/>
      <c r="EF188" s="54"/>
      <c r="EG188" s="54"/>
      <c r="EH188" s="54"/>
      <c r="EI188" s="54"/>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c r="FP188" s="54"/>
      <c r="FQ188" s="54"/>
      <c r="FR188" s="54"/>
      <c r="FS188" s="54"/>
      <c r="FT188" s="54"/>
      <c r="FU188" s="54"/>
      <c r="FV188" s="54"/>
      <c r="FW188" s="54"/>
      <c r="FX188" s="54"/>
      <c r="FY188" s="54"/>
      <c r="FZ188" s="54"/>
      <c r="GA188" s="54"/>
      <c r="GB188" s="54"/>
      <c r="GC188" s="54"/>
      <c r="GD188" s="54"/>
      <c r="GE188" s="54"/>
      <c r="GF188" s="54"/>
      <c r="GG188" s="54"/>
      <c r="GH188" s="54"/>
      <c r="GI188" s="54"/>
      <c r="GJ188" s="54"/>
      <c r="GK188" s="54"/>
      <c r="GL188" s="54"/>
      <c r="GM188" s="54"/>
      <c r="GN188" s="54"/>
      <c r="GO188" s="54"/>
      <c r="GP188" s="54"/>
      <c r="GQ188" s="54"/>
      <c r="GR188" s="54"/>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c r="HP188" s="54"/>
      <c r="HQ188" s="54"/>
      <c r="HR188" s="54"/>
      <c r="HS188" s="54"/>
      <c r="HT188" s="54"/>
      <c r="HU188" s="54"/>
      <c r="HV188" s="54"/>
      <c r="HW188" s="54"/>
      <c r="HX188" s="54"/>
      <c r="HY188" s="54"/>
      <c r="HZ188" s="54"/>
      <c r="IA188" s="54"/>
      <c r="IB188" s="54"/>
      <c r="IC188" s="54"/>
      <c r="ID188" s="54"/>
      <c r="IE188" s="54"/>
      <c r="IF188" s="54"/>
      <c r="IG188" s="54"/>
      <c r="IH188" s="54"/>
      <c r="II188" s="54"/>
      <c r="IJ188" s="54"/>
      <c r="IK188" s="54"/>
      <c r="IL188" s="54"/>
      <c r="IM188" s="54"/>
      <c r="IN188" s="54"/>
      <c r="IO188" s="54"/>
      <c r="IP188" s="54"/>
      <c r="IQ188" s="54"/>
      <c r="IR188" s="54"/>
      <c r="IS188" s="54"/>
      <c r="IT188" s="54"/>
      <c r="IU188" s="54"/>
      <c r="IV188" s="54"/>
      <c r="IW188" s="54"/>
      <c r="IX188" s="54"/>
      <c r="IY188" s="54"/>
      <c r="IZ188" s="54"/>
      <c r="JA188" s="54"/>
      <c r="JB188" s="54"/>
      <c r="JC188" s="54"/>
      <c r="JD188" s="54"/>
      <c r="JE188" s="54"/>
      <c r="JF188" s="54"/>
      <c r="JG188" s="54"/>
      <c r="JH188" s="54"/>
      <c r="JI188" s="54"/>
      <c r="JJ188" s="54"/>
      <c r="JK188" s="54"/>
      <c r="JL188" s="54"/>
      <c r="JM188" s="54"/>
      <c r="JN188" s="54"/>
      <c r="JO188" s="54"/>
      <c r="JP188" s="54"/>
      <c r="JQ188" s="54"/>
      <c r="JR188" s="54"/>
      <c r="JS188" s="54"/>
      <c r="JT188" s="54"/>
      <c r="JU188" s="54"/>
      <c r="JV188" s="54"/>
      <c r="JW188" s="54"/>
      <c r="JX188" s="54"/>
      <c r="JY188" s="54"/>
      <c r="JZ188" s="54"/>
      <c r="KA188" s="54"/>
      <c r="KB188" s="54"/>
      <c r="KC188" s="54"/>
      <c r="KD188" s="54"/>
      <c r="KE188" s="54"/>
      <c r="KF188" s="54"/>
      <c r="KG188" s="54"/>
      <c r="KH188" s="54"/>
      <c r="KI188" s="54"/>
      <c r="KJ188" s="54"/>
      <c r="KK188" s="54"/>
      <c r="KL188" s="54"/>
      <c r="KM188" s="54"/>
      <c r="KN188" s="54"/>
      <c r="KO188" s="54"/>
      <c r="KP188" s="54"/>
      <c r="KQ188" s="54"/>
      <c r="KR188" s="54"/>
      <c r="KS188" s="54"/>
      <c r="KT188" s="54"/>
      <c r="KU188" s="54"/>
      <c r="KV188" s="54"/>
      <c r="KW188" s="54"/>
      <c r="KX188" s="54"/>
      <c r="KY188" s="54"/>
      <c r="KZ188" s="54"/>
      <c r="LA188" s="54"/>
      <c r="LB188" s="54"/>
      <c r="LC188" s="54"/>
      <c r="LD188" s="54"/>
      <c r="LE188" s="54"/>
      <c r="LF188" s="54"/>
      <c r="LG188" s="54"/>
      <c r="LH188" s="54"/>
      <c r="LI188" s="54"/>
      <c r="LJ188" s="54"/>
      <c r="LK188" s="54"/>
      <c r="LL188" s="54"/>
      <c r="LM188" s="54"/>
      <c r="LN188" s="54"/>
      <c r="LO188" s="54"/>
      <c r="LP188" s="54"/>
      <c r="LQ188" s="54"/>
      <c r="LR188" s="54"/>
      <c r="LS188" s="54"/>
      <c r="LT188" s="54"/>
      <c r="LU188" s="54"/>
      <c r="LV188" s="54"/>
      <c r="LW188" s="54"/>
      <c r="LX188" s="54"/>
      <c r="LY188" s="54"/>
      <c r="LZ188" s="54"/>
      <c r="MA188" s="54"/>
      <c r="MB188" s="54"/>
      <c r="MC188" s="54"/>
      <c r="MD188" s="54"/>
      <c r="ME188" s="54"/>
      <c r="MF188" s="54"/>
      <c r="MG188" s="54"/>
      <c r="MH188" s="54"/>
      <c r="MI188" s="54"/>
      <c r="MJ188" s="54"/>
      <c r="MK188" s="54"/>
      <c r="ML188" s="54"/>
      <c r="MM188" s="54"/>
      <c r="MN188" s="54"/>
      <c r="MO188" s="54"/>
      <c r="MP188" s="54"/>
      <c r="MQ188" s="54"/>
      <c r="MR188" s="54"/>
      <c r="MS188" s="54"/>
      <c r="MT188" s="54"/>
      <c r="MU188" s="54"/>
      <c r="MV188" s="54"/>
      <c r="MW188" s="54"/>
      <c r="MX188" s="54"/>
      <c r="MY188" s="54"/>
      <c r="MZ188" s="54"/>
      <c r="NA188" s="54"/>
      <c r="NB188" s="54"/>
      <c r="NC188" s="54"/>
      <c r="ND188" s="54"/>
      <c r="NE188" s="54"/>
      <c r="NF188" s="54"/>
      <c r="NG188" s="54"/>
      <c r="NH188" s="54"/>
      <c r="NI188" s="54"/>
      <c r="NJ188" s="54"/>
      <c r="NK188" s="54"/>
      <c r="NL188" s="54"/>
      <c r="NM188" s="54"/>
      <c r="NN188" s="54"/>
      <c r="NO188" s="54"/>
      <c r="NP188" s="54"/>
      <c r="NQ188" s="54"/>
      <c r="NR188" s="54"/>
      <c r="NS188" s="54"/>
      <c r="NT188" s="54"/>
      <c r="NU188" s="54"/>
      <c r="NV188" s="54"/>
      <c r="NW188" s="54"/>
      <c r="NX188" s="54"/>
      <c r="NY188" s="54"/>
      <c r="NZ188" s="54"/>
      <c r="OA188" s="54"/>
      <c r="OB188" s="54"/>
      <c r="OC188" s="54"/>
      <c r="OD188" s="54"/>
      <c r="OE188" s="54"/>
      <c r="OF188" s="54"/>
      <c r="OG188" s="54"/>
      <c r="OH188" s="54"/>
      <c r="OI188" s="54"/>
      <c r="OJ188" s="54"/>
      <c r="OK188" s="54"/>
      <c r="OL188" s="54"/>
      <c r="OM188" s="54"/>
      <c r="ON188" s="54"/>
      <c r="OO188" s="54"/>
      <c r="OP188" s="54"/>
      <c r="OQ188" s="54"/>
      <c r="OR188" s="54"/>
      <c r="OS188" s="54"/>
      <c r="OT188" s="54"/>
      <c r="OU188" s="54"/>
      <c r="OV188" s="54"/>
      <c r="OW188" s="54"/>
      <c r="OX188" s="54"/>
      <c r="OY188" s="54"/>
      <c r="OZ188" s="54"/>
      <c r="PA188" s="54"/>
      <c r="PB188" s="54"/>
      <c r="PC188" s="54"/>
      <c r="PD188" s="54"/>
      <c r="PE188" s="54"/>
      <c r="PF188" s="54"/>
      <c r="PG188" s="54"/>
      <c r="PH188" s="54"/>
      <c r="PI188" s="54"/>
      <c r="PJ188" s="54"/>
      <c r="PK188" s="54"/>
      <c r="PL188" s="54"/>
      <c r="PM188" s="54"/>
      <c r="PN188" s="54"/>
      <c r="PO188" s="54"/>
      <c r="PP188" s="54"/>
      <c r="PQ188" s="54"/>
      <c r="PR188" s="54"/>
      <c r="PS188" s="54"/>
      <c r="PT188" s="54"/>
      <c r="PU188" s="54"/>
      <c r="PV188" s="54"/>
      <c r="PW188" s="54"/>
      <c r="PX188" s="54"/>
      <c r="PY188" s="54"/>
      <c r="PZ188" s="54"/>
      <c r="QA188" s="54"/>
      <c r="QB188" s="54"/>
      <c r="QC188" s="54"/>
      <c r="QD188" s="54"/>
      <c r="QE188" s="54"/>
      <c r="QF188" s="54"/>
      <c r="QG188" s="54"/>
      <c r="QH188" s="54"/>
      <c r="QI188" s="54"/>
      <c r="QJ188" s="54"/>
      <c r="QK188" s="54"/>
      <c r="QL188" s="54"/>
      <c r="QM188" s="54"/>
      <c r="QN188" s="54"/>
      <c r="QO188" s="54"/>
      <c r="QP188" s="54"/>
      <c r="QQ188" s="54"/>
      <c r="QR188" s="54"/>
      <c r="QS188" s="54"/>
      <c r="QT188" s="54"/>
      <c r="QU188" s="54"/>
      <c r="QV188" s="54"/>
      <c r="QW188" s="54"/>
      <c r="QX188" s="54"/>
      <c r="QY188" s="54"/>
      <c r="QZ188" s="54"/>
      <c r="RA188" s="54"/>
      <c r="RB188" s="54"/>
      <c r="RC188" s="54"/>
      <c r="RD188" s="54"/>
      <c r="RE188" s="54"/>
      <c r="RF188" s="54"/>
      <c r="RG188" s="54"/>
      <c r="RH188" s="54"/>
      <c r="RI188" s="54"/>
      <c r="RJ188" s="54"/>
      <c r="RK188" s="54"/>
      <c r="RL188" s="54"/>
      <c r="RM188" s="54"/>
      <c r="RN188" s="54"/>
      <c r="RO188" s="54"/>
      <c r="RP188" s="54"/>
      <c r="RQ188" s="54"/>
      <c r="RR188" s="54"/>
      <c r="RS188" s="54"/>
      <c r="RT188" s="54"/>
      <c r="RU188" s="54"/>
      <c r="RV188" s="54"/>
      <c r="RW188" s="54"/>
      <c r="RX188" s="54"/>
      <c r="RY188" s="54"/>
      <c r="RZ188" s="54"/>
      <c r="SA188" s="54"/>
      <c r="SB188" s="54"/>
      <c r="SC188" s="54"/>
      <c r="SD188" s="54"/>
      <c r="SE188" s="54"/>
      <c r="SF188" s="54"/>
      <c r="SG188" s="54"/>
      <c r="SH188" s="54"/>
      <c r="SI188" s="54"/>
      <c r="SJ188" s="54"/>
      <c r="SK188" s="54"/>
      <c r="SL188" s="54"/>
      <c r="SM188" s="54"/>
      <c r="SN188" s="54"/>
      <c r="SO188" s="54"/>
      <c r="SP188" s="54"/>
      <c r="SQ188" s="54"/>
      <c r="SR188" s="54"/>
    </row>
    <row r="189" spans="1:512" ht="15" customHeight="1" x14ac:dyDescent="0.7">
      <c r="A189" s="172"/>
      <c r="B189" s="172"/>
      <c r="C189" s="172"/>
      <c r="D189" s="172"/>
      <c r="E189" s="172"/>
      <c r="F189" s="172"/>
      <c r="G189" s="172"/>
      <c r="I189" s="72" t="s">
        <v>344</v>
      </c>
      <c r="J189" s="73" t="s">
        <v>344</v>
      </c>
      <c r="K189" s="190"/>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c r="HP189" s="54"/>
      <c r="HQ189" s="54"/>
      <c r="HR189" s="54"/>
      <c r="HS189" s="54"/>
      <c r="HT189" s="54"/>
      <c r="HU189" s="54"/>
      <c r="HV189" s="54"/>
      <c r="HW189" s="54"/>
      <c r="HX189" s="54"/>
      <c r="HY189" s="54"/>
      <c r="HZ189" s="54"/>
      <c r="IA189" s="54"/>
      <c r="IB189" s="54"/>
      <c r="IC189" s="54"/>
      <c r="ID189" s="54"/>
      <c r="IE189" s="54"/>
      <c r="IF189" s="54"/>
      <c r="IG189" s="54"/>
      <c r="IH189" s="54"/>
      <c r="II189" s="54"/>
      <c r="IJ189" s="54"/>
      <c r="IK189" s="54"/>
      <c r="IL189" s="54"/>
      <c r="IM189" s="54"/>
      <c r="IN189" s="54"/>
      <c r="IO189" s="54"/>
      <c r="IP189" s="54"/>
      <c r="IQ189" s="54"/>
      <c r="IR189" s="54"/>
      <c r="IS189" s="54"/>
      <c r="IT189" s="54"/>
      <c r="IU189" s="54"/>
      <c r="IV189" s="54"/>
      <c r="IW189" s="54"/>
      <c r="IX189" s="54"/>
      <c r="IY189" s="54"/>
      <c r="IZ189" s="54"/>
      <c r="JA189" s="54"/>
      <c r="JB189" s="54"/>
      <c r="JC189" s="54"/>
      <c r="JD189" s="54"/>
      <c r="JE189" s="54"/>
      <c r="JF189" s="54"/>
      <c r="JG189" s="54"/>
      <c r="JH189" s="54"/>
      <c r="JI189" s="54"/>
      <c r="JJ189" s="54"/>
      <c r="JK189" s="54"/>
      <c r="JL189" s="54"/>
      <c r="JM189" s="54"/>
      <c r="JN189" s="54"/>
      <c r="JO189" s="54"/>
      <c r="JP189" s="54"/>
      <c r="JQ189" s="54"/>
      <c r="JR189" s="54"/>
      <c r="JS189" s="54"/>
      <c r="JT189" s="54"/>
      <c r="JU189" s="54"/>
      <c r="JV189" s="54"/>
      <c r="JW189" s="54"/>
      <c r="JX189" s="54"/>
      <c r="JY189" s="54"/>
      <c r="JZ189" s="54"/>
      <c r="KA189" s="54"/>
      <c r="KB189" s="54"/>
      <c r="KC189" s="54"/>
      <c r="KD189" s="54"/>
      <c r="KE189" s="54"/>
      <c r="KF189" s="54"/>
      <c r="KG189" s="54"/>
      <c r="KH189" s="54"/>
      <c r="KI189" s="54"/>
      <c r="KJ189" s="54"/>
      <c r="KK189" s="54"/>
      <c r="KL189" s="54"/>
      <c r="KM189" s="54"/>
      <c r="KN189" s="54"/>
      <c r="KO189" s="54"/>
      <c r="KP189" s="54"/>
      <c r="KQ189" s="54"/>
      <c r="KR189" s="54"/>
      <c r="KS189" s="54"/>
      <c r="KT189" s="54"/>
      <c r="KU189" s="54"/>
      <c r="KV189" s="54"/>
      <c r="KW189" s="54"/>
      <c r="KX189" s="54"/>
      <c r="KY189" s="54"/>
      <c r="KZ189" s="54"/>
      <c r="LA189" s="54"/>
      <c r="LB189" s="54"/>
      <c r="LC189" s="54"/>
      <c r="LD189" s="54"/>
      <c r="LE189" s="54"/>
      <c r="LF189" s="54"/>
      <c r="LG189" s="54"/>
      <c r="LH189" s="54"/>
      <c r="LI189" s="54"/>
      <c r="LJ189" s="54"/>
      <c r="LK189" s="54"/>
      <c r="LL189" s="54"/>
      <c r="LM189" s="54"/>
      <c r="LN189" s="54"/>
      <c r="LO189" s="54"/>
      <c r="LP189" s="54"/>
      <c r="LQ189" s="54"/>
      <c r="LR189" s="54"/>
      <c r="LS189" s="54"/>
      <c r="LT189" s="54"/>
      <c r="LU189" s="54"/>
      <c r="LV189" s="54"/>
      <c r="LW189" s="54"/>
      <c r="LX189" s="54"/>
      <c r="LY189" s="54"/>
      <c r="LZ189" s="54"/>
      <c r="MA189" s="54"/>
      <c r="MB189" s="54"/>
      <c r="MC189" s="54"/>
      <c r="MD189" s="54"/>
      <c r="ME189" s="54"/>
      <c r="MF189" s="54"/>
      <c r="MG189" s="54"/>
      <c r="MH189" s="54"/>
      <c r="MI189" s="54"/>
      <c r="MJ189" s="54"/>
      <c r="MK189" s="54"/>
      <c r="ML189" s="54"/>
      <c r="MM189" s="54"/>
      <c r="MN189" s="54"/>
      <c r="MO189" s="54"/>
      <c r="MP189" s="54"/>
      <c r="MQ189" s="54"/>
      <c r="MR189" s="54"/>
      <c r="MS189" s="54"/>
      <c r="MT189" s="54"/>
      <c r="MU189" s="54"/>
      <c r="MV189" s="54"/>
      <c r="MW189" s="54"/>
      <c r="MX189" s="54"/>
      <c r="MY189" s="54"/>
      <c r="MZ189" s="54"/>
      <c r="NA189" s="54"/>
      <c r="NB189" s="54"/>
      <c r="NC189" s="54"/>
      <c r="ND189" s="54"/>
      <c r="NE189" s="54"/>
      <c r="NF189" s="54"/>
      <c r="NG189" s="54"/>
      <c r="NH189" s="54"/>
      <c r="NI189" s="54"/>
      <c r="NJ189" s="54"/>
      <c r="NK189" s="54"/>
      <c r="NL189" s="54"/>
      <c r="NM189" s="54"/>
      <c r="NN189" s="54"/>
      <c r="NO189" s="54"/>
      <c r="NP189" s="54"/>
      <c r="NQ189" s="54"/>
      <c r="NR189" s="54"/>
      <c r="NS189" s="54"/>
      <c r="NT189" s="54"/>
      <c r="NU189" s="54"/>
      <c r="NV189" s="54"/>
      <c r="NW189" s="54"/>
      <c r="NX189" s="54"/>
      <c r="NY189" s="54"/>
      <c r="NZ189" s="54"/>
      <c r="OA189" s="54"/>
      <c r="OB189" s="54"/>
      <c r="OC189" s="54"/>
      <c r="OD189" s="54"/>
      <c r="OE189" s="54"/>
      <c r="OF189" s="54"/>
      <c r="OG189" s="54"/>
      <c r="OH189" s="54"/>
      <c r="OI189" s="54"/>
      <c r="OJ189" s="54"/>
      <c r="OK189" s="54"/>
      <c r="OL189" s="54"/>
      <c r="OM189" s="54"/>
      <c r="ON189" s="54"/>
      <c r="OO189" s="54"/>
      <c r="OP189" s="54"/>
      <c r="OQ189" s="54"/>
      <c r="OR189" s="54"/>
      <c r="OS189" s="54"/>
      <c r="OT189" s="54"/>
      <c r="OU189" s="54"/>
      <c r="OV189" s="54"/>
      <c r="OW189" s="54"/>
      <c r="OX189" s="54"/>
      <c r="OY189" s="54"/>
      <c r="OZ189" s="54"/>
      <c r="PA189" s="54"/>
      <c r="PB189" s="54"/>
      <c r="PC189" s="54"/>
      <c r="PD189" s="54"/>
      <c r="PE189" s="54"/>
      <c r="PF189" s="54"/>
      <c r="PG189" s="54"/>
      <c r="PH189" s="54"/>
      <c r="PI189" s="54"/>
      <c r="PJ189" s="54"/>
      <c r="PK189" s="54"/>
      <c r="PL189" s="54"/>
      <c r="PM189" s="54"/>
      <c r="PN189" s="54"/>
      <c r="PO189" s="54"/>
      <c r="PP189" s="54"/>
      <c r="PQ189" s="54"/>
      <c r="PR189" s="54"/>
      <c r="PS189" s="54"/>
      <c r="PT189" s="54"/>
      <c r="PU189" s="54"/>
      <c r="PV189" s="54"/>
      <c r="PW189" s="54"/>
      <c r="PX189" s="54"/>
      <c r="PY189" s="54"/>
      <c r="PZ189" s="54"/>
      <c r="QA189" s="54"/>
      <c r="QB189" s="54"/>
      <c r="QC189" s="54"/>
      <c r="QD189" s="54"/>
      <c r="QE189" s="54"/>
      <c r="QF189" s="54"/>
      <c r="QG189" s="54"/>
      <c r="QH189" s="54"/>
      <c r="QI189" s="54"/>
      <c r="QJ189" s="54"/>
      <c r="QK189" s="54"/>
      <c r="QL189" s="54"/>
      <c r="QM189" s="54"/>
      <c r="QN189" s="54"/>
      <c r="QO189" s="54"/>
      <c r="QP189" s="54"/>
      <c r="QQ189" s="54"/>
      <c r="QR189" s="54"/>
      <c r="QS189" s="54"/>
      <c r="QT189" s="54"/>
      <c r="QU189" s="54"/>
      <c r="QV189" s="54"/>
      <c r="QW189" s="54"/>
      <c r="QX189" s="54"/>
      <c r="QY189" s="54"/>
      <c r="QZ189" s="54"/>
      <c r="RA189" s="54"/>
      <c r="RB189" s="54"/>
      <c r="RC189" s="54"/>
      <c r="RD189" s="54"/>
      <c r="RE189" s="54"/>
      <c r="RF189" s="54"/>
      <c r="RG189" s="54"/>
      <c r="RH189" s="54"/>
      <c r="RI189" s="54"/>
      <c r="RJ189" s="54"/>
      <c r="RK189" s="54"/>
      <c r="RL189" s="54"/>
      <c r="RM189" s="54"/>
      <c r="RN189" s="54"/>
      <c r="RO189" s="54"/>
      <c r="RP189" s="54"/>
      <c r="RQ189" s="54"/>
      <c r="RR189" s="54"/>
      <c r="RS189" s="54"/>
      <c r="RT189" s="54"/>
      <c r="RU189" s="54"/>
      <c r="RV189" s="54"/>
      <c r="RW189" s="54"/>
      <c r="RX189" s="54"/>
      <c r="RY189" s="54"/>
      <c r="RZ189" s="54"/>
      <c r="SA189" s="54"/>
      <c r="SB189" s="54"/>
      <c r="SC189" s="54"/>
      <c r="SD189" s="54"/>
      <c r="SE189" s="54"/>
      <c r="SF189" s="54"/>
      <c r="SG189" s="54"/>
      <c r="SH189" s="54"/>
      <c r="SI189" s="54"/>
      <c r="SJ189" s="54"/>
      <c r="SK189" s="54"/>
      <c r="SL189" s="54"/>
      <c r="SM189" s="54"/>
      <c r="SN189" s="54"/>
      <c r="SO189" s="54"/>
      <c r="SP189" s="54"/>
      <c r="SQ189" s="54"/>
      <c r="SR189" s="54"/>
    </row>
    <row r="190" spans="1:512" s="55" customFormat="1" ht="15" customHeight="1" x14ac:dyDescent="0.7">
      <c r="A190" s="173"/>
      <c r="B190" s="173"/>
      <c r="C190" s="173"/>
      <c r="D190" s="173"/>
      <c r="E190" s="173"/>
      <c r="F190" s="173"/>
      <c r="G190" s="173"/>
      <c r="H190" s="74"/>
      <c r="I190" s="75"/>
      <c r="J190" s="76"/>
      <c r="K190" s="191"/>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c r="IX190" s="56"/>
      <c r="IY190" s="56"/>
      <c r="IZ190" s="56"/>
      <c r="JA190" s="56"/>
      <c r="JB190" s="56"/>
      <c r="JC190" s="56"/>
      <c r="JD190" s="56"/>
      <c r="JE190" s="56"/>
      <c r="JF190" s="56"/>
      <c r="JG190" s="56"/>
      <c r="JH190" s="56"/>
      <c r="JI190" s="56"/>
      <c r="JJ190" s="56"/>
      <c r="JK190" s="56"/>
      <c r="JL190" s="56"/>
      <c r="JM190" s="56"/>
      <c r="JN190" s="56"/>
      <c r="JO190" s="56"/>
      <c r="JP190" s="56"/>
      <c r="JQ190" s="56"/>
      <c r="JR190" s="56"/>
      <c r="JS190" s="56"/>
      <c r="JT190" s="56"/>
      <c r="JU190" s="56"/>
      <c r="JV190" s="56"/>
      <c r="JW190" s="56"/>
      <c r="JX190" s="56"/>
      <c r="JY190" s="56"/>
      <c r="JZ190" s="56"/>
      <c r="KA190" s="56"/>
      <c r="KB190" s="56"/>
      <c r="KC190" s="56"/>
      <c r="KD190" s="56"/>
      <c r="KE190" s="56"/>
      <c r="KF190" s="56"/>
      <c r="KG190" s="56"/>
      <c r="KH190" s="56"/>
      <c r="KI190" s="56"/>
      <c r="KJ190" s="56"/>
      <c r="KK190" s="56"/>
      <c r="KL190" s="56"/>
      <c r="KM190" s="56"/>
      <c r="KN190" s="56"/>
      <c r="KO190" s="56"/>
      <c r="KP190" s="56"/>
      <c r="KQ190" s="56"/>
      <c r="KR190" s="56"/>
      <c r="KS190" s="56"/>
      <c r="KT190" s="56"/>
      <c r="KU190" s="56"/>
      <c r="KV190" s="56"/>
      <c r="KW190" s="56"/>
      <c r="KX190" s="56"/>
      <c r="KY190" s="56"/>
      <c r="KZ190" s="56"/>
      <c r="LA190" s="56"/>
      <c r="LB190" s="56"/>
      <c r="LC190" s="56"/>
      <c r="LD190" s="56"/>
      <c r="LE190" s="56"/>
      <c r="LF190" s="56"/>
      <c r="LG190" s="56"/>
      <c r="LH190" s="56"/>
      <c r="LI190" s="56"/>
      <c r="LJ190" s="56"/>
      <c r="LK190" s="56"/>
      <c r="LL190" s="56"/>
      <c r="LM190" s="56"/>
      <c r="LN190" s="56"/>
      <c r="LO190" s="56"/>
      <c r="LP190" s="56"/>
      <c r="LQ190" s="56"/>
      <c r="LR190" s="56"/>
      <c r="LS190" s="56"/>
      <c r="LT190" s="56"/>
      <c r="LU190" s="56"/>
      <c r="LV190" s="56"/>
      <c r="LW190" s="56"/>
      <c r="LX190" s="56"/>
      <c r="LY190" s="56"/>
      <c r="LZ190" s="56"/>
      <c r="MA190" s="56"/>
      <c r="MB190" s="56"/>
      <c r="MC190" s="56"/>
      <c r="MD190" s="56"/>
      <c r="ME190" s="56"/>
      <c r="MF190" s="56"/>
      <c r="MG190" s="56"/>
      <c r="MH190" s="56"/>
      <c r="MI190" s="56"/>
      <c r="MJ190" s="56"/>
      <c r="MK190" s="56"/>
      <c r="ML190" s="56"/>
      <c r="MM190" s="56"/>
      <c r="MN190" s="56"/>
      <c r="MO190" s="56"/>
      <c r="MP190" s="56"/>
      <c r="MQ190" s="56"/>
      <c r="MR190" s="56"/>
      <c r="MS190" s="56"/>
      <c r="MT190" s="56"/>
      <c r="MU190" s="56"/>
      <c r="MV190" s="56"/>
      <c r="MW190" s="56"/>
      <c r="MX190" s="56"/>
      <c r="MY190" s="56"/>
      <c r="MZ190" s="56"/>
      <c r="NA190" s="56"/>
      <c r="NB190" s="56"/>
      <c r="NC190" s="56"/>
      <c r="ND190" s="56"/>
      <c r="NE190" s="56"/>
      <c r="NF190" s="56"/>
      <c r="NG190" s="56"/>
      <c r="NH190" s="56"/>
      <c r="NI190" s="56"/>
      <c r="NJ190" s="56"/>
      <c r="NK190" s="56"/>
      <c r="NL190" s="56"/>
      <c r="NM190" s="56"/>
      <c r="NN190" s="56"/>
      <c r="NO190" s="56"/>
      <c r="NP190" s="56"/>
      <c r="NQ190" s="56"/>
      <c r="NR190" s="56"/>
      <c r="NS190" s="56"/>
      <c r="NT190" s="56"/>
      <c r="NU190" s="56"/>
      <c r="NV190" s="56"/>
      <c r="NW190" s="56"/>
      <c r="NX190" s="56"/>
      <c r="NY190" s="56"/>
      <c r="NZ190" s="56"/>
      <c r="OA190" s="56"/>
      <c r="OB190" s="56"/>
      <c r="OC190" s="56"/>
      <c r="OD190" s="56"/>
      <c r="OE190" s="56"/>
      <c r="OF190" s="56"/>
      <c r="OG190" s="56"/>
      <c r="OH190" s="56"/>
      <c r="OI190" s="56"/>
      <c r="OJ190" s="56"/>
      <c r="OK190" s="56"/>
      <c r="OL190" s="56"/>
      <c r="OM190" s="56"/>
      <c r="ON190" s="56"/>
      <c r="OO190" s="56"/>
      <c r="OP190" s="56"/>
      <c r="OQ190" s="56"/>
      <c r="OR190" s="56"/>
      <c r="OS190" s="56"/>
      <c r="OT190" s="56"/>
      <c r="OU190" s="56"/>
      <c r="OV190" s="56"/>
      <c r="OW190" s="56"/>
      <c r="OX190" s="56"/>
      <c r="OY190" s="56"/>
      <c r="OZ190" s="56"/>
      <c r="PA190" s="56"/>
      <c r="PB190" s="56"/>
      <c r="PC190" s="56"/>
      <c r="PD190" s="56"/>
      <c r="PE190" s="56"/>
      <c r="PF190" s="56"/>
      <c r="PG190" s="56"/>
      <c r="PH190" s="56"/>
      <c r="PI190" s="56"/>
      <c r="PJ190" s="56"/>
      <c r="PK190" s="56"/>
      <c r="PL190" s="56"/>
      <c r="PM190" s="56"/>
      <c r="PN190" s="56"/>
      <c r="PO190" s="56"/>
      <c r="PP190" s="56"/>
      <c r="PQ190" s="56"/>
      <c r="PR190" s="56"/>
      <c r="PS190" s="56"/>
      <c r="PT190" s="56"/>
      <c r="PU190" s="56"/>
      <c r="PV190" s="56"/>
      <c r="PW190" s="56"/>
      <c r="PX190" s="56"/>
      <c r="PY190" s="56"/>
      <c r="PZ190" s="56"/>
      <c r="QA190" s="56"/>
      <c r="QB190" s="56"/>
      <c r="QC190" s="56"/>
      <c r="QD190" s="56"/>
      <c r="QE190" s="56"/>
      <c r="QF190" s="56"/>
      <c r="QG190" s="56"/>
      <c r="QH190" s="56"/>
      <c r="QI190" s="56"/>
      <c r="QJ190" s="56"/>
      <c r="QK190" s="56"/>
      <c r="QL190" s="56"/>
      <c r="QM190" s="56"/>
      <c r="QN190" s="56"/>
      <c r="QO190" s="56"/>
      <c r="QP190" s="56"/>
      <c r="QQ190" s="56"/>
      <c r="QR190" s="56"/>
      <c r="QS190" s="56"/>
      <c r="QT190" s="56"/>
      <c r="QU190" s="56"/>
      <c r="QV190" s="56"/>
      <c r="QW190" s="56"/>
      <c r="QX190" s="56"/>
      <c r="QY190" s="56"/>
      <c r="QZ190" s="56"/>
      <c r="RA190" s="56"/>
      <c r="RB190" s="56"/>
      <c r="RC190" s="56"/>
      <c r="RD190" s="56"/>
      <c r="RE190" s="56"/>
      <c r="RF190" s="56"/>
      <c r="RG190" s="56"/>
      <c r="RH190" s="56"/>
      <c r="RI190" s="56"/>
      <c r="RJ190" s="56"/>
      <c r="RK190" s="56"/>
      <c r="RL190" s="56"/>
      <c r="RM190" s="56"/>
      <c r="RN190" s="56"/>
      <c r="RO190" s="56"/>
      <c r="RP190" s="56"/>
      <c r="RQ190" s="56"/>
      <c r="RR190" s="56"/>
      <c r="RS190" s="56"/>
      <c r="RT190" s="56"/>
      <c r="RU190" s="56"/>
      <c r="RV190" s="56"/>
      <c r="RW190" s="56"/>
      <c r="RX190" s="56"/>
      <c r="RY190" s="56"/>
      <c r="RZ190" s="56"/>
      <c r="SA190" s="56"/>
      <c r="SB190" s="56"/>
      <c r="SC190" s="56"/>
      <c r="SD190" s="56"/>
      <c r="SE190" s="56"/>
      <c r="SF190" s="56"/>
      <c r="SG190" s="56"/>
      <c r="SH190" s="56"/>
      <c r="SI190" s="56"/>
      <c r="SJ190" s="56"/>
      <c r="SK190" s="56"/>
      <c r="SL190" s="56"/>
      <c r="SM190" s="56"/>
      <c r="SN190" s="56"/>
      <c r="SO190" s="56"/>
      <c r="SP190" s="56"/>
      <c r="SQ190" s="56"/>
      <c r="SR190" s="56"/>
    </row>
    <row r="191" spans="1:512" ht="15" customHeight="1" x14ac:dyDescent="0.7">
      <c r="A191" s="171" t="s">
        <v>344</v>
      </c>
      <c r="B191" s="171" t="s">
        <v>344</v>
      </c>
      <c r="C191" s="171" t="s">
        <v>344</v>
      </c>
      <c r="D191" s="171"/>
      <c r="E191" s="171" t="s">
        <v>344</v>
      </c>
      <c r="F191" s="171"/>
      <c r="G191" s="188" t="s">
        <v>344</v>
      </c>
      <c r="H191" s="71" t="s">
        <v>344</v>
      </c>
      <c r="I191" s="72" t="s">
        <v>344</v>
      </c>
      <c r="J191" s="73" t="s">
        <v>344</v>
      </c>
      <c r="K191" s="189" t="s">
        <v>344</v>
      </c>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c r="HP191" s="54"/>
      <c r="HQ191" s="54"/>
      <c r="HR191" s="54"/>
      <c r="HS191" s="54"/>
      <c r="HT191" s="54"/>
      <c r="HU191" s="54"/>
      <c r="HV191" s="54"/>
      <c r="HW191" s="54"/>
      <c r="HX191" s="54"/>
      <c r="HY191" s="54"/>
      <c r="HZ191" s="54"/>
      <c r="IA191" s="54"/>
      <c r="IB191" s="54"/>
      <c r="IC191" s="54"/>
      <c r="ID191" s="54"/>
      <c r="IE191" s="54"/>
      <c r="IF191" s="54"/>
      <c r="IG191" s="54"/>
      <c r="IH191" s="54"/>
      <c r="II191" s="54"/>
      <c r="IJ191" s="54"/>
      <c r="IK191" s="54"/>
      <c r="IL191" s="54"/>
      <c r="IM191" s="54"/>
      <c r="IN191" s="54"/>
      <c r="IO191" s="54"/>
      <c r="IP191" s="54"/>
      <c r="IQ191" s="54"/>
      <c r="IR191" s="54"/>
      <c r="IS191" s="54"/>
      <c r="IT191" s="54"/>
      <c r="IU191" s="54"/>
      <c r="IV191" s="54"/>
      <c r="IW191" s="54"/>
      <c r="IX191" s="54"/>
      <c r="IY191" s="54"/>
      <c r="IZ191" s="54"/>
      <c r="JA191" s="54"/>
      <c r="JB191" s="54"/>
      <c r="JC191" s="54"/>
      <c r="JD191" s="54"/>
      <c r="JE191" s="54"/>
      <c r="JF191" s="54"/>
      <c r="JG191" s="54"/>
      <c r="JH191" s="54"/>
      <c r="JI191" s="54"/>
      <c r="JJ191" s="54"/>
      <c r="JK191" s="54"/>
      <c r="JL191" s="54"/>
      <c r="JM191" s="54"/>
      <c r="JN191" s="54"/>
      <c r="JO191" s="54"/>
      <c r="JP191" s="54"/>
      <c r="JQ191" s="54"/>
      <c r="JR191" s="54"/>
      <c r="JS191" s="54"/>
      <c r="JT191" s="54"/>
      <c r="JU191" s="54"/>
      <c r="JV191" s="54"/>
      <c r="JW191" s="54"/>
      <c r="JX191" s="54"/>
      <c r="JY191" s="54"/>
      <c r="JZ191" s="54"/>
      <c r="KA191" s="54"/>
      <c r="KB191" s="54"/>
      <c r="KC191" s="54"/>
      <c r="KD191" s="54"/>
      <c r="KE191" s="54"/>
      <c r="KF191" s="54"/>
      <c r="KG191" s="54"/>
      <c r="KH191" s="54"/>
      <c r="KI191" s="54"/>
      <c r="KJ191" s="54"/>
      <c r="KK191" s="54"/>
      <c r="KL191" s="54"/>
      <c r="KM191" s="54"/>
      <c r="KN191" s="54"/>
      <c r="KO191" s="54"/>
      <c r="KP191" s="54"/>
      <c r="KQ191" s="54"/>
      <c r="KR191" s="54"/>
      <c r="KS191" s="54"/>
      <c r="KT191" s="54"/>
      <c r="KU191" s="54"/>
      <c r="KV191" s="54"/>
      <c r="KW191" s="54"/>
      <c r="KX191" s="54"/>
      <c r="KY191" s="54"/>
      <c r="KZ191" s="54"/>
      <c r="LA191" s="54"/>
      <c r="LB191" s="54"/>
      <c r="LC191" s="54"/>
      <c r="LD191" s="54"/>
      <c r="LE191" s="54"/>
      <c r="LF191" s="54"/>
      <c r="LG191" s="54"/>
      <c r="LH191" s="54"/>
      <c r="LI191" s="54"/>
      <c r="LJ191" s="54"/>
      <c r="LK191" s="54"/>
      <c r="LL191" s="54"/>
      <c r="LM191" s="54"/>
      <c r="LN191" s="54"/>
      <c r="LO191" s="54"/>
      <c r="LP191" s="54"/>
      <c r="LQ191" s="54"/>
      <c r="LR191" s="54"/>
      <c r="LS191" s="54"/>
      <c r="LT191" s="54"/>
      <c r="LU191" s="54"/>
      <c r="LV191" s="54"/>
      <c r="LW191" s="54"/>
      <c r="LX191" s="54"/>
      <c r="LY191" s="54"/>
      <c r="LZ191" s="54"/>
      <c r="MA191" s="54"/>
      <c r="MB191" s="54"/>
      <c r="MC191" s="54"/>
      <c r="MD191" s="54"/>
      <c r="ME191" s="54"/>
      <c r="MF191" s="54"/>
      <c r="MG191" s="54"/>
      <c r="MH191" s="54"/>
      <c r="MI191" s="54"/>
      <c r="MJ191" s="54"/>
      <c r="MK191" s="54"/>
      <c r="ML191" s="54"/>
      <c r="MM191" s="54"/>
      <c r="MN191" s="54"/>
      <c r="MO191" s="54"/>
      <c r="MP191" s="54"/>
      <c r="MQ191" s="54"/>
      <c r="MR191" s="54"/>
      <c r="MS191" s="54"/>
      <c r="MT191" s="54"/>
      <c r="MU191" s="54"/>
      <c r="MV191" s="54"/>
      <c r="MW191" s="54"/>
      <c r="MX191" s="54"/>
      <c r="MY191" s="54"/>
      <c r="MZ191" s="54"/>
      <c r="NA191" s="54"/>
      <c r="NB191" s="54"/>
      <c r="NC191" s="54"/>
      <c r="ND191" s="54"/>
      <c r="NE191" s="54"/>
      <c r="NF191" s="54"/>
      <c r="NG191" s="54"/>
      <c r="NH191" s="54"/>
      <c r="NI191" s="54"/>
      <c r="NJ191" s="54"/>
      <c r="NK191" s="54"/>
      <c r="NL191" s="54"/>
      <c r="NM191" s="54"/>
      <c r="NN191" s="54"/>
      <c r="NO191" s="54"/>
      <c r="NP191" s="54"/>
      <c r="NQ191" s="54"/>
      <c r="NR191" s="54"/>
      <c r="NS191" s="54"/>
      <c r="NT191" s="54"/>
      <c r="NU191" s="54"/>
      <c r="NV191" s="54"/>
      <c r="NW191" s="54"/>
      <c r="NX191" s="54"/>
      <c r="NY191" s="54"/>
      <c r="NZ191" s="54"/>
      <c r="OA191" s="54"/>
      <c r="OB191" s="54"/>
      <c r="OC191" s="54"/>
      <c r="OD191" s="54"/>
      <c r="OE191" s="54"/>
      <c r="OF191" s="54"/>
      <c r="OG191" s="54"/>
      <c r="OH191" s="54"/>
      <c r="OI191" s="54"/>
      <c r="OJ191" s="54"/>
      <c r="OK191" s="54"/>
      <c r="OL191" s="54"/>
      <c r="OM191" s="54"/>
      <c r="ON191" s="54"/>
      <c r="OO191" s="54"/>
      <c r="OP191" s="54"/>
      <c r="OQ191" s="54"/>
      <c r="OR191" s="54"/>
      <c r="OS191" s="54"/>
      <c r="OT191" s="54"/>
      <c r="OU191" s="54"/>
      <c r="OV191" s="54"/>
      <c r="OW191" s="54"/>
      <c r="OX191" s="54"/>
      <c r="OY191" s="54"/>
      <c r="OZ191" s="54"/>
      <c r="PA191" s="54"/>
      <c r="PB191" s="54"/>
      <c r="PC191" s="54"/>
      <c r="PD191" s="54"/>
      <c r="PE191" s="54"/>
      <c r="PF191" s="54"/>
      <c r="PG191" s="54"/>
      <c r="PH191" s="54"/>
      <c r="PI191" s="54"/>
      <c r="PJ191" s="54"/>
      <c r="PK191" s="54"/>
      <c r="PL191" s="54"/>
      <c r="PM191" s="54"/>
      <c r="PN191" s="54"/>
      <c r="PO191" s="54"/>
      <c r="PP191" s="54"/>
      <c r="PQ191" s="54"/>
      <c r="PR191" s="54"/>
      <c r="PS191" s="54"/>
      <c r="PT191" s="54"/>
      <c r="PU191" s="54"/>
      <c r="PV191" s="54"/>
      <c r="PW191" s="54"/>
      <c r="PX191" s="54"/>
      <c r="PY191" s="54"/>
      <c r="PZ191" s="54"/>
      <c r="QA191" s="54"/>
      <c r="QB191" s="54"/>
      <c r="QC191" s="54"/>
      <c r="QD191" s="54"/>
      <c r="QE191" s="54"/>
      <c r="QF191" s="54"/>
      <c r="QG191" s="54"/>
      <c r="QH191" s="54"/>
      <c r="QI191" s="54"/>
      <c r="QJ191" s="54"/>
      <c r="QK191" s="54"/>
      <c r="QL191" s="54"/>
      <c r="QM191" s="54"/>
      <c r="QN191" s="54"/>
      <c r="QO191" s="54"/>
      <c r="QP191" s="54"/>
      <c r="QQ191" s="54"/>
      <c r="QR191" s="54"/>
      <c r="QS191" s="54"/>
      <c r="QT191" s="54"/>
      <c r="QU191" s="54"/>
      <c r="QV191" s="54"/>
      <c r="QW191" s="54"/>
      <c r="QX191" s="54"/>
      <c r="QY191" s="54"/>
      <c r="QZ191" s="54"/>
      <c r="RA191" s="54"/>
      <c r="RB191" s="54"/>
      <c r="RC191" s="54"/>
      <c r="RD191" s="54"/>
      <c r="RE191" s="54"/>
      <c r="RF191" s="54"/>
      <c r="RG191" s="54"/>
      <c r="RH191" s="54"/>
      <c r="RI191" s="54"/>
      <c r="RJ191" s="54"/>
      <c r="RK191" s="54"/>
      <c r="RL191" s="54"/>
      <c r="RM191" s="54"/>
      <c r="RN191" s="54"/>
      <c r="RO191" s="54"/>
      <c r="RP191" s="54"/>
      <c r="RQ191" s="54"/>
      <c r="RR191" s="54"/>
      <c r="RS191" s="54"/>
      <c r="RT191" s="54"/>
      <c r="RU191" s="54"/>
      <c r="RV191" s="54"/>
      <c r="RW191" s="54"/>
      <c r="RX191" s="54"/>
      <c r="RY191" s="54"/>
      <c r="RZ191" s="54"/>
      <c r="SA191" s="54"/>
      <c r="SB191" s="54"/>
      <c r="SC191" s="54"/>
      <c r="SD191" s="54"/>
      <c r="SE191" s="54"/>
      <c r="SF191" s="54"/>
      <c r="SG191" s="54"/>
      <c r="SH191" s="54"/>
      <c r="SI191" s="54"/>
      <c r="SJ191" s="54"/>
      <c r="SK191" s="54"/>
      <c r="SL191" s="54"/>
      <c r="SM191" s="54"/>
      <c r="SN191" s="54"/>
      <c r="SO191" s="54"/>
      <c r="SP191" s="54"/>
      <c r="SQ191" s="54"/>
      <c r="SR191" s="54"/>
    </row>
    <row r="192" spans="1:512" ht="15" customHeight="1" x14ac:dyDescent="0.7">
      <c r="A192" s="172"/>
      <c r="B192" s="172"/>
      <c r="C192" s="172"/>
      <c r="D192" s="172"/>
      <c r="E192" s="172"/>
      <c r="F192" s="172"/>
      <c r="G192" s="172"/>
      <c r="I192" s="72" t="s">
        <v>344</v>
      </c>
      <c r="J192" s="73" t="s">
        <v>344</v>
      </c>
      <c r="K192" s="190"/>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4"/>
      <c r="EF192" s="54"/>
      <c r="EG192" s="54"/>
      <c r="EH192" s="54"/>
      <c r="EI192" s="54"/>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c r="FP192" s="54"/>
      <c r="FQ192" s="54"/>
      <c r="FR192" s="54"/>
      <c r="FS192" s="54"/>
      <c r="FT192" s="54"/>
      <c r="FU192" s="54"/>
      <c r="FV192" s="54"/>
      <c r="FW192" s="54"/>
      <c r="FX192" s="54"/>
      <c r="FY192" s="54"/>
      <c r="FZ192" s="54"/>
      <c r="GA192" s="54"/>
      <c r="GB192" s="54"/>
      <c r="GC192" s="54"/>
      <c r="GD192" s="54"/>
      <c r="GE192" s="54"/>
      <c r="GF192" s="54"/>
      <c r="GG192" s="54"/>
      <c r="GH192" s="54"/>
      <c r="GI192" s="54"/>
      <c r="GJ192" s="54"/>
      <c r="GK192" s="54"/>
      <c r="GL192" s="54"/>
      <c r="GM192" s="54"/>
      <c r="GN192" s="54"/>
      <c r="GO192" s="54"/>
      <c r="GP192" s="54"/>
      <c r="GQ192" s="54"/>
      <c r="GR192" s="54"/>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c r="HP192" s="54"/>
      <c r="HQ192" s="54"/>
      <c r="HR192" s="54"/>
      <c r="HS192" s="54"/>
      <c r="HT192" s="54"/>
      <c r="HU192" s="54"/>
      <c r="HV192" s="54"/>
      <c r="HW192" s="54"/>
      <c r="HX192" s="54"/>
      <c r="HY192" s="54"/>
      <c r="HZ192" s="54"/>
      <c r="IA192" s="54"/>
      <c r="IB192" s="54"/>
      <c r="IC192" s="54"/>
      <c r="ID192" s="54"/>
      <c r="IE192" s="54"/>
      <c r="IF192" s="54"/>
      <c r="IG192" s="54"/>
      <c r="IH192" s="54"/>
      <c r="II192" s="54"/>
      <c r="IJ192" s="54"/>
      <c r="IK192" s="54"/>
      <c r="IL192" s="54"/>
      <c r="IM192" s="54"/>
      <c r="IN192" s="54"/>
      <c r="IO192" s="54"/>
      <c r="IP192" s="54"/>
      <c r="IQ192" s="54"/>
      <c r="IR192" s="54"/>
      <c r="IS192" s="54"/>
      <c r="IT192" s="54"/>
      <c r="IU192" s="54"/>
      <c r="IV192" s="54"/>
      <c r="IW192" s="54"/>
      <c r="IX192" s="54"/>
      <c r="IY192" s="54"/>
      <c r="IZ192" s="54"/>
      <c r="JA192" s="54"/>
      <c r="JB192" s="54"/>
      <c r="JC192" s="54"/>
      <c r="JD192" s="54"/>
      <c r="JE192" s="54"/>
      <c r="JF192" s="54"/>
      <c r="JG192" s="54"/>
      <c r="JH192" s="54"/>
      <c r="JI192" s="54"/>
      <c r="JJ192" s="54"/>
      <c r="JK192" s="54"/>
      <c r="JL192" s="54"/>
      <c r="JM192" s="54"/>
      <c r="JN192" s="54"/>
      <c r="JO192" s="54"/>
      <c r="JP192" s="54"/>
      <c r="JQ192" s="54"/>
      <c r="JR192" s="54"/>
      <c r="JS192" s="54"/>
      <c r="JT192" s="54"/>
      <c r="JU192" s="54"/>
      <c r="JV192" s="54"/>
      <c r="JW192" s="54"/>
      <c r="JX192" s="54"/>
      <c r="JY192" s="54"/>
      <c r="JZ192" s="54"/>
      <c r="KA192" s="54"/>
      <c r="KB192" s="54"/>
      <c r="KC192" s="54"/>
      <c r="KD192" s="54"/>
      <c r="KE192" s="54"/>
      <c r="KF192" s="54"/>
      <c r="KG192" s="54"/>
      <c r="KH192" s="54"/>
      <c r="KI192" s="54"/>
      <c r="KJ192" s="54"/>
      <c r="KK192" s="54"/>
      <c r="KL192" s="54"/>
      <c r="KM192" s="54"/>
      <c r="KN192" s="54"/>
      <c r="KO192" s="54"/>
      <c r="KP192" s="54"/>
      <c r="KQ192" s="54"/>
      <c r="KR192" s="54"/>
      <c r="KS192" s="54"/>
      <c r="KT192" s="54"/>
      <c r="KU192" s="54"/>
      <c r="KV192" s="54"/>
      <c r="KW192" s="54"/>
      <c r="KX192" s="54"/>
      <c r="KY192" s="54"/>
      <c r="KZ192" s="54"/>
      <c r="LA192" s="54"/>
      <c r="LB192" s="54"/>
      <c r="LC192" s="54"/>
      <c r="LD192" s="54"/>
      <c r="LE192" s="54"/>
      <c r="LF192" s="54"/>
      <c r="LG192" s="54"/>
      <c r="LH192" s="54"/>
      <c r="LI192" s="54"/>
      <c r="LJ192" s="54"/>
      <c r="LK192" s="54"/>
      <c r="LL192" s="54"/>
      <c r="LM192" s="54"/>
      <c r="LN192" s="54"/>
      <c r="LO192" s="54"/>
      <c r="LP192" s="54"/>
      <c r="LQ192" s="54"/>
      <c r="LR192" s="54"/>
      <c r="LS192" s="54"/>
      <c r="LT192" s="54"/>
      <c r="LU192" s="54"/>
      <c r="LV192" s="54"/>
      <c r="LW192" s="54"/>
      <c r="LX192" s="54"/>
      <c r="LY192" s="54"/>
      <c r="LZ192" s="54"/>
      <c r="MA192" s="54"/>
      <c r="MB192" s="54"/>
      <c r="MC192" s="54"/>
      <c r="MD192" s="54"/>
      <c r="ME192" s="54"/>
      <c r="MF192" s="54"/>
      <c r="MG192" s="54"/>
      <c r="MH192" s="54"/>
      <c r="MI192" s="54"/>
      <c r="MJ192" s="54"/>
      <c r="MK192" s="54"/>
      <c r="ML192" s="54"/>
      <c r="MM192" s="54"/>
      <c r="MN192" s="54"/>
      <c r="MO192" s="54"/>
      <c r="MP192" s="54"/>
      <c r="MQ192" s="54"/>
      <c r="MR192" s="54"/>
      <c r="MS192" s="54"/>
      <c r="MT192" s="54"/>
      <c r="MU192" s="54"/>
      <c r="MV192" s="54"/>
      <c r="MW192" s="54"/>
      <c r="MX192" s="54"/>
      <c r="MY192" s="54"/>
      <c r="MZ192" s="54"/>
      <c r="NA192" s="54"/>
      <c r="NB192" s="54"/>
      <c r="NC192" s="54"/>
      <c r="ND192" s="54"/>
      <c r="NE192" s="54"/>
      <c r="NF192" s="54"/>
      <c r="NG192" s="54"/>
      <c r="NH192" s="54"/>
      <c r="NI192" s="54"/>
      <c r="NJ192" s="54"/>
      <c r="NK192" s="54"/>
      <c r="NL192" s="54"/>
      <c r="NM192" s="54"/>
      <c r="NN192" s="54"/>
      <c r="NO192" s="54"/>
      <c r="NP192" s="54"/>
      <c r="NQ192" s="54"/>
      <c r="NR192" s="54"/>
      <c r="NS192" s="54"/>
      <c r="NT192" s="54"/>
      <c r="NU192" s="54"/>
      <c r="NV192" s="54"/>
      <c r="NW192" s="54"/>
      <c r="NX192" s="54"/>
      <c r="NY192" s="54"/>
      <c r="NZ192" s="54"/>
      <c r="OA192" s="54"/>
      <c r="OB192" s="54"/>
      <c r="OC192" s="54"/>
      <c r="OD192" s="54"/>
      <c r="OE192" s="54"/>
      <c r="OF192" s="54"/>
      <c r="OG192" s="54"/>
      <c r="OH192" s="54"/>
      <c r="OI192" s="54"/>
      <c r="OJ192" s="54"/>
      <c r="OK192" s="54"/>
      <c r="OL192" s="54"/>
      <c r="OM192" s="54"/>
      <c r="ON192" s="54"/>
      <c r="OO192" s="54"/>
      <c r="OP192" s="54"/>
      <c r="OQ192" s="54"/>
      <c r="OR192" s="54"/>
      <c r="OS192" s="54"/>
      <c r="OT192" s="54"/>
      <c r="OU192" s="54"/>
      <c r="OV192" s="54"/>
      <c r="OW192" s="54"/>
      <c r="OX192" s="54"/>
      <c r="OY192" s="54"/>
      <c r="OZ192" s="54"/>
      <c r="PA192" s="54"/>
      <c r="PB192" s="54"/>
      <c r="PC192" s="54"/>
      <c r="PD192" s="54"/>
      <c r="PE192" s="54"/>
      <c r="PF192" s="54"/>
      <c r="PG192" s="54"/>
      <c r="PH192" s="54"/>
      <c r="PI192" s="54"/>
      <c r="PJ192" s="54"/>
      <c r="PK192" s="54"/>
      <c r="PL192" s="54"/>
      <c r="PM192" s="54"/>
      <c r="PN192" s="54"/>
      <c r="PO192" s="54"/>
      <c r="PP192" s="54"/>
      <c r="PQ192" s="54"/>
      <c r="PR192" s="54"/>
      <c r="PS192" s="54"/>
      <c r="PT192" s="54"/>
      <c r="PU192" s="54"/>
      <c r="PV192" s="54"/>
      <c r="PW192" s="54"/>
      <c r="PX192" s="54"/>
      <c r="PY192" s="54"/>
      <c r="PZ192" s="54"/>
      <c r="QA192" s="54"/>
      <c r="QB192" s="54"/>
      <c r="QC192" s="54"/>
      <c r="QD192" s="54"/>
      <c r="QE192" s="54"/>
      <c r="QF192" s="54"/>
      <c r="QG192" s="54"/>
      <c r="QH192" s="54"/>
      <c r="QI192" s="54"/>
      <c r="QJ192" s="54"/>
      <c r="QK192" s="54"/>
      <c r="QL192" s="54"/>
      <c r="QM192" s="54"/>
      <c r="QN192" s="54"/>
      <c r="QO192" s="54"/>
      <c r="QP192" s="54"/>
      <c r="QQ192" s="54"/>
      <c r="QR192" s="54"/>
      <c r="QS192" s="54"/>
      <c r="QT192" s="54"/>
      <c r="QU192" s="54"/>
      <c r="QV192" s="54"/>
      <c r="QW192" s="54"/>
      <c r="QX192" s="54"/>
      <c r="QY192" s="54"/>
      <c r="QZ192" s="54"/>
      <c r="RA192" s="54"/>
      <c r="RB192" s="54"/>
      <c r="RC192" s="54"/>
      <c r="RD192" s="54"/>
      <c r="RE192" s="54"/>
      <c r="RF192" s="54"/>
      <c r="RG192" s="54"/>
      <c r="RH192" s="54"/>
      <c r="RI192" s="54"/>
      <c r="RJ192" s="54"/>
      <c r="RK192" s="54"/>
      <c r="RL192" s="54"/>
      <c r="RM192" s="54"/>
      <c r="RN192" s="54"/>
      <c r="RO192" s="54"/>
      <c r="RP192" s="54"/>
      <c r="RQ192" s="54"/>
      <c r="RR192" s="54"/>
      <c r="RS192" s="54"/>
      <c r="RT192" s="54"/>
      <c r="RU192" s="54"/>
      <c r="RV192" s="54"/>
      <c r="RW192" s="54"/>
      <c r="RX192" s="54"/>
      <c r="RY192" s="54"/>
      <c r="RZ192" s="54"/>
      <c r="SA192" s="54"/>
      <c r="SB192" s="54"/>
      <c r="SC192" s="54"/>
      <c r="SD192" s="54"/>
      <c r="SE192" s="54"/>
      <c r="SF192" s="54"/>
      <c r="SG192" s="54"/>
      <c r="SH192" s="54"/>
      <c r="SI192" s="54"/>
      <c r="SJ192" s="54"/>
      <c r="SK192" s="54"/>
      <c r="SL192" s="54"/>
      <c r="SM192" s="54"/>
      <c r="SN192" s="54"/>
      <c r="SO192" s="54"/>
      <c r="SP192" s="54"/>
      <c r="SQ192" s="54"/>
      <c r="SR192" s="54"/>
    </row>
    <row r="193" spans="1:512" s="55" customFormat="1" ht="15" customHeight="1" x14ac:dyDescent="0.7">
      <c r="A193" s="173"/>
      <c r="B193" s="173"/>
      <c r="C193" s="173"/>
      <c r="D193" s="173"/>
      <c r="E193" s="173"/>
      <c r="F193" s="173"/>
      <c r="G193" s="173"/>
      <c r="H193" s="74"/>
      <c r="I193" s="75"/>
      <c r="J193" s="76"/>
      <c r="K193" s="191"/>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c r="IX193" s="56"/>
      <c r="IY193" s="56"/>
      <c r="IZ193" s="56"/>
      <c r="JA193" s="56"/>
      <c r="JB193" s="56"/>
      <c r="JC193" s="56"/>
      <c r="JD193" s="56"/>
      <c r="JE193" s="56"/>
      <c r="JF193" s="56"/>
      <c r="JG193" s="56"/>
      <c r="JH193" s="56"/>
      <c r="JI193" s="56"/>
      <c r="JJ193" s="56"/>
      <c r="JK193" s="56"/>
      <c r="JL193" s="56"/>
      <c r="JM193" s="56"/>
      <c r="JN193" s="56"/>
      <c r="JO193" s="56"/>
      <c r="JP193" s="56"/>
      <c r="JQ193" s="56"/>
      <c r="JR193" s="56"/>
      <c r="JS193" s="56"/>
      <c r="JT193" s="56"/>
      <c r="JU193" s="56"/>
      <c r="JV193" s="56"/>
      <c r="JW193" s="56"/>
      <c r="JX193" s="56"/>
      <c r="JY193" s="56"/>
      <c r="JZ193" s="56"/>
      <c r="KA193" s="56"/>
      <c r="KB193" s="56"/>
      <c r="KC193" s="56"/>
      <c r="KD193" s="56"/>
      <c r="KE193" s="56"/>
      <c r="KF193" s="56"/>
      <c r="KG193" s="56"/>
      <c r="KH193" s="56"/>
      <c r="KI193" s="56"/>
      <c r="KJ193" s="56"/>
      <c r="KK193" s="56"/>
      <c r="KL193" s="56"/>
      <c r="KM193" s="56"/>
      <c r="KN193" s="56"/>
      <c r="KO193" s="56"/>
      <c r="KP193" s="56"/>
      <c r="KQ193" s="56"/>
      <c r="KR193" s="56"/>
      <c r="KS193" s="56"/>
      <c r="KT193" s="56"/>
      <c r="KU193" s="56"/>
      <c r="KV193" s="56"/>
      <c r="KW193" s="56"/>
      <c r="KX193" s="56"/>
      <c r="KY193" s="56"/>
      <c r="KZ193" s="56"/>
      <c r="LA193" s="56"/>
      <c r="LB193" s="56"/>
      <c r="LC193" s="56"/>
      <c r="LD193" s="56"/>
      <c r="LE193" s="56"/>
      <c r="LF193" s="56"/>
      <c r="LG193" s="56"/>
      <c r="LH193" s="56"/>
      <c r="LI193" s="56"/>
      <c r="LJ193" s="56"/>
      <c r="LK193" s="56"/>
      <c r="LL193" s="56"/>
      <c r="LM193" s="56"/>
      <c r="LN193" s="56"/>
      <c r="LO193" s="56"/>
      <c r="LP193" s="56"/>
      <c r="LQ193" s="56"/>
      <c r="LR193" s="56"/>
      <c r="LS193" s="56"/>
      <c r="LT193" s="56"/>
      <c r="LU193" s="56"/>
      <c r="LV193" s="56"/>
      <c r="LW193" s="56"/>
      <c r="LX193" s="56"/>
      <c r="LY193" s="56"/>
      <c r="LZ193" s="56"/>
      <c r="MA193" s="56"/>
      <c r="MB193" s="56"/>
      <c r="MC193" s="56"/>
      <c r="MD193" s="56"/>
      <c r="ME193" s="56"/>
      <c r="MF193" s="56"/>
      <c r="MG193" s="56"/>
      <c r="MH193" s="56"/>
      <c r="MI193" s="56"/>
      <c r="MJ193" s="56"/>
      <c r="MK193" s="56"/>
      <c r="ML193" s="56"/>
      <c r="MM193" s="56"/>
      <c r="MN193" s="56"/>
      <c r="MO193" s="56"/>
      <c r="MP193" s="56"/>
      <c r="MQ193" s="56"/>
      <c r="MR193" s="56"/>
      <c r="MS193" s="56"/>
      <c r="MT193" s="56"/>
      <c r="MU193" s="56"/>
      <c r="MV193" s="56"/>
      <c r="MW193" s="56"/>
      <c r="MX193" s="56"/>
      <c r="MY193" s="56"/>
      <c r="MZ193" s="56"/>
      <c r="NA193" s="56"/>
      <c r="NB193" s="56"/>
      <c r="NC193" s="56"/>
      <c r="ND193" s="56"/>
      <c r="NE193" s="56"/>
      <c r="NF193" s="56"/>
      <c r="NG193" s="56"/>
      <c r="NH193" s="56"/>
      <c r="NI193" s="56"/>
      <c r="NJ193" s="56"/>
      <c r="NK193" s="56"/>
      <c r="NL193" s="56"/>
      <c r="NM193" s="56"/>
      <c r="NN193" s="56"/>
      <c r="NO193" s="56"/>
      <c r="NP193" s="56"/>
      <c r="NQ193" s="56"/>
      <c r="NR193" s="56"/>
      <c r="NS193" s="56"/>
      <c r="NT193" s="56"/>
      <c r="NU193" s="56"/>
      <c r="NV193" s="56"/>
      <c r="NW193" s="56"/>
      <c r="NX193" s="56"/>
      <c r="NY193" s="56"/>
      <c r="NZ193" s="56"/>
      <c r="OA193" s="56"/>
      <c r="OB193" s="56"/>
      <c r="OC193" s="56"/>
      <c r="OD193" s="56"/>
      <c r="OE193" s="56"/>
      <c r="OF193" s="56"/>
      <c r="OG193" s="56"/>
      <c r="OH193" s="56"/>
      <c r="OI193" s="56"/>
      <c r="OJ193" s="56"/>
      <c r="OK193" s="56"/>
      <c r="OL193" s="56"/>
      <c r="OM193" s="56"/>
      <c r="ON193" s="56"/>
      <c r="OO193" s="56"/>
      <c r="OP193" s="56"/>
      <c r="OQ193" s="56"/>
      <c r="OR193" s="56"/>
      <c r="OS193" s="56"/>
      <c r="OT193" s="56"/>
      <c r="OU193" s="56"/>
      <c r="OV193" s="56"/>
      <c r="OW193" s="56"/>
      <c r="OX193" s="56"/>
      <c r="OY193" s="56"/>
      <c r="OZ193" s="56"/>
      <c r="PA193" s="56"/>
      <c r="PB193" s="56"/>
      <c r="PC193" s="56"/>
      <c r="PD193" s="56"/>
      <c r="PE193" s="56"/>
      <c r="PF193" s="56"/>
      <c r="PG193" s="56"/>
      <c r="PH193" s="56"/>
      <c r="PI193" s="56"/>
      <c r="PJ193" s="56"/>
      <c r="PK193" s="56"/>
      <c r="PL193" s="56"/>
      <c r="PM193" s="56"/>
      <c r="PN193" s="56"/>
      <c r="PO193" s="56"/>
      <c r="PP193" s="56"/>
      <c r="PQ193" s="56"/>
      <c r="PR193" s="56"/>
      <c r="PS193" s="56"/>
      <c r="PT193" s="56"/>
      <c r="PU193" s="56"/>
      <c r="PV193" s="56"/>
      <c r="PW193" s="56"/>
      <c r="PX193" s="56"/>
      <c r="PY193" s="56"/>
      <c r="PZ193" s="56"/>
      <c r="QA193" s="56"/>
      <c r="QB193" s="56"/>
      <c r="QC193" s="56"/>
      <c r="QD193" s="56"/>
      <c r="QE193" s="56"/>
      <c r="QF193" s="56"/>
      <c r="QG193" s="56"/>
      <c r="QH193" s="56"/>
      <c r="QI193" s="56"/>
      <c r="QJ193" s="56"/>
      <c r="QK193" s="56"/>
      <c r="QL193" s="56"/>
      <c r="QM193" s="56"/>
      <c r="QN193" s="56"/>
      <c r="QO193" s="56"/>
      <c r="QP193" s="56"/>
      <c r="QQ193" s="56"/>
      <c r="QR193" s="56"/>
      <c r="QS193" s="56"/>
      <c r="QT193" s="56"/>
      <c r="QU193" s="56"/>
      <c r="QV193" s="56"/>
      <c r="QW193" s="56"/>
      <c r="QX193" s="56"/>
      <c r="QY193" s="56"/>
      <c r="QZ193" s="56"/>
      <c r="RA193" s="56"/>
      <c r="RB193" s="56"/>
      <c r="RC193" s="56"/>
      <c r="RD193" s="56"/>
      <c r="RE193" s="56"/>
      <c r="RF193" s="56"/>
      <c r="RG193" s="56"/>
      <c r="RH193" s="56"/>
      <c r="RI193" s="56"/>
      <c r="RJ193" s="56"/>
      <c r="RK193" s="56"/>
      <c r="RL193" s="56"/>
      <c r="RM193" s="56"/>
      <c r="RN193" s="56"/>
      <c r="RO193" s="56"/>
      <c r="RP193" s="56"/>
      <c r="RQ193" s="56"/>
      <c r="RR193" s="56"/>
      <c r="RS193" s="56"/>
      <c r="RT193" s="56"/>
      <c r="RU193" s="56"/>
      <c r="RV193" s="56"/>
      <c r="RW193" s="56"/>
      <c r="RX193" s="56"/>
      <c r="RY193" s="56"/>
      <c r="RZ193" s="56"/>
      <c r="SA193" s="56"/>
      <c r="SB193" s="56"/>
      <c r="SC193" s="56"/>
      <c r="SD193" s="56"/>
      <c r="SE193" s="56"/>
      <c r="SF193" s="56"/>
      <c r="SG193" s="56"/>
      <c r="SH193" s="56"/>
      <c r="SI193" s="56"/>
      <c r="SJ193" s="56"/>
      <c r="SK193" s="56"/>
      <c r="SL193" s="56"/>
      <c r="SM193" s="56"/>
      <c r="SN193" s="56"/>
      <c r="SO193" s="56"/>
      <c r="SP193" s="56"/>
      <c r="SQ193" s="56"/>
      <c r="SR193" s="56"/>
    </row>
    <row r="194" spans="1:512" ht="15" customHeight="1" x14ac:dyDescent="0.7">
      <c r="A194" s="171" t="s">
        <v>344</v>
      </c>
      <c r="B194" s="171" t="s">
        <v>344</v>
      </c>
      <c r="C194" s="171" t="s">
        <v>344</v>
      </c>
      <c r="D194" s="171"/>
      <c r="E194" s="171" t="s">
        <v>344</v>
      </c>
      <c r="F194" s="171"/>
      <c r="G194" s="188" t="s">
        <v>344</v>
      </c>
      <c r="H194" s="71" t="s">
        <v>344</v>
      </c>
      <c r="I194" s="72" t="s">
        <v>344</v>
      </c>
      <c r="J194" s="73" t="s">
        <v>344</v>
      </c>
      <c r="K194" s="189" t="s">
        <v>344</v>
      </c>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4"/>
      <c r="EF194" s="54"/>
      <c r="EG194" s="54"/>
      <c r="EH194" s="54"/>
      <c r="EI194" s="54"/>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c r="FP194" s="54"/>
      <c r="FQ194" s="54"/>
      <c r="FR194" s="54"/>
      <c r="FS194" s="54"/>
      <c r="FT194" s="54"/>
      <c r="FU194" s="54"/>
      <c r="FV194" s="54"/>
      <c r="FW194" s="54"/>
      <c r="FX194" s="54"/>
      <c r="FY194" s="54"/>
      <c r="FZ194" s="54"/>
      <c r="GA194" s="54"/>
      <c r="GB194" s="54"/>
      <c r="GC194" s="54"/>
      <c r="GD194" s="54"/>
      <c r="GE194" s="54"/>
      <c r="GF194" s="54"/>
      <c r="GG194" s="54"/>
      <c r="GH194" s="54"/>
      <c r="GI194" s="54"/>
      <c r="GJ194" s="54"/>
      <c r="GK194" s="54"/>
      <c r="GL194" s="54"/>
      <c r="GM194" s="54"/>
      <c r="GN194" s="54"/>
      <c r="GO194" s="54"/>
      <c r="GP194" s="54"/>
      <c r="GQ194" s="54"/>
      <c r="GR194" s="54"/>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c r="HP194" s="54"/>
      <c r="HQ194" s="54"/>
      <c r="HR194" s="54"/>
      <c r="HS194" s="54"/>
      <c r="HT194" s="54"/>
      <c r="HU194" s="54"/>
      <c r="HV194" s="54"/>
      <c r="HW194" s="54"/>
      <c r="HX194" s="54"/>
      <c r="HY194" s="54"/>
      <c r="HZ194" s="54"/>
      <c r="IA194" s="54"/>
      <c r="IB194" s="54"/>
      <c r="IC194" s="54"/>
      <c r="ID194" s="54"/>
      <c r="IE194" s="54"/>
      <c r="IF194" s="54"/>
      <c r="IG194" s="54"/>
      <c r="IH194" s="54"/>
      <c r="II194" s="54"/>
      <c r="IJ194" s="54"/>
      <c r="IK194" s="54"/>
      <c r="IL194" s="54"/>
      <c r="IM194" s="54"/>
      <c r="IN194" s="54"/>
      <c r="IO194" s="54"/>
      <c r="IP194" s="54"/>
      <c r="IQ194" s="54"/>
      <c r="IR194" s="54"/>
      <c r="IS194" s="54"/>
      <c r="IT194" s="54"/>
      <c r="IU194" s="54"/>
      <c r="IV194" s="54"/>
      <c r="IW194" s="54"/>
      <c r="IX194" s="54"/>
      <c r="IY194" s="54"/>
      <c r="IZ194" s="54"/>
      <c r="JA194" s="54"/>
      <c r="JB194" s="54"/>
      <c r="JC194" s="54"/>
      <c r="JD194" s="54"/>
      <c r="JE194" s="54"/>
      <c r="JF194" s="54"/>
      <c r="JG194" s="54"/>
      <c r="JH194" s="54"/>
      <c r="JI194" s="54"/>
      <c r="JJ194" s="54"/>
      <c r="JK194" s="54"/>
      <c r="JL194" s="54"/>
      <c r="JM194" s="54"/>
      <c r="JN194" s="54"/>
      <c r="JO194" s="54"/>
      <c r="JP194" s="54"/>
      <c r="JQ194" s="54"/>
      <c r="JR194" s="54"/>
      <c r="JS194" s="54"/>
      <c r="JT194" s="54"/>
      <c r="JU194" s="54"/>
      <c r="JV194" s="54"/>
      <c r="JW194" s="54"/>
      <c r="JX194" s="54"/>
      <c r="JY194" s="54"/>
      <c r="JZ194" s="54"/>
      <c r="KA194" s="54"/>
      <c r="KB194" s="54"/>
      <c r="KC194" s="54"/>
      <c r="KD194" s="54"/>
      <c r="KE194" s="54"/>
      <c r="KF194" s="54"/>
      <c r="KG194" s="54"/>
      <c r="KH194" s="54"/>
      <c r="KI194" s="54"/>
      <c r="KJ194" s="54"/>
      <c r="KK194" s="54"/>
      <c r="KL194" s="54"/>
      <c r="KM194" s="54"/>
      <c r="KN194" s="54"/>
      <c r="KO194" s="54"/>
      <c r="KP194" s="54"/>
      <c r="KQ194" s="54"/>
      <c r="KR194" s="54"/>
      <c r="KS194" s="54"/>
      <c r="KT194" s="54"/>
      <c r="KU194" s="54"/>
      <c r="KV194" s="54"/>
      <c r="KW194" s="54"/>
      <c r="KX194" s="54"/>
      <c r="KY194" s="54"/>
      <c r="KZ194" s="54"/>
      <c r="LA194" s="54"/>
      <c r="LB194" s="54"/>
      <c r="LC194" s="54"/>
      <c r="LD194" s="54"/>
      <c r="LE194" s="54"/>
      <c r="LF194" s="54"/>
      <c r="LG194" s="54"/>
      <c r="LH194" s="54"/>
      <c r="LI194" s="54"/>
      <c r="LJ194" s="54"/>
      <c r="LK194" s="54"/>
      <c r="LL194" s="54"/>
      <c r="LM194" s="54"/>
      <c r="LN194" s="54"/>
      <c r="LO194" s="54"/>
      <c r="LP194" s="54"/>
      <c r="LQ194" s="54"/>
      <c r="LR194" s="54"/>
      <c r="LS194" s="54"/>
      <c r="LT194" s="54"/>
      <c r="LU194" s="54"/>
      <c r="LV194" s="54"/>
      <c r="LW194" s="54"/>
      <c r="LX194" s="54"/>
      <c r="LY194" s="54"/>
      <c r="LZ194" s="54"/>
      <c r="MA194" s="54"/>
      <c r="MB194" s="54"/>
      <c r="MC194" s="54"/>
      <c r="MD194" s="54"/>
      <c r="ME194" s="54"/>
      <c r="MF194" s="54"/>
      <c r="MG194" s="54"/>
      <c r="MH194" s="54"/>
      <c r="MI194" s="54"/>
      <c r="MJ194" s="54"/>
      <c r="MK194" s="54"/>
      <c r="ML194" s="54"/>
      <c r="MM194" s="54"/>
      <c r="MN194" s="54"/>
      <c r="MO194" s="54"/>
      <c r="MP194" s="54"/>
      <c r="MQ194" s="54"/>
      <c r="MR194" s="54"/>
      <c r="MS194" s="54"/>
      <c r="MT194" s="54"/>
      <c r="MU194" s="54"/>
      <c r="MV194" s="54"/>
      <c r="MW194" s="54"/>
      <c r="MX194" s="54"/>
      <c r="MY194" s="54"/>
      <c r="MZ194" s="54"/>
      <c r="NA194" s="54"/>
      <c r="NB194" s="54"/>
      <c r="NC194" s="54"/>
      <c r="ND194" s="54"/>
      <c r="NE194" s="54"/>
      <c r="NF194" s="54"/>
      <c r="NG194" s="54"/>
      <c r="NH194" s="54"/>
      <c r="NI194" s="54"/>
      <c r="NJ194" s="54"/>
      <c r="NK194" s="54"/>
      <c r="NL194" s="54"/>
      <c r="NM194" s="54"/>
      <c r="NN194" s="54"/>
      <c r="NO194" s="54"/>
      <c r="NP194" s="54"/>
      <c r="NQ194" s="54"/>
      <c r="NR194" s="54"/>
      <c r="NS194" s="54"/>
      <c r="NT194" s="54"/>
      <c r="NU194" s="54"/>
      <c r="NV194" s="54"/>
      <c r="NW194" s="54"/>
      <c r="NX194" s="54"/>
      <c r="NY194" s="54"/>
      <c r="NZ194" s="54"/>
      <c r="OA194" s="54"/>
      <c r="OB194" s="54"/>
      <c r="OC194" s="54"/>
      <c r="OD194" s="54"/>
      <c r="OE194" s="54"/>
      <c r="OF194" s="54"/>
      <c r="OG194" s="54"/>
      <c r="OH194" s="54"/>
      <c r="OI194" s="54"/>
      <c r="OJ194" s="54"/>
      <c r="OK194" s="54"/>
      <c r="OL194" s="54"/>
      <c r="OM194" s="54"/>
      <c r="ON194" s="54"/>
      <c r="OO194" s="54"/>
      <c r="OP194" s="54"/>
      <c r="OQ194" s="54"/>
      <c r="OR194" s="54"/>
      <c r="OS194" s="54"/>
      <c r="OT194" s="54"/>
      <c r="OU194" s="54"/>
      <c r="OV194" s="54"/>
      <c r="OW194" s="54"/>
      <c r="OX194" s="54"/>
      <c r="OY194" s="54"/>
      <c r="OZ194" s="54"/>
      <c r="PA194" s="54"/>
      <c r="PB194" s="54"/>
      <c r="PC194" s="54"/>
      <c r="PD194" s="54"/>
      <c r="PE194" s="54"/>
      <c r="PF194" s="54"/>
      <c r="PG194" s="54"/>
      <c r="PH194" s="54"/>
      <c r="PI194" s="54"/>
      <c r="PJ194" s="54"/>
      <c r="PK194" s="54"/>
      <c r="PL194" s="54"/>
      <c r="PM194" s="54"/>
      <c r="PN194" s="54"/>
      <c r="PO194" s="54"/>
      <c r="PP194" s="54"/>
      <c r="PQ194" s="54"/>
      <c r="PR194" s="54"/>
      <c r="PS194" s="54"/>
      <c r="PT194" s="54"/>
      <c r="PU194" s="54"/>
      <c r="PV194" s="54"/>
      <c r="PW194" s="54"/>
      <c r="PX194" s="54"/>
      <c r="PY194" s="54"/>
      <c r="PZ194" s="54"/>
      <c r="QA194" s="54"/>
      <c r="QB194" s="54"/>
      <c r="QC194" s="54"/>
      <c r="QD194" s="54"/>
      <c r="QE194" s="54"/>
      <c r="QF194" s="54"/>
      <c r="QG194" s="54"/>
      <c r="QH194" s="54"/>
      <c r="QI194" s="54"/>
      <c r="QJ194" s="54"/>
      <c r="QK194" s="54"/>
      <c r="QL194" s="54"/>
      <c r="QM194" s="54"/>
      <c r="QN194" s="54"/>
      <c r="QO194" s="54"/>
      <c r="QP194" s="54"/>
      <c r="QQ194" s="54"/>
      <c r="QR194" s="54"/>
      <c r="QS194" s="54"/>
      <c r="QT194" s="54"/>
      <c r="QU194" s="54"/>
      <c r="QV194" s="54"/>
      <c r="QW194" s="54"/>
      <c r="QX194" s="54"/>
      <c r="QY194" s="54"/>
      <c r="QZ194" s="54"/>
      <c r="RA194" s="54"/>
      <c r="RB194" s="54"/>
      <c r="RC194" s="54"/>
      <c r="RD194" s="54"/>
      <c r="RE194" s="54"/>
      <c r="RF194" s="54"/>
      <c r="RG194" s="54"/>
      <c r="RH194" s="54"/>
      <c r="RI194" s="54"/>
      <c r="RJ194" s="54"/>
      <c r="RK194" s="54"/>
      <c r="RL194" s="54"/>
      <c r="RM194" s="54"/>
      <c r="RN194" s="54"/>
      <c r="RO194" s="54"/>
      <c r="RP194" s="54"/>
      <c r="RQ194" s="54"/>
      <c r="RR194" s="54"/>
      <c r="RS194" s="54"/>
      <c r="RT194" s="54"/>
      <c r="RU194" s="54"/>
      <c r="RV194" s="54"/>
      <c r="RW194" s="54"/>
      <c r="RX194" s="54"/>
      <c r="RY194" s="54"/>
      <c r="RZ194" s="54"/>
      <c r="SA194" s="54"/>
      <c r="SB194" s="54"/>
      <c r="SC194" s="54"/>
      <c r="SD194" s="54"/>
      <c r="SE194" s="54"/>
      <c r="SF194" s="54"/>
      <c r="SG194" s="54"/>
      <c r="SH194" s="54"/>
      <c r="SI194" s="54"/>
      <c r="SJ194" s="54"/>
      <c r="SK194" s="54"/>
      <c r="SL194" s="54"/>
      <c r="SM194" s="54"/>
      <c r="SN194" s="54"/>
      <c r="SO194" s="54"/>
      <c r="SP194" s="54"/>
      <c r="SQ194" s="54"/>
      <c r="SR194" s="54"/>
    </row>
    <row r="195" spans="1:512" ht="15" customHeight="1" x14ac:dyDescent="0.7">
      <c r="A195" s="172"/>
      <c r="B195" s="172"/>
      <c r="C195" s="172"/>
      <c r="D195" s="172"/>
      <c r="E195" s="172"/>
      <c r="F195" s="172"/>
      <c r="G195" s="172"/>
      <c r="I195" s="72" t="s">
        <v>344</v>
      </c>
      <c r="J195" s="73" t="s">
        <v>344</v>
      </c>
      <c r="K195" s="190"/>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c r="HP195" s="54"/>
      <c r="HQ195" s="54"/>
      <c r="HR195" s="54"/>
      <c r="HS195" s="54"/>
      <c r="HT195" s="54"/>
      <c r="HU195" s="54"/>
      <c r="HV195" s="54"/>
      <c r="HW195" s="54"/>
      <c r="HX195" s="54"/>
      <c r="HY195" s="54"/>
      <c r="HZ195" s="54"/>
      <c r="IA195" s="54"/>
      <c r="IB195" s="54"/>
      <c r="IC195" s="54"/>
      <c r="ID195" s="54"/>
      <c r="IE195" s="54"/>
      <c r="IF195" s="54"/>
      <c r="IG195" s="54"/>
      <c r="IH195" s="54"/>
      <c r="II195" s="54"/>
      <c r="IJ195" s="54"/>
      <c r="IK195" s="54"/>
      <c r="IL195" s="54"/>
      <c r="IM195" s="54"/>
      <c r="IN195" s="54"/>
      <c r="IO195" s="54"/>
      <c r="IP195" s="54"/>
      <c r="IQ195" s="54"/>
      <c r="IR195" s="54"/>
      <c r="IS195" s="54"/>
      <c r="IT195" s="54"/>
      <c r="IU195" s="54"/>
      <c r="IV195" s="54"/>
      <c r="IW195" s="54"/>
      <c r="IX195" s="54"/>
      <c r="IY195" s="54"/>
      <c r="IZ195" s="54"/>
      <c r="JA195" s="54"/>
      <c r="JB195" s="54"/>
      <c r="JC195" s="54"/>
      <c r="JD195" s="54"/>
      <c r="JE195" s="54"/>
      <c r="JF195" s="54"/>
      <c r="JG195" s="54"/>
      <c r="JH195" s="54"/>
      <c r="JI195" s="54"/>
      <c r="JJ195" s="54"/>
      <c r="JK195" s="54"/>
      <c r="JL195" s="54"/>
      <c r="JM195" s="54"/>
      <c r="JN195" s="54"/>
      <c r="JO195" s="54"/>
      <c r="JP195" s="54"/>
      <c r="JQ195" s="54"/>
      <c r="JR195" s="54"/>
      <c r="JS195" s="54"/>
      <c r="JT195" s="54"/>
      <c r="JU195" s="54"/>
      <c r="JV195" s="54"/>
      <c r="JW195" s="54"/>
      <c r="JX195" s="54"/>
      <c r="JY195" s="54"/>
      <c r="JZ195" s="54"/>
      <c r="KA195" s="54"/>
      <c r="KB195" s="54"/>
      <c r="KC195" s="54"/>
      <c r="KD195" s="54"/>
      <c r="KE195" s="54"/>
      <c r="KF195" s="54"/>
      <c r="KG195" s="54"/>
      <c r="KH195" s="54"/>
      <c r="KI195" s="54"/>
      <c r="KJ195" s="54"/>
      <c r="KK195" s="54"/>
      <c r="KL195" s="54"/>
      <c r="KM195" s="54"/>
      <c r="KN195" s="54"/>
      <c r="KO195" s="54"/>
      <c r="KP195" s="54"/>
      <c r="KQ195" s="54"/>
      <c r="KR195" s="54"/>
      <c r="KS195" s="54"/>
      <c r="KT195" s="54"/>
      <c r="KU195" s="54"/>
      <c r="KV195" s="54"/>
      <c r="KW195" s="54"/>
      <c r="KX195" s="54"/>
      <c r="KY195" s="54"/>
      <c r="KZ195" s="54"/>
      <c r="LA195" s="54"/>
      <c r="LB195" s="54"/>
      <c r="LC195" s="54"/>
      <c r="LD195" s="54"/>
      <c r="LE195" s="54"/>
      <c r="LF195" s="54"/>
      <c r="LG195" s="54"/>
      <c r="LH195" s="54"/>
      <c r="LI195" s="54"/>
      <c r="LJ195" s="54"/>
      <c r="LK195" s="54"/>
      <c r="LL195" s="54"/>
      <c r="LM195" s="54"/>
      <c r="LN195" s="54"/>
      <c r="LO195" s="54"/>
      <c r="LP195" s="54"/>
      <c r="LQ195" s="54"/>
      <c r="LR195" s="54"/>
      <c r="LS195" s="54"/>
      <c r="LT195" s="54"/>
      <c r="LU195" s="54"/>
      <c r="LV195" s="54"/>
      <c r="LW195" s="54"/>
      <c r="LX195" s="54"/>
      <c r="LY195" s="54"/>
      <c r="LZ195" s="54"/>
      <c r="MA195" s="54"/>
      <c r="MB195" s="54"/>
      <c r="MC195" s="54"/>
      <c r="MD195" s="54"/>
      <c r="ME195" s="54"/>
      <c r="MF195" s="54"/>
      <c r="MG195" s="54"/>
      <c r="MH195" s="54"/>
      <c r="MI195" s="54"/>
      <c r="MJ195" s="54"/>
      <c r="MK195" s="54"/>
      <c r="ML195" s="54"/>
      <c r="MM195" s="54"/>
      <c r="MN195" s="54"/>
      <c r="MO195" s="54"/>
      <c r="MP195" s="54"/>
      <c r="MQ195" s="54"/>
      <c r="MR195" s="54"/>
      <c r="MS195" s="54"/>
      <c r="MT195" s="54"/>
      <c r="MU195" s="54"/>
      <c r="MV195" s="54"/>
      <c r="MW195" s="54"/>
      <c r="MX195" s="54"/>
      <c r="MY195" s="54"/>
      <c r="MZ195" s="54"/>
      <c r="NA195" s="54"/>
      <c r="NB195" s="54"/>
      <c r="NC195" s="54"/>
      <c r="ND195" s="54"/>
      <c r="NE195" s="54"/>
      <c r="NF195" s="54"/>
      <c r="NG195" s="54"/>
      <c r="NH195" s="54"/>
      <c r="NI195" s="54"/>
      <c r="NJ195" s="54"/>
      <c r="NK195" s="54"/>
      <c r="NL195" s="54"/>
      <c r="NM195" s="54"/>
      <c r="NN195" s="54"/>
      <c r="NO195" s="54"/>
      <c r="NP195" s="54"/>
      <c r="NQ195" s="54"/>
      <c r="NR195" s="54"/>
      <c r="NS195" s="54"/>
      <c r="NT195" s="54"/>
      <c r="NU195" s="54"/>
      <c r="NV195" s="54"/>
      <c r="NW195" s="54"/>
      <c r="NX195" s="54"/>
      <c r="NY195" s="54"/>
      <c r="NZ195" s="54"/>
      <c r="OA195" s="54"/>
      <c r="OB195" s="54"/>
      <c r="OC195" s="54"/>
      <c r="OD195" s="54"/>
      <c r="OE195" s="54"/>
      <c r="OF195" s="54"/>
      <c r="OG195" s="54"/>
      <c r="OH195" s="54"/>
      <c r="OI195" s="54"/>
      <c r="OJ195" s="54"/>
      <c r="OK195" s="54"/>
      <c r="OL195" s="54"/>
      <c r="OM195" s="54"/>
      <c r="ON195" s="54"/>
      <c r="OO195" s="54"/>
      <c r="OP195" s="54"/>
      <c r="OQ195" s="54"/>
      <c r="OR195" s="54"/>
      <c r="OS195" s="54"/>
      <c r="OT195" s="54"/>
      <c r="OU195" s="54"/>
      <c r="OV195" s="54"/>
      <c r="OW195" s="54"/>
      <c r="OX195" s="54"/>
      <c r="OY195" s="54"/>
      <c r="OZ195" s="54"/>
      <c r="PA195" s="54"/>
      <c r="PB195" s="54"/>
      <c r="PC195" s="54"/>
      <c r="PD195" s="54"/>
      <c r="PE195" s="54"/>
      <c r="PF195" s="54"/>
      <c r="PG195" s="54"/>
      <c r="PH195" s="54"/>
      <c r="PI195" s="54"/>
      <c r="PJ195" s="54"/>
      <c r="PK195" s="54"/>
      <c r="PL195" s="54"/>
      <c r="PM195" s="54"/>
      <c r="PN195" s="54"/>
      <c r="PO195" s="54"/>
      <c r="PP195" s="54"/>
      <c r="PQ195" s="54"/>
      <c r="PR195" s="54"/>
      <c r="PS195" s="54"/>
      <c r="PT195" s="54"/>
      <c r="PU195" s="54"/>
      <c r="PV195" s="54"/>
      <c r="PW195" s="54"/>
      <c r="PX195" s="54"/>
      <c r="PY195" s="54"/>
      <c r="PZ195" s="54"/>
      <c r="QA195" s="54"/>
      <c r="QB195" s="54"/>
      <c r="QC195" s="54"/>
      <c r="QD195" s="54"/>
      <c r="QE195" s="54"/>
      <c r="QF195" s="54"/>
      <c r="QG195" s="54"/>
      <c r="QH195" s="54"/>
      <c r="QI195" s="54"/>
      <c r="QJ195" s="54"/>
      <c r="QK195" s="54"/>
      <c r="QL195" s="54"/>
      <c r="QM195" s="54"/>
      <c r="QN195" s="54"/>
      <c r="QO195" s="54"/>
      <c r="QP195" s="54"/>
      <c r="QQ195" s="54"/>
      <c r="QR195" s="54"/>
      <c r="QS195" s="54"/>
      <c r="QT195" s="54"/>
      <c r="QU195" s="54"/>
      <c r="QV195" s="54"/>
      <c r="QW195" s="54"/>
      <c r="QX195" s="54"/>
      <c r="QY195" s="54"/>
      <c r="QZ195" s="54"/>
      <c r="RA195" s="54"/>
      <c r="RB195" s="54"/>
      <c r="RC195" s="54"/>
      <c r="RD195" s="54"/>
      <c r="RE195" s="54"/>
      <c r="RF195" s="54"/>
      <c r="RG195" s="54"/>
      <c r="RH195" s="54"/>
      <c r="RI195" s="54"/>
      <c r="RJ195" s="54"/>
      <c r="RK195" s="54"/>
      <c r="RL195" s="54"/>
      <c r="RM195" s="54"/>
      <c r="RN195" s="54"/>
      <c r="RO195" s="54"/>
      <c r="RP195" s="54"/>
      <c r="RQ195" s="54"/>
      <c r="RR195" s="54"/>
      <c r="RS195" s="54"/>
      <c r="RT195" s="54"/>
      <c r="RU195" s="54"/>
      <c r="RV195" s="54"/>
      <c r="RW195" s="54"/>
      <c r="RX195" s="54"/>
      <c r="RY195" s="54"/>
      <c r="RZ195" s="54"/>
      <c r="SA195" s="54"/>
      <c r="SB195" s="54"/>
      <c r="SC195" s="54"/>
      <c r="SD195" s="54"/>
      <c r="SE195" s="54"/>
      <c r="SF195" s="54"/>
      <c r="SG195" s="54"/>
      <c r="SH195" s="54"/>
      <c r="SI195" s="54"/>
      <c r="SJ195" s="54"/>
      <c r="SK195" s="54"/>
      <c r="SL195" s="54"/>
      <c r="SM195" s="54"/>
      <c r="SN195" s="54"/>
      <c r="SO195" s="54"/>
      <c r="SP195" s="54"/>
      <c r="SQ195" s="54"/>
      <c r="SR195" s="54"/>
    </row>
    <row r="196" spans="1:512" s="55" customFormat="1" ht="15" customHeight="1" x14ac:dyDescent="0.7">
      <c r="A196" s="173"/>
      <c r="B196" s="173"/>
      <c r="C196" s="173"/>
      <c r="D196" s="173"/>
      <c r="E196" s="173"/>
      <c r="F196" s="173"/>
      <c r="G196" s="173"/>
      <c r="H196" s="74"/>
      <c r="I196" s="75"/>
      <c r="J196" s="76"/>
      <c r="K196" s="191"/>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c r="IX196" s="56"/>
      <c r="IY196" s="56"/>
      <c r="IZ196" s="56"/>
      <c r="JA196" s="56"/>
      <c r="JB196" s="56"/>
      <c r="JC196" s="56"/>
      <c r="JD196" s="56"/>
      <c r="JE196" s="56"/>
      <c r="JF196" s="56"/>
      <c r="JG196" s="56"/>
      <c r="JH196" s="56"/>
      <c r="JI196" s="56"/>
      <c r="JJ196" s="56"/>
      <c r="JK196" s="56"/>
      <c r="JL196" s="56"/>
      <c r="JM196" s="56"/>
      <c r="JN196" s="56"/>
      <c r="JO196" s="56"/>
      <c r="JP196" s="56"/>
      <c r="JQ196" s="56"/>
      <c r="JR196" s="56"/>
      <c r="JS196" s="56"/>
      <c r="JT196" s="56"/>
      <c r="JU196" s="56"/>
      <c r="JV196" s="56"/>
      <c r="JW196" s="56"/>
      <c r="JX196" s="56"/>
      <c r="JY196" s="56"/>
      <c r="JZ196" s="56"/>
      <c r="KA196" s="56"/>
      <c r="KB196" s="56"/>
      <c r="KC196" s="56"/>
      <c r="KD196" s="56"/>
      <c r="KE196" s="56"/>
      <c r="KF196" s="56"/>
      <c r="KG196" s="56"/>
      <c r="KH196" s="56"/>
      <c r="KI196" s="56"/>
      <c r="KJ196" s="56"/>
      <c r="KK196" s="56"/>
      <c r="KL196" s="56"/>
      <c r="KM196" s="56"/>
      <c r="KN196" s="56"/>
      <c r="KO196" s="56"/>
      <c r="KP196" s="56"/>
      <c r="KQ196" s="56"/>
      <c r="KR196" s="56"/>
      <c r="KS196" s="56"/>
      <c r="KT196" s="56"/>
      <c r="KU196" s="56"/>
      <c r="KV196" s="56"/>
      <c r="KW196" s="56"/>
      <c r="KX196" s="56"/>
      <c r="KY196" s="56"/>
      <c r="KZ196" s="56"/>
      <c r="LA196" s="56"/>
      <c r="LB196" s="56"/>
      <c r="LC196" s="56"/>
      <c r="LD196" s="56"/>
      <c r="LE196" s="56"/>
      <c r="LF196" s="56"/>
      <c r="LG196" s="56"/>
      <c r="LH196" s="56"/>
      <c r="LI196" s="56"/>
      <c r="LJ196" s="56"/>
      <c r="LK196" s="56"/>
      <c r="LL196" s="56"/>
      <c r="LM196" s="56"/>
      <c r="LN196" s="56"/>
      <c r="LO196" s="56"/>
      <c r="LP196" s="56"/>
      <c r="LQ196" s="56"/>
      <c r="LR196" s="56"/>
      <c r="LS196" s="56"/>
      <c r="LT196" s="56"/>
      <c r="LU196" s="56"/>
      <c r="LV196" s="56"/>
      <c r="LW196" s="56"/>
      <c r="LX196" s="56"/>
      <c r="LY196" s="56"/>
      <c r="LZ196" s="56"/>
      <c r="MA196" s="56"/>
      <c r="MB196" s="56"/>
      <c r="MC196" s="56"/>
      <c r="MD196" s="56"/>
      <c r="ME196" s="56"/>
      <c r="MF196" s="56"/>
      <c r="MG196" s="56"/>
      <c r="MH196" s="56"/>
      <c r="MI196" s="56"/>
      <c r="MJ196" s="56"/>
      <c r="MK196" s="56"/>
      <c r="ML196" s="56"/>
      <c r="MM196" s="56"/>
      <c r="MN196" s="56"/>
      <c r="MO196" s="56"/>
      <c r="MP196" s="56"/>
      <c r="MQ196" s="56"/>
      <c r="MR196" s="56"/>
      <c r="MS196" s="56"/>
      <c r="MT196" s="56"/>
      <c r="MU196" s="56"/>
      <c r="MV196" s="56"/>
      <c r="MW196" s="56"/>
      <c r="MX196" s="56"/>
      <c r="MY196" s="56"/>
      <c r="MZ196" s="56"/>
      <c r="NA196" s="56"/>
      <c r="NB196" s="56"/>
      <c r="NC196" s="56"/>
      <c r="ND196" s="56"/>
      <c r="NE196" s="56"/>
      <c r="NF196" s="56"/>
      <c r="NG196" s="56"/>
      <c r="NH196" s="56"/>
      <c r="NI196" s="56"/>
      <c r="NJ196" s="56"/>
      <c r="NK196" s="56"/>
      <c r="NL196" s="56"/>
      <c r="NM196" s="56"/>
      <c r="NN196" s="56"/>
      <c r="NO196" s="56"/>
      <c r="NP196" s="56"/>
      <c r="NQ196" s="56"/>
      <c r="NR196" s="56"/>
      <c r="NS196" s="56"/>
      <c r="NT196" s="56"/>
      <c r="NU196" s="56"/>
      <c r="NV196" s="56"/>
      <c r="NW196" s="56"/>
      <c r="NX196" s="56"/>
      <c r="NY196" s="56"/>
      <c r="NZ196" s="56"/>
      <c r="OA196" s="56"/>
      <c r="OB196" s="56"/>
      <c r="OC196" s="56"/>
      <c r="OD196" s="56"/>
      <c r="OE196" s="56"/>
      <c r="OF196" s="56"/>
      <c r="OG196" s="56"/>
      <c r="OH196" s="56"/>
      <c r="OI196" s="56"/>
      <c r="OJ196" s="56"/>
      <c r="OK196" s="56"/>
      <c r="OL196" s="56"/>
      <c r="OM196" s="56"/>
      <c r="ON196" s="56"/>
      <c r="OO196" s="56"/>
      <c r="OP196" s="56"/>
      <c r="OQ196" s="56"/>
      <c r="OR196" s="56"/>
      <c r="OS196" s="56"/>
      <c r="OT196" s="56"/>
      <c r="OU196" s="56"/>
      <c r="OV196" s="56"/>
      <c r="OW196" s="56"/>
      <c r="OX196" s="56"/>
      <c r="OY196" s="56"/>
      <c r="OZ196" s="56"/>
      <c r="PA196" s="56"/>
      <c r="PB196" s="56"/>
      <c r="PC196" s="56"/>
      <c r="PD196" s="56"/>
      <c r="PE196" s="56"/>
      <c r="PF196" s="56"/>
      <c r="PG196" s="56"/>
      <c r="PH196" s="56"/>
      <c r="PI196" s="56"/>
      <c r="PJ196" s="56"/>
      <c r="PK196" s="56"/>
      <c r="PL196" s="56"/>
      <c r="PM196" s="56"/>
      <c r="PN196" s="56"/>
      <c r="PO196" s="56"/>
      <c r="PP196" s="56"/>
      <c r="PQ196" s="56"/>
      <c r="PR196" s="56"/>
      <c r="PS196" s="56"/>
      <c r="PT196" s="56"/>
      <c r="PU196" s="56"/>
      <c r="PV196" s="56"/>
      <c r="PW196" s="56"/>
      <c r="PX196" s="56"/>
      <c r="PY196" s="56"/>
      <c r="PZ196" s="56"/>
      <c r="QA196" s="56"/>
      <c r="QB196" s="56"/>
      <c r="QC196" s="56"/>
      <c r="QD196" s="56"/>
      <c r="QE196" s="56"/>
      <c r="QF196" s="56"/>
      <c r="QG196" s="56"/>
      <c r="QH196" s="56"/>
      <c r="QI196" s="56"/>
      <c r="QJ196" s="56"/>
      <c r="QK196" s="56"/>
      <c r="QL196" s="56"/>
      <c r="QM196" s="56"/>
      <c r="QN196" s="56"/>
      <c r="QO196" s="56"/>
      <c r="QP196" s="56"/>
      <c r="QQ196" s="56"/>
      <c r="QR196" s="56"/>
      <c r="QS196" s="56"/>
      <c r="QT196" s="56"/>
      <c r="QU196" s="56"/>
      <c r="QV196" s="56"/>
      <c r="QW196" s="56"/>
      <c r="QX196" s="56"/>
      <c r="QY196" s="56"/>
      <c r="QZ196" s="56"/>
      <c r="RA196" s="56"/>
      <c r="RB196" s="56"/>
      <c r="RC196" s="56"/>
      <c r="RD196" s="56"/>
      <c r="RE196" s="56"/>
      <c r="RF196" s="56"/>
      <c r="RG196" s="56"/>
      <c r="RH196" s="56"/>
      <c r="RI196" s="56"/>
      <c r="RJ196" s="56"/>
      <c r="RK196" s="56"/>
      <c r="RL196" s="56"/>
      <c r="RM196" s="56"/>
      <c r="RN196" s="56"/>
      <c r="RO196" s="56"/>
      <c r="RP196" s="56"/>
      <c r="RQ196" s="56"/>
      <c r="RR196" s="56"/>
      <c r="RS196" s="56"/>
      <c r="RT196" s="56"/>
      <c r="RU196" s="56"/>
      <c r="RV196" s="56"/>
      <c r="RW196" s="56"/>
      <c r="RX196" s="56"/>
      <c r="RY196" s="56"/>
      <c r="RZ196" s="56"/>
      <c r="SA196" s="56"/>
      <c r="SB196" s="56"/>
      <c r="SC196" s="56"/>
      <c r="SD196" s="56"/>
      <c r="SE196" s="56"/>
      <c r="SF196" s="56"/>
      <c r="SG196" s="56"/>
      <c r="SH196" s="56"/>
      <c r="SI196" s="56"/>
      <c r="SJ196" s="56"/>
      <c r="SK196" s="56"/>
      <c r="SL196" s="56"/>
      <c r="SM196" s="56"/>
      <c r="SN196" s="56"/>
      <c r="SO196" s="56"/>
      <c r="SP196" s="56"/>
      <c r="SQ196" s="56"/>
      <c r="SR196" s="56"/>
    </row>
    <row r="197" spans="1:512" ht="15" customHeight="1" x14ac:dyDescent="0.7">
      <c r="A197" s="171" t="s">
        <v>344</v>
      </c>
      <c r="B197" s="171" t="s">
        <v>344</v>
      </c>
      <c r="C197" s="171" t="s">
        <v>344</v>
      </c>
      <c r="D197" s="171"/>
      <c r="E197" s="171" t="s">
        <v>344</v>
      </c>
      <c r="F197" s="171"/>
      <c r="G197" s="188" t="s">
        <v>344</v>
      </c>
      <c r="H197" s="71" t="s">
        <v>344</v>
      </c>
      <c r="I197" s="72" t="s">
        <v>344</v>
      </c>
      <c r="J197" s="73" t="s">
        <v>344</v>
      </c>
      <c r="K197" s="189" t="s">
        <v>344</v>
      </c>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4"/>
      <c r="EF197" s="54"/>
      <c r="EG197" s="54"/>
      <c r="EH197" s="54"/>
      <c r="EI197" s="54"/>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c r="FP197" s="54"/>
      <c r="FQ197" s="54"/>
      <c r="FR197" s="54"/>
      <c r="FS197" s="54"/>
      <c r="FT197" s="54"/>
      <c r="FU197" s="54"/>
      <c r="FV197" s="54"/>
      <c r="FW197" s="54"/>
      <c r="FX197" s="54"/>
      <c r="FY197" s="54"/>
      <c r="FZ197" s="54"/>
      <c r="GA197" s="54"/>
      <c r="GB197" s="54"/>
      <c r="GC197" s="54"/>
      <c r="GD197" s="54"/>
      <c r="GE197" s="54"/>
      <c r="GF197" s="54"/>
      <c r="GG197" s="54"/>
      <c r="GH197" s="54"/>
      <c r="GI197" s="54"/>
      <c r="GJ197" s="54"/>
      <c r="GK197" s="54"/>
      <c r="GL197" s="54"/>
      <c r="GM197" s="54"/>
      <c r="GN197" s="54"/>
      <c r="GO197" s="54"/>
      <c r="GP197" s="54"/>
      <c r="GQ197" s="54"/>
      <c r="GR197" s="54"/>
      <c r="GS197" s="54"/>
      <c r="GT197" s="54"/>
      <c r="GU197" s="54"/>
      <c r="GV197" s="54"/>
      <c r="GW197" s="54"/>
      <c r="GX197" s="54"/>
      <c r="GY197" s="54"/>
      <c r="GZ197" s="54"/>
      <c r="HA197" s="54"/>
      <c r="HB197" s="54"/>
      <c r="HC197" s="54"/>
      <c r="HD197" s="54"/>
      <c r="HE197" s="54"/>
      <c r="HF197" s="54"/>
      <c r="HG197" s="54"/>
      <c r="HH197" s="54"/>
      <c r="HI197" s="54"/>
      <c r="HJ197" s="54"/>
      <c r="HK197" s="54"/>
      <c r="HL197" s="54"/>
      <c r="HM197" s="54"/>
      <c r="HN197" s="54"/>
      <c r="HO197" s="54"/>
      <c r="HP197" s="54"/>
      <c r="HQ197" s="54"/>
      <c r="HR197" s="54"/>
      <c r="HS197" s="54"/>
      <c r="HT197" s="54"/>
      <c r="HU197" s="54"/>
      <c r="HV197" s="54"/>
      <c r="HW197" s="54"/>
      <c r="HX197" s="54"/>
      <c r="HY197" s="54"/>
      <c r="HZ197" s="54"/>
      <c r="IA197" s="54"/>
      <c r="IB197" s="54"/>
      <c r="IC197" s="54"/>
      <c r="ID197" s="54"/>
      <c r="IE197" s="54"/>
      <c r="IF197" s="54"/>
      <c r="IG197" s="54"/>
      <c r="IH197" s="54"/>
      <c r="II197" s="54"/>
      <c r="IJ197" s="54"/>
      <c r="IK197" s="54"/>
      <c r="IL197" s="54"/>
      <c r="IM197" s="54"/>
      <c r="IN197" s="54"/>
      <c r="IO197" s="54"/>
      <c r="IP197" s="54"/>
      <c r="IQ197" s="54"/>
      <c r="IR197" s="54"/>
      <c r="IS197" s="54"/>
      <c r="IT197" s="54"/>
      <c r="IU197" s="54"/>
      <c r="IV197" s="54"/>
      <c r="IW197" s="54"/>
      <c r="IX197" s="54"/>
      <c r="IY197" s="54"/>
      <c r="IZ197" s="54"/>
      <c r="JA197" s="54"/>
      <c r="JB197" s="54"/>
      <c r="JC197" s="54"/>
      <c r="JD197" s="54"/>
      <c r="JE197" s="54"/>
      <c r="JF197" s="54"/>
      <c r="JG197" s="54"/>
      <c r="JH197" s="54"/>
      <c r="JI197" s="54"/>
      <c r="JJ197" s="54"/>
      <c r="JK197" s="54"/>
      <c r="JL197" s="54"/>
      <c r="JM197" s="54"/>
      <c r="JN197" s="54"/>
      <c r="JO197" s="54"/>
      <c r="JP197" s="54"/>
      <c r="JQ197" s="54"/>
      <c r="JR197" s="54"/>
      <c r="JS197" s="54"/>
      <c r="JT197" s="54"/>
      <c r="JU197" s="54"/>
      <c r="JV197" s="54"/>
      <c r="JW197" s="54"/>
      <c r="JX197" s="54"/>
      <c r="JY197" s="54"/>
      <c r="JZ197" s="54"/>
      <c r="KA197" s="54"/>
      <c r="KB197" s="54"/>
      <c r="KC197" s="54"/>
      <c r="KD197" s="54"/>
      <c r="KE197" s="54"/>
      <c r="KF197" s="54"/>
      <c r="KG197" s="54"/>
      <c r="KH197" s="54"/>
      <c r="KI197" s="54"/>
      <c r="KJ197" s="54"/>
      <c r="KK197" s="54"/>
      <c r="KL197" s="54"/>
      <c r="KM197" s="54"/>
      <c r="KN197" s="54"/>
      <c r="KO197" s="54"/>
      <c r="KP197" s="54"/>
      <c r="KQ197" s="54"/>
      <c r="KR197" s="54"/>
      <c r="KS197" s="54"/>
      <c r="KT197" s="54"/>
      <c r="KU197" s="54"/>
      <c r="KV197" s="54"/>
      <c r="KW197" s="54"/>
      <c r="KX197" s="54"/>
      <c r="KY197" s="54"/>
      <c r="KZ197" s="54"/>
      <c r="LA197" s="54"/>
      <c r="LB197" s="54"/>
      <c r="LC197" s="54"/>
      <c r="LD197" s="54"/>
      <c r="LE197" s="54"/>
      <c r="LF197" s="54"/>
      <c r="LG197" s="54"/>
      <c r="LH197" s="54"/>
      <c r="LI197" s="54"/>
      <c r="LJ197" s="54"/>
      <c r="LK197" s="54"/>
      <c r="LL197" s="54"/>
      <c r="LM197" s="54"/>
      <c r="LN197" s="54"/>
      <c r="LO197" s="54"/>
      <c r="LP197" s="54"/>
      <c r="LQ197" s="54"/>
      <c r="LR197" s="54"/>
      <c r="LS197" s="54"/>
      <c r="LT197" s="54"/>
      <c r="LU197" s="54"/>
      <c r="LV197" s="54"/>
      <c r="LW197" s="54"/>
      <c r="LX197" s="54"/>
      <c r="LY197" s="54"/>
      <c r="LZ197" s="54"/>
      <c r="MA197" s="54"/>
      <c r="MB197" s="54"/>
      <c r="MC197" s="54"/>
      <c r="MD197" s="54"/>
      <c r="ME197" s="54"/>
      <c r="MF197" s="54"/>
      <c r="MG197" s="54"/>
      <c r="MH197" s="54"/>
      <c r="MI197" s="54"/>
      <c r="MJ197" s="54"/>
      <c r="MK197" s="54"/>
      <c r="ML197" s="54"/>
      <c r="MM197" s="54"/>
      <c r="MN197" s="54"/>
      <c r="MO197" s="54"/>
      <c r="MP197" s="54"/>
      <c r="MQ197" s="54"/>
      <c r="MR197" s="54"/>
      <c r="MS197" s="54"/>
      <c r="MT197" s="54"/>
      <c r="MU197" s="54"/>
      <c r="MV197" s="54"/>
      <c r="MW197" s="54"/>
      <c r="MX197" s="54"/>
      <c r="MY197" s="54"/>
      <c r="MZ197" s="54"/>
      <c r="NA197" s="54"/>
      <c r="NB197" s="54"/>
      <c r="NC197" s="54"/>
      <c r="ND197" s="54"/>
      <c r="NE197" s="54"/>
      <c r="NF197" s="54"/>
      <c r="NG197" s="54"/>
      <c r="NH197" s="54"/>
      <c r="NI197" s="54"/>
      <c r="NJ197" s="54"/>
      <c r="NK197" s="54"/>
      <c r="NL197" s="54"/>
      <c r="NM197" s="54"/>
      <c r="NN197" s="54"/>
      <c r="NO197" s="54"/>
      <c r="NP197" s="54"/>
      <c r="NQ197" s="54"/>
      <c r="NR197" s="54"/>
      <c r="NS197" s="54"/>
      <c r="NT197" s="54"/>
      <c r="NU197" s="54"/>
      <c r="NV197" s="54"/>
      <c r="NW197" s="54"/>
      <c r="NX197" s="54"/>
      <c r="NY197" s="54"/>
      <c r="NZ197" s="54"/>
      <c r="OA197" s="54"/>
      <c r="OB197" s="54"/>
      <c r="OC197" s="54"/>
      <c r="OD197" s="54"/>
      <c r="OE197" s="54"/>
      <c r="OF197" s="54"/>
      <c r="OG197" s="54"/>
      <c r="OH197" s="54"/>
      <c r="OI197" s="54"/>
      <c r="OJ197" s="54"/>
      <c r="OK197" s="54"/>
      <c r="OL197" s="54"/>
      <c r="OM197" s="54"/>
      <c r="ON197" s="54"/>
      <c r="OO197" s="54"/>
      <c r="OP197" s="54"/>
      <c r="OQ197" s="54"/>
      <c r="OR197" s="54"/>
      <c r="OS197" s="54"/>
      <c r="OT197" s="54"/>
      <c r="OU197" s="54"/>
      <c r="OV197" s="54"/>
      <c r="OW197" s="54"/>
      <c r="OX197" s="54"/>
      <c r="OY197" s="54"/>
      <c r="OZ197" s="54"/>
      <c r="PA197" s="54"/>
      <c r="PB197" s="54"/>
      <c r="PC197" s="54"/>
      <c r="PD197" s="54"/>
      <c r="PE197" s="54"/>
      <c r="PF197" s="54"/>
      <c r="PG197" s="54"/>
      <c r="PH197" s="54"/>
      <c r="PI197" s="54"/>
      <c r="PJ197" s="54"/>
      <c r="PK197" s="54"/>
      <c r="PL197" s="54"/>
      <c r="PM197" s="54"/>
      <c r="PN197" s="54"/>
      <c r="PO197" s="54"/>
      <c r="PP197" s="54"/>
      <c r="PQ197" s="54"/>
      <c r="PR197" s="54"/>
      <c r="PS197" s="54"/>
      <c r="PT197" s="54"/>
      <c r="PU197" s="54"/>
      <c r="PV197" s="54"/>
      <c r="PW197" s="54"/>
      <c r="PX197" s="54"/>
      <c r="PY197" s="54"/>
      <c r="PZ197" s="54"/>
      <c r="QA197" s="54"/>
      <c r="QB197" s="54"/>
      <c r="QC197" s="54"/>
      <c r="QD197" s="54"/>
      <c r="QE197" s="54"/>
      <c r="QF197" s="54"/>
      <c r="QG197" s="54"/>
      <c r="QH197" s="54"/>
      <c r="QI197" s="54"/>
      <c r="QJ197" s="54"/>
      <c r="QK197" s="54"/>
      <c r="QL197" s="54"/>
      <c r="QM197" s="54"/>
      <c r="QN197" s="54"/>
      <c r="QO197" s="54"/>
      <c r="QP197" s="54"/>
      <c r="QQ197" s="54"/>
      <c r="QR197" s="54"/>
      <c r="QS197" s="54"/>
      <c r="QT197" s="54"/>
      <c r="QU197" s="54"/>
      <c r="QV197" s="54"/>
      <c r="QW197" s="54"/>
      <c r="QX197" s="54"/>
      <c r="QY197" s="54"/>
      <c r="QZ197" s="54"/>
      <c r="RA197" s="54"/>
      <c r="RB197" s="54"/>
      <c r="RC197" s="54"/>
      <c r="RD197" s="54"/>
      <c r="RE197" s="54"/>
      <c r="RF197" s="54"/>
      <c r="RG197" s="54"/>
      <c r="RH197" s="54"/>
      <c r="RI197" s="54"/>
      <c r="RJ197" s="54"/>
      <c r="RK197" s="54"/>
      <c r="RL197" s="54"/>
      <c r="RM197" s="54"/>
      <c r="RN197" s="54"/>
      <c r="RO197" s="54"/>
      <c r="RP197" s="54"/>
      <c r="RQ197" s="54"/>
      <c r="RR197" s="54"/>
      <c r="RS197" s="54"/>
      <c r="RT197" s="54"/>
      <c r="RU197" s="54"/>
      <c r="RV197" s="54"/>
      <c r="RW197" s="54"/>
      <c r="RX197" s="54"/>
      <c r="RY197" s="54"/>
      <c r="RZ197" s="54"/>
      <c r="SA197" s="54"/>
      <c r="SB197" s="54"/>
      <c r="SC197" s="54"/>
      <c r="SD197" s="54"/>
      <c r="SE197" s="54"/>
      <c r="SF197" s="54"/>
      <c r="SG197" s="54"/>
      <c r="SH197" s="54"/>
      <c r="SI197" s="54"/>
      <c r="SJ197" s="54"/>
      <c r="SK197" s="54"/>
      <c r="SL197" s="54"/>
      <c r="SM197" s="54"/>
      <c r="SN197" s="54"/>
      <c r="SO197" s="54"/>
      <c r="SP197" s="54"/>
      <c r="SQ197" s="54"/>
      <c r="SR197" s="54"/>
    </row>
    <row r="198" spans="1:512" ht="15" customHeight="1" x14ac:dyDescent="0.7">
      <c r="A198" s="172"/>
      <c r="B198" s="172"/>
      <c r="C198" s="172"/>
      <c r="D198" s="172"/>
      <c r="E198" s="172"/>
      <c r="F198" s="172"/>
      <c r="G198" s="172"/>
      <c r="I198" s="72" t="s">
        <v>344</v>
      </c>
      <c r="J198" s="73" t="s">
        <v>344</v>
      </c>
      <c r="K198" s="190"/>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c r="HP198" s="54"/>
      <c r="HQ198" s="54"/>
      <c r="HR198" s="54"/>
      <c r="HS198" s="54"/>
      <c r="HT198" s="54"/>
      <c r="HU198" s="54"/>
      <c r="HV198" s="54"/>
      <c r="HW198" s="54"/>
      <c r="HX198" s="54"/>
      <c r="HY198" s="54"/>
      <c r="HZ198" s="54"/>
      <c r="IA198" s="54"/>
      <c r="IB198" s="54"/>
      <c r="IC198" s="54"/>
      <c r="ID198" s="54"/>
      <c r="IE198" s="54"/>
      <c r="IF198" s="54"/>
      <c r="IG198" s="54"/>
      <c r="IH198" s="54"/>
      <c r="II198" s="54"/>
      <c r="IJ198" s="54"/>
      <c r="IK198" s="54"/>
      <c r="IL198" s="54"/>
      <c r="IM198" s="54"/>
      <c r="IN198" s="54"/>
      <c r="IO198" s="54"/>
      <c r="IP198" s="54"/>
      <c r="IQ198" s="54"/>
      <c r="IR198" s="54"/>
      <c r="IS198" s="54"/>
      <c r="IT198" s="54"/>
      <c r="IU198" s="54"/>
      <c r="IV198" s="54"/>
      <c r="IW198" s="54"/>
      <c r="IX198" s="54"/>
      <c r="IY198" s="54"/>
      <c r="IZ198" s="54"/>
      <c r="JA198" s="54"/>
      <c r="JB198" s="54"/>
      <c r="JC198" s="54"/>
      <c r="JD198" s="54"/>
      <c r="JE198" s="54"/>
      <c r="JF198" s="54"/>
      <c r="JG198" s="54"/>
      <c r="JH198" s="54"/>
      <c r="JI198" s="54"/>
      <c r="JJ198" s="54"/>
      <c r="JK198" s="54"/>
      <c r="JL198" s="54"/>
      <c r="JM198" s="54"/>
      <c r="JN198" s="54"/>
      <c r="JO198" s="54"/>
      <c r="JP198" s="54"/>
      <c r="JQ198" s="54"/>
      <c r="JR198" s="54"/>
      <c r="JS198" s="54"/>
      <c r="JT198" s="54"/>
      <c r="JU198" s="54"/>
      <c r="JV198" s="54"/>
      <c r="JW198" s="54"/>
      <c r="JX198" s="54"/>
      <c r="JY198" s="54"/>
      <c r="JZ198" s="54"/>
      <c r="KA198" s="54"/>
      <c r="KB198" s="54"/>
      <c r="KC198" s="54"/>
      <c r="KD198" s="54"/>
      <c r="KE198" s="54"/>
      <c r="KF198" s="54"/>
      <c r="KG198" s="54"/>
      <c r="KH198" s="54"/>
      <c r="KI198" s="54"/>
      <c r="KJ198" s="54"/>
      <c r="KK198" s="54"/>
      <c r="KL198" s="54"/>
      <c r="KM198" s="54"/>
      <c r="KN198" s="54"/>
      <c r="KO198" s="54"/>
      <c r="KP198" s="54"/>
      <c r="KQ198" s="54"/>
      <c r="KR198" s="54"/>
      <c r="KS198" s="54"/>
      <c r="KT198" s="54"/>
      <c r="KU198" s="54"/>
      <c r="KV198" s="54"/>
      <c r="KW198" s="54"/>
      <c r="KX198" s="54"/>
      <c r="KY198" s="54"/>
      <c r="KZ198" s="54"/>
      <c r="LA198" s="54"/>
      <c r="LB198" s="54"/>
      <c r="LC198" s="54"/>
      <c r="LD198" s="54"/>
      <c r="LE198" s="54"/>
      <c r="LF198" s="54"/>
      <c r="LG198" s="54"/>
      <c r="LH198" s="54"/>
      <c r="LI198" s="54"/>
      <c r="LJ198" s="54"/>
      <c r="LK198" s="54"/>
      <c r="LL198" s="54"/>
      <c r="LM198" s="54"/>
      <c r="LN198" s="54"/>
      <c r="LO198" s="54"/>
      <c r="LP198" s="54"/>
      <c r="LQ198" s="54"/>
      <c r="LR198" s="54"/>
      <c r="LS198" s="54"/>
      <c r="LT198" s="54"/>
      <c r="LU198" s="54"/>
      <c r="LV198" s="54"/>
      <c r="LW198" s="54"/>
      <c r="LX198" s="54"/>
      <c r="LY198" s="54"/>
      <c r="LZ198" s="54"/>
      <c r="MA198" s="54"/>
      <c r="MB198" s="54"/>
      <c r="MC198" s="54"/>
      <c r="MD198" s="54"/>
      <c r="ME198" s="54"/>
      <c r="MF198" s="54"/>
      <c r="MG198" s="54"/>
      <c r="MH198" s="54"/>
      <c r="MI198" s="54"/>
      <c r="MJ198" s="54"/>
      <c r="MK198" s="54"/>
      <c r="ML198" s="54"/>
      <c r="MM198" s="54"/>
      <c r="MN198" s="54"/>
      <c r="MO198" s="54"/>
      <c r="MP198" s="54"/>
      <c r="MQ198" s="54"/>
      <c r="MR198" s="54"/>
      <c r="MS198" s="54"/>
      <c r="MT198" s="54"/>
      <c r="MU198" s="54"/>
      <c r="MV198" s="54"/>
      <c r="MW198" s="54"/>
      <c r="MX198" s="54"/>
      <c r="MY198" s="54"/>
      <c r="MZ198" s="54"/>
      <c r="NA198" s="54"/>
      <c r="NB198" s="54"/>
      <c r="NC198" s="54"/>
      <c r="ND198" s="54"/>
      <c r="NE198" s="54"/>
      <c r="NF198" s="54"/>
      <c r="NG198" s="54"/>
      <c r="NH198" s="54"/>
      <c r="NI198" s="54"/>
      <c r="NJ198" s="54"/>
      <c r="NK198" s="54"/>
      <c r="NL198" s="54"/>
      <c r="NM198" s="54"/>
      <c r="NN198" s="54"/>
      <c r="NO198" s="54"/>
      <c r="NP198" s="54"/>
      <c r="NQ198" s="54"/>
      <c r="NR198" s="54"/>
      <c r="NS198" s="54"/>
      <c r="NT198" s="54"/>
      <c r="NU198" s="54"/>
      <c r="NV198" s="54"/>
      <c r="NW198" s="54"/>
      <c r="NX198" s="54"/>
      <c r="NY198" s="54"/>
      <c r="NZ198" s="54"/>
      <c r="OA198" s="54"/>
      <c r="OB198" s="54"/>
      <c r="OC198" s="54"/>
      <c r="OD198" s="54"/>
      <c r="OE198" s="54"/>
      <c r="OF198" s="54"/>
      <c r="OG198" s="54"/>
      <c r="OH198" s="54"/>
      <c r="OI198" s="54"/>
      <c r="OJ198" s="54"/>
      <c r="OK198" s="54"/>
      <c r="OL198" s="54"/>
      <c r="OM198" s="54"/>
      <c r="ON198" s="54"/>
      <c r="OO198" s="54"/>
      <c r="OP198" s="54"/>
      <c r="OQ198" s="54"/>
      <c r="OR198" s="54"/>
      <c r="OS198" s="54"/>
      <c r="OT198" s="54"/>
      <c r="OU198" s="54"/>
      <c r="OV198" s="54"/>
      <c r="OW198" s="54"/>
      <c r="OX198" s="54"/>
      <c r="OY198" s="54"/>
      <c r="OZ198" s="54"/>
      <c r="PA198" s="54"/>
      <c r="PB198" s="54"/>
      <c r="PC198" s="54"/>
      <c r="PD198" s="54"/>
      <c r="PE198" s="54"/>
      <c r="PF198" s="54"/>
      <c r="PG198" s="54"/>
      <c r="PH198" s="54"/>
      <c r="PI198" s="54"/>
      <c r="PJ198" s="54"/>
      <c r="PK198" s="54"/>
      <c r="PL198" s="54"/>
      <c r="PM198" s="54"/>
      <c r="PN198" s="54"/>
      <c r="PO198" s="54"/>
      <c r="PP198" s="54"/>
      <c r="PQ198" s="54"/>
      <c r="PR198" s="54"/>
      <c r="PS198" s="54"/>
      <c r="PT198" s="54"/>
      <c r="PU198" s="54"/>
      <c r="PV198" s="54"/>
      <c r="PW198" s="54"/>
      <c r="PX198" s="54"/>
      <c r="PY198" s="54"/>
      <c r="PZ198" s="54"/>
      <c r="QA198" s="54"/>
      <c r="QB198" s="54"/>
      <c r="QC198" s="54"/>
      <c r="QD198" s="54"/>
      <c r="QE198" s="54"/>
      <c r="QF198" s="54"/>
      <c r="QG198" s="54"/>
      <c r="QH198" s="54"/>
      <c r="QI198" s="54"/>
      <c r="QJ198" s="54"/>
      <c r="QK198" s="54"/>
      <c r="QL198" s="54"/>
      <c r="QM198" s="54"/>
      <c r="QN198" s="54"/>
      <c r="QO198" s="54"/>
      <c r="QP198" s="54"/>
      <c r="QQ198" s="54"/>
      <c r="QR198" s="54"/>
      <c r="QS198" s="54"/>
      <c r="QT198" s="54"/>
      <c r="QU198" s="54"/>
      <c r="QV198" s="54"/>
      <c r="QW198" s="54"/>
      <c r="QX198" s="54"/>
      <c r="QY198" s="54"/>
      <c r="QZ198" s="54"/>
      <c r="RA198" s="54"/>
      <c r="RB198" s="54"/>
      <c r="RC198" s="54"/>
      <c r="RD198" s="54"/>
      <c r="RE198" s="54"/>
      <c r="RF198" s="54"/>
      <c r="RG198" s="54"/>
      <c r="RH198" s="54"/>
      <c r="RI198" s="54"/>
      <c r="RJ198" s="54"/>
      <c r="RK198" s="54"/>
      <c r="RL198" s="54"/>
      <c r="RM198" s="54"/>
      <c r="RN198" s="54"/>
      <c r="RO198" s="54"/>
      <c r="RP198" s="54"/>
      <c r="RQ198" s="54"/>
      <c r="RR198" s="54"/>
      <c r="RS198" s="54"/>
      <c r="RT198" s="54"/>
      <c r="RU198" s="54"/>
      <c r="RV198" s="54"/>
      <c r="RW198" s="54"/>
      <c r="RX198" s="54"/>
      <c r="RY198" s="54"/>
      <c r="RZ198" s="54"/>
      <c r="SA198" s="54"/>
      <c r="SB198" s="54"/>
      <c r="SC198" s="54"/>
      <c r="SD198" s="54"/>
      <c r="SE198" s="54"/>
      <c r="SF198" s="54"/>
      <c r="SG198" s="54"/>
      <c r="SH198" s="54"/>
      <c r="SI198" s="54"/>
      <c r="SJ198" s="54"/>
      <c r="SK198" s="54"/>
      <c r="SL198" s="54"/>
      <c r="SM198" s="54"/>
      <c r="SN198" s="54"/>
      <c r="SO198" s="54"/>
      <c r="SP198" s="54"/>
      <c r="SQ198" s="54"/>
      <c r="SR198" s="54"/>
    </row>
    <row r="199" spans="1:512" s="55" customFormat="1" ht="15" customHeight="1" x14ac:dyDescent="0.7">
      <c r="A199" s="173"/>
      <c r="B199" s="173"/>
      <c r="C199" s="173"/>
      <c r="D199" s="173"/>
      <c r="E199" s="173"/>
      <c r="F199" s="173"/>
      <c r="G199" s="173"/>
      <c r="H199" s="74"/>
      <c r="I199" s="75"/>
      <c r="J199" s="76"/>
      <c r="K199" s="191"/>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c r="IX199" s="56"/>
      <c r="IY199" s="56"/>
      <c r="IZ199" s="56"/>
      <c r="JA199" s="56"/>
      <c r="JB199" s="56"/>
      <c r="JC199" s="56"/>
      <c r="JD199" s="56"/>
      <c r="JE199" s="56"/>
      <c r="JF199" s="56"/>
      <c r="JG199" s="56"/>
      <c r="JH199" s="56"/>
      <c r="JI199" s="56"/>
      <c r="JJ199" s="56"/>
      <c r="JK199" s="56"/>
      <c r="JL199" s="56"/>
      <c r="JM199" s="56"/>
      <c r="JN199" s="56"/>
      <c r="JO199" s="56"/>
      <c r="JP199" s="56"/>
      <c r="JQ199" s="56"/>
      <c r="JR199" s="56"/>
      <c r="JS199" s="56"/>
      <c r="JT199" s="56"/>
      <c r="JU199" s="56"/>
      <c r="JV199" s="56"/>
      <c r="JW199" s="56"/>
      <c r="JX199" s="56"/>
      <c r="JY199" s="56"/>
      <c r="JZ199" s="56"/>
      <c r="KA199" s="56"/>
      <c r="KB199" s="56"/>
      <c r="KC199" s="56"/>
      <c r="KD199" s="56"/>
      <c r="KE199" s="56"/>
      <c r="KF199" s="56"/>
      <c r="KG199" s="56"/>
      <c r="KH199" s="56"/>
      <c r="KI199" s="56"/>
      <c r="KJ199" s="56"/>
      <c r="KK199" s="56"/>
      <c r="KL199" s="56"/>
      <c r="KM199" s="56"/>
      <c r="KN199" s="56"/>
      <c r="KO199" s="56"/>
      <c r="KP199" s="56"/>
      <c r="KQ199" s="56"/>
      <c r="KR199" s="56"/>
      <c r="KS199" s="56"/>
      <c r="KT199" s="56"/>
      <c r="KU199" s="56"/>
      <c r="KV199" s="56"/>
      <c r="KW199" s="56"/>
      <c r="KX199" s="56"/>
      <c r="KY199" s="56"/>
      <c r="KZ199" s="56"/>
      <c r="LA199" s="56"/>
      <c r="LB199" s="56"/>
      <c r="LC199" s="56"/>
      <c r="LD199" s="56"/>
      <c r="LE199" s="56"/>
      <c r="LF199" s="56"/>
      <c r="LG199" s="56"/>
      <c r="LH199" s="56"/>
      <c r="LI199" s="56"/>
      <c r="LJ199" s="56"/>
      <c r="LK199" s="56"/>
      <c r="LL199" s="56"/>
      <c r="LM199" s="56"/>
      <c r="LN199" s="56"/>
      <c r="LO199" s="56"/>
      <c r="LP199" s="56"/>
      <c r="LQ199" s="56"/>
      <c r="LR199" s="56"/>
      <c r="LS199" s="56"/>
      <c r="LT199" s="56"/>
      <c r="LU199" s="56"/>
      <c r="LV199" s="56"/>
      <c r="LW199" s="56"/>
      <c r="LX199" s="56"/>
      <c r="LY199" s="56"/>
      <c r="LZ199" s="56"/>
      <c r="MA199" s="56"/>
      <c r="MB199" s="56"/>
      <c r="MC199" s="56"/>
      <c r="MD199" s="56"/>
      <c r="ME199" s="56"/>
      <c r="MF199" s="56"/>
      <c r="MG199" s="56"/>
      <c r="MH199" s="56"/>
      <c r="MI199" s="56"/>
      <c r="MJ199" s="56"/>
      <c r="MK199" s="56"/>
      <c r="ML199" s="56"/>
      <c r="MM199" s="56"/>
      <c r="MN199" s="56"/>
      <c r="MO199" s="56"/>
      <c r="MP199" s="56"/>
      <c r="MQ199" s="56"/>
      <c r="MR199" s="56"/>
      <c r="MS199" s="56"/>
      <c r="MT199" s="56"/>
      <c r="MU199" s="56"/>
      <c r="MV199" s="56"/>
      <c r="MW199" s="56"/>
      <c r="MX199" s="56"/>
      <c r="MY199" s="56"/>
      <c r="MZ199" s="56"/>
      <c r="NA199" s="56"/>
      <c r="NB199" s="56"/>
      <c r="NC199" s="56"/>
      <c r="ND199" s="56"/>
      <c r="NE199" s="56"/>
      <c r="NF199" s="56"/>
      <c r="NG199" s="56"/>
      <c r="NH199" s="56"/>
      <c r="NI199" s="56"/>
      <c r="NJ199" s="56"/>
      <c r="NK199" s="56"/>
      <c r="NL199" s="56"/>
      <c r="NM199" s="56"/>
      <c r="NN199" s="56"/>
      <c r="NO199" s="56"/>
      <c r="NP199" s="56"/>
      <c r="NQ199" s="56"/>
      <c r="NR199" s="56"/>
      <c r="NS199" s="56"/>
      <c r="NT199" s="56"/>
      <c r="NU199" s="56"/>
      <c r="NV199" s="56"/>
      <c r="NW199" s="56"/>
      <c r="NX199" s="56"/>
      <c r="NY199" s="56"/>
      <c r="NZ199" s="56"/>
      <c r="OA199" s="56"/>
      <c r="OB199" s="56"/>
      <c r="OC199" s="56"/>
      <c r="OD199" s="56"/>
      <c r="OE199" s="56"/>
      <c r="OF199" s="56"/>
      <c r="OG199" s="56"/>
      <c r="OH199" s="56"/>
      <c r="OI199" s="56"/>
      <c r="OJ199" s="56"/>
      <c r="OK199" s="56"/>
      <c r="OL199" s="56"/>
      <c r="OM199" s="56"/>
      <c r="ON199" s="56"/>
      <c r="OO199" s="56"/>
      <c r="OP199" s="56"/>
      <c r="OQ199" s="56"/>
      <c r="OR199" s="56"/>
      <c r="OS199" s="56"/>
      <c r="OT199" s="56"/>
      <c r="OU199" s="56"/>
      <c r="OV199" s="56"/>
      <c r="OW199" s="56"/>
      <c r="OX199" s="56"/>
      <c r="OY199" s="56"/>
      <c r="OZ199" s="56"/>
      <c r="PA199" s="56"/>
      <c r="PB199" s="56"/>
      <c r="PC199" s="56"/>
      <c r="PD199" s="56"/>
      <c r="PE199" s="56"/>
      <c r="PF199" s="56"/>
      <c r="PG199" s="56"/>
      <c r="PH199" s="56"/>
      <c r="PI199" s="56"/>
      <c r="PJ199" s="56"/>
      <c r="PK199" s="56"/>
      <c r="PL199" s="56"/>
      <c r="PM199" s="56"/>
      <c r="PN199" s="56"/>
      <c r="PO199" s="56"/>
      <c r="PP199" s="56"/>
      <c r="PQ199" s="56"/>
      <c r="PR199" s="56"/>
      <c r="PS199" s="56"/>
      <c r="PT199" s="56"/>
      <c r="PU199" s="56"/>
      <c r="PV199" s="56"/>
      <c r="PW199" s="56"/>
      <c r="PX199" s="56"/>
      <c r="PY199" s="56"/>
      <c r="PZ199" s="56"/>
      <c r="QA199" s="56"/>
      <c r="QB199" s="56"/>
      <c r="QC199" s="56"/>
      <c r="QD199" s="56"/>
      <c r="QE199" s="56"/>
      <c r="QF199" s="56"/>
      <c r="QG199" s="56"/>
      <c r="QH199" s="56"/>
      <c r="QI199" s="56"/>
      <c r="QJ199" s="56"/>
      <c r="QK199" s="56"/>
      <c r="QL199" s="56"/>
      <c r="QM199" s="56"/>
      <c r="QN199" s="56"/>
      <c r="QO199" s="56"/>
      <c r="QP199" s="56"/>
      <c r="QQ199" s="56"/>
      <c r="QR199" s="56"/>
      <c r="QS199" s="56"/>
      <c r="QT199" s="56"/>
      <c r="QU199" s="56"/>
      <c r="QV199" s="56"/>
      <c r="QW199" s="56"/>
      <c r="QX199" s="56"/>
      <c r="QY199" s="56"/>
      <c r="QZ199" s="56"/>
      <c r="RA199" s="56"/>
      <c r="RB199" s="56"/>
      <c r="RC199" s="56"/>
      <c r="RD199" s="56"/>
      <c r="RE199" s="56"/>
      <c r="RF199" s="56"/>
      <c r="RG199" s="56"/>
      <c r="RH199" s="56"/>
      <c r="RI199" s="56"/>
      <c r="RJ199" s="56"/>
      <c r="RK199" s="56"/>
      <c r="RL199" s="56"/>
      <c r="RM199" s="56"/>
      <c r="RN199" s="56"/>
      <c r="RO199" s="56"/>
      <c r="RP199" s="56"/>
      <c r="RQ199" s="56"/>
      <c r="RR199" s="56"/>
      <c r="RS199" s="56"/>
      <c r="RT199" s="56"/>
      <c r="RU199" s="56"/>
      <c r="RV199" s="56"/>
      <c r="RW199" s="56"/>
      <c r="RX199" s="56"/>
      <c r="RY199" s="56"/>
      <c r="RZ199" s="56"/>
      <c r="SA199" s="56"/>
      <c r="SB199" s="56"/>
      <c r="SC199" s="56"/>
      <c r="SD199" s="56"/>
      <c r="SE199" s="56"/>
      <c r="SF199" s="56"/>
      <c r="SG199" s="56"/>
      <c r="SH199" s="56"/>
      <c r="SI199" s="56"/>
      <c r="SJ199" s="56"/>
      <c r="SK199" s="56"/>
      <c r="SL199" s="56"/>
      <c r="SM199" s="56"/>
      <c r="SN199" s="56"/>
      <c r="SO199" s="56"/>
      <c r="SP199" s="56"/>
      <c r="SQ199" s="56"/>
      <c r="SR199" s="56"/>
    </row>
    <row r="200" spans="1:512" ht="15" customHeight="1" x14ac:dyDescent="0.7">
      <c r="A200" s="171" t="s">
        <v>344</v>
      </c>
      <c r="B200" s="171" t="s">
        <v>344</v>
      </c>
      <c r="C200" s="171" t="s">
        <v>344</v>
      </c>
      <c r="D200" s="171"/>
      <c r="E200" s="171" t="s">
        <v>344</v>
      </c>
      <c r="F200" s="171"/>
      <c r="G200" s="188" t="s">
        <v>344</v>
      </c>
      <c r="H200" s="71" t="s">
        <v>344</v>
      </c>
      <c r="I200" s="72" t="s">
        <v>344</v>
      </c>
      <c r="J200" s="73" t="s">
        <v>344</v>
      </c>
      <c r="K200" s="189" t="s">
        <v>344</v>
      </c>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c r="HP200" s="54"/>
      <c r="HQ200" s="54"/>
      <c r="HR200" s="54"/>
      <c r="HS200" s="54"/>
      <c r="HT200" s="54"/>
      <c r="HU200" s="54"/>
      <c r="HV200" s="54"/>
      <c r="HW200" s="54"/>
      <c r="HX200" s="54"/>
      <c r="HY200" s="54"/>
      <c r="HZ200" s="54"/>
      <c r="IA200" s="54"/>
      <c r="IB200" s="54"/>
      <c r="IC200" s="54"/>
      <c r="ID200" s="54"/>
      <c r="IE200" s="54"/>
      <c r="IF200" s="54"/>
      <c r="IG200" s="54"/>
      <c r="IH200" s="54"/>
      <c r="II200" s="54"/>
      <c r="IJ200" s="54"/>
      <c r="IK200" s="54"/>
      <c r="IL200" s="54"/>
      <c r="IM200" s="54"/>
      <c r="IN200" s="54"/>
      <c r="IO200" s="54"/>
      <c r="IP200" s="54"/>
      <c r="IQ200" s="54"/>
      <c r="IR200" s="54"/>
      <c r="IS200" s="54"/>
      <c r="IT200" s="54"/>
      <c r="IU200" s="54"/>
      <c r="IV200" s="54"/>
      <c r="IW200" s="54"/>
      <c r="IX200" s="54"/>
      <c r="IY200" s="54"/>
      <c r="IZ200" s="54"/>
      <c r="JA200" s="54"/>
      <c r="JB200" s="54"/>
      <c r="JC200" s="54"/>
      <c r="JD200" s="54"/>
      <c r="JE200" s="54"/>
      <c r="JF200" s="54"/>
      <c r="JG200" s="54"/>
      <c r="JH200" s="54"/>
      <c r="JI200" s="54"/>
      <c r="JJ200" s="54"/>
      <c r="JK200" s="54"/>
      <c r="JL200" s="54"/>
      <c r="JM200" s="54"/>
      <c r="JN200" s="54"/>
      <c r="JO200" s="54"/>
      <c r="JP200" s="54"/>
      <c r="JQ200" s="54"/>
      <c r="JR200" s="54"/>
      <c r="JS200" s="54"/>
      <c r="JT200" s="54"/>
      <c r="JU200" s="54"/>
      <c r="JV200" s="54"/>
      <c r="JW200" s="54"/>
      <c r="JX200" s="54"/>
      <c r="JY200" s="54"/>
      <c r="JZ200" s="54"/>
      <c r="KA200" s="54"/>
      <c r="KB200" s="54"/>
      <c r="KC200" s="54"/>
      <c r="KD200" s="54"/>
      <c r="KE200" s="54"/>
      <c r="KF200" s="54"/>
      <c r="KG200" s="54"/>
      <c r="KH200" s="54"/>
      <c r="KI200" s="54"/>
      <c r="KJ200" s="54"/>
      <c r="KK200" s="54"/>
      <c r="KL200" s="54"/>
      <c r="KM200" s="54"/>
      <c r="KN200" s="54"/>
      <c r="KO200" s="54"/>
      <c r="KP200" s="54"/>
      <c r="KQ200" s="54"/>
      <c r="KR200" s="54"/>
      <c r="KS200" s="54"/>
      <c r="KT200" s="54"/>
      <c r="KU200" s="54"/>
      <c r="KV200" s="54"/>
      <c r="KW200" s="54"/>
      <c r="KX200" s="54"/>
      <c r="KY200" s="54"/>
      <c r="KZ200" s="54"/>
      <c r="LA200" s="54"/>
      <c r="LB200" s="54"/>
      <c r="LC200" s="54"/>
      <c r="LD200" s="54"/>
      <c r="LE200" s="54"/>
      <c r="LF200" s="54"/>
      <c r="LG200" s="54"/>
      <c r="LH200" s="54"/>
      <c r="LI200" s="54"/>
      <c r="LJ200" s="54"/>
      <c r="LK200" s="54"/>
      <c r="LL200" s="54"/>
      <c r="LM200" s="54"/>
      <c r="LN200" s="54"/>
      <c r="LO200" s="54"/>
      <c r="LP200" s="54"/>
      <c r="LQ200" s="54"/>
      <c r="LR200" s="54"/>
      <c r="LS200" s="54"/>
      <c r="LT200" s="54"/>
      <c r="LU200" s="54"/>
      <c r="LV200" s="54"/>
      <c r="LW200" s="54"/>
      <c r="LX200" s="54"/>
      <c r="LY200" s="54"/>
      <c r="LZ200" s="54"/>
      <c r="MA200" s="54"/>
      <c r="MB200" s="54"/>
      <c r="MC200" s="54"/>
      <c r="MD200" s="54"/>
      <c r="ME200" s="54"/>
      <c r="MF200" s="54"/>
      <c r="MG200" s="54"/>
      <c r="MH200" s="54"/>
      <c r="MI200" s="54"/>
      <c r="MJ200" s="54"/>
      <c r="MK200" s="54"/>
      <c r="ML200" s="54"/>
      <c r="MM200" s="54"/>
      <c r="MN200" s="54"/>
      <c r="MO200" s="54"/>
      <c r="MP200" s="54"/>
      <c r="MQ200" s="54"/>
      <c r="MR200" s="54"/>
      <c r="MS200" s="54"/>
      <c r="MT200" s="54"/>
      <c r="MU200" s="54"/>
      <c r="MV200" s="54"/>
      <c r="MW200" s="54"/>
      <c r="MX200" s="54"/>
      <c r="MY200" s="54"/>
      <c r="MZ200" s="54"/>
      <c r="NA200" s="54"/>
      <c r="NB200" s="54"/>
      <c r="NC200" s="54"/>
      <c r="ND200" s="54"/>
      <c r="NE200" s="54"/>
      <c r="NF200" s="54"/>
      <c r="NG200" s="54"/>
      <c r="NH200" s="54"/>
      <c r="NI200" s="54"/>
      <c r="NJ200" s="54"/>
      <c r="NK200" s="54"/>
      <c r="NL200" s="54"/>
      <c r="NM200" s="54"/>
      <c r="NN200" s="54"/>
      <c r="NO200" s="54"/>
      <c r="NP200" s="54"/>
      <c r="NQ200" s="54"/>
      <c r="NR200" s="54"/>
      <c r="NS200" s="54"/>
      <c r="NT200" s="54"/>
      <c r="NU200" s="54"/>
      <c r="NV200" s="54"/>
      <c r="NW200" s="54"/>
      <c r="NX200" s="54"/>
      <c r="NY200" s="54"/>
      <c r="NZ200" s="54"/>
      <c r="OA200" s="54"/>
      <c r="OB200" s="54"/>
      <c r="OC200" s="54"/>
      <c r="OD200" s="54"/>
      <c r="OE200" s="54"/>
      <c r="OF200" s="54"/>
      <c r="OG200" s="54"/>
      <c r="OH200" s="54"/>
      <c r="OI200" s="54"/>
      <c r="OJ200" s="54"/>
      <c r="OK200" s="54"/>
      <c r="OL200" s="54"/>
      <c r="OM200" s="54"/>
      <c r="ON200" s="54"/>
      <c r="OO200" s="54"/>
      <c r="OP200" s="54"/>
      <c r="OQ200" s="54"/>
      <c r="OR200" s="54"/>
      <c r="OS200" s="54"/>
      <c r="OT200" s="54"/>
      <c r="OU200" s="54"/>
      <c r="OV200" s="54"/>
      <c r="OW200" s="54"/>
      <c r="OX200" s="54"/>
      <c r="OY200" s="54"/>
      <c r="OZ200" s="54"/>
      <c r="PA200" s="54"/>
      <c r="PB200" s="54"/>
      <c r="PC200" s="54"/>
      <c r="PD200" s="54"/>
      <c r="PE200" s="54"/>
      <c r="PF200" s="54"/>
      <c r="PG200" s="54"/>
      <c r="PH200" s="54"/>
      <c r="PI200" s="54"/>
      <c r="PJ200" s="54"/>
      <c r="PK200" s="54"/>
      <c r="PL200" s="54"/>
      <c r="PM200" s="54"/>
      <c r="PN200" s="54"/>
      <c r="PO200" s="54"/>
      <c r="PP200" s="54"/>
      <c r="PQ200" s="54"/>
      <c r="PR200" s="54"/>
      <c r="PS200" s="54"/>
      <c r="PT200" s="54"/>
      <c r="PU200" s="54"/>
      <c r="PV200" s="54"/>
      <c r="PW200" s="54"/>
      <c r="PX200" s="54"/>
      <c r="PY200" s="54"/>
      <c r="PZ200" s="54"/>
      <c r="QA200" s="54"/>
      <c r="QB200" s="54"/>
      <c r="QC200" s="54"/>
      <c r="QD200" s="54"/>
      <c r="QE200" s="54"/>
      <c r="QF200" s="54"/>
      <c r="QG200" s="54"/>
      <c r="QH200" s="54"/>
      <c r="QI200" s="54"/>
      <c r="QJ200" s="54"/>
      <c r="QK200" s="54"/>
      <c r="QL200" s="54"/>
      <c r="QM200" s="54"/>
      <c r="QN200" s="54"/>
      <c r="QO200" s="54"/>
      <c r="QP200" s="54"/>
      <c r="QQ200" s="54"/>
      <c r="QR200" s="54"/>
      <c r="QS200" s="54"/>
      <c r="QT200" s="54"/>
      <c r="QU200" s="54"/>
      <c r="QV200" s="54"/>
      <c r="QW200" s="54"/>
      <c r="QX200" s="54"/>
      <c r="QY200" s="54"/>
      <c r="QZ200" s="54"/>
      <c r="RA200" s="54"/>
      <c r="RB200" s="54"/>
      <c r="RC200" s="54"/>
      <c r="RD200" s="54"/>
      <c r="RE200" s="54"/>
      <c r="RF200" s="54"/>
      <c r="RG200" s="54"/>
      <c r="RH200" s="54"/>
      <c r="RI200" s="54"/>
      <c r="RJ200" s="54"/>
      <c r="RK200" s="54"/>
      <c r="RL200" s="54"/>
      <c r="RM200" s="54"/>
      <c r="RN200" s="54"/>
      <c r="RO200" s="54"/>
      <c r="RP200" s="54"/>
      <c r="RQ200" s="54"/>
      <c r="RR200" s="54"/>
      <c r="RS200" s="54"/>
      <c r="RT200" s="54"/>
      <c r="RU200" s="54"/>
      <c r="RV200" s="54"/>
      <c r="RW200" s="54"/>
      <c r="RX200" s="54"/>
      <c r="RY200" s="54"/>
      <c r="RZ200" s="54"/>
      <c r="SA200" s="54"/>
      <c r="SB200" s="54"/>
      <c r="SC200" s="54"/>
      <c r="SD200" s="54"/>
      <c r="SE200" s="54"/>
      <c r="SF200" s="54"/>
      <c r="SG200" s="54"/>
      <c r="SH200" s="54"/>
      <c r="SI200" s="54"/>
      <c r="SJ200" s="54"/>
      <c r="SK200" s="54"/>
      <c r="SL200" s="54"/>
      <c r="SM200" s="54"/>
      <c r="SN200" s="54"/>
      <c r="SO200" s="54"/>
      <c r="SP200" s="54"/>
      <c r="SQ200" s="54"/>
      <c r="SR200" s="54"/>
    </row>
    <row r="201" spans="1:512" ht="15" customHeight="1" x14ac:dyDescent="0.7">
      <c r="A201" s="172"/>
      <c r="B201" s="172"/>
      <c r="C201" s="172"/>
      <c r="D201" s="172"/>
      <c r="E201" s="172"/>
      <c r="F201" s="172"/>
      <c r="G201" s="172"/>
      <c r="I201" s="72" t="s">
        <v>344</v>
      </c>
      <c r="J201" s="73" t="s">
        <v>344</v>
      </c>
      <c r="K201" s="190"/>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c r="HP201" s="54"/>
      <c r="HQ201" s="54"/>
      <c r="HR201" s="54"/>
      <c r="HS201" s="54"/>
      <c r="HT201" s="54"/>
      <c r="HU201" s="54"/>
      <c r="HV201" s="54"/>
      <c r="HW201" s="54"/>
      <c r="HX201" s="54"/>
      <c r="HY201" s="54"/>
      <c r="HZ201" s="54"/>
      <c r="IA201" s="54"/>
      <c r="IB201" s="54"/>
      <c r="IC201" s="54"/>
      <c r="ID201" s="54"/>
      <c r="IE201" s="54"/>
      <c r="IF201" s="54"/>
      <c r="IG201" s="54"/>
      <c r="IH201" s="54"/>
      <c r="II201" s="54"/>
      <c r="IJ201" s="54"/>
      <c r="IK201" s="54"/>
      <c r="IL201" s="54"/>
      <c r="IM201" s="54"/>
      <c r="IN201" s="54"/>
      <c r="IO201" s="54"/>
      <c r="IP201" s="54"/>
      <c r="IQ201" s="54"/>
      <c r="IR201" s="54"/>
      <c r="IS201" s="54"/>
      <c r="IT201" s="54"/>
      <c r="IU201" s="54"/>
      <c r="IV201" s="54"/>
      <c r="IW201" s="54"/>
      <c r="IX201" s="54"/>
      <c r="IY201" s="54"/>
      <c r="IZ201" s="54"/>
      <c r="JA201" s="54"/>
      <c r="JB201" s="54"/>
      <c r="JC201" s="54"/>
      <c r="JD201" s="54"/>
      <c r="JE201" s="54"/>
      <c r="JF201" s="54"/>
      <c r="JG201" s="54"/>
      <c r="JH201" s="54"/>
      <c r="JI201" s="54"/>
      <c r="JJ201" s="54"/>
      <c r="JK201" s="54"/>
      <c r="JL201" s="54"/>
      <c r="JM201" s="54"/>
      <c r="JN201" s="54"/>
      <c r="JO201" s="54"/>
      <c r="JP201" s="54"/>
      <c r="JQ201" s="54"/>
      <c r="JR201" s="54"/>
      <c r="JS201" s="54"/>
      <c r="JT201" s="54"/>
      <c r="JU201" s="54"/>
      <c r="JV201" s="54"/>
      <c r="JW201" s="54"/>
      <c r="JX201" s="54"/>
      <c r="JY201" s="54"/>
      <c r="JZ201" s="54"/>
      <c r="KA201" s="54"/>
      <c r="KB201" s="54"/>
      <c r="KC201" s="54"/>
      <c r="KD201" s="54"/>
      <c r="KE201" s="54"/>
      <c r="KF201" s="54"/>
      <c r="KG201" s="54"/>
      <c r="KH201" s="54"/>
      <c r="KI201" s="54"/>
      <c r="KJ201" s="54"/>
      <c r="KK201" s="54"/>
      <c r="KL201" s="54"/>
      <c r="KM201" s="54"/>
      <c r="KN201" s="54"/>
      <c r="KO201" s="54"/>
      <c r="KP201" s="54"/>
      <c r="KQ201" s="54"/>
      <c r="KR201" s="54"/>
      <c r="KS201" s="54"/>
      <c r="KT201" s="54"/>
      <c r="KU201" s="54"/>
      <c r="KV201" s="54"/>
      <c r="KW201" s="54"/>
      <c r="KX201" s="54"/>
      <c r="KY201" s="54"/>
      <c r="KZ201" s="54"/>
      <c r="LA201" s="54"/>
      <c r="LB201" s="54"/>
      <c r="LC201" s="54"/>
      <c r="LD201" s="54"/>
      <c r="LE201" s="54"/>
      <c r="LF201" s="54"/>
      <c r="LG201" s="54"/>
      <c r="LH201" s="54"/>
      <c r="LI201" s="54"/>
      <c r="LJ201" s="54"/>
      <c r="LK201" s="54"/>
      <c r="LL201" s="54"/>
      <c r="LM201" s="54"/>
      <c r="LN201" s="54"/>
      <c r="LO201" s="54"/>
      <c r="LP201" s="54"/>
      <c r="LQ201" s="54"/>
      <c r="LR201" s="54"/>
      <c r="LS201" s="54"/>
      <c r="LT201" s="54"/>
      <c r="LU201" s="54"/>
      <c r="LV201" s="54"/>
      <c r="LW201" s="54"/>
      <c r="LX201" s="54"/>
      <c r="LY201" s="54"/>
      <c r="LZ201" s="54"/>
      <c r="MA201" s="54"/>
      <c r="MB201" s="54"/>
      <c r="MC201" s="54"/>
      <c r="MD201" s="54"/>
      <c r="ME201" s="54"/>
      <c r="MF201" s="54"/>
      <c r="MG201" s="54"/>
      <c r="MH201" s="54"/>
      <c r="MI201" s="54"/>
      <c r="MJ201" s="54"/>
      <c r="MK201" s="54"/>
      <c r="ML201" s="54"/>
      <c r="MM201" s="54"/>
      <c r="MN201" s="54"/>
      <c r="MO201" s="54"/>
      <c r="MP201" s="54"/>
      <c r="MQ201" s="54"/>
      <c r="MR201" s="54"/>
      <c r="MS201" s="54"/>
      <c r="MT201" s="54"/>
      <c r="MU201" s="54"/>
      <c r="MV201" s="54"/>
      <c r="MW201" s="54"/>
      <c r="MX201" s="54"/>
      <c r="MY201" s="54"/>
      <c r="MZ201" s="54"/>
      <c r="NA201" s="54"/>
      <c r="NB201" s="54"/>
      <c r="NC201" s="54"/>
      <c r="ND201" s="54"/>
      <c r="NE201" s="54"/>
      <c r="NF201" s="54"/>
      <c r="NG201" s="54"/>
      <c r="NH201" s="54"/>
      <c r="NI201" s="54"/>
      <c r="NJ201" s="54"/>
      <c r="NK201" s="54"/>
      <c r="NL201" s="54"/>
      <c r="NM201" s="54"/>
      <c r="NN201" s="54"/>
      <c r="NO201" s="54"/>
      <c r="NP201" s="54"/>
      <c r="NQ201" s="54"/>
      <c r="NR201" s="54"/>
      <c r="NS201" s="54"/>
      <c r="NT201" s="54"/>
      <c r="NU201" s="54"/>
      <c r="NV201" s="54"/>
      <c r="NW201" s="54"/>
      <c r="NX201" s="54"/>
      <c r="NY201" s="54"/>
      <c r="NZ201" s="54"/>
      <c r="OA201" s="54"/>
      <c r="OB201" s="54"/>
      <c r="OC201" s="54"/>
      <c r="OD201" s="54"/>
      <c r="OE201" s="54"/>
      <c r="OF201" s="54"/>
      <c r="OG201" s="54"/>
      <c r="OH201" s="54"/>
      <c r="OI201" s="54"/>
      <c r="OJ201" s="54"/>
      <c r="OK201" s="54"/>
      <c r="OL201" s="54"/>
      <c r="OM201" s="54"/>
      <c r="ON201" s="54"/>
      <c r="OO201" s="54"/>
      <c r="OP201" s="54"/>
      <c r="OQ201" s="54"/>
      <c r="OR201" s="54"/>
      <c r="OS201" s="54"/>
      <c r="OT201" s="54"/>
      <c r="OU201" s="54"/>
      <c r="OV201" s="54"/>
      <c r="OW201" s="54"/>
      <c r="OX201" s="54"/>
      <c r="OY201" s="54"/>
      <c r="OZ201" s="54"/>
      <c r="PA201" s="54"/>
      <c r="PB201" s="54"/>
      <c r="PC201" s="54"/>
      <c r="PD201" s="54"/>
      <c r="PE201" s="54"/>
      <c r="PF201" s="54"/>
      <c r="PG201" s="54"/>
      <c r="PH201" s="54"/>
      <c r="PI201" s="54"/>
      <c r="PJ201" s="54"/>
      <c r="PK201" s="54"/>
      <c r="PL201" s="54"/>
      <c r="PM201" s="54"/>
      <c r="PN201" s="54"/>
      <c r="PO201" s="54"/>
      <c r="PP201" s="54"/>
      <c r="PQ201" s="54"/>
      <c r="PR201" s="54"/>
      <c r="PS201" s="54"/>
      <c r="PT201" s="54"/>
      <c r="PU201" s="54"/>
      <c r="PV201" s="54"/>
      <c r="PW201" s="54"/>
      <c r="PX201" s="54"/>
      <c r="PY201" s="54"/>
      <c r="PZ201" s="54"/>
      <c r="QA201" s="54"/>
      <c r="QB201" s="54"/>
      <c r="QC201" s="54"/>
      <c r="QD201" s="54"/>
      <c r="QE201" s="54"/>
      <c r="QF201" s="54"/>
      <c r="QG201" s="54"/>
      <c r="QH201" s="54"/>
      <c r="QI201" s="54"/>
      <c r="QJ201" s="54"/>
      <c r="QK201" s="54"/>
      <c r="QL201" s="54"/>
      <c r="QM201" s="54"/>
      <c r="QN201" s="54"/>
      <c r="QO201" s="54"/>
      <c r="QP201" s="54"/>
      <c r="QQ201" s="54"/>
      <c r="QR201" s="54"/>
      <c r="QS201" s="54"/>
      <c r="QT201" s="54"/>
      <c r="QU201" s="54"/>
      <c r="QV201" s="54"/>
      <c r="QW201" s="54"/>
      <c r="QX201" s="54"/>
      <c r="QY201" s="54"/>
      <c r="QZ201" s="54"/>
      <c r="RA201" s="54"/>
      <c r="RB201" s="54"/>
      <c r="RC201" s="54"/>
      <c r="RD201" s="54"/>
      <c r="RE201" s="54"/>
      <c r="RF201" s="54"/>
      <c r="RG201" s="54"/>
      <c r="RH201" s="54"/>
      <c r="RI201" s="54"/>
      <c r="RJ201" s="54"/>
      <c r="RK201" s="54"/>
      <c r="RL201" s="54"/>
      <c r="RM201" s="54"/>
      <c r="RN201" s="54"/>
      <c r="RO201" s="54"/>
      <c r="RP201" s="54"/>
      <c r="RQ201" s="54"/>
      <c r="RR201" s="54"/>
      <c r="RS201" s="54"/>
      <c r="RT201" s="54"/>
      <c r="RU201" s="54"/>
      <c r="RV201" s="54"/>
      <c r="RW201" s="54"/>
      <c r="RX201" s="54"/>
      <c r="RY201" s="54"/>
      <c r="RZ201" s="54"/>
      <c r="SA201" s="54"/>
      <c r="SB201" s="54"/>
      <c r="SC201" s="54"/>
      <c r="SD201" s="54"/>
      <c r="SE201" s="54"/>
      <c r="SF201" s="54"/>
      <c r="SG201" s="54"/>
      <c r="SH201" s="54"/>
      <c r="SI201" s="54"/>
      <c r="SJ201" s="54"/>
      <c r="SK201" s="54"/>
      <c r="SL201" s="54"/>
      <c r="SM201" s="54"/>
      <c r="SN201" s="54"/>
      <c r="SO201" s="54"/>
      <c r="SP201" s="54"/>
      <c r="SQ201" s="54"/>
      <c r="SR201" s="54"/>
    </row>
    <row r="202" spans="1:512" s="55" customFormat="1" ht="15" customHeight="1" x14ac:dyDescent="0.7">
      <c r="A202" s="173"/>
      <c r="B202" s="173"/>
      <c r="C202" s="173"/>
      <c r="D202" s="173"/>
      <c r="E202" s="173"/>
      <c r="F202" s="173"/>
      <c r="G202" s="173"/>
      <c r="H202" s="74"/>
      <c r="I202" s="75"/>
      <c r="J202" s="76"/>
      <c r="K202" s="191"/>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c r="CJ202" s="56"/>
      <c r="CK202" s="56"/>
      <c r="CL202" s="56"/>
      <c r="CM202" s="56"/>
      <c r="CN202" s="56"/>
      <c r="CO202" s="56"/>
      <c r="CP202" s="56"/>
      <c r="CQ202" s="56"/>
      <c r="CR202" s="56"/>
      <c r="CS202" s="56"/>
      <c r="CT202" s="56"/>
      <c r="CU202" s="56"/>
      <c r="CV202" s="56"/>
      <c r="CW202" s="56"/>
      <c r="CX202" s="56"/>
      <c r="CY202" s="56"/>
      <c r="CZ202" s="56"/>
      <c r="DA202" s="56"/>
      <c r="DB202" s="56"/>
      <c r="DC202" s="56"/>
      <c r="DD202" s="56"/>
      <c r="DE202" s="56"/>
      <c r="DF202" s="56"/>
      <c r="DG202" s="56"/>
      <c r="DH202" s="56"/>
      <c r="DI202" s="56"/>
      <c r="DJ202" s="56"/>
      <c r="DK202" s="56"/>
      <c r="DL202" s="56"/>
      <c r="DM202" s="56"/>
      <c r="DN202" s="56"/>
      <c r="DO202" s="56"/>
      <c r="DP202" s="56"/>
      <c r="DQ202" s="56"/>
      <c r="DR202" s="56"/>
      <c r="DS202" s="56"/>
      <c r="DT202" s="56"/>
      <c r="DU202" s="56"/>
      <c r="DV202" s="56"/>
      <c r="DW202" s="56"/>
      <c r="DX202" s="56"/>
      <c r="DY202" s="56"/>
      <c r="DZ202" s="56"/>
      <c r="EA202" s="56"/>
      <c r="EB202" s="56"/>
      <c r="EC202" s="56"/>
      <c r="ED202" s="56"/>
      <c r="EE202" s="56"/>
      <c r="EF202" s="56"/>
      <c r="EG202" s="56"/>
      <c r="EH202" s="56"/>
      <c r="EI202" s="56"/>
      <c r="EJ202" s="56"/>
      <c r="EK202" s="56"/>
      <c r="EL202" s="56"/>
      <c r="EM202" s="56"/>
      <c r="EN202" s="56"/>
      <c r="EO202" s="56"/>
      <c r="EP202" s="56"/>
      <c r="EQ202" s="56"/>
      <c r="ER202" s="56"/>
      <c r="ES202" s="56"/>
      <c r="ET202" s="56"/>
      <c r="EU202" s="56"/>
      <c r="EV202" s="56"/>
      <c r="EW202" s="56"/>
      <c r="EX202" s="56"/>
      <c r="EY202" s="56"/>
      <c r="EZ202" s="56"/>
      <c r="FA202" s="56"/>
      <c r="FB202" s="56"/>
      <c r="FC202" s="56"/>
      <c r="FD202" s="56"/>
      <c r="FE202" s="56"/>
      <c r="FF202" s="56"/>
      <c r="FG202" s="56"/>
      <c r="FH202" s="56"/>
      <c r="FI202" s="56"/>
      <c r="FJ202" s="56"/>
      <c r="FK202" s="56"/>
      <c r="FL202" s="56"/>
      <c r="FM202" s="56"/>
      <c r="FN202" s="56"/>
      <c r="FO202" s="56"/>
      <c r="FP202" s="56"/>
      <c r="FQ202" s="56"/>
      <c r="FR202" s="56"/>
      <c r="FS202" s="56"/>
      <c r="FT202" s="56"/>
      <c r="FU202" s="56"/>
      <c r="FV202" s="56"/>
      <c r="FW202" s="56"/>
      <c r="FX202" s="56"/>
      <c r="FY202" s="56"/>
      <c r="FZ202" s="56"/>
      <c r="GA202" s="56"/>
      <c r="GB202" s="56"/>
      <c r="GC202" s="56"/>
      <c r="GD202" s="56"/>
      <c r="GE202" s="56"/>
      <c r="GF202" s="56"/>
      <c r="GG202" s="56"/>
      <c r="GH202" s="56"/>
      <c r="GI202" s="56"/>
      <c r="GJ202" s="56"/>
      <c r="GK202" s="56"/>
      <c r="GL202" s="56"/>
      <c r="GM202" s="56"/>
      <c r="GN202" s="56"/>
      <c r="GO202" s="56"/>
      <c r="GP202" s="56"/>
      <c r="GQ202" s="56"/>
      <c r="GR202" s="56"/>
      <c r="GS202" s="56"/>
      <c r="GT202" s="56"/>
      <c r="GU202" s="56"/>
      <c r="GV202" s="56"/>
      <c r="GW202" s="56"/>
      <c r="GX202" s="56"/>
      <c r="GY202" s="56"/>
      <c r="GZ202" s="56"/>
      <c r="HA202" s="56"/>
      <c r="HB202" s="56"/>
      <c r="HC202" s="56"/>
      <c r="HD202" s="56"/>
      <c r="HE202" s="56"/>
      <c r="HF202" s="56"/>
      <c r="HG202" s="56"/>
      <c r="HH202" s="56"/>
      <c r="HI202" s="56"/>
      <c r="HJ202" s="56"/>
      <c r="HK202" s="56"/>
      <c r="HL202" s="56"/>
      <c r="HM202" s="56"/>
      <c r="HN202" s="56"/>
      <c r="HO202" s="56"/>
      <c r="HP202" s="56"/>
      <c r="HQ202" s="56"/>
      <c r="HR202" s="56"/>
      <c r="HS202" s="56"/>
      <c r="HT202" s="56"/>
      <c r="HU202" s="56"/>
      <c r="HV202" s="56"/>
      <c r="HW202" s="56"/>
      <c r="HX202" s="56"/>
      <c r="HY202" s="56"/>
      <c r="HZ202" s="56"/>
      <c r="IA202" s="56"/>
      <c r="IB202" s="56"/>
      <c r="IC202" s="56"/>
      <c r="ID202" s="56"/>
      <c r="IE202" s="56"/>
      <c r="IF202" s="56"/>
      <c r="IG202" s="56"/>
      <c r="IH202" s="56"/>
      <c r="II202" s="56"/>
      <c r="IJ202" s="56"/>
      <c r="IK202" s="56"/>
      <c r="IL202" s="56"/>
      <c r="IM202" s="56"/>
      <c r="IN202" s="56"/>
      <c r="IO202" s="56"/>
      <c r="IP202" s="56"/>
      <c r="IQ202" s="56"/>
      <c r="IR202" s="56"/>
      <c r="IS202" s="56"/>
      <c r="IT202" s="56"/>
      <c r="IU202" s="56"/>
      <c r="IV202" s="56"/>
      <c r="IW202" s="56"/>
      <c r="IX202" s="56"/>
      <c r="IY202" s="56"/>
      <c r="IZ202" s="56"/>
      <c r="JA202" s="56"/>
      <c r="JB202" s="56"/>
      <c r="JC202" s="56"/>
      <c r="JD202" s="56"/>
      <c r="JE202" s="56"/>
      <c r="JF202" s="56"/>
      <c r="JG202" s="56"/>
      <c r="JH202" s="56"/>
      <c r="JI202" s="56"/>
      <c r="JJ202" s="56"/>
      <c r="JK202" s="56"/>
      <c r="JL202" s="56"/>
      <c r="JM202" s="56"/>
      <c r="JN202" s="56"/>
      <c r="JO202" s="56"/>
      <c r="JP202" s="56"/>
      <c r="JQ202" s="56"/>
      <c r="JR202" s="56"/>
      <c r="JS202" s="56"/>
      <c r="JT202" s="56"/>
      <c r="JU202" s="56"/>
      <c r="JV202" s="56"/>
      <c r="JW202" s="56"/>
      <c r="JX202" s="56"/>
      <c r="JY202" s="56"/>
      <c r="JZ202" s="56"/>
      <c r="KA202" s="56"/>
      <c r="KB202" s="56"/>
      <c r="KC202" s="56"/>
      <c r="KD202" s="56"/>
      <c r="KE202" s="56"/>
      <c r="KF202" s="56"/>
      <c r="KG202" s="56"/>
      <c r="KH202" s="56"/>
      <c r="KI202" s="56"/>
      <c r="KJ202" s="56"/>
      <c r="KK202" s="56"/>
      <c r="KL202" s="56"/>
      <c r="KM202" s="56"/>
      <c r="KN202" s="56"/>
      <c r="KO202" s="56"/>
      <c r="KP202" s="56"/>
      <c r="KQ202" s="56"/>
      <c r="KR202" s="56"/>
      <c r="KS202" s="56"/>
      <c r="KT202" s="56"/>
      <c r="KU202" s="56"/>
      <c r="KV202" s="56"/>
      <c r="KW202" s="56"/>
      <c r="KX202" s="56"/>
      <c r="KY202" s="56"/>
      <c r="KZ202" s="56"/>
      <c r="LA202" s="56"/>
      <c r="LB202" s="56"/>
      <c r="LC202" s="56"/>
      <c r="LD202" s="56"/>
      <c r="LE202" s="56"/>
      <c r="LF202" s="56"/>
      <c r="LG202" s="56"/>
      <c r="LH202" s="56"/>
      <c r="LI202" s="56"/>
      <c r="LJ202" s="56"/>
      <c r="LK202" s="56"/>
      <c r="LL202" s="56"/>
      <c r="LM202" s="56"/>
      <c r="LN202" s="56"/>
      <c r="LO202" s="56"/>
      <c r="LP202" s="56"/>
      <c r="LQ202" s="56"/>
      <c r="LR202" s="56"/>
      <c r="LS202" s="56"/>
      <c r="LT202" s="56"/>
      <c r="LU202" s="56"/>
      <c r="LV202" s="56"/>
      <c r="LW202" s="56"/>
      <c r="LX202" s="56"/>
      <c r="LY202" s="56"/>
      <c r="LZ202" s="56"/>
      <c r="MA202" s="56"/>
      <c r="MB202" s="56"/>
      <c r="MC202" s="56"/>
      <c r="MD202" s="56"/>
      <c r="ME202" s="56"/>
      <c r="MF202" s="56"/>
      <c r="MG202" s="56"/>
      <c r="MH202" s="56"/>
      <c r="MI202" s="56"/>
      <c r="MJ202" s="56"/>
      <c r="MK202" s="56"/>
      <c r="ML202" s="56"/>
      <c r="MM202" s="56"/>
      <c r="MN202" s="56"/>
      <c r="MO202" s="56"/>
      <c r="MP202" s="56"/>
      <c r="MQ202" s="56"/>
      <c r="MR202" s="56"/>
      <c r="MS202" s="56"/>
      <c r="MT202" s="56"/>
      <c r="MU202" s="56"/>
      <c r="MV202" s="56"/>
      <c r="MW202" s="56"/>
      <c r="MX202" s="56"/>
      <c r="MY202" s="56"/>
      <c r="MZ202" s="56"/>
      <c r="NA202" s="56"/>
      <c r="NB202" s="56"/>
      <c r="NC202" s="56"/>
      <c r="ND202" s="56"/>
      <c r="NE202" s="56"/>
      <c r="NF202" s="56"/>
      <c r="NG202" s="56"/>
      <c r="NH202" s="56"/>
      <c r="NI202" s="56"/>
      <c r="NJ202" s="56"/>
      <c r="NK202" s="56"/>
      <c r="NL202" s="56"/>
      <c r="NM202" s="56"/>
      <c r="NN202" s="56"/>
      <c r="NO202" s="56"/>
      <c r="NP202" s="56"/>
      <c r="NQ202" s="56"/>
      <c r="NR202" s="56"/>
      <c r="NS202" s="56"/>
      <c r="NT202" s="56"/>
      <c r="NU202" s="56"/>
      <c r="NV202" s="56"/>
      <c r="NW202" s="56"/>
      <c r="NX202" s="56"/>
      <c r="NY202" s="56"/>
      <c r="NZ202" s="56"/>
      <c r="OA202" s="56"/>
      <c r="OB202" s="56"/>
      <c r="OC202" s="56"/>
      <c r="OD202" s="56"/>
      <c r="OE202" s="56"/>
      <c r="OF202" s="56"/>
      <c r="OG202" s="56"/>
      <c r="OH202" s="56"/>
      <c r="OI202" s="56"/>
      <c r="OJ202" s="56"/>
      <c r="OK202" s="56"/>
      <c r="OL202" s="56"/>
      <c r="OM202" s="56"/>
      <c r="ON202" s="56"/>
      <c r="OO202" s="56"/>
      <c r="OP202" s="56"/>
      <c r="OQ202" s="56"/>
      <c r="OR202" s="56"/>
      <c r="OS202" s="56"/>
      <c r="OT202" s="56"/>
      <c r="OU202" s="56"/>
      <c r="OV202" s="56"/>
      <c r="OW202" s="56"/>
      <c r="OX202" s="56"/>
      <c r="OY202" s="56"/>
      <c r="OZ202" s="56"/>
      <c r="PA202" s="56"/>
      <c r="PB202" s="56"/>
      <c r="PC202" s="56"/>
      <c r="PD202" s="56"/>
      <c r="PE202" s="56"/>
      <c r="PF202" s="56"/>
      <c r="PG202" s="56"/>
      <c r="PH202" s="56"/>
      <c r="PI202" s="56"/>
      <c r="PJ202" s="56"/>
      <c r="PK202" s="56"/>
      <c r="PL202" s="56"/>
      <c r="PM202" s="56"/>
      <c r="PN202" s="56"/>
      <c r="PO202" s="56"/>
      <c r="PP202" s="56"/>
      <c r="PQ202" s="56"/>
      <c r="PR202" s="56"/>
      <c r="PS202" s="56"/>
      <c r="PT202" s="56"/>
      <c r="PU202" s="56"/>
      <c r="PV202" s="56"/>
      <c r="PW202" s="56"/>
      <c r="PX202" s="56"/>
      <c r="PY202" s="56"/>
      <c r="PZ202" s="56"/>
      <c r="QA202" s="56"/>
      <c r="QB202" s="56"/>
      <c r="QC202" s="56"/>
      <c r="QD202" s="56"/>
      <c r="QE202" s="56"/>
      <c r="QF202" s="56"/>
      <c r="QG202" s="56"/>
      <c r="QH202" s="56"/>
      <c r="QI202" s="56"/>
      <c r="QJ202" s="56"/>
      <c r="QK202" s="56"/>
      <c r="QL202" s="56"/>
      <c r="QM202" s="56"/>
      <c r="QN202" s="56"/>
      <c r="QO202" s="56"/>
      <c r="QP202" s="56"/>
      <c r="QQ202" s="56"/>
      <c r="QR202" s="56"/>
      <c r="QS202" s="56"/>
      <c r="QT202" s="56"/>
      <c r="QU202" s="56"/>
      <c r="QV202" s="56"/>
      <c r="QW202" s="56"/>
      <c r="QX202" s="56"/>
      <c r="QY202" s="56"/>
      <c r="QZ202" s="56"/>
      <c r="RA202" s="56"/>
      <c r="RB202" s="56"/>
      <c r="RC202" s="56"/>
      <c r="RD202" s="56"/>
      <c r="RE202" s="56"/>
      <c r="RF202" s="56"/>
      <c r="RG202" s="56"/>
      <c r="RH202" s="56"/>
      <c r="RI202" s="56"/>
      <c r="RJ202" s="56"/>
      <c r="RK202" s="56"/>
      <c r="RL202" s="56"/>
      <c r="RM202" s="56"/>
      <c r="RN202" s="56"/>
      <c r="RO202" s="56"/>
      <c r="RP202" s="56"/>
      <c r="RQ202" s="56"/>
      <c r="RR202" s="56"/>
      <c r="RS202" s="56"/>
      <c r="RT202" s="56"/>
      <c r="RU202" s="56"/>
      <c r="RV202" s="56"/>
      <c r="RW202" s="56"/>
      <c r="RX202" s="56"/>
      <c r="RY202" s="56"/>
      <c r="RZ202" s="56"/>
      <c r="SA202" s="56"/>
      <c r="SB202" s="56"/>
      <c r="SC202" s="56"/>
      <c r="SD202" s="56"/>
      <c r="SE202" s="56"/>
      <c r="SF202" s="56"/>
      <c r="SG202" s="56"/>
      <c r="SH202" s="56"/>
      <c r="SI202" s="56"/>
      <c r="SJ202" s="56"/>
      <c r="SK202" s="56"/>
      <c r="SL202" s="56"/>
      <c r="SM202" s="56"/>
      <c r="SN202" s="56"/>
      <c r="SO202" s="56"/>
      <c r="SP202" s="56"/>
      <c r="SQ202" s="56"/>
      <c r="SR202" s="56"/>
    </row>
    <row r="203" spans="1:512" ht="15" customHeight="1" x14ac:dyDescent="0.7">
      <c r="A203" s="171" t="s">
        <v>344</v>
      </c>
      <c r="B203" s="171" t="s">
        <v>344</v>
      </c>
      <c r="C203" s="171" t="s">
        <v>344</v>
      </c>
      <c r="D203" s="171"/>
      <c r="E203" s="171" t="s">
        <v>344</v>
      </c>
      <c r="F203" s="171"/>
      <c r="G203" s="188" t="s">
        <v>344</v>
      </c>
      <c r="H203" s="71" t="s">
        <v>344</v>
      </c>
      <c r="I203" s="72" t="s">
        <v>344</v>
      </c>
      <c r="J203" s="73" t="s">
        <v>344</v>
      </c>
      <c r="K203" s="189" t="s">
        <v>344</v>
      </c>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c r="HP203" s="54"/>
      <c r="HQ203" s="54"/>
      <c r="HR203" s="54"/>
      <c r="HS203" s="54"/>
      <c r="HT203" s="54"/>
      <c r="HU203" s="54"/>
      <c r="HV203" s="54"/>
      <c r="HW203" s="54"/>
      <c r="HX203" s="54"/>
      <c r="HY203" s="54"/>
      <c r="HZ203" s="54"/>
      <c r="IA203" s="54"/>
      <c r="IB203" s="54"/>
      <c r="IC203" s="54"/>
      <c r="ID203" s="54"/>
      <c r="IE203" s="54"/>
      <c r="IF203" s="54"/>
      <c r="IG203" s="54"/>
      <c r="IH203" s="54"/>
      <c r="II203" s="54"/>
      <c r="IJ203" s="54"/>
      <c r="IK203" s="54"/>
      <c r="IL203" s="54"/>
      <c r="IM203" s="54"/>
      <c r="IN203" s="54"/>
      <c r="IO203" s="54"/>
      <c r="IP203" s="54"/>
      <c r="IQ203" s="54"/>
      <c r="IR203" s="54"/>
      <c r="IS203" s="54"/>
      <c r="IT203" s="54"/>
      <c r="IU203" s="54"/>
      <c r="IV203" s="54"/>
      <c r="IW203" s="54"/>
      <c r="IX203" s="54"/>
      <c r="IY203" s="54"/>
      <c r="IZ203" s="54"/>
      <c r="JA203" s="54"/>
      <c r="JB203" s="54"/>
      <c r="JC203" s="54"/>
      <c r="JD203" s="54"/>
      <c r="JE203" s="54"/>
      <c r="JF203" s="54"/>
      <c r="JG203" s="54"/>
      <c r="JH203" s="54"/>
      <c r="JI203" s="54"/>
      <c r="JJ203" s="54"/>
      <c r="JK203" s="54"/>
      <c r="JL203" s="54"/>
      <c r="JM203" s="54"/>
      <c r="JN203" s="54"/>
      <c r="JO203" s="54"/>
      <c r="JP203" s="54"/>
      <c r="JQ203" s="54"/>
      <c r="JR203" s="54"/>
      <c r="JS203" s="54"/>
      <c r="JT203" s="54"/>
      <c r="JU203" s="54"/>
      <c r="JV203" s="54"/>
      <c r="JW203" s="54"/>
      <c r="JX203" s="54"/>
      <c r="JY203" s="54"/>
      <c r="JZ203" s="54"/>
      <c r="KA203" s="54"/>
      <c r="KB203" s="54"/>
      <c r="KC203" s="54"/>
      <c r="KD203" s="54"/>
      <c r="KE203" s="54"/>
      <c r="KF203" s="54"/>
      <c r="KG203" s="54"/>
      <c r="KH203" s="54"/>
      <c r="KI203" s="54"/>
      <c r="KJ203" s="54"/>
      <c r="KK203" s="54"/>
      <c r="KL203" s="54"/>
      <c r="KM203" s="54"/>
      <c r="KN203" s="54"/>
      <c r="KO203" s="54"/>
      <c r="KP203" s="54"/>
      <c r="KQ203" s="54"/>
      <c r="KR203" s="54"/>
      <c r="KS203" s="54"/>
      <c r="KT203" s="54"/>
      <c r="KU203" s="54"/>
      <c r="KV203" s="54"/>
      <c r="KW203" s="54"/>
      <c r="KX203" s="54"/>
      <c r="KY203" s="54"/>
      <c r="KZ203" s="54"/>
      <c r="LA203" s="54"/>
      <c r="LB203" s="54"/>
      <c r="LC203" s="54"/>
      <c r="LD203" s="54"/>
      <c r="LE203" s="54"/>
      <c r="LF203" s="54"/>
      <c r="LG203" s="54"/>
      <c r="LH203" s="54"/>
      <c r="LI203" s="54"/>
      <c r="LJ203" s="54"/>
      <c r="LK203" s="54"/>
      <c r="LL203" s="54"/>
      <c r="LM203" s="54"/>
      <c r="LN203" s="54"/>
      <c r="LO203" s="54"/>
      <c r="LP203" s="54"/>
      <c r="LQ203" s="54"/>
      <c r="LR203" s="54"/>
      <c r="LS203" s="54"/>
      <c r="LT203" s="54"/>
      <c r="LU203" s="54"/>
      <c r="LV203" s="54"/>
      <c r="LW203" s="54"/>
      <c r="LX203" s="54"/>
      <c r="LY203" s="54"/>
      <c r="LZ203" s="54"/>
      <c r="MA203" s="54"/>
      <c r="MB203" s="54"/>
      <c r="MC203" s="54"/>
      <c r="MD203" s="54"/>
      <c r="ME203" s="54"/>
      <c r="MF203" s="54"/>
      <c r="MG203" s="54"/>
      <c r="MH203" s="54"/>
      <c r="MI203" s="54"/>
      <c r="MJ203" s="54"/>
      <c r="MK203" s="54"/>
      <c r="ML203" s="54"/>
      <c r="MM203" s="54"/>
      <c r="MN203" s="54"/>
      <c r="MO203" s="54"/>
      <c r="MP203" s="54"/>
      <c r="MQ203" s="54"/>
      <c r="MR203" s="54"/>
      <c r="MS203" s="54"/>
      <c r="MT203" s="54"/>
      <c r="MU203" s="54"/>
      <c r="MV203" s="54"/>
      <c r="MW203" s="54"/>
      <c r="MX203" s="54"/>
      <c r="MY203" s="54"/>
      <c r="MZ203" s="54"/>
      <c r="NA203" s="54"/>
      <c r="NB203" s="54"/>
      <c r="NC203" s="54"/>
      <c r="ND203" s="54"/>
      <c r="NE203" s="54"/>
      <c r="NF203" s="54"/>
      <c r="NG203" s="54"/>
      <c r="NH203" s="54"/>
      <c r="NI203" s="54"/>
      <c r="NJ203" s="54"/>
      <c r="NK203" s="54"/>
      <c r="NL203" s="54"/>
      <c r="NM203" s="54"/>
      <c r="NN203" s="54"/>
      <c r="NO203" s="54"/>
      <c r="NP203" s="54"/>
      <c r="NQ203" s="54"/>
      <c r="NR203" s="54"/>
      <c r="NS203" s="54"/>
      <c r="NT203" s="54"/>
      <c r="NU203" s="54"/>
      <c r="NV203" s="54"/>
      <c r="NW203" s="54"/>
      <c r="NX203" s="54"/>
      <c r="NY203" s="54"/>
      <c r="NZ203" s="54"/>
      <c r="OA203" s="54"/>
      <c r="OB203" s="54"/>
      <c r="OC203" s="54"/>
      <c r="OD203" s="54"/>
      <c r="OE203" s="54"/>
      <c r="OF203" s="54"/>
      <c r="OG203" s="54"/>
      <c r="OH203" s="54"/>
      <c r="OI203" s="54"/>
      <c r="OJ203" s="54"/>
      <c r="OK203" s="54"/>
      <c r="OL203" s="54"/>
      <c r="OM203" s="54"/>
      <c r="ON203" s="54"/>
      <c r="OO203" s="54"/>
      <c r="OP203" s="54"/>
      <c r="OQ203" s="54"/>
      <c r="OR203" s="54"/>
      <c r="OS203" s="54"/>
      <c r="OT203" s="54"/>
      <c r="OU203" s="54"/>
      <c r="OV203" s="54"/>
      <c r="OW203" s="54"/>
      <c r="OX203" s="54"/>
      <c r="OY203" s="54"/>
      <c r="OZ203" s="54"/>
      <c r="PA203" s="54"/>
      <c r="PB203" s="54"/>
      <c r="PC203" s="54"/>
      <c r="PD203" s="54"/>
      <c r="PE203" s="54"/>
      <c r="PF203" s="54"/>
      <c r="PG203" s="54"/>
      <c r="PH203" s="54"/>
      <c r="PI203" s="54"/>
      <c r="PJ203" s="54"/>
      <c r="PK203" s="54"/>
      <c r="PL203" s="54"/>
      <c r="PM203" s="54"/>
      <c r="PN203" s="54"/>
      <c r="PO203" s="54"/>
      <c r="PP203" s="54"/>
      <c r="PQ203" s="54"/>
      <c r="PR203" s="54"/>
      <c r="PS203" s="54"/>
      <c r="PT203" s="54"/>
      <c r="PU203" s="54"/>
      <c r="PV203" s="54"/>
      <c r="PW203" s="54"/>
      <c r="PX203" s="54"/>
      <c r="PY203" s="54"/>
      <c r="PZ203" s="54"/>
      <c r="QA203" s="54"/>
      <c r="QB203" s="54"/>
      <c r="QC203" s="54"/>
      <c r="QD203" s="54"/>
      <c r="QE203" s="54"/>
      <c r="QF203" s="54"/>
      <c r="QG203" s="54"/>
      <c r="QH203" s="54"/>
      <c r="QI203" s="54"/>
      <c r="QJ203" s="54"/>
      <c r="QK203" s="54"/>
      <c r="QL203" s="54"/>
      <c r="QM203" s="54"/>
      <c r="QN203" s="54"/>
      <c r="QO203" s="54"/>
      <c r="QP203" s="54"/>
      <c r="QQ203" s="54"/>
      <c r="QR203" s="54"/>
      <c r="QS203" s="54"/>
      <c r="QT203" s="54"/>
      <c r="QU203" s="54"/>
      <c r="QV203" s="54"/>
      <c r="QW203" s="54"/>
      <c r="QX203" s="54"/>
      <c r="QY203" s="54"/>
      <c r="QZ203" s="54"/>
      <c r="RA203" s="54"/>
      <c r="RB203" s="54"/>
      <c r="RC203" s="54"/>
      <c r="RD203" s="54"/>
      <c r="RE203" s="54"/>
      <c r="RF203" s="54"/>
      <c r="RG203" s="54"/>
      <c r="RH203" s="54"/>
      <c r="RI203" s="54"/>
      <c r="RJ203" s="54"/>
      <c r="RK203" s="54"/>
      <c r="RL203" s="54"/>
      <c r="RM203" s="54"/>
      <c r="RN203" s="54"/>
      <c r="RO203" s="54"/>
      <c r="RP203" s="54"/>
      <c r="RQ203" s="54"/>
      <c r="RR203" s="54"/>
      <c r="RS203" s="54"/>
      <c r="RT203" s="54"/>
      <c r="RU203" s="54"/>
      <c r="RV203" s="54"/>
      <c r="RW203" s="54"/>
      <c r="RX203" s="54"/>
      <c r="RY203" s="54"/>
      <c r="RZ203" s="54"/>
      <c r="SA203" s="54"/>
      <c r="SB203" s="54"/>
      <c r="SC203" s="54"/>
      <c r="SD203" s="54"/>
      <c r="SE203" s="54"/>
      <c r="SF203" s="54"/>
      <c r="SG203" s="54"/>
      <c r="SH203" s="54"/>
      <c r="SI203" s="54"/>
      <c r="SJ203" s="54"/>
      <c r="SK203" s="54"/>
      <c r="SL203" s="54"/>
      <c r="SM203" s="54"/>
      <c r="SN203" s="54"/>
      <c r="SO203" s="54"/>
      <c r="SP203" s="54"/>
      <c r="SQ203" s="54"/>
      <c r="SR203" s="54"/>
    </row>
    <row r="204" spans="1:512" ht="15" customHeight="1" x14ac:dyDescent="0.7">
      <c r="A204" s="172"/>
      <c r="B204" s="172"/>
      <c r="C204" s="172"/>
      <c r="D204" s="172"/>
      <c r="E204" s="172"/>
      <c r="F204" s="172"/>
      <c r="G204" s="172"/>
      <c r="I204" s="72" t="s">
        <v>344</v>
      </c>
      <c r="J204" s="73" t="s">
        <v>344</v>
      </c>
      <c r="K204" s="190"/>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c r="DA204" s="54"/>
      <c r="DB204" s="54"/>
      <c r="DC204" s="54"/>
      <c r="DD204" s="54"/>
      <c r="DE204" s="54"/>
      <c r="DF204" s="54"/>
      <c r="DG204" s="54"/>
      <c r="DH204" s="54"/>
      <c r="DI204" s="54"/>
      <c r="DJ204" s="54"/>
      <c r="DK204" s="54"/>
      <c r="DL204" s="54"/>
      <c r="DM204" s="54"/>
      <c r="DN204" s="54"/>
      <c r="DO204" s="54"/>
      <c r="DP204" s="54"/>
      <c r="DQ204" s="54"/>
      <c r="DR204" s="54"/>
      <c r="DS204" s="54"/>
      <c r="DT204" s="54"/>
      <c r="DU204" s="54"/>
      <c r="DV204" s="54"/>
      <c r="DW204" s="54"/>
      <c r="DX204" s="54"/>
      <c r="DY204" s="54"/>
      <c r="DZ204" s="54"/>
      <c r="EA204" s="54"/>
      <c r="EB204" s="54"/>
      <c r="EC204" s="54"/>
      <c r="ED204" s="54"/>
      <c r="EE204" s="54"/>
      <c r="EF204" s="54"/>
      <c r="EG204" s="54"/>
      <c r="EH204" s="54"/>
      <c r="EI204" s="54"/>
      <c r="EJ204" s="54"/>
      <c r="EK204" s="54"/>
      <c r="EL204" s="54"/>
      <c r="EM204" s="54"/>
      <c r="EN204" s="54"/>
      <c r="EO204" s="54"/>
      <c r="EP204" s="54"/>
      <c r="EQ204" s="54"/>
      <c r="ER204" s="54"/>
      <c r="ES204" s="54"/>
      <c r="ET204" s="54"/>
      <c r="EU204" s="54"/>
      <c r="EV204" s="54"/>
      <c r="EW204" s="54"/>
      <c r="EX204" s="54"/>
      <c r="EY204" s="54"/>
      <c r="EZ204" s="54"/>
      <c r="FA204" s="54"/>
      <c r="FB204" s="54"/>
      <c r="FC204" s="54"/>
      <c r="FD204" s="54"/>
      <c r="FE204" s="54"/>
      <c r="FF204" s="54"/>
      <c r="FG204" s="54"/>
      <c r="FH204" s="54"/>
      <c r="FI204" s="54"/>
      <c r="FJ204" s="54"/>
      <c r="FK204" s="54"/>
      <c r="FL204" s="54"/>
      <c r="FM204" s="54"/>
      <c r="FN204" s="54"/>
      <c r="FO204" s="54"/>
      <c r="FP204" s="54"/>
      <c r="FQ204" s="54"/>
      <c r="FR204" s="54"/>
      <c r="FS204" s="54"/>
      <c r="FT204" s="54"/>
      <c r="FU204" s="54"/>
      <c r="FV204" s="54"/>
      <c r="FW204" s="54"/>
      <c r="FX204" s="54"/>
      <c r="FY204" s="54"/>
      <c r="FZ204" s="54"/>
      <c r="GA204" s="54"/>
      <c r="GB204" s="54"/>
      <c r="GC204" s="54"/>
      <c r="GD204" s="54"/>
      <c r="GE204" s="54"/>
      <c r="GF204" s="54"/>
      <c r="GG204" s="54"/>
      <c r="GH204" s="54"/>
      <c r="GI204" s="54"/>
      <c r="GJ204" s="54"/>
      <c r="GK204" s="54"/>
      <c r="GL204" s="54"/>
      <c r="GM204" s="54"/>
      <c r="GN204" s="54"/>
      <c r="GO204" s="54"/>
      <c r="GP204" s="54"/>
      <c r="GQ204" s="54"/>
      <c r="GR204" s="54"/>
      <c r="GS204" s="54"/>
      <c r="GT204" s="54"/>
      <c r="GU204" s="54"/>
      <c r="GV204" s="54"/>
      <c r="GW204" s="54"/>
      <c r="GX204" s="54"/>
      <c r="GY204" s="54"/>
      <c r="GZ204" s="54"/>
      <c r="HA204" s="54"/>
      <c r="HB204" s="54"/>
      <c r="HC204" s="54"/>
      <c r="HD204" s="54"/>
      <c r="HE204" s="54"/>
      <c r="HF204" s="54"/>
      <c r="HG204" s="54"/>
      <c r="HH204" s="54"/>
      <c r="HI204" s="54"/>
      <c r="HJ204" s="54"/>
      <c r="HK204" s="54"/>
      <c r="HL204" s="54"/>
      <c r="HM204" s="54"/>
      <c r="HN204" s="54"/>
      <c r="HO204" s="54"/>
      <c r="HP204" s="54"/>
      <c r="HQ204" s="54"/>
      <c r="HR204" s="54"/>
      <c r="HS204" s="54"/>
      <c r="HT204" s="54"/>
      <c r="HU204" s="54"/>
      <c r="HV204" s="54"/>
      <c r="HW204" s="54"/>
      <c r="HX204" s="54"/>
      <c r="HY204" s="54"/>
      <c r="HZ204" s="54"/>
      <c r="IA204" s="54"/>
      <c r="IB204" s="54"/>
      <c r="IC204" s="54"/>
      <c r="ID204" s="54"/>
      <c r="IE204" s="54"/>
      <c r="IF204" s="54"/>
      <c r="IG204" s="54"/>
      <c r="IH204" s="54"/>
      <c r="II204" s="54"/>
      <c r="IJ204" s="54"/>
      <c r="IK204" s="54"/>
      <c r="IL204" s="54"/>
      <c r="IM204" s="54"/>
      <c r="IN204" s="54"/>
      <c r="IO204" s="54"/>
      <c r="IP204" s="54"/>
      <c r="IQ204" s="54"/>
      <c r="IR204" s="54"/>
      <c r="IS204" s="54"/>
      <c r="IT204" s="54"/>
      <c r="IU204" s="54"/>
      <c r="IV204" s="54"/>
      <c r="IW204" s="54"/>
      <c r="IX204" s="54"/>
      <c r="IY204" s="54"/>
      <c r="IZ204" s="54"/>
      <c r="JA204" s="54"/>
      <c r="JB204" s="54"/>
      <c r="JC204" s="54"/>
      <c r="JD204" s="54"/>
      <c r="JE204" s="54"/>
      <c r="JF204" s="54"/>
      <c r="JG204" s="54"/>
      <c r="JH204" s="54"/>
      <c r="JI204" s="54"/>
      <c r="JJ204" s="54"/>
      <c r="JK204" s="54"/>
      <c r="JL204" s="54"/>
      <c r="JM204" s="54"/>
      <c r="JN204" s="54"/>
      <c r="JO204" s="54"/>
      <c r="JP204" s="54"/>
      <c r="JQ204" s="54"/>
      <c r="JR204" s="54"/>
      <c r="JS204" s="54"/>
      <c r="JT204" s="54"/>
      <c r="JU204" s="54"/>
      <c r="JV204" s="54"/>
      <c r="JW204" s="54"/>
      <c r="JX204" s="54"/>
      <c r="JY204" s="54"/>
      <c r="JZ204" s="54"/>
      <c r="KA204" s="54"/>
      <c r="KB204" s="54"/>
      <c r="KC204" s="54"/>
      <c r="KD204" s="54"/>
      <c r="KE204" s="54"/>
      <c r="KF204" s="54"/>
      <c r="KG204" s="54"/>
      <c r="KH204" s="54"/>
      <c r="KI204" s="54"/>
      <c r="KJ204" s="54"/>
      <c r="KK204" s="54"/>
      <c r="KL204" s="54"/>
      <c r="KM204" s="54"/>
      <c r="KN204" s="54"/>
      <c r="KO204" s="54"/>
      <c r="KP204" s="54"/>
      <c r="KQ204" s="54"/>
      <c r="KR204" s="54"/>
      <c r="KS204" s="54"/>
      <c r="KT204" s="54"/>
      <c r="KU204" s="54"/>
      <c r="KV204" s="54"/>
      <c r="KW204" s="54"/>
      <c r="KX204" s="54"/>
      <c r="KY204" s="54"/>
      <c r="KZ204" s="54"/>
      <c r="LA204" s="54"/>
      <c r="LB204" s="54"/>
      <c r="LC204" s="54"/>
      <c r="LD204" s="54"/>
      <c r="LE204" s="54"/>
      <c r="LF204" s="54"/>
      <c r="LG204" s="54"/>
      <c r="LH204" s="54"/>
      <c r="LI204" s="54"/>
      <c r="LJ204" s="54"/>
      <c r="LK204" s="54"/>
      <c r="LL204" s="54"/>
      <c r="LM204" s="54"/>
      <c r="LN204" s="54"/>
      <c r="LO204" s="54"/>
      <c r="LP204" s="54"/>
      <c r="LQ204" s="54"/>
      <c r="LR204" s="54"/>
      <c r="LS204" s="54"/>
      <c r="LT204" s="54"/>
      <c r="LU204" s="54"/>
      <c r="LV204" s="54"/>
      <c r="LW204" s="54"/>
      <c r="LX204" s="54"/>
      <c r="LY204" s="54"/>
      <c r="LZ204" s="54"/>
      <c r="MA204" s="54"/>
      <c r="MB204" s="54"/>
      <c r="MC204" s="54"/>
      <c r="MD204" s="54"/>
      <c r="ME204" s="54"/>
      <c r="MF204" s="54"/>
      <c r="MG204" s="54"/>
      <c r="MH204" s="54"/>
      <c r="MI204" s="54"/>
      <c r="MJ204" s="54"/>
      <c r="MK204" s="54"/>
      <c r="ML204" s="54"/>
      <c r="MM204" s="54"/>
      <c r="MN204" s="54"/>
      <c r="MO204" s="54"/>
      <c r="MP204" s="54"/>
      <c r="MQ204" s="54"/>
      <c r="MR204" s="54"/>
      <c r="MS204" s="54"/>
      <c r="MT204" s="54"/>
      <c r="MU204" s="54"/>
      <c r="MV204" s="54"/>
      <c r="MW204" s="54"/>
      <c r="MX204" s="54"/>
      <c r="MY204" s="54"/>
      <c r="MZ204" s="54"/>
      <c r="NA204" s="54"/>
      <c r="NB204" s="54"/>
      <c r="NC204" s="54"/>
      <c r="ND204" s="54"/>
      <c r="NE204" s="54"/>
      <c r="NF204" s="54"/>
      <c r="NG204" s="54"/>
      <c r="NH204" s="54"/>
      <c r="NI204" s="54"/>
      <c r="NJ204" s="54"/>
      <c r="NK204" s="54"/>
      <c r="NL204" s="54"/>
      <c r="NM204" s="54"/>
      <c r="NN204" s="54"/>
      <c r="NO204" s="54"/>
      <c r="NP204" s="54"/>
      <c r="NQ204" s="54"/>
      <c r="NR204" s="54"/>
      <c r="NS204" s="54"/>
      <c r="NT204" s="54"/>
      <c r="NU204" s="54"/>
      <c r="NV204" s="54"/>
      <c r="NW204" s="54"/>
      <c r="NX204" s="54"/>
      <c r="NY204" s="54"/>
      <c r="NZ204" s="54"/>
      <c r="OA204" s="54"/>
      <c r="OB204" s="54"/>
      <c r="OC204" s="54"/>
      <c r="OD204" s="54"/>
      <c r="OE204" s="54"/>
      <c r="OF204" s="54"/>
      <c r="OG204" s="54"/>
      <c r="OH204" s="54"/>
      <c r="OI204" s="54"/>
      <c r="OJ204" s="54"/>
      <c r="OK204" s="54"/>
      <c r="OL204" s="54"/>
      <c r="OM204" s="54"/>
      <c r="ON204" s="54"/>
      <c r="OO204" s="54"/>
      <c r="OP204" s="54"/>
      <c r="OQ204" s="54"/>
      <c r="OR204" s="54"/>
      <c r="OS204" s="54"/>
      <c r="OT204" s="54"/>
      <c r="OU204" s="54"/>
      <c r="OV204" s="54"/>
      <c r="OW204" s="54"/>
      <c r="OX204" s="54"/>
      <c r="OY204" s="54"/>
      <c r="OZ204" s="54"/>
      <c r="PA204" s="54"/>
      <c r="PB204" s="54"/>
      <c r="PC204" s="54"/>
      <c r="PD204" s="54"/>
      <c r="PE204" s="54"/>
      <c r="PF204" s="54"/>
      <c r="PG204" s="54"/>
      <c r="PH204" s="54"/>
      <c r="PI204" s="54"/>
      <c r="PJ204" s="54"/>
      <c r="PK204" s="54"/>
      <c r="PL204" s="54"/>
      <c r="PM204" s="54"/>
      <c r="PN204" s="54"/>
      <c r="PO204" s="54"/>
      <c r="PP204" s="54"/>
      <c r="PQ204" s="54"/>
      <c r="PR204" s="54"/>
      <c r="PS204" s="54"/>
      <c r="PT204" s="54"/>
      <c r="PU204" s="54"/>
      <c r="PV204" s="54"/>
      <c r="PW204" s="54"/>
      <c r="PX204" s="54"/>
      <c r="PY204" s="54"/>
      <c r="PZ204" s="54"/>
      <c r="QA204" s="54"/>
      <c r="QB204" s="54"/>
      <c r="QC204" s="54"/>
      <c r="QD204" s="54"/>
      <c r="QE204" s="54"/>
      <c r="QF204" s="54"/>
      <c r="QG204" s="54"/>
      <c r="QH204" s="54"/>
      <c r="QI204" s="54"/>
      <c r="QJ204" s="54"/>
      <c r="QK204" s="54"/>
      <c r="QL204" s="54"/>
      <c r="QM204" s="54"/>
      <c r="QN204" s="54"/>
      <c r="QO204" s="54"/>
      <c r="QP204" s="54"/>
      <c r="QQ204" s="54"/>
      <c r="QR204" s="54"/>
      <c r="QS204" s="54"/>
      <c r="QT204" s="54"/>
      <c r="QU204" s="54"/>
      <c r="QV204" s="54"/>
      <c r="QW204" s="54"/>
      <c r="QX204" s="54"/>
      <c r="QY204" s="54"/>
      <c r="QZ204" s="54"/>
      <c r="RA204" s="54"/>
      <c r="RB204" s="54"/>
      <c r="RC204" s="54"/>
      <c r="RD204" s="54"/>
      <c r="RE204" s="54"/>
      <c r="RF204" s="54"/>
      <c r="RG204" s="54"/>
      <c r="RH204" s="54"/>
      <c r="RI204" s="54"/>
      <c r="RJ204" s="54"/>
      <c r="RK204" s="54"/>
      <c r="RL204" s="54"/>
      <c r="RM204" s="54"/>
      <c r="RN204" s="54"/>
      <c r="RO204" s="54"/>
      <c r="RP204" s="54"/>
      <c r="RQ204" s="54"/>
      <c r="RR204" s="54"/>
      <c r="RS204" s="54"/>
      <c r="RT204" s="54"/>
      <c r="RU204" s="54"/>
      <c r="RV204" s="54"/>
      <c r="RW204" s="54"/>
      <c r="RX204" s="54"/>
      <c r="RY204" s="54"/>
      <c r="RZ204" s="54"/>
      <c r="SA204" s="54"/>
      <c r="SB204" s="54"/>
      <c r="SC204" s="54"/>
      <c r="SD204" s="54"/>
      <c r="SE204" s="54"/>
      <c r="SF204" s="54"/>
      <c r="SG204" s="54"/>
      <c r="SH204" s="54"/>
      <c r="SI204" s="54"/>
      <c r="SJ204" s="54"/>
      <c r="SK204" s="54"/>
      <c r="SL204" s="54"/>
      <c r="SM204" s="54"/>
      <c r="SN204" s="54"/>
      <c r="SO204" s="54"/>
      <c r="SP204" s="54"/>
      <c r="SQ204" s="54"/>
      <c r="SR204" s="54"/>
    </row>
    <row r="205" spans="1:512" s="55" customFormat="1" ht="15" customHeight="1" x14ac:dyDescent="0.7">
      <c r="A205" s="173"/>
      <c r="B205" s="173"/>
      <c r="C205" s="173"/>
      <c r="D205" s="173"/>
      <c r="E205" s="173"/>
      <c r="F205" s="173"/>
      <c r="G205" s="173"/>
      <c r="H205" s="74"/>
      <c r="I205" s="75"/>
      <c r="J205" s="76"/>
      <c r="K205" s="191"/>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c r="CA205" s="56"/>
      <c r="CB205" s="56"/>
      <c r="CC205" s="56"/>
      <c r="CD205" s="56"/>
      <c r="CE205" s="56"/>
      <c r="CF205" s="56"/>
      <c r="CG205" s="56"/>
      <c r="CH205" s="56"/>
      <c r="CI205" s="56"/>
      <c r="CJ205" s="56"/>
      <c r="CK205" s="56"/>
      <c r="CL205" s="56"/>
      <c r="CM205" s="56"/>
      <c r="CN205" s="56"/>
      <c r="CO205" s="56"/>
      <c r="CP205" s="56"/>
      <c r="CQ205" s="56"/>
      <c r="CR205" s="56"/>
      <c r="CS205" s="56"/>
      <c r="CT205" s="56"/>
      <c r="CU205" s="56"/>
      <c r="CV205" s="56"/>
      <c r="CW205" s="56"/>
      <c r="CX205" s="56"/>
      <c r="CY205" s="56"/>
      <c r="CZ205" s="56"/>
      <c r="DA205" s="56"/>
      <c r="DB205" s="56"/>
      <c r="DC205" s="56"/>
      <c r="DD205" s="56"/>
      <c r="DE205" s="56"/>
      <c r="DF205" s="56"/>
      <c r="DG205" s="56"/>
      <c r="DH205" s="56"/>
      <c r="DI205" s="56"/>
      <c r="DJ205" s="56"/>
      <c r="DK205" s="56"/>
      <c r="DL205" s="56"/>
      <c r="DM205" s="56"/>
      <c r="DN205" s="56"/>
      <c r="DO205" s="56"/>
      <c r="DP205" s="56"/>
      <c r="DQ205" s="56"/>
      <c r="DR205" s="56"/>
      <c r="DS205" s="56"/>
      <c r="DT205" s="56"/>
      <c r="DU205" s="56"/>
      <c r="DV205" s="56"/>
      <c r="DW205" s="56"/>
      <c r="DX205" s="56"/>
      <c r="DY205" s="56"/>
      <c r="DZ205" s="56"/>
      <c r="EA205" s="56"/>
      <c r="EB205" s="56"/>
      <c r="EC205" s="56"/>
      <c r="ED205" s="56"/>
      <c r="EE205" s="56"/>
      <c r="EF205" s="56"/>
      <c r="EG205" s="56"/>
      <c r="EH205" s="56"/>
      <c r="EI205" s="56"/>
      <c r="EJ205" s="56"/>
      <c r="EK205" s="56"/>
      <c r="EL205" s="56"/>
      <c r="EM205" s="56"/>
      <c r="EN205" s="56"/>
      <c r="EO205" s="56"/>
      <c r="EP205" s="56"/>
      <c r="EQ205" s="56"/>
      <c r="ER205" s="56"/>
      <c r="ES205" s="56"/>
      <c r="ET205" s="56"/>
      <c r="EU205" s="56"/>
      <c r="EV205" s="56"/>
      <c r="EW205" s="56"/>
      <c r="EX205" s="56"/>
      <c r="EY205" s="56"/>
      <c r="EZ205" s="56"/>
      <c r="FA205" s="56"/>
      <c r="FB205" s="56"/>
      <c r="FC205" s="56"/>
      <c r="FD205" s="56"/>
      <c r="FE205" s="56"/>
      <c r="FF205" s="56"/>
      <c r="FG205" s="56"/>
      <c r="FH205" s="56"/>
      <c r="FI205" s="56"/>
      <c r="FJ205" s="56"/>
      <c r="FK205" s="56"/>
      <c r="FL205" s="56"/>
      <c r="FM205" s="56"/>
      <c r="FN205" s="56"/>
      <c r="FO205" s="56"/>
      <c r="FP205" s="56"/>
      <c r="FQ205" s="56"/>
      <c r="FR205" s="56"/>
      <c r="FS205" s="56"/>
      <c r="FT205" s="56"/>
      <c r="FU205" s="56"/>
      <c r="FV205" s="56"/>
      <c r="FW205" s="56"/>
      <c r="FX205" s="56"/>
      <c r="FY205" s="56"/>
      <c r="FZ205" s="56"/>
      <c r="GA205" s="56"/>
      <c r="GB205" s="56"/>
      <c r="GC205" s="56"/>
      <c r="GD205" s="56"/>
      <c r="GE205" s="56"/>
      <c r="GF205" s="56"/>
      <c r="GG205" s="56"/>
      <c r="GH205" s="56"/>
      <c r="GI205" s="56"/>
      <c r="GJ205" s="56"/>
      <c r="GK205" s="56"/>
      <c r="GL205" s="56"/>
      <c r="GM205" s="56"/>
      <c r="GN205" s="56"/>
      <c r="GO205" s="56"/>
      <c r="GP205" s="56"/>
      <c r="GQ205" s="56"/>
      <c r="GR205" s="56"/>
      <c r="GS205" s="56"/>
      <c r="GT205" s="56"/>
      <c r="GU205" s="56"/>
      <c r="GV205" s="56"/>
      <c r="GW205" s="56"/>
      <c r="GX205" s="56"/>
      <c r="GY205" s="56"/>
      <c r="GZ205" s="56"/>
      <c r="HA205" s="56"/>
      <c r="HB205" s="56"/>
      <c r="HC205" s="56"/>
      <c r="HD205" s="56"/>
      <c r="HE205" s="56"/>
      <c r="HF205" s="56"/>
      <c r="HG205" s="56"/>
      <c r="HH205" s="56"/>
      <c r="HI205" s="56"/>
      <c r="HJ205" s="56"/>
      <c r="HK205" s="56"/>
      <c r="HL205" s="56"/>
      <c r="HM205" s="56"/>
      <c r="HN205" s="56"/>
      <c r="HO205" s="56"/>
      <c r="HP205" s="56"/>
      <c r="HQ205" s="56"/>
      <c r="HR205" s="56"/>
      <c r="HS205" s="56"/>
      <c r="HT205" s="56"/>
      <c r="HU205" s="56"/>
      <c r="HV205" s="56"/>
      <c r="HW205" s="56"/>
      <c r="HX205" s="56"/>
      <c r="HY205" s="56"/>
      <c r="HZ205" s="56"/>
      <c r="IA205" s="56"/>
      <c r="IB205" s="56"/>
      <c r="IC205" s="56"/>
      <c r="ID205" s="56"/>
      <c r="IE205" s="56"/>
      <c r="IF205" s="56"/>
      <c r="IG205" s="56"/>
      <c r="IH205" s="56"/>
      <c r="II205" s="56"/>
      <c r="IJ205" s="56"/>
      <c r="IK205" s="56"/>
      <c r="IL205" s="56"/>
      <c r="IM205" s="56"/>
      <c r="IN205" s="56"/>
      <c r="IO205" s="56"/>
      <c r="IP205" s="56"/>
      <c r="IQ205" s="56"/>
      <c r="IR205" s="56"/>
      <c r="IS205" s="56"/>
      <c r="IT205" s="56"/>
      <c r="IU205" s="56"/>
      <c r="IV205" s="56"/>
      <c r="IW205" s="56"/>
      <c r="IX205" s="56"/>
      <c r="IY205" s="56"/>
      <c r="IZ205" s="56"/>
      <c r="JA205" s="56"/>
      <c r="JB205" s="56"/>
      <c r="JC205" s="56"/>
      <c r="JD205" s="56"/>
      <c r="JE205" s="56"/>
      <c r="JF205" s="56"/>
      <c r="JG205" s="56"/>
      <c r="JH205" s="56"/>
      <c r="JI205" s="56"/>
      <c r="JJ205" s="56"/>
      <c r="JK205" s="56"/>
      <c r="JL205" s="56"/>
      <c r="JM205" s="56"/>
      <c r="JN205" s="56"/>
      <c r="JO205" s="56"/>
      <c r="JP205" s="56"/>
      <c r="JQ205" s="56"/>
      <c r="JR205" s="56"/>
      <c r="JS205" s="56"/>
      <c r="JT205" s="56"/>
      <c r="JU205" s="56"/>
      <c r="JV205" s="56"/>
      <c r="JW205" s="56"/>
      <c r="JX205" s="56"/>
      <c r="JY205" s="56"/>
      <c r="JZ205" s="56"/>
      <c r="KA205" s="56"/>
      <c r="KB205" s="56"/>
      <c r="KC205" s="56"/>
      <c r="KD205" s="56"/>
      <c r="KE205" s="56"/>
      <c r="KF205" s="56"/>
      <c r="KG205" s="56"/>
      <c r="KH205" s="56"/>
      <c r="KI205" s="56"/>
      <c r="KJ205" s="56"/>
      <c r="KK205" s="56"/>
      <c r="KL205" s="56"/>
      <c r="KM205" s="56"/>
      <c r="KN205" s="56"/>
      <c r="KO205" s="56"/>
      <c r="KP205" s="56"/>
      <c r="KQ205" s="56"/>
      <c r="KR205" s="56"/>
      <c r="KS205" s="56"/>
      <c r="KT205" s="56"/>
      <c r="KU205" s="56"/>
      <c r="KV205" s="56"/>
      <c r="KW205" s="56"/>
      <c r="KX205" s="56"/>
      <c r="KY205" s="56"/>
      <c r="KZ205" s="56"/>
      <c r="LA205" s="56"/>
      <c r="LB205" s="56"/>
      <c r="LC205" s="56"/>
      <c r="LD205" s="56"/>
      <c r="LE205" s="56"/>
      <c r="LF205" s="56"/>
      <c r="LG205" s="56"/>
      <c r="LH205" s="56"/>
      <c r="LI205" s="56"/>
      <c r="LJ205" s="56"/>
      <c r="LK205" s="56"/>
      <c r="LL205" s="56"/>
      <c r="LM205" s="56"/>
      <c r="LN205" s="56"/>
      <c r="LO205" s="56"/>
      <c r="LP205" s="56"/>
      <c r="LQ205" s="56"/>
      <c r="LR205" s="56"/>
      <c r="LS205" s="56"/>
      <c r="LT205" s="56"/>
      <c r="LU205" s="56"/>
      <c r="LV205" s="56"/>
      <c r="LW205" s="56"/>
      <c r="LX205" s="56"/>
      <c r="LY205" s="56"/>
      <c r="LZ205" s="56"/>
      <c r="MA205" s="56"/>
      <c r="MB205" s="56"/>
      <c r="MC205" s="56"/>
      <c r="MD205" s="56"/>
      <c r="ME205" s="56"/>
      <c r="MF205" s="56"/>
      <c r="MG205" s="56"/>
      <c r="MH205" s="56"/>
      <c r="MI205" s="56"/>
      <c r="MJ205" s="56"/>
      <c r="MK205" s="56"/>
      <c r="ML205" s="56"/>
      <c r="MM205" s="56"/>
      <c r="MN205" s="56"/>
      <c r="MO205" s="56"/>
      <c r="MP205" s="56"/>
      <c r="MQ205" s="56"/>
      <c r="MR205" s="56"/>
      <c r="MS205" s="56"/>
      <c r="MT205" s="56"/>
      <c r="MU205" s="56"/>
      <c r="MV205" s="56"/>
      <c r="MW205" s="56"/>
      <c r="MX205" s="56"/>
      <c r="MY205" s="56"/>
      <c r="MZ205" s="56"/>
      <c r="NA205" s="56"/>
      <c r="NB205" s="56"/>
      <c r="NC205" s="56"/>
      <c r="ND205" s="56"/>
      <c r="NE205" s="56"/>
      <c r="NF205" s="56"/>
      <c r="NG205" s="56"/>
      <c r="NH205" s="56"/>
      <c r="NI205" s="56"/>
      <c r="NJ205" s="56"/>
      <c r="NK205" s="56"/>
      <c r="NL205" s="56"/>
      <c r="NM205" s="56"/>
      <c r="NN205" s="56"/>
      <c r="NO205" s="56"/>
      <c r="NP205" s="56"/>
      <c r="NQ205" s="56"/>
      <c r="NR205" s="56"/>
      <c r="NS205" s="56"/>
      <c r="NT205" s="56"/>
      <c r="NU205" s="56"/>
      <c r="NV205" s="56"/>
      <c r="NW205" s="56"/>
      <c r="NX205" s="56"/>
      <c r="NY205" s="56"/>
      <c r="NZ205" s="56"/>
      <c r="OA205" s="56"/>
      <c r="OB205" s="56"/>
      <c r="OC205" s="56"/>
      <c r="OD205" s="56"/>
      <c r="OE205" s="56"/>
      <c r="OF205" s="56"/>
      <c r="OG205" s="56"/>
      <c r="OH205" s="56"/>
      <c r="OI205" s="56"/>
      <c r="OJ205" s="56"/>
      <c r="OK205" s="56"/>
      <c r="OL205" s="56"/>
      <c r="OM205" s="56"/>
      <c r="ON205" s="56"/>
      <c r="OO205" s="56"/>
      <c r="OP205" s="56"/>
      <c r="OQ205" s="56"/>
      <c r="OR205" s="56"/>
      <c r="OS205" s="56"/>
      <c r="OT205" s="56"/>
      <c r="OU205" s="56"/>
      <c r="OV205" s="56"/>
      <c r="OW205" s="56"/>
      <c r="OX205" s="56"/>
      <c r="OY205" s="56"/>
      <c r="OZ205" s="56"/>
      <c r="PA205" s="56"/>
      <c r="PB205" s="56"/>
      <c r="PC205" s="56"/>
      <c r="PD205" s="56"/>
      <c r="PE205" s="56"/>
      <c r="PF205" s="56"/>
      <c r="PG205" s="56"/>
      <c r="PH205" s="56"/>
      <c r="PI205" s="56"/>
      <c r="PJ205" s="56"/>
      <c r="PK205" s="56"/>
      <c r="PL205" s="56"/>
      <c r="PM205" s="56"/>
      <c r="PN205" s="56"/>
      <c r="PO205" s="56"/>
      <c r="PP205" s="56"/>
      <c r="PQ205" s="56"/>
      <c r="PR205" s="56"/>
      <c r="PS205" s="56"/>
      <c r="PT205" s="56"/>
      <c r="PU205" s="56"/>
      <c r="PV205" s="56"/>
      <c r="PW205" s="56"/>
      <c r="PX205" s="56"/>
      <c r="PY205" s="56"/>
      <c r="PZ205" s="56"/>
      <c r="QA205" s="56"/>
      <c r="QB205" s="56"/>
      <c r="QC205" s="56"/>
      <c r="QD205" s="56"/>
      <c r="QE205" s="56"/>
      <c r="QF205" s="56"/>
      <c r="QG205" s="56"/>
      <c r="QH205" s="56"/>
      <c r="QI205" s="56"/>
      <c r="QJ205" s="56"/>
      <c r="QK205" s="56"/>
      <c r="QL205" s="56"/>
      <c r="QM205" s="56"/>
      <c r="QN205" s="56"/>
      <c r="QO205" s="56"/>
      <c r="QP205" s="56"/>
      <c r="QQ205" s="56"/>
      <c r="QR205" s="56"/>
      <c r="QS205" s="56"/>
      <c r="QT205" s="56"/>
      <c r="QU205" s="56"/>
      <c r="QV205" s="56"/>
      <c r="QW205" s="56"/>
      <c r="QX205" s="56"/>
      <c r="QY205" s="56"/>
      <c r="QZ205" s="56"/>
      <c r="RA205" s="56"/>
      <c r="RB205" s="56"/>
      <c r="RC205" s="56"/>
      <c r="RD205" s="56"/>
      <c r="RE205" s="56"/>
      <c r="RF205" s="56"/>
      <c r="RG205" s="56"/>
      <c r="RH205" s="56"/>
      <c r="RI205" s="56"/>
      <c r="RJ205" s="56"/>
      <c r="RK205" s="56"/>
      <c r="RL205" s="56"/>
      <c r="RM205" s="56"/>
      <c r="RN205" s="56"/>
      <c r="RO205" s="56"/>
      <c r="RP205" s="56"/>
      <c r="RQ205" s="56"/>
      <c r="RR205" s="56"/>
      <c r="RS205" s="56"/>
      <c r="RT205" s="56"/>
      <c r="RU205" s="56"/>
      <c r="RV205" s="56"/>
      <c r="RW205" s="56"/>
      <c r="RX205" s="56"/>
      <c r="RY205" s="56"/>
      <c r="RZ205" s="56"/>
      <c r="SA205" s="56"/>
      <c r="SB205" s="56"/>
      <c r="SC205" s="56"/>
      <c r="SD205" s="56"/>
      <c r="SE205" s="56"/>
      <c r="SF205" s="56"/>
      <c r="SG205" s="56"/>
      <c r="SH205" s="56"/>
      <c r="SI205" s="56"/>
      <c r="SJ205" s="56"/>
      <c r="SK205" s="56"/>
      <c r="SL205" s="56"/>
      <c r="SM205" s="56"/>
      <c r="SN205" s="56"/>
      <c r="SO205" s="56"/>
      <c r="SP205" s="56"/>
      <c r="SQ205" s="56"/>
      <c r="SR205" s="56"/>
    </row>
    <row r="206" spans="1:512" ht="15" customHeight="1" x14ac:dyDescent="0.7">
      <c r="A206" s="171" t="s">
        <v>344</v>
      </c>
      <c r="B206" s="171" t="s">
        <v>344</v>
      </c>
      <c r="C206" s="171" t="s">
        <v>344</v>
      </c>
      <c r="D206" s="171"/>
      <c r="E206" s="171" t="s">
        <v>344</v>
      </c>
      <c r="F206" s="171"/>
      <c r="G206" s="188" t="s">
        <v>344</v>
      </c>
      <c r="H206" s="71" t="s">
        <v>344</v>
      </c>
      <c r="I206" s="72" t="s">
        <v>344</v>
      </c>
      <c r="J206" s="73" t="s">
        <v>344</v>
      </c>
      <c r="K206" s="189" t="s">
        <v>344</v>
      </c>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4"/>
      <c r="EF206" s="54"/>
      <c r="EG206" s="54"/>
      <c r="EH206" s="54"/>
      <c r="EI206" s="54"/>
      <c r="EJ206" s="54"/>
      <c r="EK206" s="54"/>
      <c r="EL206" s="54"/>
      <c r="EM206" s="54"/>
      <c r="EN206" s="54"/>
      <c r="EO206" s="54"/>
      <c r="EP206" s="54"/>
      <c r="EQ206" s="54"/>
      <c r="ER206" s="54"/>
      <c r="ES206" s="54"/>
      <c r="ET206" s="54"/>
      <c r="EU206" s="54"/>
      <c r="EV206" s="54"/>
      <c r="EW206" s="54"/>
      <c r="EX206" s="54"/>
      <c r="EY206" s="54"/>
      <c r="EZ206" s="54"/>
      <c r="FA206" s="54"/>
      <c r="FB206" s="54"/>
      <c r="FC206" s="54"/>
      <c r="FD206" s="54"/>
      <c r="FE206" s="54"/>
      <c r="FF206" s="54"/>
      <c r="FG206" s="54"/>
      <c r="FH206" s="54"/>
      <c r="FI206" s="54"/>
      <c r="FJ206" s="54"/>
      <c r="FK206" s="54"/>
      <c r="FL206" s="54"/>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c r="GV206" s="54"/>
      <c r="GW206" s="54"/>
      <c r="GX206" s="54"/>
      <c r="GY206" s="54"/>
      <c r="GZ206" s="54"/>
      <c r="HA206" s="54"/>
      <c r="HB206" s="54"/>
      <c r="HC206" s="54"/>
      <c r="HD206" s="54"/>
      <c r="HE206" s="54"/>
      <c r="HF206" s="54"/>
      <c r="HG206" s="54"/>
      <c r="HH206" s="54"/>
      <c r="HI206" s="54"/>
      <c r="HJ206" s="54"/>
      <c r="HK206" s="54"/>
      <c r="HL206" s="54"/>
      <c r="HM206" s="54"/>
      <c r="HN206" s="54"/>
      <c r="HO206" s="54"/>
      <c r="HP206" s="54"/>
      <c r="HQ206" s="54"/>
      <c r="HR206" s="54"/>
      <c r="HS206" s="54"/>
      <c r="HT206" s="54"/>
      <c r="HU206" s="54"/>
      <c r="HV206" s="54"/>
      <c r="HW206" s="54"/>
      <c r="HX206" s="54"/>
      <c r="HY206" s="54"/>
      <c r="HZ206" s="54"/>
      <c r="IA206" s="54"/>
      <c r="IB206" s="54"/>
      <c r="IC206" s="54"/>
      <c r="ID206" s="54"/>
      <c r="IE206" s="54"/>
      <c r="IF206" s="54"/>
      <c r="IG206" s="54"/>
      <c r="IH206" s="54"/>
      <c r="II206" s="54"/>
      <c r="IJ206" s="54"/>
      <c r="IK206" s="54"/>
      <c r="IL206" s="54"/>
      <c r="IM206" s="54"/>
      <c r="IN206" s="54"/>
      <c r="IO206" s="54"/>
      <c r="IP206" s="54"/>
      <c r="IQ206" s="54"/>
      <c r="IR206" s="54"/>
      <c r="IS206" s="54"/>
      <c r="IT206" s="54"/>
      <c r="IU206" s="54"/>
      <c r="IV206" s="54"/>
      <c r="IW206" s="54"/>
      <c r="IX206" s="54"/>
      <c r="IY206" s="54"/>
      <c r="IZ206" s="54"/>
      <c r="JA206" s="54"/>
      <c r="JB206" s="54"/>
      <c r="JC206" s="54"/>
      <c r="JD206" s="54"/>
      <c r="JE206" s="54"/>
      <c r="JF206" s="54"/>
      <c r="JG206" s="54"/>
      <c r="JH206" s="54"/>
      <c r="JI206" s="54"/>
      <c r="JJ206" s="54"/>
      <c r="JK206" s="54"/>
      <c r="JL206" s="54"/>
      <c r="JM206" s="54"/>
      <c r="JN206" s="54"/>
      <c r="JO206" s="54"/>
      <c r="JP206" s="54"/>
      <c r="JQ206" s="54"/>
      <c r="JR206" s="54"/>
      <c r="JS206" s="54"/>
      <c r="JT206" s="54"/>
      <c r="JU206" s="54"/>
      <c r="JV206" s="54"/>
      <c r="JW206" s="54"/>
      <c r="JX206" s="54"/>
      <c r="JY206" s="54"/>
      <c r="JZ206" s="54"/>
      <c r="KA206" s="54"/>
      <c r="KB206" s="54"/>
      <c r="KC206" s="54"/>
      <c r="KD206" s="54"/>
      <c r="KE206" s="54"/>
      <c r="KF206" s="54"/>
      <c r="KG206" s="54"/>
      <c r="KH206" s="54"/>
      <c r="KI206" s="54"/>
      <c r="KJ206" s="54"/>
      <c r="KK206" s="54"/>
      <c r="KL206" s="54"/>
      <c r="KM206" s="54"/>
      <c r="KN206" s="54"/>
      <c r="KO206" s="54"/>
      <c r="KP206" s="54"/>
      <c r="KQ206" s="54"/>
      <c r="KR206" s="54"/>
      <c r="KS206" s="54"/>
      <c r="KT206" s="54"/>
      <c r="KU206" s="54"/>
      <c r="KV206" s="54"/>
      <c r="KW206" s="54"/>
      <c r="KX206" s="54"/>
      <c r="KY206" s="54"/>
      <c r="KZ206" s="54"/>
      <c r="LA206" s="54"/>
      <c r="LB206" s="54"/>
      <c r="LC206" s="54"/>
      <c r="LD206" s="54"/>
      <c r="LE206" s="54"/>
      <c r="LF206" s="54"/>
      <c r="LG206" s="54"/>
      <c r="LH206" s="54"/>
      <c r="LI206" s="54"/>
      <c r="LJ206" s="54"/>
      <c r="LK206" s="54"/>
      <c r="LL206" s="54"/>
      <c r="LM206" s="54"/>
      <c r="LN206" s="54"/>
      <c r="LO206" s="54"/>
      <c r="LP206" s="54"/>
      <c r="LQ206" s="54"/>
      <c r="LR206" s="54"/>
      <c r="LS206" s="54"/>
      <c r="LT206" s="54"/>
      <c r="LU206" s="54"/>
      <c r="LV206" s="54"/>
      <c r="LW206" s="54"/>
      <c r="LX206" s="54"/>
      <c r="LY206" s="54"/>
      <c r="LZ206" s="54"/>
      <c r="MA206" s="54"/>
      <c r="MB206" s="54"/>
      <c r="MC206" s="54"/>
      <c r="MD206" s="54"/>
      <c r="ME206" s="54"/>
      <c r="MF206" s="54"/>
      <c r="MG206" s="54"/>
      <c r="MH206" s="54"/>
      <c r="MI206" s="54"/>
      <c r="MJ206" s="54"/>
      <c r="MK206" s="54"/>
      <c r="ML206" s="54"/>
      <c r="MM206" s="54"/>
      <c r="MN206" s="54"/>
      <c r="MO206" s="54"/>
      <c r="MP206" s="54"/>
      <c r="MQ206" s="54"/>
      <c r="MR206" s="54"/>
      <c r="MS206" s="54"/>
      <c r="MT206" s="54"/>
      <c r="MU206" s="54"/>
      <c r="MV206" s="54"/>
      <c r="MW206" s="54"/>
      <c r="MX206" s="54"/>
      <c r="MY206" s="54"/>
      <c r="MZ206" s="54"/>
      <c r="NA206" s="54"/>
      <c r="NB206" s="54"/>
      <c r="NC206" s="54"/>
      <c r="ND206" s="54"/>
      <c r="NE206" s="54"/>
      <c r="NF206" s="54"/>
      <c r="NG206" s="54"/>
      <c r="NH206" s="54"/>
      <c r="NI206" s="54"/>
      <c r="NJ206" s="54"/>
      <c r="NK206" s="54"/>
      <c r="NL206" s="54"/>
      <c r="NM206" s="54"/>
      <c r="NN206" s="54"/>
      <c r="NO206" s="54"/>
      <c r="NP206" s="54"/>
      <c r="NQ206" s="54"/>
      <c r="NR206" s="54"/>
      <c r="NS206" s="54"/>
      <c r="NT206" s="54"/>
      <c r="NU206" s="54"/>
      <c r="NV206" s="54"/>
      <c r="NW206" s="54"/>
      <c r="NX206" s="54"/>
      <c r="NY206" s="54"/>
      <c r="NZ206" s="54"/>
      <c r="OA206" s="54"/>
      <c r="OB206" s="54"/>
      <c r="OC206" s="54"/>
      <c r="OD206" s="54"/>
      <c r="OE206" s="54"/>
      <c r="OF206" s="54"/>
      <c r="OG206" s="54"/>
      <c r="OH206" s="54"/>
      <c r="OI206" s="54"/>
      <c r="OJ206" s="54"/>
      <c r="OK206" s="54"/>
      <c r="OL206" s="54"/>
      <c r="OM206" s="54"/>
      <c r="ON206" s="54"/>
      <c r="OO206" s="54"/>
      <c r="OP206" s="54"/>
      <c r="OQ206" s="54"/>
      <c r="OR206" s="54"/>
      <c r="OS206" s="54"/>
      <c r="OT206" s="54"/>
      <c r="OU206" s="54"/>
      <c r="OV206" s="54"/>
      <c r="OW206" s="54"/>
      <c r="OX206" s="54"/>
      <c r="OY206" s="54"/>
      <c r="OZ206" s="54"/>
      <c r="PA206" s="54"/>
      <c r="PB206" s="54"/>
      <c r="PC206" s="54"/>
      <c r="PD206" s="54"/>
      <c r="PE206" s="54"/>
      <c r="PF206" s="54"/>
      <c r="PG206" s="54"/>
      <c r="PH206" s="54"/>
      <c r="PI206" s="54"/>
      <c r="PJ206" s="54"/>
      <c r="PK206" s="54"/>
      <c r="PL206" s="54"/>
      <c r="PM206" s="54"/>
      <c r="PN206" s="54"/>
      <c r="PO206" s="54"/>
      <c r="PP206" s="54"/>
      <c r="PQ206" s="54"/>
      <c r="PR206" s="54"/>
      <c r="PS206" s="54"/>
      <c r="PT206" s="54"/>
      <c r="PU206" s="54"/>
      <c r="PV206" s="54"/>
      <c r="PW206" s="54"/>
      <c r="PX206" s="54"/>
      <c r="PY206" s="54"/>
      <c r="PZ206" s="54"/>
      <c r="QA206" s="54"/>
      <c r="QB206" s="54"/>
      <c r="QC206" s="54"/>
      <c r="QD206" s="54"/>
      <c r="QE206" s="54"/>
      <c r="QF206" s="54"/>
      <c r="QG206" s="54"/>
      <c r="QH206" s="54"/>
      <c r="QI206" s="54"/>
      <c r="QJ206" s="54"/>
      <c r="QK206" s="54"/>
      <c r="QL206" s="54"/>
      <c r="QM206" s="54"/>
      <c r="QN206" s="54"/>
      <c r="QO206" s="54"/>
      <c r="QP206" s="54"/>
      <c r="QQ206" s="54"/>
      <c r="QR206" s="54"/>
      <c r="QS206" s="54"/>
      <c r="QT206" s="54"/>
      <c r="QU206" s="54"/>
      <c r="QV206" s="54"/>
      <c r="QW206" s="54"/>
      <c r="QX206" s="54"/>
      <c r="QY206" s="54"/>
      <c r="QZ206" s="54"/>
      <c r="RA206" s="54"/>
      <c r="RB206" s="54"/>
      <c r="RC206" s="54"/>
      <c r="RD206" s="54"/>
      <c r="RE206" s="54"/>
      <c r="RF206" s="54"/>
      <c r="RG206" s="54"/>
      <c r="RH206" s="54"/>
      <c r="RI206" s="54"/>
      <c r="RJ206" s="54"/>
      <c r="RK206" s="54"/>
      <c r="RL206" s="54"/>
      <c r="RM206" s="54"/>
      <c r="RN206" s="54"/>
      <c r="RO206" s="54"/>
      <c r="RP206" s="54"/>
      <c r="RQ206" s="54"/>
      <c r="RR206" s="54"/>
      <c r="RS206" s="54"/>
      <c r="RT206" s="54"/>
      <c r="RU206" s="54"/>
      <c r="RV206" s="54"/>
      <c r="RW206" s="54"/>
      <c r="RX206" s="54"/>
      <c r="RY206" s="54"/>
      <c r="RZ206" s="54"/>
      <c r="SA206" s="54"/>
      <c r="SB206" s="54"/>
      <c r="SC206" s="54"/>
      <c r="SD206" s="54"/>
      <c r="SE206" s="54"/>
      <c r="SF206" s="54"/>
      <c r="SG206" s="54"/>
      <c r="SH206" s="54"/>
      <c r="SI206" s="54"/>
      <c r="SJ206" s="54"/>
      <c r="SK206" s="54"/>
      <c r="SL206" s="54"/>
      <c r="SM206" s="54"/>
      <c r="SN206" s="54"/>
      <c r="SO206" s="54"/>
      <c r="SP206" s="54"/>
      <c r="SQ206" s="54"/>
      <c r="SR206" s="54"/>
    </row>
    <row r="207" spans="1:512" ht="15" customHeight="1" x14ac:dyDescent="0.7">
      <c r="A207" s="172"/>
      <c r="B207" s="172"/>
      <c r="C207" s="172"/>
      <c r="D207" s="172"/>
      <c r="E207" s="172"/>
      <c r="F207" s="172"/>
      <c r="G207" s="172"/>
      <c r="I207" s="72" t="s">
        <v>344</v>
      </c>
      <c r="J207" s="73" t="s">
        <v>344</v>
      </c>
      <c r="K207" s="190"/>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4"/>
      <c r="EF207" s="54"/>
      <c r="EG207" s="54"/>
      <c r="EH207" s="54"/>
      <c r="EI207" s="54"/>
      <c r="EJ207" s="54"/>
      <c r="EK207" s="54"/>
      <c r="EL207" s="54"/>
      <c r="EM207" s="54"/>
      <c r="EN207" s="54"/>
      <c r="EO207" s="54"/>
      <c r="EP207" s="54"/>
      <c r="EQ207" s="54"/>
      <c r="ER207" s="54"/>
      <c r="ES207" s="54"/>
      <c r="ET207" s="54"/>
      <c r="EU207" s="54"/>
      <c r="EV207" s="54"/>
      <c r="EW207" s="54"/>
      <c r="EX207" s="54"/>
      <c r="EY207" s="54"/>
      <c r="EZ207" s="54"/>
      <c r="FA207" s="54"/>
      <c r="FB207" s="54"/>
      <c r="FC207" s="54"/>
      <c r="FD207" s="54"/>
      <c r="FE207" s="54"/>
      <c r="FF207" s="54"/>
      <c r="FG207" s="54"/>
      <c r="FH207" s="54"/>
      <c r="FI207" s="54"/>
      <c r="FJ207" s="54"/>
      <c r="FK207" s="54"/>
      <c r="FL207" s="54"/>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c r="GV207" s="54"/>
      <c r="GW207" s="54"/>
      <c r="GX207" s="54"/>
      <c r="GY207" s="54"/>
      <c r="GZ207" s="54"/>
      <c r="HA207" s="54"/>
      <c r="HB207" s="54"/>
      <c r="HC207" s="54"/>
      <c r="HD207" s="54"/>
      <c r="HE207" s="54"/>
      <c r="HF207" s="54"/>
      <c r="HG207" s="54"/>
      <c r="HH207" s="54"/>
      <c r="HI207" s="54"/>
      <c r="HJ207" s="54"/>
      <c r="HK207" s="54"/>
      <c r="HL207" s="54"/>
      <c r="HM207" s="54"/>
      <c r="HN207" s="54"/>
      <c r="HO207" s="54"/>
      <c r="HP207" s="54"/>
      <c r="HQ207" s="54"/>
      <c r="HR207" s="54"/>
      <c r="HS207" s="54"/>
      <c r="HT207" s="54"/>
      <c r="HU207" s="54"/>
      <c r="HV207" s="54"/>
      <c r="HW207" s="54"/>
      <c r="HX207" s="54"/>
      <c r="HY207" s="54"/>
      <c r="HZ207" s="54"/>
      <c r="IA207" s="54"/>
      <c r="IB207" s="54"/>
      <c r="IC207" s="54"/>
      <c r="ID207" s="54"/>
      <c r="IE207" s="54"/>
      <c r="IF207" s="54"/>
      <c r="IG207" s="54"/>
      <c r="IH207" s="54"/>
      <c r="II207" s="54"/>
      <c r="IJ207" s="54"/>
      <c r="IK207" s="54"/>
      <c r="IL207" s="54"/>
      <c r="IM207" s="54"/>
      <c r="IN207" s="54"/>
      <c r="IO207" s="54"/>
      <c r="IP207" s="54"/>
      <c r="IQ207" s="54"/>
      <c r="IR207" s="54"/>
      <c r="IS207" s="54"/>
      <c r="IT207" s="54"/>
      <c r="IU207" s="54"/>
      <c r="IV207" s="54"/>
      <c r="IW207" s="54"/>
      <c r="IX207" s="54"/>
      <c r="IY207" s="54"/>
      <c r="IZ207" s="54"/>
      <c r="JA207" s="54"/>
      <c r="JB207" s="54"/>
      <c r="JC207" s="54"/>
      <c r="JD207" s="54"/>
      <c r="JE207" s="54"/>
      <c r="JF207" s="54"/>
      <c r="JG207" s="54"/>
      <c r="JH207" s="54"/>
      <c r="JI207" s="54"/>
      <c r="JJ207" s="54"/>
      <c r="JK207" s="54"/>
      <c r="JL207" s="54"/>
      <c r="JM207" s="54"/>
      <c r="JN207" s="54"/>
      <c r="JO207" s="54"/>
      <c r="JP207" s="54"/>
      <c r="JQ207" s="54"/>
      <c r="JR207" s="54"/>
      <c r="JS207" s="54"/>
      <c r="JT207" s="54"/>
      <c r="JU207" s="54"/>
      <c r="JV207" s="54"/>
      <c r="JW207" s="54"/>
      <c r="JX207" s="54"/>
      <c r="JY207" s="54"/>
      <c r="JZ207" s="54"/>
      <c r="KA207" s="54"/>
      <c r="KB207" s="54"/>
      <c r="KC207" s="54"/>
      <c r="KD207" s="54"/>
      <c r="KE207" s="54"/>
      <c r="KF207" s="54"/>
      <c r="KG207" s="54"/>
      <c r="KH207" s="54"/>
      <c r="KI207" s="54"/>
      <c r="KJ207" s="54"/>
      <c r="KK207" s="54"/>
      <c r="KL207" s="54"/>
      <c r="KM207" s="54"/>
      <c r="KN207" s="54"/>
      <c r="KO207" s="54"/>
      <c r="KP207" s="54"/>
      <c r="KQ207" s="54"/>
      <c r="KR207" s="54"/>
      <c r="KS207" s="54"/>
      <c r="KT207" s="54"/>
      <c r="KU207" s="54"/>
      <c r="KV207" s="54"/>
      <c r="KW207" s="54"/>
      <c r="KX207" s="54"/>
      <c r="KY207" s="54"/>
      <c r="KZ207" s="54"/>
      <c r="LA207" s="54"/>
      <c r="LB207" s="54"/>
      <c r="LC207" s="54"/>
      <c r="LD207" s="54"/>
      <c r="LE207" s="54"/>
      <c r="LF207" s="54"/>
      <c r="LG207" s="54"/>
      <c r="LH207" s="54"/>
      <c r="LI207" s="54"/>
      <c r="LJ207" s="54"/>
      <c r="LK207" s="54"/>
      <c r="LL207" s="54"/>
      <c r="LM207" s="54"/>
      <c r="LN207" s="54"/>
      <c r="LO207" s="54"/>
      <c r="LP207" s="54"/>
      <c r="LQ207" s="54"/>
      <c r="LR207" s="54"/>
      <c r="LS207" s="54"/>
      <c r="LT207" s="54"/>
      <c r="LU207" s="54"/>
      <c r="LV207" s="54"/>
      <c r="LW207" s="54"/>
      <c r="LX207" s="54"/>
      <c r="LY207" s="54"/>
      <c r="LZ207" s="54"/>
      <c r="MA207" s="54"/>
      <c r="MB207" s="54"/>
      <c r="MC207" s="54"/>
      <c r="MD207" s="54"/>
      <c r="ME207" s="54"/>
      <c r="MF207" s="54"/>
      <c r="MG207" s="54"/>
      <c r="MH207" s="54"/>
      <c r="MI207" s="54"/>
      <c r="MJ207" s="54"/>
      <c r="MK207" s="54"/>
      <c r="ML207" s="54"/>
      <c r="MM207" s="54"/>
      <c r="MN207" s="54"/>
      <c r="MO207" s="54"/>
      <c r="MP207" s="54"/>
      <c r="MQ207" s="54"/>
      <c r="MR207" s="54"/>
      <c r="MS207" s="54"/>
      <c r="MT207" s="54"/>
      <c r="MU207" s="54"/>
      <c r="MV207" s="54"/>
      <c r="MW207" s="54"/>
      <c r="MX207" s="54"/>
      <c r="MY207" s="54"/>
      <c r="MZ207" s="54"/>
      <c r="NA207" s="54"/>
      <c r="NB207" s="54"/>
      <c r="NC207" s="54"/>
      <c r="ND207" s="54"/>
      <c r="NE207" s="54"/>
      <c r="NF207" s="54"/>
      <c r="NG207" s="54"/>
      <c r="NH207" s="54"/>
      <c r="NI207" s="54"/>
      <c r="NJ207" s="54"/>
      <c r="NK207" s="54"/>
      <c r="NL207" s="54"/>
      <c r="NM207" s="54"/>
      <c r="NN207" s="54"/>
      <c r="NO207" s="54"/>
      <c r="NP207" s="54"/>
      <c r="NQ207" s="54"/>
      <c r="NR207" s="54"/>
      <c r="NS207" s="54"/>
      <c r="NT207" s="54"/>
      <c r="NU207" s="54"/>
      <c r="NV207" s="54"/>
      <c r="NW207" s="54"/>
      <c r="NX207" s="54"/>
      <c r="NY207" s="54"/>
      <c r="NZ207" s="54"/>
      <c r="OA207" s="54"/>
      <c r="OB207" s="54"/>
      <c r="OC207" s="54"/>
      <c r="OD207" s="54"/>
      <c r="OE207" s="54"/>
      <c r="OF207" s="54"/>
      <c r="OG207" s="54"/>
      <c r="OH207" s="54"/>
      <c r="OI207" s="54"/>
      <c r="OJ207" s="54"/>
      <c r="OK207" s="54"/>
      <c r="OL207" s="54"/>
      <c r="OM207" s="54"/>
      <c r="ON207" s="54"/>
      <c r="OO207" s="54"/>
      <c r="OP207" s="54"/>
      <c r="OQ207" s="54"/>
      <c r="OR207" s="54"/>
      <c r="OS207" s="54"/>
      <c r="OT207" s="54"/>
      <c r="OU207" s="54"/>
      <c r="OV207" s="54"/>
      <c r="OW207" s="54"/>
      <c r="OX207" s="54"/>
      <c r="OY207" s="54"/>
      <c r="OZ207" s="54"/>
      <c r="PA207" s="54"/>
      <c r="PB207" s="54"/>
      <c r="PC207" s="54"/>
      <c r="PD207" s="54"/>
      <c r="PE207" s="54"/>
      <c r="PF207" s="54"/>
      <c r="PG207" s="54"/>
      <c r="PH207" s="54"/>
      <c r="PI207" s="54"/>
      <c r="PJ207" s="54"/>
      <c r="PK207" s="54"/>
      <c r="PL207" s="54"/>
      <c r="PM207" s="54"/>
      <c r="PN207" s="54"/>
      <c r="PO207" s="54"/>
      <c r="PP207" s="54"/>
      <c r="PQ207" s="54"/>
      <c r="PR207" s="54"/>
      <c r="PS207" s="54"/>
      <c r="PT207" s="54"/>
      <c r="PU207" s="54"/>
      <c r="PV207" s="54"/>
      <c r="PW207" s="54"/>
      <c r="PX207" s="54"/>
      <c r="PY207" s="54"/>
      <c r="PZ207" s="54"/>
      <c r="QA207" s="54"/>
      <c r="QB207" s="54"/>
      <c r="QC207" s="54"/>
      <c r="QD207" s="54"/>
      <c r="QE207" s="54"/>
      <c r="QF207" s="54"/>
      <c r="QG207" s="54"/>
      <c r="QH207" s="54"/>
      <c r="QI207" s="54"/>
      <c r="QJ207" s="54"/>
      <c r="QK207" s="54"/>
      <c r="QL207" s="54"/>
      <c r="QM207" s="54"/>
      <c r="QN207" s="54"/>
      <c r="QO207" s="54"/>
      <c r="QP207" s="54"/>
      <c r="QQ207" s="54"/>
      <c r="QR207" s="54"/>
      <c r="QS207" s="54"/>
      <c r="QT207" s="54"/>
      <c r="QU207" s="54"/>
      <c r="QV207" s="54"/>
      <c r="QW207" s="54"/>
      <c r="QX207" s="54"/>
      <c r="QY207" s="54"/>
      <c r="QZ207" s="54"/>
      <c r="RA207" s="54"/>
      <c r="RB207" s="54"/>
      <c r="RC207" s="54"/>
      <c r="RD207" s="54"/>
      <c r="RE207" s="54"/>
      <c r="RF207" s="54"/>
      <c r="RG207" s="54"/>
      <c r="RH207" s="54"/>
      <c r="RI207" s="54"/>
      <c r="RJ207" s="54"/>
      <c r="RK207" s="54"/>
      <c r="RL207" s="54"/>
      <c r="RM207" s="54"/>
      <c r="RN207" s="54"/>
      <c r="RO207" s="54"/>
      <c r="RP207" s="54"/>
      <c r="RQ207" s="54"/>
      <c r="RR207" s="54"/>
      <c r="RS207" s="54"/>
      <c r="RT207" s="54"/>
      <c r="RU207" s="54"/>
      <c r="RV207" s="54"/>
      <c r="RW207" s="54"/>
      <c r="RX207" s="54"/>
      <c r="RY207" s="54"/>
      <c r="RZ207" s="54"/>
      <c r="SA207" s="54"/>
      <c r="SB207" s="54"/>
      <c r="SC207" s="54"/>
      <c r="SD207" s="54"/>
      <c r="SE207" s="54"/>
      <c r="SF207" s="54"/>
      <c r="SG207" s="54"/>
      <c r="SH207" s="54"/>
      <c r="SI207" s="54"/>
      <c r="SJ207" s="54"/>
      <c r="SK207" s="54"/>
      <c r="SL207" s="54"/>
      <c r="SM207" s="54"/>
      <c r="SN207" s="54"/>
      <c r="SO207" s="54"/>
      <c r="SP207" s="54"/>
      <c r="SQ207" s="54"/>
      <c r="SR207" s="54"/>
    </row>
    <row r="208" spans="1:512" s="55" customFormat="1" ht="15" customHeight="1" x14ac:dyDescent="0.7">
      <c r="A208" s="173"/>
      <c r="B208" s="173"/>
      <c r="C208" s="173"/>
      <c r="D208" s="173"/>
      <c r="E208" s="173"/>
      <c r="F208" s="173"/>
      <c r="G208" s="173"/>
      <c r="H208" s="74"/>
      <c r="I208" s="75"/>
      <c r="J208" s="76"/>
      <c r="K208" s="191"/>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c r="CA208" s="56"/>
      <c r="CB208" s="56"/>
      <c r="CC208" s="56"/>
      <c r="CD208" s="56"/>
      <c r="CE208" s="56"/>
      <c r="CF208" s="56"/>
      <c r="CG208" s="56"/>
      <c r="CH208" s="56"/>
      <c r="CI208" s="56"/>
      <c r="CJ208" s="56"/>
      <c r="CK208" s="56"/>
      <c r="CL208" s="56"/>
      <c r="CM208" s="56"/>
      <c r="CN208" s="56"/>
      <c r="CO208" s="56"/>
      <c r="CP208" s="56"/>
      <c r="CQ208" s="56"/>
      <c r="CR208" s="56"/>
      <c r="CS208" s="56"/>
      <c r="CT208" s="56"/>
      <c r="CU208" s="56"/>
      <c r="CV208" s="56"/>
      <c r="CW208" s="56"/>
      <c r="CX208" s="56"/>
      <c r="CY208" s="56"/>
      <c r="CZ208" s="56"/>
      <c r="DA208" s="56"/>
      <c r="DB208" s="56"/>
      <c r="DC208" s="56"/>
      <c r="DD208" s="56"/>
      <c r="DE208" s="56"/>
      <c r="DF208" s="56"/>
      <c r="DG208" s="56"/>
      <c r="DH208" s="56"/>
      <c r="DI208" s="56"/>
      <c r="DJ208" s="56"/>
      <c r="DK208" s="56"/>
      <c r="DL208" s="56"/>
      <c r="DM208" s="56"/>
      <c r="DN208" s="56"/>
      <c r="DO208" s="56"/>
      <c r="DP208" s="56"/>
      <c r="DQ208" s="56"/>
      <c r="DR208" s="56"/>
      <c r="DS208" s="56"/>
      <c r="DT208" s="56"/>
      <c r="DU208" s="56"/>
      <c r="DV208" s="56"/>
      <c r="DW208" s="56"/>
      <c r="DX208" s="56"/>
      <c r="DY208" s="56"/>
      <c r="DZ208" s="56"/>
      <c r="EA208" s="56"/>
      <c r="EB208" s="56"/>
      <c r="EC208" s="56"/>
      <c r="ED208" s="56"/>
      <c r="EE208" s="56"/>
      <c r="EF208" s="56"/>
      <c r="EG208" s="56"/>
      <c r="EH208" s="56"/>
      <c r="EI208" s="56"/>
      <c r="EJ208" s="56"/>
      <c r="EK208" s="56"/>
      <c r="EL208" s="56"/>
      <c r="EM208" s="56"/>
      <c r="EN208" s="56"/>
      <c r="EO208" s="56"/>
      <c r="EP208" s="56"/>
      <c r="EQ208" s="56"/>
      <c r="ER208" s="56"/>
      <c r="ES208" s="56"/>
      <c r="ET208" s="56"/>
      <c r="EU208" s="56"/>
      <c r="EV208" s="56"/>
      <c r="EW208" s="56"/>
      <c r="EX208" s="56"/>
      <c r="EY208" s="56"/>
      <c r="EZ208" s="56"/>
      <c r="FA208" s="56"/>
      <c r="FB208" s="56"/>
      <c r="FC208" s="56"/>
      <c r="FD208" s="56"/>
      <c r="FE208" s="56"/>
      <c r="FF208" s="56"/>
      <c r="FG208" s="56"/>
      <c r="FH208" s="56"/>
      <c r="FI208" s="56"/>
      <c r="FJ208" s="56"/>
      <c r="FK208" s="56"/>
      <c r="FL208" s="56"/>
      <c r="FM208" s="56"/>
      <c r="FN208" s="56"/>
      <c r="FO208" s="56"/>
      <c r="FP208" s="56"/>
      <c r="FQ208" s="56"/>
      <c r="FR208" s="56"/>
      <c r="FS208" s="56"/>
      <c r="FT208" s="56"/>
      <c r="FU208" s="56"/>
      <c r="FV208" s="56"/>
      <c r="FW208" s="56"/>
      <c r="FX208" s="56"/>
      <c r="FY208" s="56"/>
      <c r="FZ208" s="56"/>
      <c r="GA208" s="56"/>
      <c r="GB208" s="56"/>
      <c r="GC208" s="56"/>
      <c r="GD208" s="56"/>
      <c r="GE208" s="56"/>
      <c r="GF208" s="56"/>
      <c r="GG208" s="56"/>
      <c r="GH208" s="56"/>
      <c r="GI208" s="56"/>
      <c r="GJ208" s="56"/>
      <c r="GK208" s="56"/>
      <c r="GL208" s="56"/>
      <c r="GM208" s="56"/>
      <c r="GN208" s="56"/>
      <c r="GO208" s="56"/>
      <c r="GP208" s="56"/>
      <c r="GQ208" s="56"/>
      <c r="GR208" s="56"/>
      <c r="GS208" s="56"/>
      <c r="GT208" s="56"/>
      <c r="GU208" s="56"/>
      <c r="GV208" s="56"/>
      <c r="GW208" s="56"/>
      <c r="GX208" s="56"/>
      <c r="GY208" s="56"/>
      <c r="GZ208" s="56"/>
      <c r="HA208" s="56"/>
      <c r="HB208" s="56"/>
      <c r="HC208" s="56"/>
      <c r="HD208" s="56"/>
      <c r="HE208" s="56"/>
      <c r="HF208" s="56"/>
      <c r="HG208" s="56"/>
      <c r="HH208" s="56"/>
      <c r="HI208" s="56"/>
      <c r="HJ208" s="56"/>
      <c r="HK208" s="56"/>
      <c r="HL208" s="56"/>
      <c r="HM208" s="56"/>
      <c r="HN208" s="56"/>
      <c r="HO208" s="56"/>
      <c r="HP208" s="56"/>
      <c r="HQ208" s="56"/>
      <c r="HR208" s="56"/>
      <c r="HS208" s="56"/>
      <c r="HT208" s="56"/>
      <c r="HU208" s="56"/>
      <c r="HV208" s="56"/>
      <c r="HW208" s="56"/>
      <c r="HX208" s="56"/>
      <c r="HY208" s="56"/>
      <c r="HZ208" s="56"/>
      <c r="IA208" s="56"/>
      <c r="IB208" s="56"/>
      <c r="IC208" s="56"/>
      <c r="ID208" s="56"/>
      <c r="IE208" s="56"/>
      <c r="IF208" s="56"/>
      <c r="IG208" s="56"/>
      <c r="IH208" s="56"/>
      <c r="II208" s="56"/>
      <c r="IJ208" s="56"/>
      <c r="IK208" s="56"/>
      <c r="IL208" s="56"/>
      <c r="IM208" s="56"/>
      <c r="IN208" s="56"/>
      <c r="IO208" s="56"/>
      <c r="IP208" s="56"/>
      <c r="IQ208" s="56"/>
      <c r="IR208" s="56"/>
      <c r="IS208" s="56"/>
      <c r="IT208" s="56"/>
      <c r="IU208" s="56"/>
      <c r="IV208" s="56"/>
      <c r="IW208" s="56"/>
      <c r="IX208" s="56"/>
      <c r="IY208" s="56"/>
      <c r="IZ208" s="56"/>
      <c r="JA208" s="56"/>
      <c r="JB208" s="56"/>
      <c r="JC208" s="56"/>
      <c r="JD208" s="56"/>
      <c r="JE208" s="56"/>
      <c r="JF208" s="56"/>
      <c r="JG208" s="56"/>
      <c r="JH208" s="56"/>
      <c r="JI208" s="56"/>
      <c r="JJ208" s="56"/>
      <c r="JK208" s="56"/>
      <c r="JL208" s="56"/>
      <c r="JM208" s="56"/>
      <c r="JN208" s="56"/>
      <c r="JO208" s="56"/>
      <c r="JP208" s="56"/>
      <c r="JQ208" s="56"/>
      <c r="JR208" s="56"/>
      <c r="JS208" s="56"/>
      <c r="JT208" s="56"/>
      <c r="JU208" s="56"/>
      <c r="JV208" s="56"/>
      <c r="JW208" s="56"/>
      <c r="JX208" s="56"/>
      <c r="JY208" s="56"/>
      <c r="JZ208" s="56"/>
      <c r="KA208" s="56"/>
      <c r="KB208" s="56"/>
      <c r="KC208" s="56"/>
      <c r="KD208" s="56"/>
      <c r="KE208" s="56"/>
      <c r="KF208" s="56"/>
      <c r="KG208" s="56"/>
      <c r="KH208" s="56"/>
      <c r="KI208" s="56"/>
      <c r="KJ208" s="56"/>
      <c r="KK208" s="56"/>
      <c r="KL208" s="56"/>
      <c r="KM208" s="56"/>
      <c r="KN208" s="56"/>
      <c r="KO208" s="56"/>
      <c r="KP208" s="56"/>
      <c r="KQ208" s="56"/>
      <c r="KR208" s="56"/>
      <c r="KS208" s="56"/>
      <c r="KT208" s="56"/>
      <c r="KU208" s="56"/>
      <c r="KV208" s="56"/>
      <c r="KW208" s="56"/>
      <c r="KX208" s="56"/>
      <c r="KY208" s="56"/>
      <c r="KZ208" s="56"/>
      <c r="LA208" s="56"/>
      <c r="LB208" s="56"/>
      <c r="LC208" s="56"/>
      <c r="LD208" s="56"/>
      <c r="LE208" s="56"/>
      <c r="LF208" s="56"/>
      <c r="LG208" s="56"/>
      <c r="LH208" s="56"/>
      <c r="LI208" s="56"/>
      <c r="LJ208" s="56"/>
      <c r="LK208" s="56"/>
      <c r="LL208" s="56"/>
      <c r="LM208" s="56"/>
      <c r="LN208" s="56"/>
      <c r="LO208" s="56"/>
      <c r="LP208" s="56"/>
      <c r="LQ208" s="56"/>
      <c r="LR208" s="56"/>
      <c r="LS208" s="56"/>
      <c r="LT208" s="56"/>
      <c r="LU208" s="56"/>
      <c r="LV208" s="56"/>
      <c r="LW208" s="56"/>
      <c r="LX208" s="56"/>
      <c r="LY208" s="56"/>
      <c r="LZ208" s="56"/>
      <c r="MA208" s="56"/>
      <c r="MB208" s="56"/>
      <c r="MC208" s="56"/>
      <c r="MD208" s="56"/>
      <c r="ME208" s="56"/>
      <c r="MF208" s="56"/>
      <c r="MG208" s="56"/>
      <c r="MH208" s="56"/>
      <c r="MI208" s="56"/>
      <c r="MJ208" s="56"/>
      <c r="MK208" s="56"/>
      <c r="ML208" s="56"/>
      <c r="MM208" s="56"/>
      <c r="MN208" s="56"/>
      <c r="MO208" s="56"/>
      <c r="MP208" s="56"/>
      <c r="MQ208" s="56"/>
      <c r="MR208" s="56"/>
      <c r="MS208" s="56"/>
      <c r="MT208" s="56"/>
      <c r="MU208" s="56"/>
      <c r="MV208" s="56"/>
      <c r="MW208" s="56"/>
      <c r="MX208" s="56"/>
      <c r="MY208" s="56"/>
      <c r="MZ208" s="56"/>
      <c r="NA208" s="56"/>
      <c r="NB208" s="56"/>
      <c r="NC208" s="56"/>
      <c r="ND208" s="56"/>
      <c r="NE208" s="56"/>
      <c r="NF208" s="56"/>
      <c r="NG208" s="56"/>
      <c r="NH208" s="56"/>
      <c r="NI208" s="56"/>
      <c r="NJ208" s="56"/>
      <c r="NK208" s="56"/>
      <c r="NL208" s="56"/>
      <c r="NM208" s="56"/>
      <c r="NN208" s="56"/>
      <c r="NO208" s="56"/>
      <c r="NP208" s="56"/>
      <c r="NQ208" s="56"/>
      <c r="NR208" s="56"/>
      <c r="NS208" s="56"/>
      <c r="NT208" s="56"/>
      <c r="NU208" s="56"/>
      <c r="NV208" s="56"/>
      <c r="NW208" s="56"/>
      <c r="NX208" s="56"/>
      <c r="NY208" s="56"/>
      <c r="NZ208" s="56"/>
      <c r="OA208" s="56"/>
      <c r="OB208" s="56"/>
      <c r="OC208" s="56"/>
      <c r="OD208" s="56"/>
      <c r="OE208" s="56"/>
      <c r="OF208" s="56"/>
      <c r="OG208" s="56"/>
      <c r="OH208" s="56"/>
      <c r="OI208" s="56"/>
      <c r="OJ208" s="56"/>
      <c r="OK208" s="56"/>
      <c r="OL208" s="56"/>
      <c r="OM208" s="56"/>
      <c r="ON208" s="56"/>
      <c r="OO208" s="56"/>
      <c r="OP208" s="56"/>
      <c r="OQ208" s="56"/>
      <c r="OR208" s="56"/>
      <c r="OS208" s="56"/>
      <c r="OT208" s="56"/>
      <c r="OU208" s="56"/>
      <c r="OV208" s="56"/>
      <c r="OW208" s="56"/>
      <c r="OX208" s="56"/>
      <c r="OY208" s="56"/>
      <c r="OZ208" s="56"/>
      <c r="PA208" s="56"/>
      <c r="PB208" s="56"/>
      <c r="PC208" s="56"/>
      <c r="PD208" s="56"/>
      <c r="PE208" s="56"/>
      <c r="PF208" s="56"/>
      <c r="PG208" s="56"/>
      <c r="PH208" s="56"/>
      <c r="PI208" s="56"/>
      <c r="PJ208" s="56"/>
      <c r="PK208" s="56"/>
      <c r="PL208" s="56"/>
      <c r="PM208" s="56"/>
      <c r="PN208" s="56"/>
      <c r="PO208" s="56"/>
      <c r="PP208" s="56"/>
      <c r="PQ208" s="56"/>
      <c r="PR208" s="56"/>
      <c r="PS208" s="56"/>
      <c r="PT208" s="56"/>
      <c r="PU208" s="56"/>
      <c r="PV208" s="56"/>
      <c r="PW208" s="56"/>
      <c r="PX208" s="56"/>
      <c r="PY208" s="56"/>
      <c r="PZ208" s="56"/>
      <c r="QA208" s="56"/>
      <c r="QB208" s="56"/>
      <c r="QC208" s="56"/>
      <c r="QD208" s="56"/>
      <c r="QE208" s="56"/>
      <c r="QF208" s="56"/>
      <c r="QG208" s="56"/>
      <c r="QH208" s="56"/>
      <c r="QI208" s="56"/>
      <c r="QJ208" s="56"/>
      <c r="QK208" s="56"/>
      <c r="QL208" s="56"/>
      <c r="QM208" s="56"/>
      <c r="QN208" s="56"/>
      <c r="QO208" s="56"/>
      <c r="QP208" s="56"/>
      <c r="QQ208" s="56"/>
      <c r="QR208" s="56"/>
      <c r="QS208" s="56"/>
      <c r="QT208" s="56"/>
      <c r="QU208" s="56"/>
      <c r="QV208" s="56"/>
      <c r="QW208" s="56"/>
      <c r="QX208" s="56"/>
      <c r="QY208" s="56"/>
      <c r="QZ208" s="56"/>
      <c r="RA208" s="56"/>
      <c r="RB208" s="56"/>
      <c r="RC208" s="56"/>
      <c r="RD208" s="56"/>
      <c r="RE208" s="56"/>
      <c r="RF208" s="56"/>
      <c r="RG208" s="56"/>
      <c r="RH208" s="56"/>
      <c r="RI208" s="56"/>
      <c r="RJ208" s="56"/>
      <c r="RK208" s="56"/>
      <c r="RL208" s="56"/>
      <c r="RM208" s="56"/>
      <c r="RN208" s="56"/>
      <c r="RO208" s="56"/>
      <c r="RP208" s="56"/>
      <c r="RQ208" s="56"/>
      <c r="RR208" s="56"/>
      <c r="RS208" s="56"/>
      <c r="RT208" s="56"/>
      <c r="RU208" s="56"/>
      <c r="RV208" s="56"/>
      <c r="RW208" s="56"/>
      <c r="RX208" s="56"/>
      <c r="RY208" s="56"/>
      <c r="RZ208" s="56"/>
      <c r="SA208" s="56"/>
      <c r="SB208" s="56"/>
      <c r="SC208" s="56"/>
      <c r="SD208" s="56"/>
      <c r="SE208" s="56"/>
      <c r="SF208" s="56"/>
      <c r="SG208" s="56"/>
      <c r="SH208" s="56"/>
      <c r="SI208" s="56"/>
      <c r="SJ208" s="56"/>
      <c r="SK208" s="56"/>
      <c r="SL208" s="56"/>
      <c r="SM208" s="56"/>
      <c r="SN208" s="56"/>
      <c r="SO208" s="56"/>
      <c r="SP208" s="56"/>
      <c r="SQ208" s="56"/>
      <c r="SR208" s="56"/>
    </row>
    <row r="209" spans="1:512" ht="15" customHeight="1" x14ac:dyDescent="0.7">
      <c r="A209" s="171" t="s">
        <v>344</v>
      </c>
      <c r="B209" s="171" t="s">
        <v>344</v>
      </c>
      <c r="C209" s="171" t="s">
        <v>344</v>
      </c>
      <c r="D209" s="171"/>
      <c r="E209" s="171" t="s">
        <v>344</v>
      </c>
      <c r="F209" s="171"/>
      <c r="G209" s="188" t="s">
        <v>344</v>
      </c>
      <c r="H209" s="71" t="s">
        <v>344</v>
      </c>
      <c r="I209" s="72" t="s">
        <v>344</v>
      </c>
      <c r="J209" s="73" t="s">
        <v>344</v>
      </c>
      <c r="K209" s="189" t="s">
        <v>344</v>
      </c>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4"/>
      <c r="EF209" s="54"/>
      <c r="EG209" s="54"/>
      <c r="EH209" s="54"/>
      <c r="EI209" s="54"/>
      <c r="EJ209" s="54"/>
      <c r="EK209" s="54"/>
      <c r="EL209" s="54"/>
      <c r="EM209" s="54"/>
      <c r="EN209" s="54"/>
      <c r="EO209" s="54"/>
      <c r="EP209" s="54"/>
      <c r="EQ209" s="54"/>
      <c r="ER209" s="54"/>
      <c r="ES209" s="54"/>
      <c r="ET209" s="54"/>
      <c r="EU209" s="54"/>
      <c r="EV209" s="54"/>
      <c r="EW209" s="54"/>
      <c r="EX209" s="54"/>
      <c r="EY209" s="54"/>
      <c r="EZ209" s="54"/>
      <c r="FA209" s="54"/>
      <c r="FB209" s="54"/>
      <c r="FC209" s="54"/>
      <c r="FD209" s="54"/>
      <c r="FE209" s="54"/>
      <c r="FF209" s="54"/>
      <c r="FG209" s="54"/>
      <c r="FH209" s="54"/>
      <c r="FI209" s="54"/>
      <c r="FJ209" s="54"/>
      <c r="FK209" s="54"/>
      <c r="FL209" s="54"/>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c r="GV209" s="54"/>
      <c r="GW209" s="54"/>
      <c r="GX209" s="54"/>
      <c r="GY209" s="54"/>
      <c r="GZ209" s="54"/>
      <c r="HA209" s="54"/>
      <c r="HB209" s="54"/>
      <c r="HC209" s="54"/>
      <c r="HD209" s="54"/>
      <c r="HE209" s="54"/>
      <c r="HF209" s="54"/>
      <c r="HG209" s="54"/>
      <c r="HH209" s="54"/>
      <c r="HI209" s="54"/>
      <c r="HJ209" s="54"/>
      <c r="HK209" s="54"/>
      <c r="HL209" s="54"/>
      <c r="HM209" s="54"/>
      <c r="HN209" s="54"/>
      <c r="HO209" s="54"/>
      <c r="HP209" s="54"/>
      <c r="HQ209" s="54"/>
      <c r="HR209" s="54"/>
      <c r="HS209" s="54"/>
      <c r="HT209" s="54"/>
      <c r="HU209" s="54"/>
      <c r="HV209" s="54"/>
      <c r="HW209" s="54"/>
      <c r="HX209" s="54"/>
      <c r="HY209" s="54"/>
      <c r="HZ209" s="54"/>
      <c r="IA209" s="54"/>
      <c r="IB209" s="54"/>
      <c r="IC209" s="54"/>
      <c r="ID209" s="54"/>
      <c r="IE209" s="54"/>
      <c r="IF209" s="54"/>
      <c r="IG209" s="54"/>
      <c r="IH209" s="54"/>
      <c r="II209" s="54"/>
      <c r="IJ209" s="54"/>
      <c r="IK209" s="54"/>
      <c r="IL209" s="54"/>
      <c r="IM209" s="54"/>
      <c r="IN209" s="54"/>
      <c r="IO209" s="54"/>
      <c r="IP209" s="54"/>
      <c r="IQ209" s="54"/>
      <c r="IR209" s="54"/>
      <c r="IS209" s="54"/>
      <c r="IT209" s="54"/>
      <c r="IU209" s="54"/>
      <c r="IV209" s="54"/>
      <c r="IW209" s="54"/>
      <c r="IX209" s="54"/>
      <c r="IY209" s="54"/>
      <c r="IZ209" s="54"/>
      <c r="JA209" s="54"/>
      <c r="JB209" s="54"/>
      <c r="JC209" s="54"/>
      <c r="JD209" s="54"/>
      <c r="JE209" s="54"/>
      <c r="JF209" s="54"/>
      <c r="JG209" s="54"/>
      <c r="JH209" s="54"/>
      <c r="JI209" s="54"/>
      <c r="JJ209" s="54"/>
      <c r="JK209" s="54"/>
      <c r="JL209" s="54"/>
      <c r="JM209" s="54"/>
      <c r="JN209" s="54"/>
      <c r="JO209" s="54"/>
      <c r="JP209" s="54"/>
      <c r="JQ209" s="54"/>
      <c r="JR209" s="54"/>
      <c r="JS209" s="54"/>
      <c r="JT209" s="54"/>
      <c r="JU209" s="54"/>
      <c r="JV209" s="54"/>
      <c r="JW209" s="54"/>
      <c r="JX209" s="54"/>
      <c r="JY209" s="54"/>
      <c r="JZ209" s="54"/>
      <c r="KA209" s="54"/>
      <c r="KB209" s="54"/>
      <c r="KC209" s="54"/>
      <c r="KD209" s="54"/>
      <c r="KE209" s="54"/>
      <c r="KF209" s="54"/>
      <c r="KG209" s="54"/>
      <c r="KH209" s="54"/>
      <c r="KI209" s="54"/>
      <c r="KJ209" s="54"/>
      <c r="KK209" s="54"/>
      <c r="KL209" s="54"/>
      <c r="KM209" s="54"/>
      <c r="KN209" s="54"/>
      <c r="KO209" s="54"/>
      <c r="KP209" s="54"/>
      <c r="KQ209" s="54"/>
      <c r="KR209" s="54"/>
      <c r="KS209" s="54"/>
      <c r="KT209" s="54"/>
      <c r="KU209" s="54"/>
      <c r="KV209" s="54"/>
      <c r="KW209" s="54"/>
      <c r="KX209" s="54"/>
      <c r="KY209" s="54"/>
      <c r="KZ209" s="54"/>
      <c r="LA209" s="54"/>
      <c r="LB209" s="54"/>
      <c r="LC209" s="54"/>
      <c r="LD209" s="54"/>
      <c r="LE209" s="54"/>
      <c r="LF209" s="54"/>
      <c r="LG209" s="54"/>
      <c r="LH209" s="54"/>
      <c r="LI209" s="54"/>
      <c r="LJ209" s="54"/>
      <c r="LK209" s="54"/>
      <c r="LL209" s="54"/>
      <c r="LM209" s="54"/>
      <c r="LN209" s="54"/>
      <c r="LO209" s="54"/>
      <c r="LP209" s="54"/>
      <c r="LQ209" s="54"/>
      <c r="LR209" s="54"/>
      <c r="LS209" s="54"/>
      <c r="LT209" s="54"/>
      <c r="LU209" s="54"/>
      <c r="LV209" s="54"/>
      <c r="LW209" s="54"/>
      <c r="LX209" s="54"/>
      <c r="LY209" s="54"/>
      <c r="LZ209" s="54"/>
      <c r="MA209" s="54"/>
      <c r="MB209" s="54"/>
      <c r="MC209" s="54"/>
      <c r="MD209" s="54"/>
      <c r="ME209" s="54"/>
      <c r="MF209" s="54"/>
      <c r="MG209" s="54"/>
      <c r="MH209" s="54"/>
      <c r="MI209" s="54"/>
      <c r="MJ209" s="54"/>
      <c r="MK209" s="54"/>
      <c r="ML209" s="54"/>
      <c r="MM209" s="54"/>
      <c r="MN209" s="54"/>
      <c r="MO209" s="54"/>
      <c r="MP209" s="54"/>
      <c r="MQ209" s="54"/>
      <c r="MR209" s="54"/>
      <c r="MS209" s="54"/>
      <c r="MT209" s="54"/>
      <c r="MU209" s="54"/>
      <c r="MV209" s="54"/>
      <c r="MW209" s="54"/>
      <c r="MX209" s="54"/>
      <c r="MY209" s="54"/>
      <c r="MZ209" s="54"/>
      <c r="NA209" s="54"/>
      <c r="NB209" s="54"/>
      <c r="NC209" s="54"/>
      <c r="ND209" s="54"/>
      <c r="NE209" s="54"/>
      <c r="NF209" s="54"/>
      <c r="NG209" s="54"/>
      <c r="NH209" s="54"/>
      <c r="NI209" s="54"/>
      <c r="NJ209" s="54"/>
      <c r="NK209" s="54"/>
      <c r="NL209" s="54"/>
      <c r="NM209" s="54"/>
      <c r="NN209" s="54"/>
      <c r="NO209" s="54"/>
      <c r="NP209" s="54"/>
      <c r="NQ209" s="54"/>
      <c r="NR209" s="54"/>
      <c r="NS209" s="54"/>
      <c r="NT209" s="54"/>
      <c r="NU209" s="54"/>
      <c r="NV209" s="54"/>
      <c r="NW209" s="54"/>
      <c r="NX209" s="54"/>
      <c r="NY209" s="54"/>
      <c r="NZ209" s="54"/>
      <c r="OA209" s="54"/>
      <c r="OB209" s="54"/>
      <c r="OC209" s="54"/>
      <c r="OD209" s="54"/>
      <c r="OE209" s="54"/>
      <c r="OF209" s="54"/>
      <c r="OG209" s="54"/>
      <c r="OH209" s="54"/>
      <c r="OI209" s="54"/>
      <c r="OJ209" s="54"/>
      <c r="OK209" s="54"/>
      <c r="OL209" s="54"/>
      <c r="OM209" s="54"/>
      <c r="ON209" s="54"/>
      <c r="OO209" s="54"/>
      <c r="OP209" s="54"/>
      <c r="OQ209" s="54"/>
      <c r="OR209" s="54"/>
      <c r="OS209" s="54"/>
      <c r="OT209" s="54"/>
      <c r="OU209" s="54"/>
      <c r="OV209" s="54"/>
      <c r="OW209" s="54"/>
      <c r="OX209" s="54"/>
      <c r="OY209" s="54"/>
      <c r="OZ209" s="54"/>
      <c r="PA209" s="54"/>
      <c r="PB209" s="54"/>
      <c r="PC209" s="54"/>
      <c r="PD209" s="54"/>
      <c r="PE209" s="54"/>
      <c r="PF209" s="54"/>
      <c r="PG209" s="54"/>
      <c r="PH209" s="54"/>
      <c r="PI209" s="54"/>
      <c r="PJ209" s="54"/>
      <c r="PK209" s="54"/>
      <c r="PL209" s="54"/>
      <c r="PM209" s="54"/>
      <c r="PN209" s="54"/>
      <c r="PO209" s="54"/>
      <c r="PP209" s="54"/>
      <c r="PQ209" s="54"/>
      <c r="PR209" s="54"/>
      <c r="PS209" s="54"/>
      <c r="PT209" s="54"/>
      <c r="PU209" s="54"/>
      <c r="PV209" s="54"/>
      <c r="PW209" s="54"/>
      <c r="PX209" s="54"/>
      <c r="PY209" s="54"/>
      <c r="PZ209" s="54"/>
      <c r="QA209" s="54"/>
      <c r="QB209" s="54"/>
      <c r="QC209" s="54"/>
      <c r="QD209" s="54"/>
      <c r="QE209" s="54"/>
      <c r="QF209" s="54"/>
      <c r="QG209" s="54"/>
      <c r="QH209" s="54"/>
      <c r="QI209" s="54"/>
      <c r="QJ209" s="54"/>
      <c r="QK209" s="54"/>
      <c r="QL209" s="54"/>
      <c r="QM209" s="54"/>
      <c r="QN209" s="54"/>
      <c r="QO209" s="54"/>
      <c r="QP209" s="54"/>
      <c r="QQ209" s="54"/>
      <c r="QR209" s="54"/>
      <c r="QS209" s="54"/>
      <c r="QT209" s="54"/>
      <c r="QU209" s="54"/>
      <c r="QV209" s="54"/>
      <c r="QW209" s="54"/>
      <c r="QX209" s="54"/>
      <c r="QY209" s="54"/>
      <c r="QZ209" s="54"/>
      <c r="RA209" s="54"/>
      <c r="RB209" s="54"/>
      <c r="RC209" s="54"/>
      <c r="RD209" s="54"/>
      <c r="RE209" s="54"/>
      <c r="RF209" s="54"/>
      <c r="RG209" s="54"/>
      <c r="RH209" s="54"/>
      <c r="RI209" s="54"/>
      <c r="RJ209" s="54"/>
      <c r="RK209" s="54"/>
      <c r="RL209" s="54"/>
      <c r="RM209" s="54"/>
      <c r="RN209" s="54"/>
      <c r="RO209" s="54"/>
      <c r="RP209" s="54"/>
      <c r="RQ209" s="54"/>
      <c r="RR209" s="54"/>
      <c r="RS209" s="54"/>
      <c r="RT209" s="54"/>
      <c r="RU209" s="54"/>
      <c r="RV209" s="54"/>
      <c r="RW209" s="54"/>
      <c r="RX209" s="54"/>
      <c r="RY209" s="54"/>
      <c r="RZ209" s="54"/>
      <c r="SA209" s="54"/>
      <c r="SB209" s="54"/>
      <c r="SC209" s="54"/>
      <c r="SD209" s="54"/>
      <c r="SE209" s="54"/>
      <c r="SF209" s="54"/>
      <c r="SG209" s="54"/>
      <c r="SH209" s="54"/>
      <c r="SI209" s="54"/>
      <c r="SJ209" s="54"/>
      <c r="SK209" s="54"/>
      <c r="SL209" s="54"/>
      <c r="SM209" s="54"/>
      <c r="SN209" s="54"/>
      <c r="SO209" s="54"/>
      <c r="SP209" s="54"/>
      <c r="SQ209" s="54"/>
      <c r="SR209" s="54"/>
    </row>
    <row r="210" spans="1:512" ht="15" customHeight="1" x14ac:dyDescent="0.7">
      <c r="A210" s="172"/>
      <c r="B210" s="172"/>
      <c r="C210" s="172"/>
      <c r="D210" s="172"/>
      <c r="E210" s="172"/>
      <c r="F210" s="172"/>
      <c r="G210" s="172"/>
      <c r="I210" s="72" t="s">
        <v>344</v>
      </c>
      <c r="J210" s="73" t="s">
        <v>344</v>
      </c>
      <c r="K210" s="190"/>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4"/>
      <c r="EF210" s="54"/>
      <c r="EG210" s="54"/>
      <c r="EH210" s="54"/>
      <c r="EI210" s="54"/>
      <c r="EJ210" s="54"/>
      <c r="EK210" s="54"/>
      <c r="EL210" s="54"/>
      <c r="EM210" s="54"/>
      <c r="EN210" s="54"/>
      <c r="EO210" s="54"/>
      <c r="EP210" s="54"/>
      <c r="EQ210" s="54"/>
      <c r="ER210" s="54"/>
      <c r="ES210" s="54"/>
      <c r="ET210" s="54"/>
      <c r="EU210" s="54"/>
      <c r="EV210" s="54"/>
      <c r="EW210" s="54"/>
      <c r="EX210" s="54"/>
      <c r="EY210" s="54"/>
      <c r="EZ210" s="54"/>
      <c r="FA210" s="54"/>
      <c r="FB210" s="54"/>
      <c r="FC210" s="54"/>
      <c r="FD210" s="54"/>
      <c r="FE210" s="54"/>
      <c r="FF210" s="54"/>
      <c r="FG210" s="54"/>
      <c r="FH210" s="54"/>
      <c r="FI210" s="54"/>
      <c r="FJ210" s="54"/>
      <c r="FK210" s="54"/>
      <c r="FL210" s="54"/>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c r="GV210" s="54"/>
      <c r="GW210" s="54"/>
      <c r="GX210" s="54"/>
      <c r="GY210" s="54"/>
      <c r="GZ210" s="54"/>
      <c r="HA210" s="54"/>
      <c r="HB210" s="54"/>
      <c r="HC210" s="54"/>
      <c r="HD210" s="54"/>
      <c r="HE210" s="54"/>
      <c r="HF210" s="54"/>
      <c r="HG210" s="54"/>
      <c r="HH210" s="54"/>
      <c r="HI210" s="54"/>
      <c r="HJ210" s="54"/>
      <c r="HK210" s="54"/>
      <c r="HL210" s="54"/>
      <c r="HM210" s="54"/>
      <c r="HN210" s="54"/>
      <c r="HO210" s="54"/>
      <c r="HP210" s="54"/>
      <c r="HQ210" s="54"/>
      <c r="HR210" s="54"/>
      <c r="HS210" s="54"/>
      <c r="HT210" s="54"/>
      <c r="HU210" s="54"/>
      <c r="HV210" s="54"/>
      <c r="HW210" s="54"/>
      <c r="HX210" s="54"/>
      <c r="HY210" s="54"/>
      <c r="HZ210" s="54"/>
      <c r="IA210" s="54"/>
      <c r="IB210" s="54"/>
      <c r="IC210" s="54"/>
      <c r="ID210" s="54"/>
      <c r="IE210" s="54"/>
      <c r="IF210" s="54"/>
      <c r="IG210" s="54"/>
      <c r="IH210" s="54"/>
      <c r="II210" s="54"/>
      <c r="IJ210" s="54"/>
      <c r="IK210" s="54"/>
      <c r="IL210" s="54"/>
      <c r="IM210" s="54"/>
      <c r="IN210" s="54"/>
      <c r="IO210" s="54"/>
      <c r="IP210" s="54"/>
      <c r="IQ210" s="54"/>
      <c r="IR210" s="54"/>
      <c r="IS210" s="54"/>
      <c r="IT210" s="54"/>
      <c r="IU210" s="54"/>
      <c r="IV210" s="54"/>
      <c r="IW210" s="54"/>
      <c r="IX210" s="54"/>
      <c r="IY210" s="54"/>
      <c r="IZ210" s="54"/>
      <c r="JA210" s="54"/>
      <c r="JB210" s="54"/>
      <c r="JC210" s="54"/>
      <c r="JD210" s="54"/>
      <c r="JE210" s="54"/>
      <c r="JF210" s="54"/>
      <c r="JG210" s="54"/>
      <c r="JH210" s="54"/>
      <c r="JI210" s="54"/>
      <c r="JJ210" s="54"/>
      <c r="JK210" s="54"/>
      <c r="JL210" s="54"/>
      <c r="JM210" s="54"/>
      <c r="JN210" s="54"/>
      <c r="JO210" s="54"/>
      <c r="JP210" s="54"/>
      <c r="JQ210" s="54"/>
      <c r="JR210" s="54"/>
      <c r="JS210" s="54"/>
      <c r="JT210" s="54"/>
      <c r="JU210" s="54"/>
      <c r="JV210" s="54"/>
      <c r="JW210" s="54"/>
      <c r="JX210" s="54"/>
      <c r="JY210" s="54"/>
      <c r="JZ210" s="54"/>
      <c r="KA210" s="54"/>
      <c r="KB210" s="54"/>
      <c r="KC210" s="54"/>
      <c r="KD210" s="54"/>
      <c r="KE210" s="54"/>
      <c r="KF210" s="54"/>
      <c r="KG210" s="54"/>
      <c r="KH210" s="54"/>
      <c r="KI210" s="54"/>
      <c r="KJ210" s="54"/>
      <c r="KK210" s="54"/>
      <c r="KL210" s="54"/>
      <c r="KM210" s="54"/>
      <c r="KN210" s="54"/>
      <c r="KO210" s="54"/>
      <c r="KP210" s="54"/>
      <c r="KQ210" s="54"/>
      <c r="KR210" s="54"/>
      <c r="KS210" s="54"/>
      <c r="KT210" s="54"/>
      <c r="KU210" s="54"/>
      <c r="KV210" s="54"/>
      <c r="KW210" s="54"/>
      <c r="KX210" s="54"/>
      <c r="KY210" s="54"/>
      <c r="KZ210" s="54"/>
      <c r="LA210" s="54"/>
      <c r="LB210" s="54"/>
      <c r="LC210" s="54"/>
      <c r="LD210" s="54"/>
      <c r="LE210" s="54"/>
      <c r="LF210" s="54"/>
      <c r="LG210" s="54"/>
      <c r="LH210" s="54"/>
      <c r="LI210" s="54"/>
      <c r="LJ210" s="54"/>
      <c r="LK210" s="54"/>
      <c r="LL210" s="54"/>
      <c r="LM210" s="54"/>
      <c r="LN210" s="54"/>
      <c r="LO210" s="54"/>
      <c r="LP210" s="54"/>
      <c r="LQ210" s="54"/>
      <c r="LR210" s="54"/>
      <c r="LS210" s="54"/>
      <c r="LT210" s="54"/>
      <c r="LU210" s="54"/>
      <c r="LV210" s="54"/>
      <c r="LW210" s="54"/>
      <c r="LX210" s="54"/>
      <c r="LY210" s="54"/>
      <c r="LZ210" s="54"/>
      <c r="MA210" s="54"/>
      <c r="MB210" s="54"/>
      <c r="MC210" s="54"/>
      <c r="MD210" s="54"/>
      <c r="ME210" s="54"/>
      <c r="MF210" s="54"/>
      <c r="MG210" s="54"/>
      <c r="MH210" s="54"/>
      <c r="MI210" s="54"/>
      <c r="MJ210" s="54"/>
      <c r="MK210" s="54"/>
      <c r="ML210" s="54"/>
      <c r="MM210" s="54"/>
      <c r="MN210" s="54"/>
      <c r="MO210" s="54"/>
      <c r="MP210" s="54"/>
      <c r="MQ210" s="54"/>
      <c r="MR210" s="54"/>
      <c r="MS210" s="54"/>
      <c r="MT210" s="54"/>
      <c r="MU210" s="54"/>
      <c r="MV210" s="54"/>
      <c r="MW210" s="54"/>
      <c r="MX210" s="54"/>
      <c r="MY210" s="54"/>
      <c r="MZ210" s="54"/>
      <c r="NA210" s="54"/>
      <c r="NB210" s="54"/>
      <c r="NC210" s="54"/>
      <c r="ND210" s="54"/>
      <c r="NE210" s="54"/>
      <c r="NF210" s="54"/>
      <c r="NG210" s="54"/>
      <c r="NH210" s="54"/>
      <c r="NI210" s="54"/>
      <c r="NJ210" s="54"/>
      <c r="NK210" s="54"/>
      <c r="NL210" s="54"/>
      <c r="NM210" s="54"/>
      <c r="NN210" s="54"/>
      <c r="NO210" s="54"/>
      <c r="NP210" s="54"/>
      <c r="NQ210" s="54"/>
      <c r="NR210" s="54"/>
      <c r="NS210" s="54"/>
      <c r="NT210" s="54"/>
      <c r="NU210" s="54"/>
      <c r="NV210" s="54"/>
      <c r="NW210" s="54"/>
      <c r="NX210" s="54"/>
      <c r="NY210" s="54"/>
      <c r="NZ210" s="54"/>
      <c r="OA210" s="54"/>
      <c r="OB210" s="54"/>
      <c r="OC210" s="54"/>
      <c r="OD210" s="54"/>
      <c r="OE210" s="54"/>
      <c r="OF210" s="54"/>
      <c r="OG210" s="54"/>
      <c r="OH210" s="54"/>
      <c r="OI210" s="54"/>
      <c r="OJ210" s="54"/>
      <c r="OK210" s="54"/>
      <c r="OL210" s="54"/>
      <c r="OM210" s="54"/>
      <c r="ON210" s="54"/>
      <c r="OO210" s="54"/>
      <c r="OP210" s="54"/>
      <c r="OQ210" s="54"/>
      <c r="OR210" s="54"/>
      <c r="OS210" s="54"/>
      <c r="OT210" s="54"/>
      <c r="OU210" s="54"/>
      <c r="OV210" s="54"/>
      <c r="OW210" s="54"/>
      <c r="OX210" s="54"/>
      <c r="OY210" s="54"/>
      <c r="OZ210" s="54"/>
      <c r="PA210" s="54"/>
      <c r="PB210" s="54"/>
      <c r="PC210" s="54"/>
      <c r="PD210" s="54"/>
      <c r="PE210" s="54"/>
      <c r="PF210" s="54"/>
      <c r="PG210" s="54"/>
      <c r="PH210" s="54"/>
      <c r="PI210" s="54"/>
      <c r="PJ210" s="54"/>
      <c r="PK210" s="54"/>
      <c r="PL210" s="54"/>
      <c r="PM210" s="54"/>
      <c r="PN210" s="54"/>
      <c r="PO210" s="54"/>
      <c r="PP210" s="54"/>
      <c r="PQ210" s="54"/>
      <c r="PR210" s="54"/>
      <c r="PS210" s="54"/>
      <c r="PT210" s="54"/>
      <c r="PU210" s="54"/>
      <c r="PV210" s="54"/>
      <c r="PW210" s="54"/>
      <c r="PX210" s="54"/>
      <c r="PY210" s="54"/>
      <c r="PZ210" s="54"/>
      <c r="QA210" s="54"/>
      <c r="QB210" s="54"/>
      <c r="QC210" s="54"/>
      <c r="QD210" s="54"/>
      <c r="QE210" s="54"/>
      <c r="QF210" s="54"/>
      <c r="QG210" s="54"/>
      <c r="QH210" s="54"/>
      <c r="QI210" s="54"/>
      <c r="QJ210" s="54"/>
      <c r="QK210" s="54"/>
      <c r="QL210" s="54"/>
      <c r="QM210" s="54"/>
      <c r="QN210" s="54"/>
      <c r="QO210" s="54"/>
      <c r="QP210" s="54"/>
      <c r="QQ210" s="54"/>
      <c r="QR210" s="54"/>
      <c r="QS210" s="54"/>
      <c r="QT210" s="54"/>
      <c r="QU210" s="54"/>
      <c r="QV210" s="54"/>
      <c r="QW210" s="54"/>
      <c r="QX210" s="54"/>
      <c r="QY210" s="54"/>
      <c r="QZ210" s="54"/>
      <c r="RA210" s="54"/>
      <c r="RB210" s="54"/>
      <c r="RC210" s="54"/>
      <c r="RD210" s="54"/>
      <c r="RE210" s="54"/>
      <c r="RF210" s="54"/>
      <c r="RG210" s="54"/>
      <c r="RH210" s="54"/>
      <c r="RI210" s="54"/>
      <c r="RJ210" s="54"/>
      <c r="RK210" s="54"/>
      <c r="RL210" s="54"/>
      <c r="RM210" s="54"/>
      <c r="RN210" s="54"/>
      <c r="RO210" s="54"/>
      <c r="RP210" s="54"/>
      <c r="RQ210" s="54"/>
      <c r="RR210" s="54"/>
      <c r="RS210" s="54"/>
      <c r="RT210" s="54"/>
      <c r="RU210" s="54"/>
      <c r="RV210" s="54"/>
      <c r="RW210" s="54"/>
      <c r="RX210" s="54"/>
      <c r="RY210" s="54"/>
      <c r="RZ210" s="54"/>
      <c r="SA210" s="54"/>
      <c r="SB210" s="54"/>
      <c r="SC210" s="54"/>
      <c r="SD210" s="54"/>
      <c r="SE210" s="54"/>
      <c r="SF210" s="54"/>
      <c r="SG210" s="54"/>
      <c r="SH210" s="54"/>
      <c r="SI210" s="54"/>
      <c r="SJ210" s="54"/>
      <c r="SK210" s="54"/>
      <c r="SL210" s="54"/>
      <c r="SM210" s="54"/>
      <c r="SN210" s="54"/>
      <c r="SO210" s="54"/>
      <c r="SP210" s="54"/>
      <c r="SQ210" s="54"/>
      <c r="SR210" s="54"/>
    </row>
    <row r="211" spans="1:512" s="55" customFormat="1" ht="15" customHeight="1" x14ac:dyDescent="0.7">
      <c r="A211" s="173"/>
      <c r="B211" s="173"/>
      <c r="C211" s="173"/>
      <c r="D211" s="173"/>
      <c r="E211" s="173"/>
      <c r="F211" s="173"/>
      <c r="G211" s="173"/>
      <c r="H211" s="74"/>
      <c r="I211" s="75"/>
      <c r="J211" s="76"/>
      <c r="K211" s="191"/>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c r="IX211" s="56"/>
      <c r="IY211" s="56"/>
      <c r="IZ211" s="56"/>
      <c r="JA211" s="56"/>
      <c r="JB211" s="56"/>
      <c r="JC211" s="56"/>
      <c r="JD211" s="56"/>
      <c r="JE211" s="56"/>
      <c r="JF211" s="56"/>
      <c r="JG211" s="56"/>
      <c r="JH211" s="56"/>
      <c r="JI211" s="56"/>
      <c r="JJ211" s="56"/>
      <c r="JK211" s="56"/>
      <c r="JL211" s="56"/>
      <c r="JM211" s="56"/>
      <c r="JN211" s="56"/>
      <c r="JO211" s="56"/>
      <c r="JP211" s="56"/>
      <c r="JQ211" s="56"/>
      <c r="JR211" s="56"/>
      <c r="JS211" s="56"/>
      <c r="JT211" s="56"/>
      <c r="JU211" s="56"/>
      <c r="JV211" s="56"/>
      <c r="JW211" s="56"/>
      <c r="JX211" s="56"/>
      <c r="JY211" s="56"/>
      <c r="JZ211" s="56"/>
      <c r="KA211" s="56"/>
      <c r="KB211" s="56"/>
      <c r="KC211" s="56"/>
      <c r="KD211" s="56"/>
      <c r="KE211" s="56"/>
      <c r="KF211" s="56"/>
      <c r="KG211" s="56"/>
      <c r="KH211" s="56"/>
      <c r="KI211" s="56"/>
      <c r="KJ211" s="56"/>
      <c r="KK211" s="56"/>
      <c r="KL211" s="56"/>
      <c r="KM211" s="56"/>
      <c r="KN211" s="56"/>
      <c r="KO211" s="56"/>
      <c r="KP211" s="56"/>
      <c r="KQ211" s="56"/>
      <c r="KR211" s="56"/>
      <c r="KS211" s="56"/>
      <c r="KT211" s="56"/>
      <c r="KU211" s="56"/>
      <c r="KV211" s="56"/>
      <c r="KW211" s="56"/>
      <c r="KX211" s="56"/>
      <c r="KY211" s="56"/>
      <c r="KZ211" s="56"/>
      <c r="LA211" s="56"/>
      <c r="LB211" s="56"/>
      <c r="LC211" s="56"/>
      <c r="LD211" s="56"/>
      <c r="LE211" s="56"/>
      <c r="LF211" s="56"/>
      <c r="LG211" s="56"/>
      <c r="LH211" s="56"/>
      <c r="LI211" s="56"/>
      <c r="LJ211" s="56"/>
      <c r="LK211" s="56"/>
      <c r="LL211" s="56"/>
      <c r="LM211" s="56"/>
      <c r="LN211" s="56"/>
      <c r="LO211" s="56"/>
      <c r="LP211" s="56"/>
      <c r="LQ211" s="56"/>
      <c r="LR211" s="56"/>
      <c r="LS211" s="56"/>
      <c r="LT211" s="56"/>
      <c r="LU211" s="56"/>
      <c r="LV211" s="56"/>
      <c r="LW211" s="56"/>
      <c r="LX211" s="56"/>
      <c r="LY211" s="56"/>
      <c r="LZ211" s="56"/>
      <c r="MA211" s="56"/>
      <c r="MB211" s="56"/>
      <c r="MC211" s="56"/>
      <c r="MD211" s="56"/>
      <c r="ME211" s="56"/>
      <c r="MF211" s="56"/>
      <c r="MG211" s="56"/>
      <c r="MH211" s="56"/>
      <c r="MI211" s="56"/>
      <c r="MJ211" s="56"/>
      <c r="MK211" s="56"/>
      <c r="ML211" s="56"/>
      <c r="MM211" s="56"/>
      <c r="MN211" s="56"/>
      <c r="MO211" s="56"/>
      <c r="MP211" s="56"/>
      <c r="MQ211" s="56"/>
      <c r="MR211" s="56"/>
      <c r="MS211" s="56"/>
      <c r="MT211" s="56"/>
      <c r="MU211" s="56"/>
      <c r="MV211" s="56"/>
      <c r="MW211" s="56"/>
      <c r="MX211" s="56"/>
      <c r="MY211" s="56"/>
      <c r="MZ211" s="56"/>
      <c r="NA211" s="56"/>
      <c r="NB211" s="56"/>
      <c r="NC211" s="56"/>
      <c r="ND211" s="56"/>
      <c r="NE211" s="56"/>
      <c r="NF211" s="56"/>
      <c r="NG211" s="56"/>
      <c r="NH211" s="56"/>
      <c r="NI211" s="56"/>
      <c r="NJ211" s="56"/>
      <c r="NK211" s="56"/>
      <c r="NL211" s="56"/>
      <c r="NM211" s="56"/>
      <c r="NN211" s="56"/>
      <c r="NO211" s="56"/>
      <c r="NP211" s="56"/>
      <c r="NQ211" s="56"/>
      <c r="NR211" s="56"/>
      <c r="NS211" s="56"/>
      <c r="NT211" s="56"/>
      <c r="NU211" s="56"/>
      <c r="NV211" s="56"/>
      <c r="NW211" s="56"/>
      <c r="NX211" s="56"/>
      <c r="NY211" s="56"/>
      <c r="NZ211" s="56"/>
      <c r="OA211" s="56"/>
      <c r="OB211" s="56"/>
      <c r="OC211" s="56"/>
      <c r="OD211" s="56"/>
      <c r="OE211" s="56"/>
      <c r="OF211" s="56"/>
      <c r="OG211" s="56"/>
      <c r="OH211" s="56"/>
      <c r="OI211" s="56"/>
      <c r="OJ211" s="56"/>
      <c r="OK211" s="56"/>
      <c r="OL211" s="56"/>
      <c r="OM211" s="56"/>
      <c r="ON211" s="56"/>
      <c r="OO211" s="56"/>
      <c r="OP211" s="56"/>
      <c r="OQ211" s="56"/>
      <c r="OR211" s="56"/>
      <c r="OS211" s="56"/>
      <c r="OT211" s="56"/>
      <c r="OU211" s="56"/>
      <c r="OV211" s="56"/>
      <c r="OW211" s="56"/>
      <c r="OX211" s="56"/>
      <c r="OY211" s="56"/>
      <c r="OZ211" s="56"/>
      <c r="PA211" s="56"/>
      <c r="PB211" s="56"/>
      <c r="PC211" s="56"/>
      <c r="PD211" s="56"/>
      <c r="PE211" s="56"/>
      <c r="PF211" s="56"/>
      <c r="PG211" s="56"/>
      <c r="PH211" s="56"/>
      <c r="PI211" s="56"/>
      <c r="PJ211" s="56"/>
      <c r="PK211" s="56"/>
      <c r="PL211" s="56"/>
      <c r="PM211" s="56"/>
      <c r="PN211" s="56"/>
      <c r="PO211" s="56"/>
      <c r="PP211" s="56"/>
      <c r="PQ211" s="56"/>
      <c r="PR211" s="56"/>
      <c r="PS211" s="56"/>
      <c r="PT211" s="56"/>
      <c r="PU211" s="56"/>
      <c r="PV211" s="56"/>
      <c r="PW211" s="56"/>
      <c r="PX211" s="56"/>
      <c r="PY211" s="56"/>
      <c r="PZ211" s="56"/>
      <c r="QA211" s="56"/>
      <c r="QB211" s="56"/>
      <c r="QC211" s="56"/>
      <c r="QD211" s="56"/>
      <c r="QE211" s="56"/>
      <c r="QF211" s="56"/>
      <c r="QG211" s="56"/>
      <c r="QH211" s="56"/>
      <c r="QI211" s="56"/>
      <c r="QJ211" s="56"/>
      <c r="QK211" s="56"/>
      <c r="QL211" s="56"/>
      <c r="QM211" s="56"/>
      <c r="QN211" s="56"/>
      <c r="QO211" s="56"/>
      <c r="QP211" s="56"/>
      <c r="QQ211" s="56"/>
      <c r="QR211" s="56"/>
      <c r="QS211" s="56"/>
      <c r="QT211" s="56"/>
      <c r="QU211" s="56"/>
      <c r="QV211" s="56"/>
      <c r="QW211" s="56"/>
      <c r="QX211" s="56"/>
      <c r="QY211" s="56"/>
      <c r="QZ211" s="56"/>
      <c r="RA211" s="56"/>
      <c r="RB211" s="56"/>
      <c r="RC211" s="56"/>
      <c r="RD211" s="56"/>
      <c r="RE211" s="56"/>
      <c r="RF211" s="56"/>
      <c r="RG211" s="56"/>
      <c r="RH211" s="56"/>
      <c r="RI211" s="56"/>
      <c r="RJ211" s="56"/>
      <c r="RK211" s="56"/>
      <c r="RL211" s="56"/>
      <c r="RM211" s="56"/>
      <c r="RN211" s="56"/>
      <c r="RO211" s="56"/>
      <c r="RP211" s="56"/>
      <c r="RQ211" s="56"/>
      <c r="RR211" s="56"/>
      <c r="RS211" s="56"/>
      <c r="RT211" s="56"/>
      <c r="RU211" s="56"/>
      <c r="RV211" s="56"/>
      <c r="RW211" s="56"/>
      <c r="RX211" s="56"/>
      <c r="RY211" s="56"/>
      <c r="RZ211" s="56"/>
      <c r="SA211" s="56"/>
      <c r="SB211" s="56"/>
      <c r="SC211" s="56"/>
      <c r="SD211" s="56"/>
      <c r="SE211" s="56"/>
      <c r="SF211" s="56"/>
      <c r="SG211" s="56"/>
      <c r="SH211" s="56"/>
      <c r="SI211" s="56"/>
      <c r="SJ211" s="56"/>
      <c r="SK211" s="56"/>
      <c r="SL211" s="56"/>
      <c r="SM211" s="56"/>
      <c r="SN211" s="56"/>
      <c r="SO211" s="56"/>
      <c r="SP211" s="56"/>
      <c r="SQ211" s="56"/>
      <c r="SR211" s="56"/>
    </row>
    <row r="212" spans="1:512" ht="15" customHeight="1" x14ac:dyDescent="0.7">
      <c r="A212" s="171" t="s">
        <v>344</v>
      </c>
      <c r="B212" s="171" t="s">
        <v>344</v>
      </c>
      <c r="C212" s="171" t="s">
        <v>344</v>
      </c>
      <c r="D212" s="171"/>
      <c r="E212" s="171" t="s">
        <v>344</v>
      </c>
      <c r="F212" s="171"/>
      <c r="G212" s="188" t="s">
        <v>344</v>
      </c>
      <c r="H212" s="71" t="s">
        <v>344</v>
      </c>
      <c r="I212" s="72" t="s">
        <v>344</v>
      </c>
      <c r="J212" s="73" t="s">
        <v>344</v>
      </c>
      <c r="K212" s="189" t="s">
        <v>344</v>
      </c>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c r="DA212" s="54"/>
      <c r="DB212" s="54"/>
      <c r="DC212" s="54"/>
      <c r="DD212" s="54"/>
      <c r="DE212" s="54"/>
      <c r="DF212" s="54"/>
      <c r="DG212" s="54"/>
      <c r="DH212" s="54"/>
      <c r="DI212" s="54"/>
      <c r="DJ212" s="54"/>
      <c r="DK212" s="54"/>
      <c r="DL212" s="54"/>
      <c r="DM212" s="54"/>
      <c r="DN212" s="54"/>
      <c r="DO212" s="54"/>
      <c r="DP212" s="54"/>
      <c r="DQ212" s="54"/>
      <c r="DR212" s="54"/>
      <c r="DS212" s="54"/>
      <c r="DT212" s="54"/>
      <c r="DU212" s="54"/>
      <c r="DV212" s="54"/>
      <c r="DW212" s="54"/>
      <c r="DX212" s="54"/>
      <c r="DY212" s="54"/>
      <c r="DZ212" s="54"/>
      <c r="EA212" s="54"/>
      <c r="EB212" s="54"/>
      <c r="EC212" s="54"/>
      <c r="ED212" s="54"/>
      <c r="EE212" s="54"/>
      <c r="EF212" s="54"/>
      <c r="EG212" s="54"/>
      <c r="EH212" s="54"/>
      <c r="EI212" s="54"/>
      <c r="EJ212" s="54"/>
      <c r="EK212" s="54"/>
      <c r="EL212" s="54"/>
      <c r="EM212" s="54"/>
      <c r="EN212" s="54"/>
      <c r="EO212" s="54"/>
      <c r="EP212" s="54"/>
      <c r="EQ212" s="54"/>
      <c r="ER212" s="54"/>
      <c r="ES212" s="54"/>
      <c r="ET212" s="54"/>
      <c r="EU212" s="54"/>
      <c r="EV212" s="54"/>
      <c r="EW212" s="54"/>
      <c r="EX212" s="54"/>
      <c r="EY212" s="54"/>
      <c r="EZ212" s="54"/>
      <c r="FA212" s="54"/>
      <c r="FB212" s="54"/>
      <c r="FC212" s="54"/>
      <c r="FD212" s="54"/>
      <c r="FE212" s="54"/>
      <c r="FF212" s="54"/>
      <c r="FG212" s="54"/>
      <c r="FH212" s="54"/>
      <c r="FI212" s="54"/>
      <c r="FJ212" s="54"/>
      <c r="FK212" s="54"/>
      <c r="FL212" s="54"/>
      <c r="FM212" s="54"/>
      <c r="FN212" s="54"/>
      <c r="FO212" s="54"/>
      <c r="FP212" s="54"/>
      <c r="FQ212" s="54"/>
      <c r="FR212" s="54"/>
      <c r="FS212" s="54"/>
      <c r="FT212" s="54"/>
      <c r="FU212" s="54"/>
      <c r="FV212" s="54"/>
      <c r="FW212" s="54"/>
      <c r="FX212" s="54"/>
      <c r="FY212" s="54"/>
      <c r="FZ212" s="54"/>
      <c r="GA212" s="54"/>
      <c r="GB212" s="54"/>
      <c r="GC212" s="54"/>
      <c r="GD212" s="54"/>
      <c r="GE212" s="54"/>
      <c r="GF212" s="54"/>
      <c r="GG212" s="54"/>
      <c r="GH212" s="54"/>
      <c r="GI212" s="54"/>
      <c r="GJ212" s="54"/>
      <c r="GK212" s="54"/>
      <c r="GL212" s="54"/>
      <c r="GM212" s="54"/>
      <c r="GN212" s="54"/>
      <c r="GO212" s="54"/>
      <c r="GP212" s="54"/>
      <c r="GQ212" s="54"/>
      <c r="GR212" s="54"/>
      <c r="GS212" s="54"/>
      <c r="GT212" s="54"/>
      <c r="GU212" s="54"/>
      <c r="GV212" s="54"/>
      <c r="GW212" s="54"/>
      <c r="GX212" s="54"/>
      <c r="GY212" s="54"/>
      <c r="GZ212" s="54"/>
      <c r="HA212" s="54"/>
      <c r="HB212" s="54"/>
      <c r="HC212" s="54"/>
      <c r="HD212" s="54"/>
      <c r="HE212" s="54"/>
      <c r="HF212" s="54"/>
      <c r="HG212" s="54"/>
      <c r="HH212" s="54"/>
      <c r="HI212" s="54"/>
      <c r="HJ212" s="54"/>
      <c r="HK212" s="54"/>
      <c r="HL212" s="54"/>
      <c r="HM212" s="54"/>
      <c r="HN212" s="54"/>
      <c r="HO212" s="54"/>
      <c r="HP212" s="54"/>
      <c r="HQ212" s="54"/>
      <c r="HR212" s="54"/>
      <c r="HS212" s="54"/>
      <c r="HT212" s="54"/>
      <c r="HU212" s="54"/>
      <c r="HV212" s="54"/>
      <c r="HW212" s="54"/>
      <c r="HX212" s="54"/>
      <c r="HY212" s="54"/>
      <c r="HZ212" s="54"/>
      <c r="IA212" s="54"/>
      <c r="IB212" s="54"/>
      <c r="IC212" s="54"/>
      <c r="ID212" s="54"/>
      <c r="IE212" s="54"/>
      <c r="IF212" s="54"/>
      <c r="IG212" s="54"/>
      <c r="IH212" s="54"/>
      <c r="II212" s="54"/>
      <c r="IJ212" s="54"/>
      <c r="IK212" s="54"/>
      <c r="IL212" s="54"/>
      <c r="IM212" s="54"/>
      <c r="IN212" s="54"/>
      <c r="IO212" s="54"/>
      <c r="IP212" s="54"/>
      <c r="IQ212" s="54"/>
      <c r="IR212" s="54"/>
      <c r="IS212" s="54"/>
      <c r="IT212" s="54"/>
      <c r="IU212" s="54"/>
      <c r="IV212" s="54"/>
      <c r="IW212" s="54"/>
      <c r="IX212" s="54"/>
      <c r="IY212" s="54"/>
      <c r="IZ212" s="54"/>
      <c r="JA212" s="54"/>
      <c r="JB212" s="54"/>
      <c r="JC212" s="54"/>
      <c r="JD212" s="54"/>
      <c r="JE212" s="54"/>
      <c r="JF212" s="54"/>
      <c r="JG212" s="54"/>
      <c r="JH212" s="54"/>
      <c r="JI212" s="54"/>
      <c r="JJ212" s="54"/>
      <c r="JK212" s="54"/>
      <c r="JL212" s="54"/>
      <c r="JM212" s="54"/>
      <c r="JN212" s="54"/>
      <c r="JO212" s="54"/>
      <c r="JP212" s="54"/>
      <c r="JQ212" s="54"/>
      <c r="JR212" s="54"/>
      <c r="JS212" s="54"/>
      <c r="JT212" s="54"/>
      <c r="JU212" s="54"/>
      <c r="JV212" s="54"/>
      <c r="JW212" s="54"/>
      <c r="JX212" s="54"/>
      <c r="JY212" s="54"/>
      <c r="JZ212" s="54"/>
      <c r="KA212" s="54"/>
      <c r="KB212" s="54"/>
      <c r="KC212" s="54"/>
      <c r="KD212" s="54"/>
      <c r="KE212" s="54"/>
      <c r="KF212" s="54"/>
      <c r="KG212" s="54"/>
      <c r="KH212" s="54"/>
      <c r="KI212" s="54"/>
      <c r="KJ212" s="54"/>
      <c r="KK212" s="54"/>
      <c r="KL212" s="54"/>
      <c r="KM212" s="54"/>
      <c r="KN212" s="54"/>
      <c r="KO212" s="54"/>
      <c r="KP212" s="54"/>
      <c r="KQ212" s="54"/>
      <c r="KR212" s="54"/>
      <c r="KS212" s="54"/>
      <c r="KT212" s="54"/>
      <c r="KU212" s="54"/>
      <c r="KV212" s="54"/>
      <c r="KW212" s="54"/>
      <c r="KX212" s="54"/>
      <c r="KY212" s="54"/>
      <c r="KZ212" s="54"/>
      <c r="LA212" s="54"/>
      <c r="LB212" s="54"/>
      <c r="LC212" s="54"/>
      <c r="LD212" s="54"/>
      <c r="LE212" s="54"/>
      <c r="LF212" s="54"/>
      <c r="LG212" s="54"/>
      <c r="LH212" s="54"/>
      <c r="LI212" s="54"/>
      <c r="LJ212" s="54"/>
      <c r="LK212" s="54"/>
      <c r="LL212" s="54"/>
      <c r="LM212" s="54"/>
      <c r="LN212" s="54"/>
      <c r="LO212" s="54"/>
      <c r="LP212" s="54"/>
      <c r="LQ212" s="54"/>
      <c r="LR212" s="54"/>
      <c r="LS212" s="54"/>
      <c r="LT212" s="54"/>
      <c r="LU212" s="54"/>
      <c r="LV212" s="54"/>
      <c r="LW212" s="54"/>
      <c r="LX212" s="54"/>
      <c r="LY212" s="54"/>
      <c r="LZ212" s="54"/>
      <c r="MA212" s="54"/>
      <c r="MB212" s="54"/>
      <c r="MC212" s="54"/>
      <c r="MD212" s="54"/>
      <c r="ME212" s="54"/>
      <c r="MF212" s="54"/>
      <c r="MG212" s="54"/>
      <c r="MH212" s="54"/>
      <c r="MI212" s="54"/>
      <c r="MJ212" s="54"/>
      <c r="MK212" s="54"/>
      <c r="ML212" s="54"/>
      <c r="MM212" s="54"/>
      <c r="MN212" s="54"/>
      <c r="MO212" s="54"/>
      <c r="MP212" s="54"/>
      <c r="MQ212" s="54"/>
      <c r="MR212" s="54"/>
      <c r="MS212" s="54"/>
      <c r="MT212" s="54"/>
      <c r="MU212" s="54"/>
      <c r="MV212" s="54"/>
      <c r="MW212" s="54"/>
      <c r="MX212" s="54"/>
      <c r="MY212" s="54"/>
      <c r="MZ212" s="54"/>
      <c r="NA212" s="54"/>
      <c r="NB212" s="54"/>
      <c r="NC212" s="54"/>
      <c r="ND212" s="54"/>
      <c r="NE212" s="54"/>
      <c r="NF212" s="54"/>
      <c r="NG212" s="54"/>
      <c r="NH212" s="54"/>
      <c r="NI212" s="54"/>
      <c r="NJ212" s="54"/>
      <c r="NK212" s="54"/>
      <c r="NL212" s="54"/>
      <c r="NM212" s="54"/>
      <c r="NN212" s="54"/>
      <c r="NO212" s="54"/>
      <c r="NP212" s="54"/>
      <c r="NQ212" s="54"/>
      <c r="NR212" s="54"/>
      <c r="NS212" s="54"/>
      <c r="NT212" s="54"/>
      <c r="NU212" s="54"/>
      <c r="NV212" s="54"/>
      <c r="NW212" s="54"/>
      <c r="NX212" s="54"/>
      <c r="NY212" s="54"/>
      <c r="NZ212" s="54"/>
      <c r="OA212" s="54"/>
      <c r="OB212" s="54"/>
      <c r="OC212" s="54"/>
      <c r="OD212" s="54"/>
      <c r="OE212" s="54"/>
      <c r="OF212" s="54"/>
      <c r="OG212" s="54"/>
      <c r="OH212" s="54"/>
      <c r="OI212" s="54"/>
      <c r="OJ212" s="54"/>
      <c r="OK212" s="54"/>
      <c r="OL212" s="54"/>
      <c r="OM212" s="54"/>
      <c r="ON212" s="54"/>
      <c r="OO212" s="54"/>
      <c r="OP212" s="54"/>
      <c r="OQ212" s="54"/>
      <c r="OR212" s="54"/>
      <c r="OS212" s="54"/>
      <c r="OT212" s="54"/>
      <c r="OU212" s="54"/>
      <c r="OV212" s="54"/>
      <c r="OW212" s="54"/>
      <c r="OX212" s="54"/>
      <c r="OY212" s="54"/>
      <c r="OZ212" s="54"/>
      <c r="PA212" s="54"/>
      <c r="PB212" s="54"/>
      <c r="PC212" s="54"/>
      <c r="PD212" s="54"/>
      <c r="PE212" s="54"/>
      <c r="PF212" s="54"/>
      <c r="PG212" s="54"/>
      <c r="PH212" s="54"/>
      <c r="PI212" s="54"/>
      <c r="PJ212" s="54"/>
      <c r="PK212" s="54"/>
      <c r="PL212" s="54"/>
      <c r="PM212" s="54"/>
      <c r="PN212" s="54"/>
      <c r="PO212" s="54"/>
      <c r="PP212" s="54"/>
      <c r="PQ212" s="54"/>
      <c r="PR212" s="54"/>
      <c r="PS212" s="54"/>
      <c r="PT212" s="54"/>
      <c r="PU212" s="54"/>
      <c r="PV212" s="54"/>
      <c r="PW212" s="54"/>
      <c r="PX212" s="54"/>
      <c r="PY212" s="54"/>
      <c r="PZ212" s="54"/>
      <c r="QA212" s="54"/>
      <c r="QB212" s="54"/>
      <c r="QC212" s="54"/>
      <c r="QD212" s="54"/>
      <c r="QE212" s="54"/>
      <c r="QF212" s="54"/>
      <c r="QG212" s="54"/>
      <c r="QH212" s="54"/>
      <c r="QI212" s="54"/>
      <c r="QJ212" s="54"/>
      <c r="QK212" s="54"/>
      <c r="QL212" s="54"/>
      <c r="QM212" s="54"/>
      <c r="QN212" s="54"/>
      <c r="QO212" s="54"/>
      <c r="QP212" s="54"/>
      <c r="QQ212" s="54"/>
      <c r="QR212" s="54"/>
      <c r="QS212" s="54"/>
      <c r="QT212" s="54"/>
      <c r="QU212" s="54"/>
      <c r="QV212" s="54"/>
      <c r="QW212" s="54"/>
      <c r="QX212" s="54"/>
      <c r="QY212" s="54"/>
      <c r="QZ212" s="54"/>
      <c r="RA212" s="54"/>
      <c r="RB212" s="54"/>
      <c r="RC212" s="54"/>
      <c r="RD212" s="54"/>
      <c r="RE212" s="54"/>
      <c r="RF212" s="54"/>
      <c r="RG212" s="54"/>
      <c r="RH212" s="54"/>
      <c r="RI212" s="54"/>
      <c r="RJ212" s="54"/>
      <c r="RK212" s="54"/>
      <c r="RL212" s="54"/>
      <c r="RM212" s="54"/>
      <c r="RN212" s="54"/>
      <c r="RO212" s="54"/>
      <c r="RP212" s="54"/>
      <c r="RQ212" s="54"/>
      <c r="RR212" s="54"/>
      <c r="RS212" s="54"/>
      <c r="RT212" s="54"/>
      <c r="RU212" s="54"/>
      <c r="RV212" s="54"/>
      <c r="RW212" s="54"/>
      <c r="RX212" s="54"/>
      <c r="RY212" s="54"/>
      <c r="RZ212" s="54"/>
      <c r="SA212" s="54"/>
      <c r="SB212" s="54"/>
      <c r="SC212" s="54"/>
      <c r="SD212" s="54"/>
      <c r="SE212" s="54"/>
      <c r="SF212" s="54"/>
      <c r="SG212" s="54"/>
      <c r="SH212" s="54"/>
      <c r="SI212" s="54"/>
      <c r="SJ212" s="54"/>
      <c r="SK212" s="54"/>
      <c r="SL212" s="54"/>
      <c r="SM212" s="54"/>
      <c r="SN212" s="54"/>
      <c r="SO212" s="54"/>
      <c r="SP212" s="54"/>
      <c r="SQ212" s="54"/>
      <c r="SR212" s="54"/>
    </row>
    <row r="213" spans="1:512" ht="15" customHeight="1" x14ac:dyDescent="0.7">
      <c r="A213" s="172"/>
      <c r="B213" s="172"/>
      <c r="C213" s="172"/>
      <c r="D213" s="172"/>
      <c r="E213" s="172"/>
      <c r="F213" s="172"/>
      <c r="G213" s="172"/>
      <c r="I213" s="72" t="s">
        <v>344</v>
      </c>
      <c r="J213" s="73" t="s">
        <v>344</v>
      </c>
      <c r="K213" s="190"/>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c r="DA213" s="54"/>
      <c r="DB213" s="54"/>
      <c r="DC213" s="54"/>
      <c r="DD213" s="54"/>
      <c r="DE213" s="54"/>
      <c r="DF213" s="54"/>
      <c r="DG213" s="54"/>
      <c r="DH213" s="54"/>
      <c r="DI213" s="54"/>
      <c r="DJ213" s="54"/>
      <c r="DK213" s="54"/>
      <c r="DL213" s="54"/>
      <c r="DM213" s="54"/>
      <c r="DN213" s="54"/>
      <c r="DO213" s="54"/>
      <c r="DP213" s="54"/>
      <c r="DQ213" s="54"/>
      <c r="DR213" s="54"/>
      <c r="DS213" s="54"/>
      <c r="DT213" s="54"/>
      <c r="DU213" s="54"/>
      <c r="DV213" s="54"/>
      <c r="DW213" s="54"/>
      <c r="DX213" s="54"/>
      <c r="DY213" s="54"/>
      <c r="DZ213" s="54"/>
      <c r="EA213" s="54"/>
      <c r="EB213" s="54"/>
      <c r="EC213" s="54"/>
      <c r="ED213" s="54"/>
      <c r="EE213" s="54"/>
      <c r="EF213" s="54"/>
      <c r="EG213" s="54"/>
      <c r="EH213" s="54"/>
      <c r="EI213" s="54"/>
      <c r="EJ213" s="54"/>
      <c r="EK213" s="54"/>
      <c r="EL213" s="54"/>
      <c r="EM213" s="54"/>
      <c r="EN213" s="54"/>
      <c r="EO213" s="54"/>
      <c r="EP213" s="54"/>
      <c r="EQ213" s="54"/>
      <c r="ER213" s="54"/>
      <c r="ES213" s="54"/>
      <c r="ET213" s="54"/>
      <c r="EU213" s="54"/>
      <c r="EV213" s="54"/>
      <c r="EW213" s="54"/>
      <c r="EX213" s="54"/>
      <c r="EY213" s="54"/>
      <c r="EZ213" s="54"/>
      <c r="FA213" s="54"/>
      <c r="FB213" s="54"/>
      <c r="FC213" s="54"/>
      <c r="FD213" s="54"/>
      <c r="FE213" s="54"/>
      <c r="FF213" s="54"/>
      <c r="FG213" s="54"/>
      <c r="FH213" s="54"/>
      <c r="FI213" s="54"/>
      <c r="FJ213" s="54"/>
      <c r="FK213" s="54"/>
      <c r="FL213" s="54"/>
      <c r="FM213" s="54"/>
      <c r="FN213" s="54"/>
      <c r="FO213" s="54"/>
      <c r="FP213" s="54"/>
      <c r="FQ213" s="54"/>
      <c r="FR213" s="54"/>
      <c r="FS213" s="54"/>
      <c r="FT213" s="54"/>
      <c r="FU213" s="54"/>
      <c r="FV213" s="54"/>
      <c r="FW213" s="54"/>
      <c r="FX213" s="54"/>
      <c r="FY213" s="54"/>
      <c r="FZ213" s="54"/>
      <c r="GA213" s="54"/>
      <c r="GB213" s="54"/>
      <c r="GC213" s="54"/>
      <c r="GD213" s="54"/>
      <c r="GE213" s="54"/>
      <c r="GF213" s="54"/>
      <c r="GG213" s="54"/>
      <c r="GH213" s="54"/>
      <c r="GI213" s="54"/>
      <c r="GJ213" s="54"/>
      <c r="GK213" s="54"/>
      <c r="GL213" s="54"/>
      <c r="GM213" s="54"/>
      <c r="GN213" s="54"/>
      <c r="GO213" s="54"/>
      <c r="GP213" s="54"/>
      <c r="GQ213" s="54"/>
      <c r="GR213" s="54"/>
      <c r="GS213" s="54"/>
      <c r="GT213" s="54"/>
      <c r="GU213" s="54"/>
      <c r="GV213" s="54"/>
      <c r="GW213" s="54"/>
      <c r="GX213" s="54"/>
      <c r="GY213" s="54"/>
      <c r="GZ213" s="54"/>
      <c r="HA213" s="54"/>
      <c r="HB213" s="54"/>
      <c r="HC213" s="54"/>
      <c r="HD213" s="54"/>
      <c r="HE213" s="54"/>
      <c r="HF213" s="54"/>
      <c r="HG213" s="54"/>
      <c r="HH213" s="54"/>
      <c r="HI213" s="54"/>
      <c r="HJ213" s="54"/>
      <c r="HK213" s="54"/>
      <c r="HL213" s="54"/>
      <c r="HM213" s="54"/>
      <c r="HN213" s="54"/>
      <c r="HO213" s="54"/>
      <c r="HP213" s="54"/>
      <c r="HQ213" s="54"/>
      <c r="HR213" s="54"/>
      <c r="HS213" s="54"/>
      <c r="HT213" s="54"/>
      <c r="HU213" s="54"/>
      <c r="HV213" s="54"/>
      <c r="HW213" s="54"/>
      <c r="HX213" s="54"/>
      <c r="HY213" s="54"/>
      <c r="HZ213" s="54"/>
      <c r="IA213" s="54"/>
      <c r="IB213" s="54"/>
      <c r="IC213" s="54"/>
      <c r="ID213" s="54"/>
      <c r="IE213" s="54"/>
      <c r="IF213" s="54"/>
      <c r="IG213" s="54"/>
      <c r="IH213" s="54"/>
      <c r="II213" s="54"/>
      <c r="IJ213" s="54"/>
      <c r="IK213" s="54"/>
      <c r="IL213" s="54"/>
      <c r="IM213" s="54"/>
      <c r="IN213" s="54"/>
      <c r="IO213" s="54"/>
      <c r="IP213" s="54"/>
      <c r="IQ213" s="54"/>
      <c r="IR213" s="54"/>
      <c r="IS213" s="54"/>
      <c r="IT213" s="54"/>
      <c r="IU213" s="54"/>
      <c r="IV213" s="54"/>
      <c r="IW213" s="54"/>
      <c r="IX213" s="54"/>
      <c r="IY213" s="54"/>
      <c r="IZ213" s="54"/>
      <c r="JA213" s="54"/>
      <c r="JB213" s="54"/>
      <c r="JC213" s="54"/>
      <c r="JD213" s="54"/>
      <c r="JE213" s="54"/>
      <c r="JF213" s="54"/>
      <c r="JG213" s="54"/>
      <c r="JH213" s="54"/>
      <c r="JI213" s="54"/>
      <c r="JJ213" s="54"/>
      <c r="JK213" s="54"/>
      <c r="JL213" s="54"/>
      <c r="JM213" s="54"/>
      <c r="JN213" s="54"/>
      <c r="JO213" s="54"/>
      <c r="JP213" s="54"/>
      <c r="JQ213" s="54"/>
      <c r="JR213" s="54"/>
      <c r="JS213" s="54"/>
      <c r="JT213" s="54"/>
      <c r="JU213" s="54"/>
      <c r="JV213" s="54"/>
      <c r="JW213" s="54"/>
      <c r="JX213" s="54"/>
      <c r="JY213" s="54"/>
      <c r="JZ213" s="54"/>
      <c r="KA213" s="54"/>
      <c r="KB213" s="54"/>
      <c r="KC213" s="54"/>
      <c r="KD213" s="54"/>
      <c r="KE213" s="54"/>
      <c r="KF213" s="54"/>
      <c r="KG213" s="54"/>
      <c r="KH213" s="54"/>
      <c r="KI213" s="54"/>
      <c r="KJ213" s="54"/>
      <c r="KK213" s="54"/>
      <c r="KL213" s="54"/>
      <c r="KM213" s="54"/>
      <c r="KN213" s="54"/>
      <c r="KO213" s="54"/>
      <c r="KP213" s="54"/>
      <c r="KQ213" s="54"/>
      <c r="KR213" s="54"/>
      <c r="KS213" s="54"/>
      <c r="KT213" s="54"/>
      <c r="KU213" s="54"/>
      <c r="KV213" s="54"/>
      <c r="KW213" s="54"/>
      <c r="KX213" s="54"/>
      <c r="KY213" s="54"/>
      <c r="KZ213" s="54"/>
      <c r="LA213" s="54"/>
      <c r="LB213" s="54"/>
      <c r="LC213" s="54"/>
      <c r="LD213" s="54"/>
      <c r="LE213" s="54"/>
      <c r="LF213" s="54"/>
      <c r="LG213" s="54"/>
      <c r="LH213" s="54"/>
      <c r="LI213" s="54"/>
      <c r="LJ213" s="54"/>
      <c r="LK213" s="54"/>
      <c r="LL213" s="54"/>
      <c r="LM213" s="54"/>
      <c r="LN213" s="54"/>
      <c r="LO213" s="54"/>
      <c r="LP213" s="54"/>
      <c r="LQ213" s="54"/>
      <c r="LR213" s="54"/>
      <c r="LS213" s="54"/>
      <c r="LT213" s="54"/>
      <c r="LU213" s="54"/>
      <c r="LV213" s="54"/>
      <c r="LW213" s="54"/>
      <c r="LX213" s="54"/>
      <c r="LY213" s="54"/>
      <c r="LZ213" s="54"/>
      <c r="MA213" s="54"/>
      <c r="MB213" s="54"/>
      <c r="MC213" s="54"/>
      <c r="MD213" s="54"/>
      <c r="ME213" s="54"/>
      <c r="MF213" s="54"/>
      <c r="MG213" s="54"/>
      <c r="MH213" s="54"/>
      <c r="MI213" s="54"/>
      <c r="MJ213" s="54"/>
      <c r="MK213" s="54"/>
      <c r="ML213" s="54"/>
      <c r="MM213" s="54"/>
      <c r="MN213" s="54"/>
      <c r="MO213" s="54"/>
      <c r="MP213" s="54"/>
      <c r="MQ213" s="54"/>
      <c r="MR213" s="54"/>
      <c r="MS213" s="54"/>
      <c r="MT213" s="54"/>
      <c r="MU213" s="54"/>
      <c r="MV213" s="54"/>
      <c r="MW213" s="54"/>
      <c r="MX213" s="54"/>
      <c r="MY213" s="54"/>
      <c r="MZ213" s="54"/>
      <c r="NA213" s="54"/>
      <c r="NB213" s="54"/>
      <c r="NC213" s="54"/>
      <c r="ND213" s="54"/>
      <c r="NE213" s="54"/>
      <c r="NF213" s="54"/>
      <c r="NG213" s="54"/>
      <c r="NH213" s="54"/>
      <c r="NI213" s="54"/>
      <c r="NJ213" s="54"/>
      <c r="NK213" s="54"/>
      <c r="NL213" s="54"/>
      <c r="NM213" s="54"/>
      <c r="NN213" s="54"/>
      <c r="NO213" s="54"/>
      <c r="NP213" s="54"/>
      <c r="NQ213" s="54"/>
      <c r="NR213" s="54"/>
      <c r="NS213" s="54"/>
      <c r="NT213" s="54"/>
      <c r="NU213" s="54"/>
      <c r="NV213" s="54"/>
      <c r="NW213" s="54"/>
      <c r="NX213" s="54"/>
      <c r="NY213" s="54"/>
      <c r="NZ213" s="54"/>
      <c r="OA213" s="54"/>
      <c r="OB213" s="54"/>
      <c r="OC213" s="54"/>
      <c r="OD213" s="54"/>
      <c r="OE213" s="54"/>
      <c r="OF213" s="54"/>
      <c r="OG213" s="54"/>
      <c r="OH213" s="54"/>
      <c r="OI213" s="54"/>
      <c r="OJ213" s="54"/>
      <c r="OK213" s="54"/>
      <c r="OL213" s="54"/>
      <c r="OM213" s="54"/>
      <c r="ON213" s="54"/>
      <c r="OO213" s="54"/>
      <c r="OP213" s="54"/>
      <c r="OQ213" s="54"/>
      <c r="OR213" s="54"/>
      <c r="OS213" s="54"/>
      <c r="OT213" s="54"/>
      <c r="OU213" s="54"/>
      <c r="OV213" s="54"/>
      <c r="OW213" s="54"/>
      <c r="OX213" s="54"/>
      <c r="OY213" s="54"/>
      <c r="OZ213" s="54"/>
      <c r="PA213" s="54"/>
      <c r="PB213" s="54"/>
      <c r="PC213" s="54"/>
      <c r="PD213" s="54"/>
      <c r="PE213" s="54"/>
      <c r="PF213" s="54"/>
      <c r="PG213" s="54"/>
      <c r="PH213" s="54"/>
      <c r="PI213" s="54"/>
      <c r="PJ213" s="54"/>
      <c r="PK213" s="54"/>
      <c r="PL213" s="54"/>
      <c r="PM213" s="54"/>
      <c r="PN213" s="54"/>
      <c r="PO213" s="54"/>
      <c r="PP213" s="54"/>
      <c r="PQ213" s="54"/>
      <c r="PR213" s="54"/>
      <c r="PS213" s="54"/>
      <c r="PT213" s="54"/>
      <c r="PU213" s="54"/>
      <c r="PV213" s="54"/>
      <c r="PW213" s="54"/>
      <c r="PX213" s="54"/>
      <c r="PY213" s="54"/>
      <c r="PZ213" s="54"/>
      <c r="QA213" s="54"/>
      <c r="QB213" s="54"/>
      <c r="QC213" s="54"/>
      <c r="QD213" s="54"/>
      <c r="QE213" s="54"/>
      <c r="QF213" s="54"/>
      <c r="QG213" s="54"/>
      <c r="QH213" s="54"/>
      <c r="QI213" s="54"/>
      <c r="QJ213" s="54"/>
      <c r="QK213" s="54"/>
      <c r="QL213" s="54"/>
      <c r="QM213" s="54"/>
      <c r="QN213" s="54"/>
      <c r="QO213" s="54"/>
      <c r="QP213" s="54"/>
      <c r="QQ213" s="54"/>
      <c r="QR213" s="54"/>
      <c r="QS213" s="54"/>
      <c r="QT213" s="54"/>
      <c r="QU213" s="54"/>
      <c r="QV213" s="54"/>
      <c r="QW213" s="54"/>
      <c r="QX213" s="54"/>
      <c r="QY213" s="54"/>
      <c r="QZ213" s="54"/>
      <c r="RA213" s="54"/>
      <c r="RB213" s="54"/>
      <c r="RC213" s="54"/>
      <c r="RD213" s="54"/>
      <c r="RE213" s="54"/>
      <c r="RF213" s="54"/>
      <c r="RG213" s="54"/>
      <c r="RH213" s="54"/>
      <c r="RI213" s="54"/>
      <c r="RJ213" s="54"/>
      <c r="RK213" s="54"/>
      <c r="RL213" s="54"/>
      <c r="RM213" s="54"/>
      <c r="RN213" s="54"/>
      <c r="RO213" s="54"/>
      <c r="RP213" s="54"/>
      <c r="RQ213" s="54"/>
      <c r="RR213" s="54"/>
      <c r="RS213" s="54"/>
      <c r="RT213" s="54"/>
      <c r="RU213" s="54"/>
      <c r="RV213" s="54"/>
      <c r="RW213" s="54"/>
      <c r="RX213" s="54"/>
      <c r="RY213" s="54"/>
      <c r="RZ213" s="54"/>
      <c r="SA213" s="54"/>
      <c r="SB213" s="54"/>
      <c r="SC213" s="54"/>
      <c r="SD213" s="54"/>
      <c r="SE213" s="54"/>
      <c r="SF213" s="54"/>
      <c r="SG213" s="54"/>
      <c r="SH213" s="54"/>
      <c r="SI213" s="54"/>
      <c r="SJ213" s="54"/>
      <c r="SK213" s="54"/>
      <c r="SL213" s="54"/>
      <c r="SM213" s="54"/>
      <c r="SN213" s="54"/>
      <c r="SO213" s="54"/>
      <c r="SP213" s="54"/>
      <c r="SQ213" s="54"/>
      <c r="SR213" s="54"/>
    </row>
    <row r="214" spans="1:512" s="55" customFormat="1" ht="15" customHeight="1" x14ac:dyDescent="0.7">
      <c r="A214" s="173"/>
      <c r="B214" s="173"/>
      <c r="C214" s="173"/>
      <c r="D214" s="173"/>
      <c r="E214" s="173"/>
      <c r="F214" s="173"/>
      <c r="G214" s="173"/>
      <c r="H214" s="74"/>
      <c r="I214" s="75"/>
      <c r="J214" s="76"/>
      <c r="K214" s="191"/>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c r="IX214" s="56"/>
      <c r="IY214" s="56"/>
      <c r="IZ214" s="56"/>
      <c r="JA214" s="56"/>
      <c r="JB214" s="56"/>
      <c r="JC214" s="56"/>
      <c r="JD214" s="56"/>
      <c r="JE214" s="56"/>
      <c r="JF214" s="56"/>
      <c r="JG214" s="56"/>
      <c r="JH214" s="56"/>
      <c r="JI214" s="56"/>
      <c r="JJ214" s="56"/>
      <c r="JK214" s="56"/>
      <c r="JL214" s="56"/>
      <c r="JM214" s="56"/>
      <c r="JN214" s="56"/>
      <c r="JO214" s="56"/>
      <c r="JP214" s="56"/>
      <c r="JQ214" s="56"/>
      <c r="JR214" s="56"/>
      <c r="JS214" s="56"/>
      <c r="JT214" s="56"/>
      <c r="JU214" s="56"/>
      <c r="JV214" s="56"/>
      <c r="JW214" s="56"/>
      <c r="JX214" s="56"/>
      <c r="JY214" s="56"/>
      <c r="JZ214" s="56"/>
      <c r="KA214" s="56"/>
      <c r="KB214" s="56"/>
      <c r="KC214" s="56"/>
      <c r="KD214" s="56"/>
      <c r="KE214" s="56"/>
      <c r="KF214" s="56"/>
      <c r="KG214" s="56"/>
      <c r="KH214" s="56"/>
      <c r="KI214" s="56"/>
      <c r="KJ214" s="56"/>
      <c r="KK214" s="56"/>
      <c r="KL214" s="56"/>
      <c r="KM214" s="56"/>
      <c r="KN214" s="56"/>
      <c r="KO214" s="56"/>
      <c r="KP214" s="56"/>
      <c r="KQ214" s="56"/>
      <c r="KR214" s="56"/>
      <c r="KS214" s="56"/>
      <c r="KT214" s="56"/>
      <c r="KU214" s="56"/>
      <c r="KV214" s="56"/>
      <c r="KW214" s="56"/>
      <c r="KX214" s="56"/>
      <c r="KY214" s="56"/>
      <c r="KZ214" s="56"/>
      <c r="LA214" s="56"/>
      <c r="LB214" s="56"/>
      <c r="LC214" s="56"/>
      <c r="LD214" s="56"/>
      <c r="LE214" s="56"/>
      <c r="LF214" s="56"/>
      <c r="LG214" s="56"/>
      <c r="LH214" s="56"/>
      <c r="LI214" s="56"/>
      <c r="LJ214" s="56"/>
      <c r="LK214" s="56"/>
      <c r="LL214" s="56"/>
      <c r="LM214" s="56"/>
      <c r="LN214" s="56"/>
      <c r="LO214" s="56"/>
      <c r="LP214" s="56"/>
      <c r="LQ214" s="56"/>
      <c r="LR214" s="56"/>
      <c r="LS214" s="56"/>
      <c r="LT214" s="56"/>
      <c r="LU214" s="56"/>
      <c r="LV214" s="56"/>
      <c r="LW214" s="56"/>
      <c r="LX214" s="56"/>
      <c r="LY214" s="56"/>
      <c r="LZ214" s="56"/>
      <c r="MA214" s="56"/>
      <c r="MB214" s="56"/>
      <c r="MC214" s="56"/>
      <c r="MD214" s="56"/>
      <c r="ME214" s="56"/>
      <c r="MF214" s="56"/>
      <c r="MG214" s="56"/>
      <c r="MH214" s="56"/>
      <c r="MI214" s="56"/>
      <c r="MJ214" s="56"/>
      <c r="MK214" s="56"/>
      <c r="ML214" s="56"/>
      <c r="MM214" s="56"/>
      <c r="MN214" s="56"/>
      <c r="MO214" s="56"/>
      <c r="MP214" s="56"/>
      <c r="MQ214" s="56"/>
      <c r="MR214" s="56"/>
      <c r="MS214" s="56"/>
      <c r="MT214" s="56"/>
      <c r="MU214" s="56"/>
      <c r="MV214" s="56"/>
      <c r="MW214" s="56"/>
      <c r="MX214" s="56"/>
      <c r="MY214" s="56"/>
      <c r="MZ214" s="56"/>
      <c r="NA214" s="56"/>
      <c r="NB214" s="56"/>
      <c r="NC214" s="56"/>
      <c r="ND214" s="56"/>
      <c r="NE214" s="56"/>
      <c r="NF214" s="56"/>
      <c r="NG214" s="56"/>
      <c r="NH214" s="56"/>
      <c r="NI214" s="56"/>
      <c r="NJ214" s="56"/>
      <c r="NK214" s="56"/>
      <c r="NL214" s="56"/>
      <c r="NM214" s="56"/>
      <c r="NN214" s="56"/>
      <c r="NO214" s="56"/>
      <c r="NP214" s="56"/>
      <c r="NQ214" s="56"/>
      <c r="NR214" s="56"/>
      <c r="NS214" s="56"/>
      <c r="NT214" s="56"/>
      <c r="NU214" s="56"/>
      <c r="NV214" s="56"/>
      <c r="NW214" s="56"/>
      <c r="NX214" s="56"/>
      <c r="NY214" s="56"/>
      <c r="NZ214" s="56"/>
      <c r="OA214" s="56"/>
      <c r="OB214" s="56"/>
      <c r="OC214" s="56"/>
      <c r="OD214" s="56"/>
      <c r="OE214" s="56"/>
      <c r="OF214" s="56"/>
      <c r="OG214" s="56"/>
      <c r="OH214" s="56"/>
      <c r="OI214" s="56"/>
      <c r="OJ214" s="56"/>
      <c r="OK214" s="56"/>
      <c r="OL214" s="56"/>
      <c r="OM214" s="56"/>
      <c r="ON214" s="56"/>
      <c r="OO214" s="56"/>
      <c r="OP214" s="56"/>
      <c r="OQ214" s="56"/>
      <c r="OR214" s="56"/>
      <c r="OS214" s="56"/>
      <c r="OT214" s="56"/>
      <c r="OU214" s="56"/>
      <c r="OV214" s="56"/>
      <c r="OW214" s="56"/>
      <c r="OX214" s="56"/>
      <c r="OY214" s="56"/>
      <c r="OZ214" s="56"/>
      <c r="PA214" s="56"/>
      <c r="PB214" s="56"/>
      <c r="PC214" s="56"/>
      <c r="PD214" s="56"/>
      <c r="PE214" s="56"/>
      <c r="PF214" s="56"/>
      <c r="PG214" s="56"/>
      <c r="PH214" s="56"/>
      <c r="PI214" s="56"/>
      <c r="PJ214" s="56"/>
      <c r="PK214" s="56"/>
      <c r="PL214" s="56"/>
      <c r="PM214" s="56"/>
      <c r="PN214" s="56"/>
      <c r="PO214" s="56"/>
      <c r="PP214" s="56"/>
      <c r="PQ214" s="56"/>
      <c r="PR214" s="56"/>
      <c r="PS214" s="56"/>
      <c r="PT214" s="56"/>
      <c r="PU214" s="56"/>
      <c r="PV214" s="56"/>
      <c r="PW214" s="56"/>
      <c r="PX214" s="56"/>
      <c r="PY214" s="56"/>
      <c r="PZ214" s="56"/>
      <c r="QA214" s="56"/>
      <c r="QB214" s="56"/>
      <c r="QC214" s="56"/>
      <c r="QD214" s="56"/>
      <c r="QE214" s="56"/>
      <c r="QF214" s="56"/>
      <c r="QG214" s="56"/>
      <c r="QH214" s="56"/>
      <c r="QI214" s="56"/>
      <c r="QJ214" s="56"/>
      <c r="QK214" s="56"/>
      <c r="QL214" s="56"/>
      <c r="QM214" s="56"/>
      <c r="QN214" s="56"/>
      <c r="QO214" s="56"/>
      <c r="QP214" s="56"/>
      <c r="QQ214" s="56"/>
      <c r="QR214" s="56"/>
      <c r="QS214" s="56"/>
      <c r="QT214" s="56"/>
      <c r="QU214" s="56"/>
      <c r="QV214" s="56"/>
      <c r="QW214" s="56"/>
      <c r="QX214" s="56"/>
      <c r="QY214" s="56"/>
      <c r="QZ214" s="56"/>
      <c r="RA214" s="56"/>
      <c r="RB214" s="56"/>
      <c r="RC214" s="56"/>
      <c r="RD214" s="56"/>
      <c r="RE214" s="56"/>
      <c r="RF214" s="56"/>
      <c r="RG214" s="56"/>
      <c r="RH214" s="56"/>
      <c r="RI214" s="56"/>
      <c r="RJ214" s="56"/>
      <c r="RK214" s="56"/>
      <c r="RL214" s="56"/>
      <c r="RM214" s="56"/>
      <c r="RN214" s="56"/>
      <c r="RO214" s="56"/>
      <c r="RP214" s="56"/>
      <c r="RQ214" s="56"/>
      <c r="RR214" s="56"/>
      <c r="RS214" s="56"/>
      <c r="RT214" s="56"/>
      <c r="RU214" s="56"/>
      <c r="RV214" s="56"/>
      <c r="RW214" s="56"/>
      <c r="RX214" s="56"/>
      <c r="RY214" s="56"/>
      <c r="RZ214" s="56"/>
      <c r="SA214" s="56"/>
      <c r="SB214" s="56"/>
      <c r="SC214" s="56"/>
      <c r="SD214" s="56"/>
      <c r="SE214" s="56"/>
      <c r="SF214" s="56"/>
      <c r="SG214" s="56"/>
      <c r="SH214" s="56"/>
      <c r="SI214" s="56"/>
      <c r="SJ214" s="56"/>
      <c r="SK214" s="56"/>
      <c r="SL214" s="56"/>
      <c r="SM214" s="56"/>
      <c r="SN214" s="56"/>
      <c r="SO214" s="56"/>
      <c r="SP214" s="56"/>
      <c r="SQ214" s="56"/>
      <c r="SR214" s="56"/>
    </row>
    <row r="215" spans="1:512" ht="15" customHeight="1" x14ac:dyDescent="0.7">
      <c r="A215" s="171" t="s">
        <v>344</v>
      </c>
      <c r="B215" s="171" t="s">
        <v>344</v>
      </c>
      <c r="C215" s="171" t="s">
        <v>344</v>
      </c>
      <c r="D215" s="171"/>
      <c r="E215" s="171" t="s">
        <v>344</v>
      </c>
      <c r="F215" s="171"/>
      <c r="G215" s="188" t="s">
        <v>344</v>
      </c>
      <c r="H215" s="71" t="s">
        <v>344</v>
      </c>
      <c r="I215" s="72" t="s">
        <v>344</v>
      </c>
      <c r="J215" s="73" t="s">
        <v>344</v>
      </c>
      <c r="K215" s="189" t="s">
        <v>344</v>
      </c>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c r="DA215" s="54"/>
      <c r="DB215" s="54"/>
      <c r="DC215" s="54"/>
      <c r="DD215" s="54"/>
      <c r="DE215" s="54"/>
      <c r="DF215" s="54"/>
      <c r="DG215" s="54"/>
      <c r="DH215" s="54"/>
      <c r="DI215" s="54"/>
      <c r="DJ215" s="54"/>
      <c r="DK215" s="54"/>
      <c r="DL215" s="54"/>
      <c r="DM215" s="54"/>
      <c r="DN215" s="54"/>
      <c r="DO215" s="54"/>
      <c r="DP215" s="54"/>
      <c r="DQ215" s="54"/>
      <c r="DR215" s="54"/>
      <c r="DS215" s="54"/>
      <c r="DT215" s="54"/>
      <c r="DU215" s="54"/>
      <c r="DV215" s="54"/>
      <c r="DW215" s="54"/>
      <c r="DX215" s="54"/>
      <c r="DY215" s="54"/>
      <c r="DZ215" s="54"/>
      <c r="EA215" s="54"/>
      <c r="EB215" s="54"/>
      <c r="EC215" s="54"/>
      <c r="ED215" s="54"/>
      <c r="EE215" s="54"/>
      <c r="EF215" s="54"/>
      <c r="EG215" s="54"/>
      <c r="EH215" s="54"/>
      <c r="EI215" s="54"/>
      <c r="EJ215" s="54"/>
      <c r="EK215" s="54"/>
      <c r="EL215" s="54"/>
      <c r="EM215" s="54"/>
      <c r="EN215" s="54"/>
      <c r="EO215" s="54"/>
      <c r="EP215" s="54"/>
      <c r="EQ215" s="54"/>
      <c r="ER215" s="54"/>
      <c r="ES215" s="54"/>
      <c r="ET215" s="54"/>
      <c r="EU215" s="54"/>
      <c r="EV215" s="54"/>
      <c r="EW215" s="54"/>
      <c r="EX215" s="54"/>
      <c r="EY215" s="54"/>
      <c r="EZ215" s="54"/>
      <c r="FA215" s="54"/>
      <c r="FB215" s="54"/>
      <c r="FC215" s="54"/>
      <c r="FD215" s="54"/>
      <c r="FE215" s="54"/>
      <c r="FF215" s="54"/>
      <c r="FG215" s="54"/>
      <c r="FH215" s="54"/>
      <c r="FI215" s="54"/>
      <c r="FJ215" s="54"/>
      <c r="FK215" s="54"/>
      <c r="FL215" s="54"/>
      <c r="FM215" s="54"/>
      <c r="FN215" s="54"/>
      <c r="FO215" s="54"/>
      <c r="FP215" s="54"/>
      <c r="FQ215" s="54"/>
      <c r="FR215" s="54"/>
      <c r="FS215" s="54"/>
      <c r="FT215" s="54"/>
      <c r="FU215" s="54"/>
      <c r="FV215" s="54"/>
      <c r="FW215" s="54"/>
      <c r="FX215" s="54"/>
      <c r="FY215" s="54"/>
      <c r="FZ215" s="54"/>
      <c r="GA215" s="54"/>
      <c r="GB215" s="54"/>
      <c r="GC215" s="54"/>
      <c r="GD215" s="54"/>
      <c r="GE215" s="54"/>
      <c r="GF215" s="54"/>
      <c r="GG215" s="54"/>
      <c r="GH215" s="54"/>
      <c r="GI215" s="54"/>
      <c r="GJ215" s="54"/>
      <c r="GK215" s="54"/>
      <c r="GL215" s="54"/>
      <c r="GM215" s="54"/>
      <c r="GN215" s="54"/>
      <c r="GO215" s="54"/>
      <c r="GP215" s="54"/>
      <c r="GQ215" s="54"/>
      <c r="GR215" s="54"/>
      <c r="GS215" s="54"/>
      <c r="GT215" s="54"/>
      <c r="GU215" s="54"/>
      <c r="GV215" s="54"/>
      <c r="GW215" s="54"/>
      <c r="GX215" s="54"/>
      <c r="GY215" s="54"/>
      <c r="GZ215" s="54"/>
      <c r="HA215" s="54"/>
      <c r="HB215" s="54"/>
      <c r="HC215" s="54"/>
      <c r="HD215" s="54"/>
      <c r="HE215" s="54"/>
      <c r="HF215" s="54"/>
      <c r="HG215" s="54"/>
      <c r="HH215" s="54"/>
      <c r="HI215" s="54"/>
      <c r="HJ215" s="54"/>
      <c r="HK215" s="54"/>
      <c r="HL215" s="54"/>
      <c r="HM215" s="54"/>
      <c r="HN215" s="54"/>
      <c r="HO215" s="54"/>
      <c r="HP215" s="54"/>
      <c r="HQ215" s="54"/>
      <c r="HR215" s="54"/>
      <c r="HS215" s="54"/>
      <c r="HT215" s="54"/>
      <c r="HU215" s="54"/>
      <c r="HV215" s="54"/>
      <c r="HW215" s="54"/>
      <c r="HX215" s="54"/>
      <c r="HY215" s="54"/>
      <c r="HZ215" s="54"/>
      <c r="IA215" s="54"/>
      <c r="IB215" s="54"/>
      <c r="IC215" s="54"/>
      <c r="ID215" s="54"/>
      <c r="IE215" s="54"/>
      <c r="IF215" s="54"/>
      <c r="IG215" s="54"/>
      <c r="IH215" s="54"/>
      <c r="II215" s="54"/>
      <c r="IJ215" s="54"/>
      <c r="IK215" s="54"/>
      <c r="IL215" s="54"/>
      <c r="IM215" s="54"/>
      <c r="IN215" s="54"/>
      <c r="IO215" s="54"/>
      <c r="IP215" s="54"/>
      <c r="IQ215" s="54"/>
      <c r="IR215" s="54"/>
      <c r="IS215" s="54"/>
      <c r="IT215" s="54"/>
      <c r="IU215" s="54"/>
      <c r="IV215" s="54"/>
      <c r="IW215" s="54"/>
      <c r="IX215" s="54"/>
      <c r="IY215" s="54"/>
      <c r="IZ215" s="54"/>
      <c r="JA215" s="54"/>
      <c r="JB215" s="54"/>
      <c r="JC215" s="54"/>
      <c r="JD215" s="54"/>
      <c r="JE215" s="54"/>
      <c r="JF215" s="54"/>
      <c r="JG215" s="54"/>
      <c r="JH215" s="54"/>
      <c r="JI215" s="54"/>
      <c r="JJ215" s="54"/>
      <c r="JK215" s="54"/>
      <c r="JL215" s="54"/>
      <c r="JM215" s="54"/>
      <c r="JN215" s="54"/>
      <c r="JO215" s="54"/>
      <c r="JP215" s="54"/>
      <c r="JQ215" s="54"/>
      <c r="JR215" s="54"/>
      <c r="JS215" s="54"/>
      <c r="JT215" s="54"/>
      <c r="JU215" s="54"/>
      <c r="JV215" s="54"/>
      <c r="JW215" s="54"/>
      <c r="JX215" s="54"/>
      <c r="JY215" s="54"/>
      <c r="JZ215" s="54"/>
      <c r="KA215" s="54"/>
      <c r="KB215" s="54"/>
      <c r="KC215" s="54"/>
      <c r="KD215" s="54"/>
      <c r="KE215" s="54"/>
      <c r="KF215" s="54"/>
      <c r="KG215" s="54"/>
      <c r="KH215" s="54"/>
      <c r="KI215" s="54"/>
      <c r="KJ215" s="54"/>
      <c r="KK215" s="54"/>
      <c r="KL215" s="54"/>
      <c r="KM215" s="54"/>
      <c r="KN215" s="54"/>
      <c r="KO215" s="54"/>
      <c r="KP215" s="54"/>
      <c r="KQ215" s="54"/>
      <c r="KR215" s="54"/>
      <c r="KS215" s="54"/>
      <c r="KT215" s="54"/>
      <c r="KU215" s="54"/>
      <c r="KV215" s="54"/>
      <c r="KW215" s="54"/>
      <c r="KX215" s="54"/>
      <c r="KY215" s="54"/>
      <c r="KZ215" s="54"/>
      <c r="LA215" s="54"/>
      <c r="LB215" s="54"/>
      <c r="LC215" s="54"/>
      <c r="LD215" s="54"/>
      <c r="LE215" s="54"/>
      <c r="LF215" s="54"/>
      <c r="LG215" s="54"/>
      <c r="LH215" s="54"/>
      <c r="LI215" s="54"/>
      <c r="LJ215" s="54"/>
      <c r="LK215" s="54"/>
      <c r="LL215" s="54"/>
      <c r="LM215" s="54"/>
      <c r="LN215" s="54"/>
      <c r="LO215" s="54"/>
      <c r="LP215" s="54"/>
      <c r="LQ215" s="54"/>
      <c r="LR215" s="54"/>
      <c r="LS215" s="54"/>
      <c r="LT215" s="54"/>
      <c r="LU215" s="54"/>
      <c r="LV215" s="54"/>
      <c r="LW215" s="54"/>
      <c r="LX215" s="54"/>
      <c r="LY215" s="54"/>
      <c r="LZ215" s="54"/>
      <c r="MA215" s="54"/>
      <c r="MB215" s="54"/>
      <c r="MC215" s="54"/>
      <c r="MD215" s="54"/>
      <c r="ME215" s="54"/>
      <c r="MF215" s="54"/>
      <c r="MG215" s="54"/>
      <c r="MH215" s="54"/>
      <c r="MI215" s="54"/>
      <c r="MJ215" s="54"/>
      <c r="MK215" s="54"/>
      <c r="ML215" s="54"/>
      <c r="MM215" s="54"/>
      <c r="MN215" s="54"/>
      <c r="MO215" s="54"/>
      <c r="MP215" s="54"/>
      <c r="MQ215" s="54"/>
      <c r="MR215" s="54"/>
      <c r="MS215" s="54"/>
      <c r="MT215" s="54"/>
      <c r="MU215" s="54"/>
      <c r="MV215" s="54"/>
      <c r="MW215" s="54"/>
      <c r="MX215" s="54"/>
      <c r="MY215" s="54"/>
      <c r="MZ215" s="54"/>
      <c r="NA215" s="54"/>
      <c r="NB215" s="54"/>
      <c r="NC215" s="54"/>
      <c r="ND215" s="54"/>
      <c r="NE215" s="54"/>
      <c r="NF215" s="54"/>
      <c r="NG215" s="54"/>
      <c r="NH215" s="54"/>
      <c r="NI215" s="54"/>
      <c r="NJ215" s="54"/>
      <c r="NK215" s="54"/>
      <c r="NL215" s="54"/>
      <c r="NM215" s="54"/>
      <c r="NN215" s="54"/>
      <c r="NO215" s="54"/>
      <c r="NP215" s="54"/>
      <c r="NQ215" s="54"/>
      <c r="NR215" s="54"/>
      <c r="NS215" s="54"/>
      <c r="NT215" s="54"/>
      <c r="NU215" s="54"/>
      <c r="NV215" s="54"/>
      <c r="NW215" s="54"/>
      <c r="NX215" s="54"/>
      <c r="NY215" s="54"/>
      <c r="NZ215" s="54"/>
      <c r="OA215" s="54"/>
      <c r="OB215" s="54"/>
      <c r="OC215" s="54"/>
      <c r="OD215" s="54"/>
      <c r="OE215" s="54"/>
      <c r="OF215" s="54"/>
      <c r="OG215" s="54"/>
      <c r="OH215" s="54"/>
      <c r="OI215" s="54"/>
      <c r="OJ215" s="54"/>
      <c r="OK215" s="54"/>
      <c r="OL215" s="54"/>
      <c r="OM215" s="54"/>
      <c r="ON215" s="54"/>
      <c r="OO215" s="54"/>
      <c r="OP215" s="54"/>
      <c r="OQ215" s="54"/>
      <c r="OR215" s="54"/>
      <c r="OS215" s="54"/>
      <c r="OT215" s="54"/>
      <c r="OU215" s="54"/>
      <c r="OV215" s="54"/>
      <c r="OW215" s="54"/>
      <c r="OX215" s="54"/>
      <c r="OY215" s="54"/>
      <c r="OZ215" s="54"/>
      <c r="PA215" s="54"/>
      <c r="PB215" s="54"/>
      <c r="PC215" s="54"/>
      <c r="PD215" s="54"/>
      <c r="PE215" s="54"/>
      <c r="PF215" s="54"/>
      <c r="PG215" s="54"/>
      <c r="PH215" s="54"/>
      <c r="PI215" s="54"/>
      <c r="PJ215" s="54"/>
      <c r="PK215" s="54"/>
      <c r="PL215" s="54"/>
      <c r="PM215" s="54"/>
      <c r="PN215" s="54"/>
      <c r="PO215" s="54"/>
      <c r="PP215" s="54"/>
      <c r="PQ215" s="54"/>
      <c r="PR215" s="54"/>
      <c r="PS215" s="54"/>
      <c r="PT215" s="54"/>
      <c r="PU215" s="54"/>
      <c r="PV215" s="54"/>
      <c r="PW215" s="54"/>
      <c r="PX215" s="54"/>
      <c r="PY215" s="54"/>
      <c r="PZ215" s="54"/>
      <c r="QA215" s="54"/>
      <c r="QB215" s="54"/>
      <c r="QC215" s="54"/>
      <c r="QD215" s="54"/>
      <c r="QE215" s="54"/>
      <c r="QF215" s="54"/>
      <c r="QG215" s="54"/>
      <c r="QH215" s="54"/>
      <c r="QI215" s="54"/>
      <c r="QJ215" s="54"/>
      <c r="QK215" s="54"/>
      <c r="QL215" s="54"/>
      <c r="QM215" s="54"/>
      <c r="QN215" s="54"/>
      <c r="QO215" s="54"/>
      <c r="QP215" s="54"/>
      <c r="QQ215" s="54"/>
      <c r="QR215" s="54"/>
      <c r="QS215" s="54"/>
      <c r="QT215" s="54"/>
      <c r="QU215" s="54"/>
      <c r="QV215" s="54"/>
      <c r="QW215" s="54"/>
      <c r="QX215" s="54"/>
      <c r="QY215" s="54"/>
      <c r="QZ215" s="54"/>
      <c r="RA215" s="54"/>
      <c r="RB215" s="54"/>
      <c r="RC215" s="54"/>
      <c r="RD215" s="54"/>
      <c r="RE215" s="54"/>
      <c r="RF215" s="54"/>
      <c r="RG215" s="54"/>
      <c r="RH215" s="54"/>
      <c r="RI215" s="54"/>
      <c r="RJ215" s="54"/>
      <c r="RK215" s="54"/>
      <c r="RL215" s="54"/>
      <c r="RM215" s="54"/>
      <c r="RN215" s="54"/>
      <c r="RO215" s="54"/>
      <c r="RP215" s="54"/>
      <c r="RQ215" s="54"/>
      <c r="RR215" s="54"/>
      <c r="RS215" s="54"/>
      <c r="RT215" s="54"/>
      <c r="RU215" s="54"/>
      <c r="RV215" s="54"/>
      <c r="RW215" s="54"/>
      <c r="RX215" s="54"/>
      <c r="RY215" s="54"/>
      <c r="RZ215" s="54"/>
      <c r="SA215" s="54"/>
      <c r="SB215" s="54"/>
      <c r="SC215" s="54"/>
      <c r="SD215" s="54"/>
      <c r="SE215" s="54"/>
      <c r="SF215" s="54"/>
      <c r="SG215" s="54"/>
      <c r="SH215" s="54"/>
      <c r="SI215" s="54"/>
      <c r="SJ215" s="54"/>
      <c r="SK215" s="54"/>
      <c r="SL215" s="54"/>
      <c r="SM215" s="54"/>
      <c r="SN215" s="54"/>
      <c r="SO215" s="54"/>
      <c r="SP215" s="54"/>
      <c r="SQ215" s="54"/>
      <c r="SR215" s="54"/>
    </row>
    <row r="216" spans="1:512" ht="15" customHeight="1" x14ac:dyDescent="0.7">
      <c r="A216" s="172"/>
      <c r="B216" s="172"/>
      <c r="C216" s="172"/>
      <c r="D216" s="172"/>
      <c r="E216" s="172"/>
      <c r="F216" s="172"/>
      <c r="G216" s="172"/>
      <c r="I216" s="72" t="s">
        <v>344</v>
      </c>
      <c r="J216" s="73" t="s">
        <v>344</v>
      </c>
      <c r="K216" s="190"/>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c r="DA216" s="54"/>
      <c r="DB216" s="54"/>
      <c r="DC216" s="54"/>
      <c r="DD216" s="54"/>
      <c r="DE216" s="54"/>
      <c r="DF216" s="54"/>
      <c r="DG216" s="54"/>
      <c r="DH216" s="54"/>
      <c r="DI216" s="54"/>
      <c r="DJ216" s="54"/>
      <c r="DK216" s="54"/>
      <c r="DL216" s="54"/>
      <c r="DM216" s="54"/>
      <c r="DN216" s="54"/>
      <c r="DO216" s="54"/>
      <c r="DP216" s="54"/>
      <c r="DQ216" s="54"/>
      <c r="DR216" s="54"/>
      <c r="DS216" s="54"/>
      <c r="DT216" s="54"/>
      <c r="DU216" s="54"/>
      <c r="DV216" s="54"/>
      <c r="DW216" s="54"/>
      <c r="DX216" s="54"/>
      <c r="DY216" s="54"/>
      <c r="DZ216" s="54"/>
      <c r="EA216" s="54"/>
      <c r="EB216" s="54"/>
      <c r="EC216" s="54"/>
      <c r="ED216" s="54"/>
      <c r="EE216" s="54"/>
      <c r="EF216" s="54"/>
      <c r="EG216" s="54"/>
      <c r="EH216" s="54"/>
      <c r="EI216" s="54"/>
      <c r="EJ216" s="54"/>
      <c r="EK216" s="54"/>
      <c r="EL216" s="54"/>
      <c r="EM216" s="54"/>
      <c r="EN216" s="54"/>
      <c r="EO216" s="54"/>
      <c r="EP216" s="54"/>
      <c r="EQ216" s="54"/>
      <c r="ER216" s="54"/>
      <c r="ES216" s="54"/>
      <c r="ET216" s="54"/>
      <c r="EU216" s="54"/>
      <c r="EV216" s="54"/>
      <c r="EW216" s="54"/>
      <c r="EX216" s="54"/>
      <c r="EY216" s="54"/>
      <c r="EZ216" s="54"/>
      <c r="FA216" s="54"/>
      <c r="FB216" s="54"/>
      <c r="FC216" s="54"/>
      <c r="FD216" s="54"/>
      <c r="FE216" s="54"/>
      <c r="FF216" s="54"/>
      <c r="FG216" s="54"/>
      <c r="FH216" s="54"/>
      <c r="FI216" s="54"/>
      <c r="FJ216" s="54"/>
      <c r="FK216" s="54"/>
      <c r="FL216" s="54"/>
      <c r="FM216" s="54"/>
      <c r="FN216" s="54"/>
      <c r="FO216" s="54"/>
      <c r="FP216" s="54"/>
      <c r="FQ216" s="54"/>
      <c r="FR216" s="54"/>
      <c r="FS216" s="54"/>
      <c r="FT216" s="54"/>
      <c r="FU216" s="54"/>
      <c r="FV216" s="54"/>
      <c r="FW216" s="54"/>
      <c r="FX216" s="54"/>
      <c r="FY216" s="54"/>
      <c r="FZ216" s="54"/>
      <c r="GA216" s="54"/>
      <c r="GB216" s="54"/>
      <c r="GC216" s="54"/>
      <c r="GD216" s="54"/>
      <c r="GE216" s="54"/>
      <c r="GF216" s="54"/>
      <c r="GG216" s="54"/>
      <c r="GH216" s="54"/>
      <c r="GI216" s="54"/>
      <c r="GJ216" s="54"/>
      <c r="GK216" s="54"/>
      <c r="GL216" s="54"/>
      <c r="GM216" s="54"/>
      <c r="GN216" s="54"/>
      <c r="GO216" s="54"/>
      <c r="GP216" s="54"/>
      <c r="GQ216" s="54"/>
      <c r="GR216" s="54"/>
      <c r="GS216" s="54"/>
      <c r="GT216" s="54"/>
      <c r="GU216" s="54"/>
      <c r="GV216" s="54"/>
      <c r="GW216" s="54"/>
      <c r="GX216" s="54"/>
      <c r="GY216" s="54"/>
      <c r="GZ216" s="54"/>
      <c r="HA216" s="54"/>
      <c r="HB216" s="54"/>
      <c r="HC216" s="54"/>
      <c r="HD216" s="54"/>
      <c r="HE216" s="54"/>
      <c r="HF216" s="54"/>
      <c r="HG216" s="54"/>
      <c r="HH216" s="54"/>
      <c r="HI216" s="54"/>
      <c r="HJ216" s="54"/>
      <c r="HK216" s="54"/>
      <c r="HL216" s="54"/>
      <c r="HM216" s="54"/>
      <c r="HN216" s="54"/>
      <c r="HO216" s="54"/>
      <c r="HP216" s="54"/>
      <c r="HQ216" s="54"/>
      <c r="HR216" s="54"/>
      <c r="HS216" s="54"/>
      <c r="HT216" s="54"/>
      <c r="HU216" s="54"/>
      <c r="HV216" s="54"/>
      <c r="HW216" s="54"/>
      <c r="HX216" s="54"/>
      <c r="HY216" s="54"/>
      <c r="HZ216" s="54"/>
      <c r="IA216" s="54"/>
      <c r="IB216" s="54"/>
      <c r="IC216" s="54"/>
      <c r="ID216" s="54"/>
      <c r="IE216" s="54"/>
      <c r="IF216" s="54"/>
      <c r="IG216" s="54"/>
      <c r="IH216" s="54"/>
      <c r="II216" s="54"/>
      <c r="IJ216" s="54"/>
      <c r="IK216" s="54"/>
      <c r="IL216" s="54"/>
      <c r="IM216" s="54"/>
      <c r="IN216" s="54"/>
      <c r="IO216" s="54"/>
      <c r="IP216" s="54"/>
      <c r="IQ216" s="54"/>
      <c r="IR216" s="54"/>
      <c r="IS216" s="54"/>
      <c r="IT216" s="54"/>
      <c r="IU216" s="54"/>
      <c r="IV216" s="54"/>
      <c r="IW216" s="54"/>
      <c r="IX216" s="54"/>
      <c r="IY216" s="54"/>
      <c r="IZ216" s="54"/>
      <c r="JA216" s="54"/>
      <c r="JB216" s="54"/>
      <c r="JC216" s="54"/>
      <c r="JD216" s="54"/>
      <c r="JE216" s="54"/>
      <c r="JF216" s="54"/>
      <c r="JG216" s="54"/>
      <c r="JH216" s="54"/>
      <c r="JI216" s="54"/>
      <c r="JJ216" s="54"/>
      <c r="JK216" s="54"/>
      <c r="JL216" s="54"/>
      <c r="JM216" s="54"/>
      <c r="JN216" s="54"/>
      <c r="JO216" s="54"/>
      <c r="JP216" s="54"/>
      <c r="JQ216" s="54"/>
      <c r="JR216" s="54"/>
      <c r="JS216" s="54"/>
      <c r="JT216" s="54"/>
      <c r="JU216" s="54"/>
      <c r="JV216" s="54"/>
      <c r="JW216" s="54"/>
      <c r="JX216" s="54"/>
      <c r="JY216" s="54"/>
      <c r="JZ216" s="54"/>
      <c r="KA216" s="54"/>
      <c r="KB216" s="54"/>
      <c r="KC216" s="54"/>
      <c r="KD216" s="54"/>
      <c r="KE216" s="54"/>
      <c r="KF216" s="54"/>
      <c r="KG216" s="54"/>
      <c r="KH216" s="54"/>
      <c r="KI216" s="54"/>
      <c r="KJ216" s="54"/>
      <c r="KK216" s="54"/>
      <c r="KL216" s="54"/>
      <c r="KM216" s="54"/>
      <c r="KN216" s="54"/>
      <c r="KO216" s="54"/>
      <c r="KP216" s="54"/>
      <c r="KQ216" s="54"/>
      <c r="KR216" s="54"/>
      <c r="KS216" s="54"/>
      <c r="KT216" s="54"/>
      <c r="KU216" s="54"/>
      <c r="KV216" s="54"/>
      <c r="KW216" s="54"/>
      <c r="KX216" s="54"/>
      <c r="KY216" s="54"/>
      <c r="KZ216" s="54"/>
      <c r="LA216" s="54"/>
      <c r="LB216" s="54"/>
      <c r="LC216" s="54"/>
      <c r="LD216" s="54"/>
      <c r="LE216" s="54"/>
      <c r="LF216" s="54"/>
      <c r="LG216" s="54"/>
      <c r="LH216" s="54"/>
      <c r="LI216" s="54"/>
      <c r="LJ216" s="54"/>
      <c r="LK216" s="54"/>
      <c r="LL216" s="54"/>
      <c r="LM216" s="54"/>
      <c r="LN216" s="54"/>
      <c r="LO216" s="54"/>
      <c r="LP216" s="54"/>
      <c r="LQ216" s="54"/>
      <c r="LR216" s="54"/>
      <c r="LS216" s="54"/>
      <c r="LT216" s="54"/>
      <c r="LU216" s="54"/>
      <c r="LV216" s="54"/>
      <c r="LW216" s="54"/>
      <c r="LX216" s="54"/>
      <c r="LY216" s="54"/>
      <c r="LZ216" s="54"/>
      <c r="MA216" s="54"/>
      <c r="MB216" s="54"/>
      <c r="MC216" s="54"/>
      <c r="MD216" s="54"/>
      <c r="ME216" s="54"/>
      <c r="MF216" s="54"/>
      <c r="MG216" s="54"/>
      <c r="MH216" s="54"/>
      <c r="MI216" s="54"/>
      <c r="MJ216" s="54"/>
      <c r="MK216" s="54"/>
      <c r="ML216" s="54"/>
      <c r="MM216" s="54"/>
      <c r="MN216" s="54"/>
      <c r="MO216" s="54"/>
      <c r="MP216" s="54"/>
      <c r="MQ216" s="54"/>
      <c r="MR216" s="54"/>
      <c r="MS216" s="54"/>
      <c r="MT216" s="54"/>
      <c r="MU216" s="54"/>
      <c r="MV216" s="54"/>
      <c r="MW216" s="54"/>
      <c r="MX216" s="54"/>
      <c r="MY216" s="54"/>
      <c r="MZ216" s="54"/>
      <c r="NA216" s="54"/>
      <c r="NB216" s="54"/>
      <c r="NC216" s="54"/>
      <c r="ND216" s="54"/>
      <c r="NE216" s="54"/>
      <c r="NF216" s="54"/>
      <c r="NG216" s="54"/>
      <c r="NH216" s="54"/>
      <c r="NI216" s="54"/>
      <c r="NJ216" s="54"/>
      <c r="NK216" s="54"/>
      <c r="NL216" s="54"/>
      <c r="NM216" s="54"/>
      <c r="NN216" s="54"/>
      <c r="NO216" s="54"/>
      <c r="NP216" s="54"/>
      <c r="NQ216" s="54"/>
      <c r="NR216" s="54"/>
      <c r="NS216" s="54"/>
      <c r="NT216" s="54"/>
      <c r="NU216" s="54"/>
      <c r="NV216" s="54"/>
      <c r="NW216" s="54"/>
      <c r="NX216" s="54"/>
      <c r="NY216" s="54"/>
      <c r="NZ216" s="54"/>
      <c r="OA216" s="54"/>
      <c r="OB216" s="54"/>
      <c r="OC216" s="54"/>
      <c r="OD216" s="54"/>
      <c r="OE216" s="54"/>
      <c r="OF216" s="54"/>
      <c r="OG216" s="54"/>
      <c r="OH216" s="54"/>
      <c r="OI216" s="54"/>
      <c r="OJ216" s="54"/>
      <c r="OK216" s="54"/>
      <c r="OL216" s="54"/>
      <c r="OM216" s="54"/>
      <c r="ON216" s="54"/>
      <c r="OO216" s="54"/>
      <c r="OP216" s="54"/>
      <c r="OQ216" s="54"/>
      <c r="OR216" s="54"/>
      <c r="OS216" s="54"/>
      <c r="OT216" s="54"/>
      <c r="OU216" s="54"/>
      <c r="OV216" s="54"/>
      <c r="OW216" s="54"/>
      <c r="OX216" s="54"/>
      <c r="OY216" s="54"/>
      <c r="OZ216" s="54"/>
      <c r="PA216" s="54"/>
      <c r="PB216" s="54"/>
      <c r="PC216" s="54"/>
      <c r="PD216" s="54"/>
      <c r="PE216" s="54"/>
      <c r="PF216" s="54"/>
      <c r="PG216" s="54"/>
      <c r="PH216" s="54"/>
      <c r="PI216" s="54"/>
      <c r="PJ216" s="54"/>
      <c r="PK216" s="54"/>
      <c r="PL216" s="54"/>
      <c r="PM216" s="54"/>
      <c r="PN216" s="54"/>
      <c r="PO216" s="54"/>
      <c r="PP216" s="54"/>
      <c r="PQ216" s="54"/>
      <c r="PR216" s="54"/>
      <c r="PS216" s="54"/>
      <c r="PT216" s="54"/>
      <c r="PU216" s="54"/>
      <c r="PV216" s="54"/>
      <c r="PW216" s="54"/>
      <c r="PX216" s="54"/>
      <c r="PY216" s="54"/>
      <c r="PZ216" s="54"/>
      <c r="QA216" s="54"/>
      <c r="QB216" s="54"/>
      <c r="QC216" s="54"/>
      <c r="QD216" s="54"/>
      <c r="QE216" s="54"/>
      <c r="QF216" s="54"/>
      <c r="QG216" s="54"/>
      <c r="QH216" s="54"/>
      <c r="QI216" s="54"/>
      <c r="QJ216" s="54"/>
      <c r="QK216" s="54"/>
      <c r="QL216" s="54"/>
      <c r="QM216" s="54"/>
      <c r="QN216" s="54"/>
      <c r="QO216" s="54"/>
      <c r="QP216" s="54"/>
      <c r="QQ216" s="54"/>
      <c r="QR216" s="54"/>
      <c r="QS216" s="54"/>
      <c r="QT216" s="54"/>
      <c r="QU216" s="54"/>
      <c r="QV216" s="54"/>
      <c r="QW216" s="54"/>
      <c r="QX216" s="54"/>
      <c r="QY216" s="54"/>
      <c r="QZ216" s="54"/>
      <c r="RA216" s="54"/>
      <c r="RB216" s="54"/>
      <c r="RC216" s="54"/>
      <c r="RD216" s="54"/>
      <c r="RE216" s="54"/>
      <c r="RF216" s="54"/>
      <c r="RG216" s="54"/>
      <c r="RH216" s="54"/>
      <c r="RI216" s="54"/>
      <c r="RJ216" s="54"/>
      <c r="RK216" s="54"/>
      <c r="RL216" s="54"/>
      <c r="RM216" s="54"/>
      <c r="RN216" s="54"/>
      <c r="RO216" s="54"/>
      <c r="RP216" s="54"/>
      <c r="RQ216" s="54"/>
      <c r="RR216" s="54"/>
      <c r="RS216" s="54"/>
      <c r="RT216" s="54"/>
      <c r="RU216" s="54"/>
      <c r="RV216" s="54"/>
      <c r="RW216" s="54"/>
      <c r="RX216" s="54"/>
      <c r="RY216" s="54"/>
      <c r="RZ216" s="54"/>
      <c r="SA216" s="54"/>
      <c r="SB216" s="54"/>
      <c r="SC216" s="54"/>
      <c r="SD216" s="54"/>
      <c r="SE216" s="54"/>
      <c r="SF216" s="54"/>
      <c r="SG216" s="54"/>
      <c r="SH216" s="54"/>
      <c r="SI216" s="54"/>
      <c r="SJ216" s="54"/>
      <c r="SK216" s="54"/>
      <c r="SL216" s="54"/>
      <c r="SM216" s="54"/>
      <c r="SN216" s="54"/>
      <c r="SO216" s="54"/>
      <c r="SP216" s="54"/>
      <c r="SQ216" s="54"/>
      <c r="SR216" s="54"/>
    </row>
    <row r="217" spans="1:512" s="55" customFormat="1" ht="15" customHeight="1" x14ac:dyDescent="0.7">
      <c r="A217" s="173"/>
      <c r="B217" s="173"/>
      <c r="C217" s="173"/>
      <c r="D217" s="173"/>
      <c r="E217" s="173"/>
      <c r="F217" s="173"/>
      <c r="G217" s="173"/>
      <c r="H217" s="74"/>
      <c r="I217" s="75"/>
      <c r="J217" s="76"/>
      <c r="K217" s="191"/>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c r="IX217" s="56"/>
      <c r="IY217" s="56"/>
      <c r="IZ217" s="56"/>
      <c r="JA217" s="56"/>
      <c r="JB217" s="56"/>
      <c r="JC217" s="56"/>
      <c r="JD217" s="56"/>
      <c r="JE217" s="56"/>
      <c r="JF217" s="56"/>
      <c r="JG217" s="56"/>
      <c r="JH217" s="56"/>
      <c r="JI217" s="56"/>
      <c r="JJ217" s="56"/>
      <c r="JK217" s="56"/>
      <c r="JL217" s="56"/>
      <c r="JM217" s="56"/>
      <c r="JN217" s="56"/>
      <c r="JO217" s="56"/>
      <c r="JP217" s="56"/>
      <c r="JQ217" s="56"/>
      <c r="JR217" s="56"/>
      <c r="JS217" s="56"/>
      <c r="JT217" s="56"/>
      <c r="JU217" s="56"/>
      <c r="JV217" s="56"/>
      <c r="JW217" s="56"/>
      <c r="JX217" s="56"/>
      <c r="JY217" s="56"/>
      <c r="JZ217" s="56"/>
      <c r="KA217" s="56"/>
      <c r="KB217" s="56"/>
      <c r="KC217" s="56"/>
      <c r="KD217" s="56"/>
      <c r="KE217" s="56"/>
      <c r="KF217" s="56"/>
      <c r="KG217" s="56"/>
      <c r="KH217" s="56"/>
      <c r="KI217" s="56"/>
      <c r="KJ217" s="56"/>
      <c r="KK217" s="56"/>
      <c r="KL217" s="56"/>
      <c r="KM217" s="56"/>
      <c r="KN217" s="56"/>
      <c r="KO217" s="56"/>
      <c r="KP217" s="56"/>
      <c r="KQ217" s="56"/>
      <c r="KR217" s="56"/>
      <c r="KS217" s="56"/>
      <c r="KT217" s="56"/>
      <c r="KU217" s="56"/>
      <c r="KV217" s="56"/>
      <c r="KW217" s="56"/>
      <c r="KX217" s="56"/>
      <c r="KY217" s="56"/>
      <c r="KZ217" s="56"/>
      <c r="LA217" s="56"/>
      <c r="LB217" s="56"/>
      <c r="LC217" s="56"/>
      <c r="LD217" s="56"/>
      <c r="LE217" s="56"/>
      <c r="LF217" s="56"/>
      <c r="LG217" s="56"/>
      <c r="LH217" s="56"/>
      <c r="LI217" s="56"/>
      <c r="LJ217" s="56"/>
      <c r="LK217" s="56"/>
      <c r="LL217" s="56"/>
      <c r="LM217" s="56"/>
      <c r="LN217" s="56"/>
      <c r="LO217" s="56"/>
      <c r="LP217" s="56"/>
      <c r="LQ217" s="56"/>
      <c r="LR217" s="56"/>
      <c r="LS217" s="56"/>
      <c r="LT217" s="56"/>
      <c r="LU217" s="56"/>
      <c r="LV217" s="56"/>
      <c r="LW217" s="56"/>
      <c r="LX217" s="56"/>
      <c r="LY217" s="56"/>
      <c r="LZ217" s="56"/>
      <c r="MA217" s="56"/>
      <c r="MB217" s="56"/>
      <c r="MC217" s="56"/>
      <c r="MD217" s="56"/>
      <c r="ME217" s="56"/>
      <c r="MF217" s="56"/>
      <c r="MG217" s="56"/>
      <c r="MH217" s="56"/>
      <c r="MI217" s="56"/>
      <c r="MJ217" s="56"/>
      <c r="MK217" s="56"/>
      <c r="ML217" s="56"/>
      <c r="MM217" s="56"/>
      <c r="MN217" s="56"/>
      <c r="MO217" s="56"/>
      <c r="MP217" s="56"/>
      <c r="MQ217" s="56"/>
      <c r="MR217" s="56"/>
      <c r="MS217" s="56"/>
      <c r="MT217" s="56"/>
      <c r="MU217" s="56"/>
      <c r="MV217" s="56"/>
      <c r="MW217" s="56"/>
      <c r="MX217" s="56"/>
      <c r="MY217" s="56"/>
      <c r="MZ217" s="56"/>
      <c r="NA217" s="56"/>
      <c r="NB217" s="56"/>
      <c r="NC217" s="56"/>
      <c r="ND217" s="56"/>
      <c r="NE217" s="56"/>
      <c r="NF217" s="56"/>
      <c r="NG217" s="56"/>
      <c r="NH217" s="56"/>
      <c r="NI217" s="56"/>
      <c r="NJ217" s="56"/>
      <c r="NK217" s="56"/>
      <c r="NL217" s="56"/>
      <c r="NM217" s="56"/>
      <c r="NN217" s="56"/>
      <c r="NO217" s="56"/>
      <c r="NP217" s="56"/>
      <c r="NQ217" s="56"/>
      <c r="NR217" s="56"/>
      <c r="NS217" s="56"/>
      <c r="NT217" s="56"/>
      <c r="NU217" s="56"/>
      <c r="NV217" s="56"/>
      <c r="NW217" s="56"/>
      <c r="NX217" s="56"/>
      <c r="NY217" s="56"/>
      <c r="NZ217" s="56"/>
      <c r="OA217" s="56"/>
      <c r="OB217" s="56"/>
      <c r="OC217" s="56"/>
      <c r="OD217" s="56"/>
      <c r="OE217" s="56"/>
      <c r="OF217" s="56"/>
      <c r="OG217" s="56"/>
      <c r="OH217" s="56"/>
      <c r="OI217" s="56"/>
      <c r="OJ217" s="56"/>
      <c r="OK217" s="56"/>
      <c r="OL217" s="56"/>
      <c r="OM217" s="56"/>
      <c r="ON217" s="56"/>
      <c r="OO217" s="56"/>
      <c r="OP217" s="56"/>
      <c r="OQ217" s="56"/>
      <c r="OR217" s="56"/>
      <c r="OS217" s="56"/>
      <c r="OT217" s="56"/>
      <c r="OU217" s="56"/>
      <c r="OV217" s="56"/>
      <c r="OW217" s="56"/>
      <c r="OX217" s="56"/>
      <c r="OY217" s="56"/>
      <c r="OZ217" s="56"/>
      <c r="PA217" s="56"/>
      <c r="PB217" s="56"/>
      <c r="PC217" s="56"/>
      <c r="PD217" s="56"/>
      <c r="PE217" s="56"/>
      <c r="PF217" s="56"/>
      <c r="PG217" s="56"/>
      <c r="PH217" s="56"/>
      <c r="PI217" s="56"/>
      <c r="PJ217" s="56"/>
      <c r="PK217" s="56"/>
      <c r="PL217" s="56"/>
      <c r="PM217" s="56"/>
      <c r="PN217" s="56"/>
      <c r="PO217" s="56"/>
      <c r="PP217" s="56"/>
      <c r="PQ217" s="56"/>
      <c r="PR217" s="56"/>
      <c r="PS217" s="56"/>
      <c r="PT217" s="56"/>
      <c r="PU217" s="56"/>
      <c r="PV217" s="56"/>
      <c r="PW217" s="56"/>
      <c r="PX217" s="56"/>
      <c r="PY217" s="56"/>
      <c r="PZ217" s="56"/>
      <c r="QA217" s="56"/>
      <c r="QB217" s="56"/>
      <c r="QC217" s="56"/>
      <c r="QD217" s="56"/>
      <c r="QE217" s="56"/>
      <c r="QF217" s="56"/>
      <c r="QG217" s="56"/>
      <c r="QH217" s="56"/>
      <c r="QI217" s="56"/>
      <c r="QJ217" s="56"/>
      <c r="QK217" s="56"/>
      <c r="QL217" s="56"/>
      <c r="QM217" s="56"/>
      <c r="QN217" s="56"/>
      <c r="QO217" s="56"/>
      <c r="QP217" s="56"/>
      <c r="QQ217" s="56"/>
      <c r="QR217" s="56"/>
      <c r="QS217" s="56"/>
      <c r="QT217" s="56"/>
      <c r="QU217" s="56"/>
      <c r="QV217" s="56"/>
      <c r="QW217" s="56"/>
      <c r="QX217" s="56"/>
      <c r="QY217" s="56"/>
      <c r="QZ217" s="56"/>
      <c r="RA217" s="56"/>
      <c r="RB217" s="56"/>
      <c r="RC217" s="56"/>
      <c r="RD217" s="56"/>
      <c r="RE217" s="56"/>
      <c r="RF217" s="56"/>
      <c r="RG217" s="56"/>
      <c r="RH217" s="56"/>
      <c r="RI217" s="56"/>
      <c r="RJ217" s="56"/>
      <c r="RK217" s="56"/>
      <c r="RL217" s="56"/>
      <c r="RM217" s="56"/>
      <c r="RN217" s="56"/>
      <c r="RO217" s="56"/>
      <c r="RP217" s="56"/>
      <c r="RQ217" s="56"/>
      <c r="RR217" s="56"/>
      <c r="RS217" s="56"/>
      <c r="RT217" s="56"/>
      <c r="RU217" s="56"/>
      <c r="RV217" s="56"/>
      <c r="RW217" s="56"/>
      <c r="RX217" s="56"/>
      <c r="RY217" s="56"/>
      <c r="RZ217" s="56"/>
      <c r="SA217" s="56"/>
      <c r="SB217" s="56"/>
      <c r="SC217" s="56"/>
      <c r="SD217" s="56"/>
      <c r="SE217" s="56"/>
      <c r="SF217" s="56"/>
      <c r="SG217" s="56"/>
      <c r="SH217" s="56"/>
      <c r="SI217" s="56"/>
      <c r="SJ217" s="56"/>
      <c r="SK217" s="56"/>
      <c r="SL217" s="56"/>
      <c r="SM217" s="56"/>
      <c r="SN217" s="56"/>
      <c r="SO217" s="56"/>
      <c r="SP217" s="56"/>
      <c r="SQ217" s="56"/>
      <c r="SR217" s="56"/>
    </row>
    <row r="218" spans="1:512" ht="15" customHeight="1" x14ac:dyDescent="0.7">
      <c r="A218" s="171" t="s">
        <v>344</v>
      </c>
      <c r="B218" s="171" t="s">
        <v>344</v>
      </c>
      <c r="C218" s="171" t="s">
        <v>344</v>
      </c>
      <c r="D218" s="171"/>
      <c r="E218" s="171" t="s">
        <v>344</v>
      </c>
      <c r="F218" s="171"/>
      <c r="G218" s="188" t="s">
        <v>344</v>
      </c>
      <c r="H218" s="71" t="s">
        <v>344</v>
      </c>
      <c r="I218" s="72" t="s">
        <v>344</v>
      </c>
      <c r="J218" s="73" t="s">
        <v>344</v>
      </c>
      <c r="K218" s="189" t="s">
        <v>344</v>
      </c>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c r="DA218" s="54"/>
      <c r="DB218" s="54"/>
      <c r="DC218" s="54"/>
      <c r="DD218" s="54"/>
      <c r="DE218" s="54"/>
      <c r="DF218" s="54"/>
      <c r="DG218" s="54"/>
      <c r="DH218" s="54"/>
      <c r="DI218" s="54"/>
      <c r="DJ218" s="54"/>
      <c r="DK218" s="54"/>
      <c r="DL218" s="54"/>
      <c r="DM218" s="54"/>
      <c r="DN218" s="54"/>
      <c r="DO218" s="54"/>
      <c r="DP218" s="54"/>
      <c r="DQ218" s="54"/>
      <c r="DR218" s="54"/>
      <c r="DS218" s="54"/>
      <c r="DT218" s="54"/>
      <c r="DU218" s="54"/>
      <c r="DV218" s="54"/>
      <c r="DW218" s="54"/>
      <c r="DX218" s="54"/>
      <c r="DY218" s="54"/>
      <c r="DZ218" s="54"/>
      <c r="EA218" s="54"/>
      <c r="EB218" s="54"/>
      <c r="EC218" s="54"/>
      <c r="ED218" s="54"/>
      <c r="EE218" s="54"/>
      <c r="EF218" s="54"/>
      <c r="EG218" s="54"/>
      <c r="EH218" s="54"/>
      <c r="EI218" s="54"/>
      <c r="EJ218" s="54"/>
      <c r="EK218" s="54"/>
      <c r="EL218" s="54"/>
      <c r="EM218" s="54"/>
      <c r="EN218" s="54"/>
      <c r="EO218" s="54"/>
      <c r="EP218" s="54"/>
      <c r="EQ218" s="54"/>
      <c r="ER218" s="54"/>
      <c r="ES218" s="54"/>
      <c r="ET218" s="54"/>
      <c r="EU218" s="54"/>
      <c r="EV218" s="54"/>
      <c r="EW218" s="54"/>
      <c r="EX218" s="54"/>
      <c r="EY218" s="54"/>
      <c r="EZ218" s="54"/>
      <c r="FA218" s="54"/>
      <c r="FB218" s="54"/>
      <c r="FC218" s="54"/>
      <c r="FD218" s="54"/>
      <c r="FE218" s="54"/>
      <c r="FF218" s="54"/>
      <c r="FG218" s="54"/>
      <c r="FH218" s="54"/>
      <c r="FI218" s="54"/>
      <c r="FJ218" s="54"/>
      <c r="FK218" s="54"/>
      <c r="FL218" s="54"/>
      <c r="FM218" s="54"/>
      <c r="FN218" s="54"/>
      <c r="FO218" s="54"/>
      <c r="FP218" s="54"/>
      <c r="FQ218" s="54"/>
      <c r="FR218" s="54"/>
      <c r="FS218" s="54"/>
      <c r="FT218" s="54"/>
      <c r="FU218" s="54"/>
      <c r="FV218" s="54"/>
      <c r="FW218" s="54"/>
      <c r="FX218" s="54"/>
      <c r="FY218" s="54"/>
      <c r="FZ218" s="54"/>
      <c r="GA218" s="54"/>
      <c r="GB218" s="54"/>
      <c r="GC218" s="54"/>
      <c r="GD218" s="54"/>
      <c r="GE218" s="54"/>
      <c r="GF218" s="54"/>
      <c r="GG218" s="54"/>
      <c r="GH218" s="54"/>
      <c r="GI218" s="54"/>
      <c r="GJ218" s="54"/>
      <c r="GK218" s="54"/>
      <c r="GL218" s="54"/>
      <c r="GM218" s="54"/>
      <c r="GN218" s="54"/>
      <c r="GO218" s="54"/>
      <c r="GP218" s="54"/>
      <c r="GQ218" s="54"/>
      <c r="GR218" s="54"/>
      <c r="GS218" s="54"/>
      <c r="GT218" s="54"/>
      <c r="GU218" s="54"/>
      <c r="GV218" s="54"/>
      <c r="GW218" s="54"/>
      <c r="GX218" s="54"/>
      <c r="GY218" s="54"/>
      <c r="GZ218" s="54"/>
      <c r="HA218" s="54"/>
      <c r="HB218" s="54"/>
      <c r="HC218" s="54"/>
      <c r="HD218" s="54"/>
      <c r="HE218" s="54"/>
      <c r="HF218" s="54"/>
      <c r="HG218" s="54"/>
      <c r="HH218" s="54"/>
      <c r="HI218" s="54"/>
      <c r="HJ218" s="54"/>
      <c r="HK218" s="54"/>
      <c r="HL218" s="54"/>
      <c r="HM218" s="54"/>
      <c r="HN218" s="54"/>
      <c r="HO218" s="54"/>
      <c r="HP218" s="54"/>
      <c r="HQ218" s="54"/>
      <c r="HR218" s="54"/>
      <c r="HS218" s="54"/>
      <c r="HT218" s="54"/>
      <c r="HU218" s="54"/>
      <c r="HV218" s="54"/>
      <c r="HW218" s="54"/>
      <c r="HX218" s="54"/>
      <c r="HY218" s="54"/>
      <c r="HZ218" s="54"/>
      <c r="IA218" s="54"/>
      <c r="IB218" s="54"/>
      <c r="IC218" s="54"/>
      <c r="ID218" s="54"/>
      <c r="IE218" s="54"/>
      <c r="IF218" s="54"/>
      <c r="IG218" s="54"/>
      <c r="IH218" s="54"/>
      <c r="II218" s="54"/>
      <c r="IJ218" s="54"/>
      <c r="IK218" s="54"/>
      <c r="IL218" s="54"/>
      <c r="IM218" s="54"/>
      <c r="IN218" s="54"/>
      <c r="IO218" s="54"/>
      <c r="IP218" s="54"/>
      <c r="IQ218" s="54"/>
      <c r="IR218" s="54"/>
      <c r="IS218" s="54"/>
      <c r="IT218" s="54"/>
      <c r="IU218" s="54"/>
      <c r="IV218" s="54"/>
      <c r="IW218" s="54"/>
      <c r="IX218" s="54"/>
      <c r="IY218" s="54"/>
      <c r="IZ218" s="54"/>
      <c r="JA218" s="54"/>
      <c r="JB218" s="54"/>
      <c r="JC218" s="54"/>
      <c r="JD218" s="54"/>
      <c r="JE218" s="54"/>
      <c r="JF218" s="54"/>
      <c r="JG218" s="54"/>
      <c r="JH218" s="54"/>
      <c r="JI218" s="54"/>
      <c r="JJ218" s="54"/>
      <c r="JK218" s="54"/>
      <c r="JL218" s="54"/>
      <c r="JM218" s="54"/>
      <c r="JN218" s="54"/>
      <c r="JO218" s="54"/>
      <c r="JP218" s="54"/>
      <c r="JQ218" s="54"/>
      <c r="JR218" s="54"/>
      <c r="JS218" s="54"/>
      <c r="JT218" s="54"/>
      <c r="JU218" s="54"/>
      <c r="JV218" s="54"/>
      <c r="JW218" s="54"/>
      <c r="JX218" s="54"/>
      <c r="JY218" s="54"/>
      <c r="JZ218" s="54"/>
      <c r="KA218" s="54"/>
      <c r="KB218" s="54"/>
      <c r="KC218" s="54"/>
      <c r="KD218" s="54"/>
      <c r="KE218" s="54"/>
      <c r="KF218" s="54"/>
      <c r="KG218" s="54"/>
      <c r="KH218" s="54"/>
      <c r="KI218" s="54"/>
      <c r="KJ218" s="54"/>
      <c r="KK218" s="54"/>
      <c r="KL218" s="54"/>
      <c r="KM218" s="54"/>
      <c r="KN218" s="54"/>
      <c r="KO218" s="54"/>
      <c r="KP218" s="54"/>
      <c r="KQ218" s="54"/>
      <c r="KR218" s="54"/>
      <c r="KS218" s="54"/>
      <c r="KT218" s="54"/>
      <c r="KU218" s="54"/>
      <c r="KV218" s="54"/>
      <c r="KW218" s="54"/>
      <c r="KX218" s="54"/>
      <c r="KY218" s="54"/>
      <c r="KZ218" s="54"/>
      <c r="LA218" s="54"/>
      <c r="LB218" s="54"/>
      <c r="LC218" s="54"/>
      <c r="LD218" s="54"/>
      <c r="LE218" s="54"/>
      <c r="LF218" s="54"/>
      <c r="LG218" s="54"/>
      <c r="LH218" s="54"/>
      <c r="LI218" s="54"/>
      <c r="LJ218" s="54"/>
      <c r="LK218" s="54"/>
      <c r="LL218" s="54"/>
      <c r="LM218" s="54"/>
      <c r="LN218" s="54"/>
      <c r="LO218" s="54"/>
      <c r="LP218" s="54"/>
      <c r="LQ218" s="54"/>
      <c r="LR218" s="54"/>
      <c r="LS218" s="54"/>
      <c r="LT218" s="54"/>
      <c r="LU218" s="54"/>
      <c r="LV218" s="54"/>
      <c r="LW218" s="54"/>
      <c r="LX218" s="54"/>
      <c r="LY218" s="54"/>
      <c r="LZ218" s="54"/>
      <c r="MA218" s="54"/>
      <c r="MB218" s="54"/>
      <c r="MC218" s="54"/>
      <c r="MD218" s="54"/>
      <c r="ME218" s="54"/>
      <c r="MF218" s="54"/>
      <c r="MG218" s="54"/>
      <c r="MH218" s="54"/>
      <c r="MI218" s="54"/>
      <c r="MJ218" s="54"/>
      <c r="MK218" s="54"/>
      <c r="ML218" s="54"/>
      <c r="MM218" s="54"/>
      <c r="MN218" s="54"/>
      <c r="MO218" s="54"/>
      <c r="MP218" s="54"/>
      <c r="MQ218" s="54"/>
      <c r="MR218" s="54"/>
      <c r="MS218" s="54"/>
      <c r="MT218" s="54"/>
      <c r="MU218" s="54"/>
      <c r="MV218" s="54"/>
      <c r="MW218" s="54"/>
      <c r="MX218" s="54"/>
      <c r="MY218" s="54"/>
      <c r="MZ218" s="54"/>
      <c r="NA218" s="54"/>
      <c r="NB218" s="54"/>
      <c r="NC218" s="54"/>
      <c r="ND218" s="54"/>
      <c r="NE218" s="54"/>
      <c r="NF218" s="54"/>
      <c r="NG218" s="54"/>
      <c r="NH218" s="54"/>
      <c r="NI218" s="54"/>
      <c r="NJ218" s="54"/>
      <c r="NK218" s="54"/>
      <c r="NL218" s="54"/>
      <c r="NM218" s="54"/>
      <c r="NN218" s="54"/>
      <c r="NO218" s="54"/>
      <c r="NP218" s="54"/>
      <c r="NQ218" s="54"/>
      <c r="NR218" s="54"/>
      <c r="NS218" s="54"/>
      <c r="NT218" s="54"/>
      <c r="NU218" s="54"/>
      <c r="NV218" s="54"/>
      <c r="NW218" s="54"/>
      <c r="NX218" s="54"/>
      <c r="NY218" s="54"/>
      <c r="NZ218" s="54"/>
      <c r="OA218" s="54"/>
      <c r="OB218" s="54"/>
      <c r="OC218" s="54"/>
      <c r="OD218" s="54"/>
      <c r="OE218" s="54"/>
      <c r="OF218" s="54"/>
      <c r="OG218" s="54"/>
      <c r="OH218" s="54"/>
      <c r="OI218" s="54"/>
      <c r="OJ218" s="54"/>
      <c r="OK218" s="54"/>
      <c r="OL218" s="54"/>
      <c r="OM218" s="54"/>
      <c r="ON218" s="54"/>
      <c r="OO218" s="54"/>
      <c r="OP218" s="54"/>
      <c r="OQ218" s="54"/>
      <c r="OR218" s="54"/>
      <c r="OS218" s="54"/>
      <c r="OT218" s="54"/>
      <c r="OU218" s="54"/>
      <c r="OV218" s="54"/>
      <c r="OW218" s="54"/>
      <c r="OX218" s="54"/>
      <c r="OY218" s="54"/>
      <c r="OZ218" s="54"/>
      <c r="PA218" s="54"/>
      <c r="PB218" s="54"/>
      <c r="PC218" s="54"/>
      <c r="PD218" s="54"/>
      <c r="PE218" s="54"/>
      <c r="PF218" s="54"/>
      <c r="PG218" s="54"/>
      <c r="PH218" s="54"/>
      <c r="PI218" s="54"/>
      <c r="PJ218" s="54"/>
      <c r="PK218" s="54"/>
      <c r="PL218" s="54"/>
      <c r="PM218" s="54"/>
      <c r="PN218" s="54"/>
      <c r="PO218" s="54"/>
      <c r="PP218" s="54"/>
      <c r="PQ218" s="54"/>
      <c r="PR218" s="54"/>
      <c r="PS218" s="54"/>
      <c r="PT218" s="54"/>
      <c r="PU218" s="54"/>
      <c r="PV218" s="54"/>
      <c r="PW218" s="54"/>
      <c r="PX218" s="54"/>
      <c r="PY218" s="54"/>
      <c r="PZ218" s="54"/>
      <c r="QA218" s="54"/>
      <c r="QB218" s="54"/>
      <c r="QC218" s="54"/>
      <c r="QD218" s="54"/>
      <c r="QE218" s="54"/>
      <c r="QF218" s="54"/>
      <c r="QG218" s="54"/>
      <c r="QH218" s="54"/>
      <c r="QI218" s="54"/>
      <c r="QJ218" s="54"/>
      <c r="QK218" s="54"/>
      <c r="QL218" s="54"/>
      <c r="QM218" s="54"/>
      <c r="QN218" s="54"/>
      <c r="QO218" s="54"/>
      <c r="QP218" s="54"/>
      <c r="QQ218" s="54"/>
      <c r="QR218" s="54"/>
      <c r="QS218" s="54"/>
      <c r="QT218" s="54"/>
      <c r="QU218" s="54"/>
      <c r="QV218" s="54"/>
      <c r="QW218" s="54"/>
      <c r="QX218" s="54"/>
      <c r="QY218" s="54"/>
      <c r="QZ218" s="54"/>
      <c r="RA218" s="54"/>
      <c r="RB218" s="54"/>
      <c r="RC218" s="54"/>
      <c r="RD218" s="54"/>
      <c r="RE218" s="54"/>
      <c r="RF218" s="54"/>
      <c r="RG218" s="54"/>
      <c r="RH218" s="54"/>
      <c r="RI218" s="54"/>
      <c r="RJ218" s="54"/>
      <c r="RK218" s="54"/>
      <c r="RL218" s="54"/>
      <c r="RM218" s="54"/>
      <c r="RN218" s="54"/>
      <c r="RO218" s="54"/>
      <c r="RP218" s="54"/>
      <c r="RQ218" s="54"/>
      <c r="RR218" s="54"/>
      <c r="RS218" s="54"/>
      <c r="RT218" s="54"/>
      <c r="RU218" s="54"/>
      <c r="RV218" s="54"/>
      <c r="RW218" s="54"/>
      <c r="RX218" s="54"/>
      <c r="RY218" s="54"/>
      <c r="RZ218" s="54"/>
      <c r="SA218" s="54"/>
      <c r="SB218" s="54"/>
      <c r="SC218" s="54"/>
      <c r="SD218" s="54"/>
      <c r="SE218" s="54"/>
      <c r="SF218" s="54"/>
      <c r="SG218" s="54"/>
      <c r="SH218" s="54"/>
      <c r="SI218" s="54"/>
      <c r="SJ218" s="54"/>
      <c r="SK218" s="54"/>
      <c r="SL218" s="54"/>
      <c r="SM218" s="54"/>
      <c r="SN218" s="54"/>
      <c r="SO218" s="54"/>
      <c r="SP218" s="54"/>
      <c r="SQ218" s="54"/>
      <c r="SR218" s="54"/>
    </row>
    <row r="219" spans="1:512" ht="15" customHeight="1" x14ac:dyDescent="0.7">
      <c r="A219" s="172"/>
      <c r="B219" s="172"/>
      <c r="C219" s="172"/>
      <c r="D219" s="172"/>
      <c r="E219" s="172"/>
      <c r="F219" s="172"/>
      <c r="G219" s="172"/>
      <c r="I219" s="72" t="s">
        <v>344</v>
      </c>
      <c r="J219" s="73" t="s">
        <v>344</v>
      </c>
      <c r="K219" s="190"/>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c r="DA219" s="54"/>
      <c r="DB219" s="54"/>
      <c r="DC219" s="54"/>
      <c r="DD219" s="54"/>
      <c r="DE219" s="54"/>
      <c r="DF219" s="54"/>
      <c r="DG219" s="54"/>
      <c r="DH219" s="54"/>
      <c r="DI219" s="54"/>
      <c r="DJ219" s="54"/>
      <c r="DK219" s="54"/>
      <c r="DL219" s="54"/>
      <c r="DM219" s="54"/>
      <c r="DN219" s="54"/>
      <c r="DO219" s="54"/>
      <c r="DP219" s="54"/>
      <c r="DQ219" s="54"/>
      <c r="DR219" s="54"/>
      <c r="DS219" s="54"/>
      <c r="DT219" s="54"/>
      <c r="DU219" s="54"/>
      <c r="DV219" s="54"/>
      <c r="DW219" s="54"/>
      <c r="DX219" s="54"/>
      <c r="DY219" s="54"/>
      <c r="DZ219" s="54"/>
      <c r="EA219" s="54"/>
      <c r="EB219" s="54"/>
      <c r="EC219" s="54"/>
      <c r="ED219" s="54"/>
      <c r="EE219" s="54"/>
      <c r="EF219" s="54"/>
      <c r="EG219" s="54"/>
      <c r="EH219" s="54"/>
      <c r="EI219" s="54"/>
      <c r="EJ219" s="54"/>
      <c r="EK219" s="54"/>
      <c r="EL219" s="54"/>
      <c r="EM219" s="54"/>
      <c r="EN219" s="54"/>
      <c r="EO219" s="54"/>
      <c r="EP219" s="54"/>
      <c r="EQ219" s="54"/>
      <c r="ER219" s="54"/>
      <c r="ES219" s="54"/>
      <c r="ET219" s="54"/>
      <c r="EU219" s="54"/>
      <c r="EV219" s="54"/>
      <c r="EW219" s="54"/>
      <c r="EX219" s="54"/>
      <c r="EY219" s="54"/>
      <c r="EZ219" s="54"/>
      <c r="FA219" s="54"/>
      <c r="FB219" s="54"/>
      <c r="FC219" s="54"/>
      <c r="FD219" s="54"/>
      <c r="FE219" s="54"/>
      <c r="FF219" s="54"/>
      <c r="FG219" s="54"/>
      <c r="FH219" s="54"/>
      <c r="FI219" s="54"/>
      <c r="FJ219" s="54"/>
      <c r="FK219" s="54"/>
      <c r="FL219" s="54"/>
      <c r="FM219" s="54"/>
      <c r="FN219" s="54"/>
      <c r="FO219" s="54"/>
      <c r="FP219" s="54"/>
      <c r="FQ219" s="54"/>
      <c r="FR219" s="54"/>
      <c r="FS219" s="54"/>
      <c r="FT219" s="54"/>
      <c r="FU219" s="54"/>
      <c r="FV219" s="54"/>
      <c r="FW219" s="54"/>
      <c r="FX219" s="54"/>
      <c r="FY219" s="54"/>
      <c r="FZ219" s="54"/>
      <c r="GA219" s="54"/>
      <c r="GB219" s="54"/>
      <c r="GC219" s="54"/>
      <c r="GD219" s="54"/>
      <c r="GE219" s="54"/>
      <c r="GF219" s="54"/>
      <c r="GG219" s="54"/>
      <c r="GH219" s="54"/>
      <c r="GI219" s="54"/>
      <c r="GJ219" s="54"/>
      <c r="GK219" s="54"/>
      <c r="GL219" s="54"/>
      <c r="GM219" s="54"/>
      <c r="GN219" s="54"/>
      <c r="GO219" s="54"/>
      <c r="GP219" s="54"/>
      <c r="GQ219" s="54"/>
      <c r="GR219" s="54"/>
      <c r="GS219" s="54"/>
      <c r="GT219" s="54"/>
      <c r="GU219" s="54"/>
      <c r="GV219" s="54"/>
      <c r="GW219" s="54"/>
      <c r="GX219" s="54"/>
      <c r="GY219" s="54"/>
      <c r="GZ219" s="54"/>
      <c r="HA219" s="54"/>
      <c r="HB219" s="54"/>
      <c r="HC219" s="54"/>
      <c r="HD219" s="54"/>
      <c r="HE219" s="54"/>
      <c r="HF219" s="54"/>
      <c r="HG219" s="54"/>
      <c r="HH219" s="54"/>
      <c r="HI219" s="54"/>
      <c r="HJ219" s="54"/>
      <c r="HK219" s="54"/>
      <c r="HL219" s="54"/>
      <c r="HM219" s="54"/>
      <c r="HN219" s="54"/>
      <c r="HO219" s="54"/>
      <c r="HP219" s="54"/>
      <c r="HQ219" s="54"/>
      <c r="HR219" s="54"/>
      <c r="HS219" s="54"/>
      <c r="HT219" s="54"/>
      <c r="HU219" s="54"/>
      <c r="HV219" s="54"/>
      <c r="HW219" s="54"/>
      <c r="HX219" s="54"/>
      <c r="HY219" s="54"/>
      <c r="HZ219" s="54"/>
      <c r="IA219" s="54"/>
      <c r="IB219" s="54"/>
      <c r="IC219" s="54"/>
      <c r="ID219" s="54"/>
      <c r="IE219" s="54"/>
      <c r="IF219" s="54"/>
      <c r="IG219" s="54"/>
      <c r="IH219" s="54"/>
      <c r="II219" s="54"/>
      <c r="IJ219" s="54"/>
      <c r="IK219" s="54"/>
      <c r="IL219" s="54"/>
      <c r="IM219" s="54"/>
      <c r="IN219" s="54"/>
      <c r="IO219" s="54"/>
      <c r="IP219" s="54"/>
      <c r="IQ219" s="54"/>
      <c r="IR219" s="54"/>
      <c r="IS219" s="54"/>
      <c r="IT219" s="54"/>
      <c r="IU219" s="54"/>
      <c r="IV219" s="54"/>
      <c r="IW219" s="54"/>
      <c r="IX219" s="54"/>
      <c r="IY219" s="54"/>
      <c r="IZ219" s="54"/>
      <c r="JA219" s="54"/>
      <c r="JB219" s="54"/>
      <c r="JC219" s="54"/>
      <c r="JD219" s="54"/>
      <c r="JE219" s="54"/>
      <c r="JF219" s="54"/>
      <c r="JG219" s="54"/>
      <c r="JH219" s="54"/>
      <c r="JI219" s="54"/>
      <c r="JJ219" s="54"/>
      <c r="JK219" s="54"/>
      <c r="JL219" s="54"/>
      <c r="JM219" s="54"/>
      <c r="JN219" s="54"/>
      <c r="JO219" s="54"/>
      <c r="JP219" s="54"/>
      <c r="JQ219" s="54"/>
      <c r="JR219" s="54"/>
      <c r="JS219" s="54"/>
      <c r="JT219" s="54"/>
      <c r="JU219" s="54"/>
      <c r="JV219" s="54"/>
      <c r="JW219" s="54"/>
      <c r="JX219" s="54"/>
      <c r="JY219" s="54"/>
      <c r="JZ219" s="54"/>
      <c r="KA219" s="54"/>
      <c r="KB219" s="54"/>
      <c r="KC219" s="54"/>
      <c r="KD219" s="54"/>
      <c r="KE219" s="54"/>
      <c r="KF219" s="54"/>
      <c r="KG219" s="54"/>
      <c r="KH219" s="54"/>
      <c r="KI219" s="54"/>
      <c r="KJ219" s="54"/>
      <c r="KK219" s="54"/>
      <c r="KL219" s="54"/>
      <c r="KM219" s="54"/>
      <c r="KN219" s="54"/>
      <c r="KO219" s="54"/>
      <c r="KP219" s="54"/>
      <c r="KQ219" s="54"/>
      <c r="KR219" s="54"/>
      <c r="KS219" s="54"/>
      <c r="KT219" s="54"/>
      <c r="KU219" s="54"/>
      <c r="KV219" s="54"/>
      <c r="KW219" s="54"/>
      <c r="KX219" s="54"/>
      <c r="KY219" s="54"/>
      <c r="KZ219" s="54"/>
      <c r="LA219" s="54"/>
      <c r="LB219" s="54"/>
      <c r="LC219" s="54"/>
      <c r="LD219" s="54"/>
      <c r="LE219" s="54"/>
      <c r="LF219" s="54"/>
      <c r="LG219" s="54"/>
      <c r="LH219" s="54"/>
      <c r="LI219" s="54"/>
      <c r="LJ219" s="54"/>
      <c r="LK219" s="54"/>
      <c r="LL219" s="54"/>
      <c r="LM219" s="54"/>
      <c r="LN219" s="54"/>
      <c r="LO219" s="54"/>
      <c r="LP219" s="54"/>
      <c r="LQ219" s="54"/>
      <c r="LR219" s="54"/>
      <c r="LS219" s="54"/>
      <c r="LT219" s="54"/>
      <c r="LU219" s="54"/>
      <c r="LV219" s="54"/>
      <c r="LW219" s="54"/>
      <c r="LX219" s="54"/>
      <c r="LY219" s="54"/>
      <c r="LZ219" s="54"/>
      <c r="MA219" s="54"/>
      <c r="MB219" s="54"/>
      <c r="MC219" s="54"/>
      <c r="MD219" s="54"/>
      <c r="ME219" s="54"/>
      <c r="MF219" s="54"/>
      <c r="MG219" s="54"/>
      <c r="MH219" s="54"/>
      <c r="MI219" s="54"/>
      <c r="MJ219" s="54"/>
      <c r="MK219" s="54"/>
      <c r="ML219" s="54"/>
      <c r="MM219" s="54"/>
      <c r="MN219" s="54"/>
      <c r="MO219" s="54"/>
      <c r="MP219" s="54"/>
      <c r="MQ219" s="54"/>
      <c r="MR219" s="54"/>
      <c r="MS219" s="54"/>
      <c r="MT219" s="54"/>
      <c r="MU219" s="54"/>
      <c r="MV219" s="54"/>
      <c r="MW219" s="54"/>
      <c r="MX219" s="54"/>
      <c r="MY219" s="54"/>
      <c r="MZ219" s="54"/>
      <c r="NA219" s="54"/>
      <c r="NB219" s="54"/>
      <c r="NC219" s="54"/>
      <c r="ND219" s="54"/>
      <c r="NE219" s="54"/>
      <c r="NF219" s="54"/>
      <c r="NG219" s="54"/>
      <c r="NH219" s="54"/>
      <c r="NI219" s="54"/>
      <c r="NJ219" s="54"/>
      <c r="NK219" s="54"/>
      <c r="NL219" s="54"/>
      <c r="NM219" s="54"/>
      <c r="NN219" s="54"/>
      <c r="NO219" s="54"/>
      <c r="NP219" s="54"/>
      <c r="NQ219" s="54"/>
      <c r="NR219" s="54"/>
      <c r="NS219" s="54"/>
      <c r="NT219" s="54"/>
      <c r="NU219" s="54"/>
      <c r="NV219" s="54"/>
      <c r="NW219" s="54"/>
      <c r="NX219" s="54"/>
      <c r="NY219" s="54"/>
      <c r="NZ219" s="54"/>
      <c r="OA219" s="54"/>
      <c r="OB219" s="54"/>
      <c r="OC219" s="54"/>
      <c r="OD219" s="54"/>
      <c r="OE219" s="54"/>
      <c r="OF219" s="54"/>
      <c r="OG219" s="54"/>
      <c r="OH219" s="54"/>
      <c r="OI219" s="54"/>
      <c r="OJ219" s="54"/>
      <c r="OK219" s="54"/>
      <c r="OL219" s="54"/>
      <c r="OM219" s="54"/>
      <c r="ON219" s="54"/>
      <c r="OO219" s="54"/>
      <c r="OP219" s="54"/>
      <c r="OQ219" s="54"/>
      <c r="OR219" s="54"/>
      <c r="OS219" s="54"/>
      <c r="OT219" s="54"/>
      <c r="OU219" s="54"/>
      <c r="OV219" s="54"/>
      <c r="OW219" s="54"/>
      <c r="OX219" s="54"/>
      <c r="OY219" s="54"/>
      <c r="OZ219" s="54"/>
      <c r="PA219" s="54"/>
      <c r="PB219" s="54"/>
      <c r="PC219" s="54"/>
      <c r="PD219" s="54"/>
      <c r="PE219" s="54"/>
      <c r="PF219" s="54"/>
      <c r="PG219" s="54"/>
      <c r="PH219" s="54"/>
      <c r="PI219" s="54"/>
      <c r="PJ219" s="54"/>
      <c r="PK219" s="54"/>
      <c r="PL219" s="54"/>
      <c r="PM219" s="54"/>
      <c r="PN219" s="54"/>
      <c r="PO219" s="54"/>
      <c r="PP219" s="54"/>
      <c r="PQ219" s="54"/>
      <c r="PR219" s="54"/>
      <c r="PS219" s="54"/>
      <c r="PT219" s="54"/>
      <c r="PU219" s="54"/>
      <c r="PV219" s="54"/>
      <c r="PW219" s="54"/>
      <c r="PX219" s="54"/>
      <c r="PY219" s="54"/>
      <c r="PZ219" s="54"/>
      <c r="QA219" s="54"/>
      <c r="QB219" s="54"/>
      <c r="QC219" s="54"/>
      <c r="QD219" s="54"/>
      <c r="QE219" s="54"/>
      <c r="QF219" s="54"/>
      <c r="QG219" s="54"/>
      <c r="QH219" s="54"/>
      <c r="QI219" s="54"/>
      <c r="QJ219" s="54"/>
      <c r="QK219" s="54"/>
      <c r="QL219" s="54"/>
      <c r="QM219" s="54"/>
      <c r="QN219" s="54"/>
      <c r="QO219" s="54"/>
      <c r="QP219" s="54"/>
      <c r="QQ219" s="54"/>
      <c r="QR219" s="54"/>
      <c r="QS219" s="54"/>
      <c r="QT219" s="54"/>
      <c r="QU219" s="54"/>
      <c r="QV219" s="54"/>
      <c r="QW219" s="54"/>
      <c r="QX219" s="54"/>
      <c r="QY219" s="54"/>
      <c r="QZ219" s="54"/>
      <c r="RA219" s="54"/>
      <c r="RB219" s="54"/>
      <c r="RC219" s="54"/>
      <c r="RD219" s="54"/>
      <c r="RE219" s="54"/>
      <c r="RF219" s="54"/>
      <c r="RG219" s="54"/>
      <c r="RH219" s="54"/>
      <c r="RI219" s="54"/>
      <c r="RJ219" s="54"/>
      <c r="RK219" s="54"/>
      <c r="RL219" s="54"/>
      <c r="RM219" s="54"/>
      <c r="RN219" s="54"/>
      <c r="RO219" s="54"/>
      <c r="RP219" s="54"/>
      <c r="RQ219" s="54"/>
      <c r="RR219" s="54"/>
      <c r="RS219" s="54"/>
      <c r="RT219" s="54"/>
      <c r="RU219" s="54"/>
      <c r="RV219" s="54"/>
      <c r="RW219" s="54"/>
      <c r="RX219" s="54"/>
      <c r="RY219" s="54"/>
      <c r="RZ219" s="54"/>
      <c r="SA219" s="54"/>
      <c r="SB219" s="54"/>
      <c r="SC219" s="54"/>
      <c r="SD219" s="54"/>
      <c r="SE219" s="54"/>
      <c r="SF219" s="54"/>
      <c r="SG219" s="54"/>
      <c r="SH219" s="54"/>
      <c r="SI219" s="54"/>
      <c r="SJ219" s="54"/>
      <c r="SK219" s="54"/>
      <c r="SL219" s="54"/>
      <c r="SM219" s="54"/>
      <c r="SN219" s="54"/>
      <c r="SO219" s="54"/>
      <c r="SP219" s="54"/>
      <c r="SQ219" s="54"/>
      <c r="SR219" s="54"/>
    </row>
    <row r="220" spans="1:512" s="55" customFormat="1" ht="15" customHeight="1" x14ac:dyDescent="0.7">
      <c r="A220" s="173"/>
      <c r="B220" s="173"/>
      <c r="C220" s="173"/>
      <c r="D220" s="173"/>
      <c r="E220" s="173"/>
      <c r="F220" s="173"/>
      <c r="G220" s="173"/>
      <c r="H220" s="74"/>
      <c r="I220" s="75"/>
      <c r="J220" s="76"/>
      <c r="K220" s="191"/>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c r="IX220" s="56"/>
      <c r="IY220" s="56"/>
      <c r="IZ220" s="56"/>
      <c r="JA220" s="56"/>
      <c r="JB220" s="56"/>
      <c r="JC220" s="56"/>
      <c r="JD220" s="56"/>
      <c r="JE220" s="56"/>
      <c r="JF220" s="56"/>
      <c r="JG220" s="56"/>
      <c r="JH220" s="56"/>
      <c r="JI220" s="56"/>
      <c r="JJ220" s="56"/>
      <c r="JK220" s="56"/>
      <c r="JL220" s="56"/>
      <c r="JM220" s="56"/>
      <c r="JN220" s="56"/>
      <c r="JO220" s="56"/>
      <c r="JP220" s="56"/>
      <c r="JQ220" s="56"/>
      <c r="JR220" s="56"/>
      <c r="JS220" s="56"/>
      <c r="JT220" s="56"/>
      <c r="JU220" s="56"/>
      <c r="JV220" s="56"/>
      <c r="JW220" s="56"/>
      <c r="JX220" s="56"/>
      <c r="JY220" s="56"/>
      <c r="JZ220" s="56"/>
      <c r="KA220" s="56"/>
      <c r="KB220" s="56"/>
      <c r="KC220" s="56"/>
      <c r="KD220" s="56"/>
      <c r="KE220" s="56"/>
      <c r="KF220" s="56"/>
      <c r="KG220" s="56"/>
      <c r="KH220" s="56"/>
      <c r="KI220" s="56"/>
      <c r="KJ220" s="56"/>
      <c r="KK220" s="56"/>
      <c r="KL220" s="56"/>
      <c r="KM220" s="56"/>
      <c r="KN220" s="56"/>
      <c r="KO220" s="56"/>
      <c r="KP220" s="56"/>
      <c r="KQ220" s="56"/>
      <c r="KR220" s="56"/>
      <c r="KS220" s="56"/>
      <c r="KT220" s="56"/>
      <c r="KU220" s="56"/>
      <c r="KV220" s="56"/>
      <c r="KW220" s="56"/>
      <c r="KX220" s="56"/>
      <c r="KY220" s="56"/>
      <c r="KZ220" s="56"/>
      <c r="LA220" s="56"/>
      <c r="LB220" s="56"/>
      <c r="LC220" s="56"/>
      <c r="LD220" s="56"/>
      <c r="LE220" s="56"/>
      <c r="LF220" s="56"/>
      <c r="LG220" s="56"/>
      <c r="LH220" s="56"/>
      <c r="LI220" s="56"/>
      <c r="LJ220" s="56"/>
      <c r="LK220" s="56"/>
      <c r="LL220" s="56"/>
      <c r="LM220" s="56"/>
      <c r="LN220" s="56"/>
      <c r="LO220" s="56"/>
      <c r="LP220" s="56"/>
      <c r="LQ220" s="56"/>
      <c r="LR220" s="56"/>
      <c r="LS220" s="56"/>
      <c r="LT220" s="56"/>
      <c r="LU220" s="56"/>
      <c r="LV220" s="56"/>
      <c r="LW220" s="56"/>
      <c r="LX220" s="56"/>
      <c r="LY220" s="56"/>
      <c r="LZ220" s="56"/>
      <c r="MA220" s="56"/>
      <c r="MB220" s="56"/>
      <c r="MC220" s="56"/>
      <c r="MD220" s="56"/>
      <c r="ME220" s="56"/>
      <c r="MF220" s="56"/>
      <c r="MG220" s="56"/>
      <c r="MH220" s="56"/>
      <c r="MI220" s="56"/>
      <c r="MJ220" s="56"/>
      <c r="MK220" s="56"/>
      <c r="ML220" s="56"/>
      <c r="MM220" s="56"/>
      <c r="MN220" s="56"/>
      <c r="MO220" s="56"/>
      <c r="MP220" s="56"/>
      <c r="MQ220" s="56"/>
      <c r="MR220" s="56"/>
      <c r="MS220" s="56"/>
      <c r="MT220" s="56"/>
      <c r="MU220" s="56"/>
      <c r="MV220" s="56"/>
      <c r="MW220" s="56"/>
      <c r="MX220" s="56"/>
      <c r="MY220" s="56"/>
      <c r="MZ220" s="56"/>
      <c r="NA220" s="56"/>
      <c r="NB220" s="56"/>
      <c r="NC220" s="56"/>
      <c r="ND220" s="56"/>
      <c r="NE220" s="56"/>
      <c r="NF220" s="56"/>
      <c r="NG220" s="56"/>
      <c r="NH220" s="56"/>
      <c r="NI220" s="56"/>
      <c r="NJ220" s="56"/>
      <c r="NK220" s="56"/>
      <c r="NL220" s="56"/>
      <c r="NM220" s="56"/>
      <c r="NN220" s="56"/>
      <c r="NO220" s="56"/>
      <c r="NP220" s="56"/>
      <c r="NQ220" s="56"/>
      <c r="NR220" s="56"/>
      <c r="NS220" s="56"/>
      <c r="NT220" s="56"/>
      <c r="NU220" s="56"/>
      <c r="NV220" s="56"/>
      <c r="NW220" s="56"/>
      <c r="NX220" s="56"/>
      <c r="NY220" s="56"/>
      <c r="NZ220" s="56"/>
      <c r="OA220" s="56"/>
      <c r="OB220" s="56"/>
      <c r="OC220" s="56"/>
      <c r="OD220" s="56"/>
      <c r="OE220" s="56"/>
      <c r="OF220" s="56"/>
      <c r="OG220" s="56"/>
      <c r="OH220" s="56"/>
      <c r="OI220" s="56"/>
      <c r="OJ220" s="56"/>
      <c r="OK220" s="56"/>
      <c r="OL220" s="56"/>
      <c r="OM220" s="56"/>
      <c r="ON220" s="56"/>
      <c r="OO220" s="56"/>
      <c r="OP220" s="56"/>
      <c r="OQ220" s="56"/>
      <c r="OR220" s="56"/>
      <c r="OS220" s="56"/>
      <c r="OT220" s="56"/>
      <c r="OU220" s="56"/>
      <c r="OV220" s="56"/>
      <c r="OW220" s="56"/>
      <c r="OX220" s="56"/>
      <c r="OY220" s="56"/>
      <c r="OZ220" s="56"/>
      <c r="PA220" s="56"/>
      <c r="PB220" s="56"/>
      <c r="PC220" s="56"/>
      <c r="PD220" s="56"/>
      <c r="PE220" s="56"/>
      <c r="PF220" s="56"/>
      <c r="PG220" s="56"/>
      <c r="PH220" s="56"/>
      <c r="PI220" s="56"/>
      <c r="PJ220" s="56"/>
      <c r="PK220" s="56"/>
      <c r="PL220" s="56"/>
      <c r="PM220" s="56"/>
      <c r="PN220" s="56"/>
      <c r="PO220" s="56"/>
      <c r="PP220" s="56"/>
      <c r="PQ220" s="56"/>
      <c r="PR220" s="56"/>
      <c r="PS220" s="56"/>
      <c r="PT220" s="56"/>
      <c r="PU220" s="56"/>
      <c r="PV220" s="56"/>
      <c r="PW220" s="56"/>
      <c r="PX220" s="56"/>
      <c r="PY220" s="56"/>
      <c r="PZ220" s="56"/>
      <c r="QA220" s="56"/>
      <c r="QB220" s="56"/>
      <c r="QC220" s="56"/>
      <c r="QD220" s="56"/>
      <c r="QE220" s="56"/>
      <c r="QF220" s="56"/>
      <c r="QG220" s="56"/>
      <c r="QH220" s="56"/>
      <c r="QI220" s="56"/>
      <c r="QJ220" s="56"/>
      <c r="QK220" s="56"/>
      <c r="QL220" s="56"/>
      <c r="QM220" s="56"/>
      <c r="QN220" s="56"/>
      <c r="QO220" s="56"/>
      <c r="QP220" s="56"/>
      <c r="QQ220" s="56"/>
      <c r="QR220" s="56"/>
      <c r="QS220" s="56"/>
      <c r="QT220" s="56"/>
      <c r="QU220" s="56"/>
      <c r="QV220" s="56"/>
      <c r="QW220" s="56"/>
      <c r="QX220" s="56"/>
      <c r="QY220" s="56"/>
      <c r="QZ220" s="56"/>
      <c r="RA220" s="56"/>
      <c r="RB220" s="56"/>
      <c r="RC220" s="56"/>
      <c r="RD220" s="56"/>
      <c r="RE220" s="56"/>
      <c r="RF220" s="56"/>
      <c r="RG220" s="56"/>
      <c r="RH220" s="56"/>
      <c r="RI220" s="56"/>
      <c r="RJ220" s="56"/>
      <c r="RK220" s="56"/>
      <c r="RL220" s="56"/>
      <c r="RM220" s="56"/>
      <c r="RN220" s="56"/>
      <c r="RO220" s="56"/>
      <c r="RP220" s="56"/>
      <c r="RQ220" s="56"/>
      <c r="RR220" s="56"/>
      <c r="RS220" s="56"/>
      <c r="RT220" s="56"/>
      <c r="RU220" s="56"/>
      <c r="RV220" s="56"/>
      <c r="RW220" s="56"/>
      <c r="RX220" s="56"/>
      <c r="RY220" s="56"/>
      <c r="RZ220" s="56"/>
      <c r="SA220" s="56"/>
      <c r="SB220" s="56"/>
      <c r="SC220" s="56"/>
      <c r="SD220" s="56"/>
      <c r="SE220" s="56"/>
      <c r="SF220" s="56"/>
      <c r="SG220" s="56"/>
      <c r="SH220" s="56"/>
      <c r="SI220" s="56"/>
      <c r="SJ220" s="56"/>
      <c r="SK220" s="56"/>
      <c r="SL220" s="56"/>
      <c r="SM220" s="56"/>
      <c r="SN220" s="56"/>
      <c r="SO220" s="56"/>
      <c r="SP220" s="56"/>
      <c r="SQ220" s="56"/>
      <c r="SR220" s="56"/>
    </row>
    <row r="221" spans="1:512" ht="15" customHeight="1" x14ac:dyDescent="0.7">
      <c r="A221" s="171" t="s">
        <v>344</v>
      </c>
      <c r="B221" s="171" t="s">
        <v>344</v>
      </c>
      <c r="C221" s="171" t="s">
        <v>344</v>
      </c>
      <c r="D221" s="171"/>
      <c r="E221" s="171" t="s">
        <v>344</v>
      </c>
      <c r="F221" s="171"/>
      <c r="G221" s="188" t="s">
        <v>344</v>
      </c>
      <c r="H221" s="71" t="s">
        <v>344</v>
      </c>
      <c r="I221" s="72" t="s">
        <v>344</v>
      </c>
      <c r="J221" s="73" t="s">
        <v>344</v>
      </c>
      <c r="K221" s="189" t="s">
        <v>344</v>
      </c>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4"/>
      <c r="DI221" s="54"/>
      <c r="DJ221" s="54"/>
      <c r="DK221" s="54"/>
      <c r="DL221" s="54"/>
      <c r="DM221" s="54"/>
      <c r="DN221" s="54"/>
      <c r="DO221" s="54"/>
      <c r="DP221" s="54"/>
      <c r="DQ221" s="54"/>
      <c r="DR221" s="54"/>
      <c r="DS221" s="54"/>
      <c r="DT221" s="54"/>
      <c r="DU221" s="54"/>
      <c r="DV221" s="54"/>
      <c r="DW221" s="54"/>
      <c r="DX221" s="54"/>
      <c r="DY221" s="54"/>
      <c r="DZ221" s="54"/>
      <c r="EA221" s="54"/>
      <c r="EB221" s="54"/>
      <c r="EC221" s="54"/>
      <c r="ED221" s="54"/>
      <c r="EE221" s="54"/>
      <c r="EF221" s="54"/>
      <c r="EG221" s="54"/>
      <c r="EH221" s="54"/>
      <c r="EI221" s="54"/>
      <c r="EJ221" s="54"/>
      <c r="EK221" s="54"/>
      <c r="EL221" s="54"/>
      <c r="EM221" s="54"/>
      <c r="EN221" s="54"/>
      <c r="EO221" s="54"/>
      <c r="EP221" s="54"/>
      <c r="EQ221" s="54"/>
      <c r="ER221" s="54"/>
      <c r="ES221" s="54"/>
      <c r="ET221" s="54"/>
      <c r="EU221" s="54"/>
      <c r="EV221" s="54"/>
      <c r="EW221" s="54"/>
      <c r="EX221" s="54"/>
      <c r="EY221" s="54"/>
      <c r="EZ221" s="54"/>
      <c r="FA221" s="54"/>
      <c r="FB221" s="54"/>
      <c r="FC221" s="54"/>
      <c r="FD221" s="54"/>
      <c r="FE221" s="54"/>
      <c r="FF221" s="54"/>
      <c r="FG221" s="54"/>
      <c r="FH221" s="54"/>
      <c r="FI221" s="54"/>
      <c r="FJ221" s="54"/>
      <c r="FK221" s="54"/>
      <c r="FL221" s="54"/>
      <c r="FM221" s="54"/>
      <c r="FN221" s="54"/>
      <c r="FO221" s="54"/>
      <c r="FP221" s="54"/>
      <c r="FQ221" s="54"/>
      <c r="FR221" s="54"/>
      <c r="FS221" s="54"/>
      <c r="FT221" s="54"/>
      <c r="FU221" s="54"/>
      <c r="FV221" s="54"/>
      <c r="FW221" s="54"/>
      <c r="FX221" s="54"/>
      <c r="FY221" s="54"/>
      <c r="FZ221" s="54"/>
      <c r="GA221" s="54"/>
      <c r="GB221" s="54"/>
      <c r="GC221" s="54"/>
      <c r="GD221" s="54"/>
      <c r="GE221" s="54"/>
      <c r="GF221" s="54"/>
      <c r="GG221" s="54"/>
      <c r="GH221" s="54"/>
      <c r="GI221" s="54"/>
      <c r="GJ221" s="54"/>
      <c r="GK221" s="54"/>
      <c r="GL221" s="54"/>
      <c r="GM221" s="54"/>
      <c r="GN221" s="54"/>
      <c r="GO221" s="54"/>
      <c r="GP221" s="54"/>
      <c r="GQ221" s="54"/>
      <c r="GR221" s="54"/>
      <c r="GS221" s="54"/>
      <c r="GT221" s="54"/>
      <c r="GU221" s="54"/>
      <c r="GV221" s="54"/>
      <c r="GW221" s="54"/>
      <c r="GX221" s="54"/>
      <c r="GY221" s="54"/>
      <c r="GZ221" s="54"/>
      <c r="HA221" s="54"/>
      <c r="HB221" s="54"/>
      <c r="HC221" s="54"/>
      <c r="HD221" s="54"/>
      <c r="HE221" s="54"/>
      <c r="HF221" s="54"/>
      <c r="HG221" s="54"/>
      <c r="HH221" s="54"/>
      <c r="HI221" s="54"/>
      <c r="HJ221" s="54"/>
      <c r="HK221" s="54"/>
      <c r="HL221" s="54"/>
      <c r="HM221" s="54"/>
      <c r="HN221" s="54"/>
      <c r="HO221" s="54"/>
      <c r="HP221" s="54"/>
      <c r="HQ221" s="54"/>
      <c r="HR221" s="54"/>
      <c r="HS221" s="54"/>
      <c r="HT221" s="54"/>
      <c r="HU221" s="54"/>
      <c r="HV221" s="54"/>
      <c r="HW221" s="54"/>
      <c r="HX221" s="54"/>
      <c r="HY221" s="54"/>
      <c r="HZ221" s="54"/>
      <c r="IA221" s="54"/>
      <c r="IB221" s="54"/>
      <c r="IC221" s="54"/>
      <c r="ID221" s="54"/>
      <c r="IE221" s="54"/>
      <c r="IF221" s="54"/>
      <c r="IG221" s="54"/>
      <c r="IH221" s="54"/>
      <c r="II221" s="54"/>
      <c r="IJ221" s="54"/>
      <c r="IK221" s="54"/>
      <c r="IL221" s="54"/>
      <c r="IM221" s="54"/>
      <c r="IN221" s="54"/>
      <c r="IO221" s="54"/>
      <c r="IP221" s="54"/>
      <c r="IQ221" s="54"/>
      <c r="IR221" s="54"/>
      <c r="IS221" s="54"/>
      <c r="IT221" s="54"/>
      <c r="IU221" s="54"/>
      <c r="IV221" s="54"/>
      <c r="IW221" s="54"/>
      <c r="IX221" s="54"/>
      <c r="IY221" s="54"/>
      <c r="IZ221" s="54"/>
      <c r="JA221" s="54"/>
      <c r="JB221" s="54"/>
      <c r="JC221" s="54"/>
      <c r="JD221" s="54"/>
      <c r="JE221" s="54"/>
      <c r="JF221" s="54"/>
      <c r="JG221" s="54"/>
      <c r="JH221" s="54"/>
      <c r="JI221" s="54"/>
      <c r="JJ221" s="54"/>
      <c r="JK221" s="54"/>
      <c r="JL221" s="54"/>
      <c r="JM221" s="54"/>
      <c r="JN221" s="54"/>
      <c r="JO221" s="54"/>
      <c r="JP221" s="54"/>
      <c r="JQ221" s="54"/>
      <c r="JR221" s="54"/>
      <c r="JS221" s="54"/>
      <c r="JT221" s="54"/>
      <c r="JU221" s="54"/>
      <c r="JV221" s="54"/>
      <c r="JW221" s="54"/>
      <c r="JX221" s="54"/>
      <c r="JY221" s="54"/>
      <c r="JZ221" s="54"/>
      <c r="KA221" s="54"/>
      <c r="KB221" s="54"/>
      <c r="KC221" s="54"/>
      <c r="KD221" s="54"/>
      <c r="KE221" s="54"/>
      <c r="KF221" s="54"/>
      <c r="KG221" s="54"/>
      <c r="KH221" s="54"/>
      <c r="KI221" s="54"/>
      <c r="KJ221" s="54"/>
      <c r="KK221" s="54"/>
      <c r="KL221" s="54"/>
      <c r="KM221" s="54"/>
      <c r="KN221" s="54"/>
      <c r="KO221" s="54"/>
      <c r="KP221" s="54"/>
      <c r="KQ221" s="54"/>
      <c r="KR221" s="54"/>
      <c r="KS221" s="54"/>
      <c r="KT221" s="54"/>
      <c r="KU221" s="54"/>
      <c r="KV221" s="54"/>
      <c r="KW221" s="54"/>
      <c r="KX221" s="54"/>
      <c r="KY221" s="54"/>
      <c r="KZ221" s="54"/>
      <c r="LA221" s="54"/>
      <c r="LB221" s="54"/>
      <c r="LC221" s="54"/>
      <c r="LD221" s="54"/>
      <c r="LE221" s="54"/>
      <c r="LF221" s="54"/>
      <c r="LG221" s="54"/>
      <c r="LH221" s="54"/>
      <c r="LI221" s="54"/>
      <c r="LJ221" s="54"/>
      <c r="LK221" s="54"/>
      <c r="LL221" s="54"/>
      <c r="LM221" s="54"/>
      <c r="LN221" s="54"/>
      <c r="LO221" s="54"/>
      <c r="LP221" s="54"/>
      <c r="LQ221" s="54"/>
      <c r="LR221" s="54"/>
      <c r="LS221" s="54"/>
      <c r="LT221" s="54"/>
      <c r="LU221" s="54"/>
      <c r="LV221" s="54"/>
      <c r="LW221" s="54"/>
      <c r="LX221" s="54"/>
      <c r="LY221" s="54"/>
      <c r="LZ221" s="54"/>
      <c r="MA221" s="54"/>
      <c r="MB221" s="54"/>
      <c r="MC221" s="54"/>
      <c r="MD221" s="54"/>
      <c r="ME221" s="54"/>
      <c r="MF221" s="54"/>
      <c r="MG221" s="54"/>
      <c r="MH221" s="54"/>
      <c r="MI221" s="54"/>
      <c r="MJ221" s="54"/>
      <c r="MK221" s="54"/>
      <c r="ML221" s="54"/>
      <c r="MM221" s="54"/>
      <c r="MN221" s="54"/>
      <c r="MO221" s="54"/>
      <c r="MP221" s="54"/>
      <c r="MQ221" s="54"/>
      <c r="MR221" s="54"/>
      <c r="MS221" s="54"/>
      <c r="MT221" s="54"/>
      <c r="MU221" s="54"/>
      <c r="MV221" s="54"/>
      <c r="MW221" s="54"/>
      <c r="MX221" s="54"/>
      <c r="MY221" s="54"/>
      <c r="MZ221" s="54"/>
      <c r="NA221" s="54"/>
      <c r="NB221" s="54"/>
      <c r="NC221" s="54"/>
      <c r="ND221" s="54"/>
      <c r="NE221" s="54"/>
      <c r="NF221" s="54"/>
      <c r="NG221" s="54"/>
      <c r="NH221" s="54"/>
      <c r="NI221" s="54"/>
      <c r="NJ221" s="54"/>
      <c r="NK221" s="54"/>
      <c r="NL221" s="54"/>
      <c r="NM221" s="54"/>
      <c r="NN221" s="54"/>
      <c r="NO221" s="54"/>
      <c r="NP221" s="54"/>
      <c r="NQ221" s="54"/>
      <c r="NR221" s="54"/>
      <c r="NS221" s="54"/>
      <c r="NT221" s="54"/>
      <c r="NU221" s="54"/>
      <c r="NV221" s="54"/>
      <c r="NW221" s="54"/>
      <c r="NX221" s="54"/>
      <c r="NY221" s="54"/>
      <c r="NZ221" s="54"/>
      <c r="OA221" s="54"/>
      <c r="OB221" s="54"/>
      <c r="OC221" s="54"/>
      <c r="OD221" s="54"/>
      <c r="OE221" s="54"/>
      <c r="OF221" s="54"/>
      <c r="OG221" s="54"/>
      <c r="OH221" s="54"/>
      <c r="OI221" s="54"/>
      <c r="OJ221" s="54"/>
      <c r="OK221" s="54"/>
      <c r="OL221" s="54"/>
      <c r="OM221" s="54"/>
      <c r="ON221" s="54"/>
      <c r="OO221" s="54"/>
      <c r="OP221" s="54"/>
      <c r="OQ221" s="54"/>
      <c r="OR221" s="54"/>
      <c r="OS221" s="54"/>
      <c r="OT221" s="54"/>
      <c r="OU221" s="54"/>
      <c r="OV221" s="54"/>
      <c r="OW221" s="54"/>
      <c r="OX221" s="54"/>
      <c r="OY221" s="54"/>
      <c r="OZ221" s="54"/>
      <c r="PA221" s="54"/>
      <c r="PB221" s="54"/>
      <c r="PC221" s="54"/>
      <c r="PD221" s="54"/>
      <c r="PE221" s="54"/>
      <c r="PF221" s="54"/>
      <c r="PG221" s="54"/>
      <c r="PH221" s="54"/>
      <c r="PI221" s="54"/>
      <c r="PJ221" s="54"/>
      <c r="PK221" s="54"/>
      <c r="PL221" s="54"/>
      <c r="PM221" s="54"/>
      <c r="PN221" s="54"/>
      <c r="PO221" s="54"/>
      <c r="PP221" s="54"/>
      <c r="PQ221" s="54"/>
      <c r="PR221" s="54"/>
      <c r="PS221" s="54"/>
      <c r="PT221" s="54"/>
      <c r="PU221" s="54"/>
      <c r="PV221" s="54"/>
      <c r="PW221" s="54"/>
      <c r="PX221" s="54"/>
      <c r="PY221" s="54"/>
      <c r="PZ221" s="54"/>
      <c r="QA221" s="54"/>
      <c r="QB221" s="54"/>
      <c r="QC221" s="54"/>
      <c r="QD221" s="54"/>
      <c r="QE221" s="54"/>
      <c r="QF221" s="54"/>
      <c r="QG221" s="54"/>
      <c r="QH221" s="54"/>
      <c r="QI221" s="54"/>
      <c r="QJ221" s="54"/>
      <c r="QK221" s="54"/>
      <c r="QL221" s="54"/>
      <c r="QM221" s="54"/>
      <c r="QN221" s="54"/>
      <c r="QO221" s="54"/>
      <c r="QP221" s="54"/>
      <c r="QQ221" s="54"/>
      <c r="QR221" s="54"/>
      <c r="QS221" s="54"/>
      <c r="QT221" s="54"/>
      <c r="QU221" s="54"/>
      <c r="QV221" s="54"/>
      <c r="QW221" s="54"/>
      <c r="QX221" s="54"/>
      <c r="QY221" s="54"/>
      <c r="QZ221" s="54"/>
      <c r="RA221" s="54"/>
      <c r="RB221" s="54"/>
      <c r="RC221" s="54"/>
      <c r="RD221" s="54"/>
      <c r="RE221" s="54"/>
      <c r="RF221" s="54"/>
      <c r="RG221" s="54"/>
      <c r="RH221" s="54"/>
      <c r="RI221" s="54"/>
      <c r="RJ221" s="54"/>
      <c r="RK221" s="54"/>
      <c r="RL221" s="54"/>
      <c r="RM221" s="54"/>
      <c r="RN221" s="54"/>
      <c r="RO221" s="54"/>
      <c r="RP221" s="54"/>
      <c r="RQ221" s="54"/>
      <c r="RR221" s="54"/>
      <c r="RS221" s="54"/>
      <c r="RT221" s="54"/>
      <c r="RU221" s="54"/>
      <c r="RV221" s="54"/>
      <c r="RW221" s="54"/>
      <c r="RX221" s="54"/>
      <c r="RY221" s="54"/>
      <c r="RZ221" s="54"/>
      <c r="SA221" s="54"/>
      <c r="SB221" s="54"/>
      <c r="SC221" s="54"/>
      <c r="SD221" s="54"/>
      <c r="SE221" s="54"/>
      <c r="SF221" s="54"/>
      <c r="SG221" s="54"/>
      <c r="SH221" s="54"/>
      <c r="SI221" s="54"/>
      <c r="SJ221" s="54"/>
      <c r="SK221" s="54"/>
      <c r="SL221" s="54"/>
      <c r="SM221" s="54"/>
      <c r="SN221" s="54"/>
      <c r="SO221" s="54"/>
      <c r="SP221" s="54"/>
      <c r="SQ221" s="54"/>
      <c r="SR221" s="54"/>
    </row>
    <row r="222" spans="1:512" ht="15" customHeight="1" x14ac:dyDescent="0.7">
      <c r="A222" s="172"/>
      <c r="B222" s="172"/>
      <c r="C222" s="172"/>
      <c r="D222" s="172"/>
      <c r="E222" s="172"/>
      <c r="F222" s="172"/>
      <c r="G222" s="172"/>
      <c r="I222" s="72" t="s">
        <v>344</v>
      </c>
      <c r="J222" s="73" t="s">
        <v>344</v>
      </c>
      <c r="K222" s="190"/>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c r="DA222" s="54"/>
      <c r="DB222" s="54"/>
      <c r="DC222" s="54"/>
      <c r="DD222" s="54"/>
      <c r="DE222" s="54"/>
      <c r="DF222" s="54"/>
      <c r="DG222" s="54"/>
      <c r="DH222" s="54"/>
      <c r="DI222" s="54"/>
      <c r="DJ222" s="54"/>
      <c r="DK222" s="54"/>
      <c r="DL222" s="54"/>
      <c r="DM222" s="54"/>
      <c r="DN222" s="54"/>
      <c r="DO222" s="54"/>
      <c r="DP222" s="54"/>
      <c r="DQ222" s="54"/>
      <c r="DR222" s="54"/>
      <c r="DS222" s="54"/>
      <c r="DT222" s="54"/>
      <c r="DU222" s="54"/>
      <c r="DV222" s="54"/>
      <c r="DW222" s="54"/>
      <c r="DX222" s="54"/>
      <c r="DY222" s="54"/>
      <c r="DZ222" s="54"/>
      <c r="EA222" s="54"/>
      <c r="EB222" s="54"/>
      <c r="EC222" s="54"/>
      <c r="ED222" s="54"/>
      <c r="EE222" s="54"/>
      <c r="EF222" s="54"/>
      <c r="EG222" s="54"/>
      <c r="EH222" s="54"/>
      <c r="EI222" s="54"/>
      <c r="EJ222" s="54"/>
      <c r="EK222" s="54"/>
      <c r="EL222" s="54"/>
      <c r="EM222" s="54"/>
      <c r="EN222" s="54"/>
      <c r="EO222" s="54"/>
      <c r="EP222" s="54"/>
      <c r="EQ222" s="54"/>
      <c r="ER222" s="54"/>
      <c r="ES222" s="54"/>
      <c r="ET222" s="54"/>
      <c r="EU222" s="54"/>
      <c r="EV222" s="54"/>
      <c r="EW222" s="54"/>
      <c r="EX222" s="54"/>
      <c r="EY222" s="54"/>
      <c r="EZ222" s="54"/>
      <c r="FA222" s="54"/>
      <c r="FB222" s="54"/>
      <c r="FC222" s="54"/>
      <c r="FD222" s="54"/>
      <c r="FE222" s="54"/>
      <c r="FF222" s="54"/>
      <c r="FG222" s="54"/>
      <c r="FH222" s="54"/>
      <c r="FI222" s="54"/>
      <c r="FJ222" s="54"/>
      <c r="FK222" s="54"/>
      <c r="FL222" s="54"/>
      <c r="FM222" s="54"/>
      <c r="FN222" s="54"/>
      <c r="FO222" s="54"/>
      <c r="FP222" s="54"/>
      <c r="FQ222" s="54"/>
      <c r="FR222" s="54"/>
      <c r="FS222" s="54"/>
      <c r="FT222" s="54"/>
      <c r="FU222" s="54"/>
      <c r="FV222" s="54"/>
      <c r="FW222" s="54"/>
      <c r="FX222" s="54"/>
      <c r="FY222" s="54"/>
      <c r="FZ222" s="54"/>
      <c r="GA222" s="54"/>
      <c r="GB222" s="54"/>
      <c r="GC222" s="54"/>
      <c r="GD222" s="54"/>
      <c r="GE222" s="54"/>
      <c r="GF222" s="54"/>
      <c r="GG222" s="54"/>
      <c r="GH222" s="54"/>
      <c r="GI222" s="54"/>
      <c r="GJ222" s="54"/>
      <c r="GK222" s="54"/>
      <c r="GL222" s="54"/>
      <c r="GM222" s="54"/>
      <c r="GN222" s="54"/>
      <c r="GO222" s="54"/>
      <c r="GP222" s="54"/>
      <c r="GQ222" s="54"/>
      <c r="GR222" s="54"/>
      <c r="GS222" s="54"/>
      <c r="GT222" s="54"/>
      <c r="GU222" s="54"/>
      <c r="GV222" s="54"/>
      <c r="GW222" s="54"/>
      <c r="GX222" s="54"/>
      <c r="GY222" s="54"/>
      <c r="GZ222" s="54"/>
      <c r="HA222" s="54"/>
      <c r="HB222" s="54"/>
      <c r="HC222" s="54"/>
      <c r="HD222" s="54"/>
      <c r="HE222" s="54"/>
      <c r="HF222" s="54"/>
      <c r="HG222" s="54"/>
      <c r="HH222" s="54"/>
      <c r="HI222" s="54"/>
      <c r="HJ222" s="54"/>
      <c r="HK222" s="54"/>
      <c r="HL222" s="54"/>
      <c r="HM222" s="54"/>
      <c r="HN222" s="54"/>
      <c r="HO222" s="54"/>
      <c r="HP222" s="54"/>
      <c r="HQ222" s="54"/>
      <c r="HR222" s="54"/>
      <c r="HS222" s="54"/>
      <c r="HT222" s="54"/>
      <c r="HU222" s="54"/>
      <c r="HV222" s="54"/>
      <c r="HW222" s="54"/>
      <c r="HX222" s="54"/>
      <c r="HY222" s="54"/>
      <c r="HZ222" s="54"/>
      <c r="IA222" s="54"/>
      <c r="IB222" s="54"/>
      <c r="IC222" s="54"/>
      <c r="ID222" s="54"/>
      <c r="IE222" s="54"/>
      <c r="IF222" s="54"/>
      <c r="IG222" s="54"/>
      <c r="IH222" s="54"/>
      <c r="II222" s="54"/>
      <c r="IJ222" s="54"/>
      <c r="IK222" s="54"/>
      <c r="IL222" s="54"/>
      <c r="IM222" s="54"/>
      <c r="IN222" s="54"/>
      <c r="IO222" s="54"/>
      <c r="IP222" s="54"/>
      <c r="IQ222" s="54"/>
      <c r="IR222" s="54"/>
      <c r="IS222" s="54"/>
      <c r="IT222" s="54"/>
      <c r="IU222" s="54"/>
      <c r="IV222" s="54"/>
      <c r="IW222" s="54"/>
      <c r="IX222" s="54"/>
      <c r="IY222" s="54"/>
      <c r="IZ222" s="54"/>
      <c r="JA222" s="54"/>
      <c r="JB222" s="54"/>
      <c r="JC222" s="54"/>
      <c r="JD222" s="54"/>
      <c r="JE222" s="54"/>
      <c r="JF222" s="54"/>
      <c r="JG222" s="54"/>
      <c r="JH222" s="54"/>
      <c r="JI222" s="54"/>
      <c r="JJ222" s="54"/>
      <c r="JK222" s="54"/>
      <c r="JL222" s="54"/>
      <c r="JM222" s="54"/>
      <c r="JN222" s="54"/>
      <c r="JO222" s="54"/>
      <c r="JP222" s="54"/>
      <c r="JQ222" s="54"/>
      <c r="JR222" s="54"/>
      <c r="JS222" s="54"/>
      <c r="JT222" s="54"/>
      <c r="JU222" s="54"/>
      <c r="JV222" s="54"/>
      <c r="JW222" s="54"/>
      <c r="JX222" s="54"/>
      <c r="JY222" s="54"/>
      <c r="JZ222" s="54"/>
      <c r="KA222" s="54"/>
      <c r="KB222" s="54"/>
      <c r="KC222" s="54"/>
      <c r="KD222" s="54"/>
      <c r="KE222" s="54"/>
      <c r="KF222" s="54"/>
      <c r="KG222" s="54"/>
      <c r="KH222" s="54"/>
      <c r="KI222" s="54"/>
      <c r="KJ222" s="54"/>
      <c r="KK222" s="54"/>
      <c r="KL222" s="54"/>
      <c r="KM222" s="54"/>
      <c r="KN222" s="54"/>
      <c r="KO222" s="54"/>
      <c r="KP222" s="54"/>
      <c r="KQ222" s="54"/>
      <c r="KR222" s="54"/>
      <c r="KS222" s="54"/>
      <c r="KT222" s="54"/>
      <c r="KU222" s="54"/>
      <c r="KV222" s="54"/>
      <c r="KW222" s="54"/>
      <c r="KX222" s="54"/>
      <c r="KY222" s="54"/>
      <c r="KZ222" s="54"/>
      <c r="LA222" s="54"/>
      <c r="LB222" s="54"/>
      <c r="LC222" s="54"/>
      <c r="LD222" s="54"/>
      <c r="LE222" s="54"/>
      <c r="LF222" s="54"/>
      <c r="LG222" s="54"/>
      <c r="LH222" s="54"/>
      <c r="LI222" s="54"/>
      <c r="LJ222" s="54"/>
      <c r="LK222" s="54"/>
      <c r="LL222" s="54"/>
      <c r="LM222" s="54"/>
      <c r="LN222" s="54"/>
      <c r="LO222" s="54"/>
      <c r="LP222" s="54"/>
      <c r="LQ222" s="54"/>
      <c r="LR222" s="54"/>
      <c r="LS222" s="54"/>
      <c r="LT222" s="54"/>
      <c r="LU222" s="54"/>
      <c r="LV222" s="54"/>
      <c r="LW222" s="54"/>
      <c r="LX222" s="54"/>
      <c r="LY222" s="54"/>
      <c r="LZ222" s="54"/>
      <c r="MA222" s="54"/>
      <c r="MB222" s="54"/>
      <c r="MC222" s="54"/>
      <c r="MD222" s="54"/>
      <c r="ME222" s="54"/>
      <c r="MF222" s="54"/>
      <c r="MG222" s="54"/>
      <c r="MH222" s="54"/>
      <c r="MI222" s="54"/>
      <c r="MJ222" s="54"/>
      <c r="MK222" s="54"/>
      <c r="ML222" s="54"/>
      <c r="MM222" s="54"/>
      <c r="MN222" s="54"/>
      <c r="MO222" s="54"/>
      <c r="MP222" s="54"/>
      <c r="MQ222" s="54"/>
      <c r="MR222" s="54"/>
      <c r="MS222" s="54"/>
      <c r="MT222" s="54"/>
      <c r="MU222" s="54"/>
      <c r="MV222" s="54"/>
      <c r="MW222" s="54"/>
      <c r="MX222" s="54"/>
      <c r="MY222" s="54"/>
      <c r="MZ222" s="54"/>
      <c r="NA222" s="54"/>
      <c r="NB222" s="54"/>
      <c r="NC222" s="54"/>
      <c r="ND222" s="54"/>
      <c r="NE222" s="54"/>
      <c r="NF222" s="54"/>
      <c r="NG222" s="54"/>
      <c r="NH222" s="54"/>
      <c r="NI222" s="54"/>
      <c r="NJ222" s="54"/>
      <c r="NK222" s="54"/>
      <c r="NL222" s="54"/>
      <c r="NM222" s="54"/>
      <c r="NN222" s="54"/>
      <c r="NO222" s="54"/>
      <c r="NP222" s="54"/>
      <c r="NQ222" s="54"/>
      <c r="NR222" s="54"/>
      <c r="NS222" s="54"/>
      <c r="NT222" s="54"/>
      <c r="NU222" s="54"/>
      <c r="NV222" s="54"/>
      <c r="NW222" s="54"/>
      <c r="NX222" s="54"/>
      <c r="NY222" s="54"/>
      <c r="NZ222" s="54"/>
      <c r="OA222" s="54"/>
      <c r="OB222" s="54"/>
      <c r="OC222" s="54"/>
      <c r="OD222" s="54"/>
      <c r="OE222" s="54"/>
      <c r="OF222" s="54"/>
      <c r="OG222" s="54"/>
      <c r="OH222" s="54"/>
      <c r="OI222" s="54"/>
      <c r="OJ222" s="54"/>
      <c r="OK222" s="54"/>
      <c r="OL222" s="54"/>
      <c r="OM222" s="54"/>
      <c r="ON222" s="54"/>
      <c r="OO222" s="54"/>
      <c r="OP222" s="54"/>
      <c r="OQ222" s="54"/>
      <c r="OR222" s="54"/>
      <c r="OS222" s="54"/>
      <c r="OT222" s="54"/>
      <c r="OU222" s="54"/>
      <c r="OV222" s="54"/>
      <c r="OW222" s="54"/>
      <c r="OX222" s="54"/>
      <c r="OY222" s="54"/>
      <c r="OZ222" s="54"/>
      <c r="PA222" s="54"/>
      <c r="PB222" s="54"/>
      <c r="PC222" s="54"/>
      <c r="PD222" s="54"/>
      <c r="PE222" s="54"/>
      <c r="PF222" s="54"/>
      <c r="PG222" s="54"/>
      <c r="PH222" s="54"/>
      <c r="PI222" s="54"/>
      <c r="PJ222" s="54"/>
      <c r="PK222" s="54"/>
      <c r="PL222" s="54"/>
      <c r="PM222" s="54"/>
      <c r="PN222" s="54"/>
      <c r="PO222" s="54"/>
      <c r="PP222" s="54"/>
      <c r="PQ222" s="54"/>
      <c r="PR222" s="54"/>
      <c r="PS222" s="54"/>
      <c r="PT222" s="54"/>
      <c r="PU222" s="54"/>
      <c r="PV222" s="54"/>
      <c r="PW222" s="54"/>
      <c r="PX222" s="54"/>
      <c r="PY222" s="54"/>
      <c r="PZ222" s="54"/>
      <c r="QA222" s="54"/>
      <c r="QB222" s="54"/>
      <c r="QC222" s="54"/>
      <c r="QD222" s="54"/>
      <c r="QE222" s="54"/>
      <c r="QF222" s="54"/>
      <c r="QG222" s="54"/>
      <c r="QH222" s="54"/>
      <c r="QI222" s="54"/>
      <c r="QJ222" s="54"/>
      <c r="QK222" s="54"/>
      <c r="QL222" s="54"/>
      <c r="QM222" s="54"/>
      <c r="QN222" s="54"/>
      <c r="QO222" s="54"/>
      <c r="QP222" s="54"/>
      <c r="QQ222" s="54"/>
      <c r="QR222" s="54"/>
      <c r="QS222" s="54"/>
      <c r="QT222" s="54"/>
      <c r="QU222" s="54"/>
      <c r="QV222" s="54"/>
      <c r="QW222" s="54"/>
      <c r="QX222" s="54"/>
      <c r="QY222" s="54"/>
      <c r="QZ222" s="54"/>
      <c r="RA222" s="54"/>
      <c r="RB222" s="54"/>
      <c r="RC222" s="54"/>
      <c r="RD222" s="54"/>
      <c r="RE222" s="54"/>
      <c r="RF222" s="54"/>
      <c r="RG222" s="54"/>
      <c r="RH222" s="54"/>
      <c r="RI222" s="54"/>
      <c r="RJ222" s="54"/>
      <c r="RK222" s="54"/>
      <c r="RL222" s="54"/>
      <c r="RM222" s="54"/>
      <c r="RN222" s="54"/>
      <c r="RO222" s="54"/>
      <c r="RP222" s="54"/>
      <c r="RQ222" s="54"/>
      <c r="RR222" s="54"/>
      <c r="RS222" s="54"/>
      <c r="RT222" s="54"/>
      <c r="RU222" s="54"/>
      <c r="RV222" s="54"/>
      <c r="RW222" s="54"/>
      <c r="RX222" s="54"/>
      <c r="RY222" s="54"/>
      <c r="RZ222" s="54"/>
      <c r="SA222" s="54"/>
      <c r="SB222" s="54"/>
      <c r="SC222" s="54"/>
      <c r="SD222" s="54"/>
      <c r="SE222" s="54"/>
      <c r="SF222" s="54"/>
      <c r="SG222" s="54"/>
      <c r="SH222" s="54"/>
      <c r="SI222" s="54"/>
      <c r="SJ222" s="54"/>
      <c r="SK222" s="54"/>
      <c r="SL222" s="54"/>
      <c r="SM222" s="54"/>
      <c r="SN222" s="54"/>
      <c r="SO222" s="54"/>
      <c r="SP222" s="54"/>
      <c r="SQ222" s="54"/>
      <c r="SR222" s="54"/>
    </row>
    <row r="223" spans="1:512" s="55" customFormat="1" ht="15" customHeight="1" x14ac:dyDescent="0.7">
      <c r="A223" s="173"/>
      <c r="B223" s="173"/>
      <c r="C223" s="173"/>
      <c r="D223" s="173"/>
      <c r="E223" s="173"/>
      <c r="F223" s="173"/>
      <c r="G223" s="173"/>
      <c r="H223" s="74"/>
      <c r="I223" s="75"/>
      <c r="J223" s="76"/>
      <c r="K223" s="191"/>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c r="IX223" s="56"/>
      <c r="IY223" s="56"/>
      <c r="IZ223" s="56"/>
      <c r="JA223" s="56"/>
      <c r="JB223" s="56"/>
      <c r="JC223" s="56"/>
      <c r="JD223" s="56"/>
      <c r="JE223" s="56"/>
      <c r="JF223" s="56"/>
      <c r="JG223" s="56"/>
      <c r="JH223" s="56"/>
      <c r="JI223" s="56"/>
      <c r="JJ223" s="56"/>
      <c r="JK223" s="56"/>
      <c r="JL223" s="56"/>
      <c r="JM223" s="56"/>
      <c r="JN223" s="56"/>
      <c r="JO223" s="56"/>
      <c r="JP223" s="56"/>
      <c r="JQ223" s="56"/>
      <c r="JR223" s="56"/>
      <c r="JS223" s="56"/>
      <c r="JT223" s="56"/>
      <c r="JU223" s="56"/>
      <c r="JV223" s="56"/>
      <c r="JW223" s="56"/>
      <c r="JX223" s="56"/>
      <c r="JY223" s="56"/>
      <c r="JZ223" s="56"/>
      <c r="KA223" s="56"/>
      <c r="KB223" s="56"/>
      <c r="KC223" s="56"/>
      <c r="KD223" s="56"/>
      <c r="KE223" s="56"/>
      <c r="KF223" s="56"/>
      <c r="KG223" s="56"/>
      <c r="KH223" s="56"/>
      <c r="KI223" s="56"/>
      <c r="KJ223" s="56"/>
      <c r="KK223" s="56"/>
      <c r="KL223" s="56"/>
      <c r="KM223" s="56"/>
      <c r="KN223" s="56"/>
      <c r="KO223" s="56"/>
      <c r="KP223" s="56"/>
      <c r="KQ223" s="56"/>
      <c r="KR223" s="56"/>
      <c r="KS223" s="56"/>
      <c r="KT223" s="56"/>
      <c r="KU223" s="56"/>
      <c r="KV223" s="56"/>
      <c r="KW223" s="56"/>
      <c r="KX223" s="56"/>
      <c r="KY223" s="56"/>
      <c r="KZ223" s="56"/>
      <c r="LA223" s="56"/>
      <c r="LB223" s="56"/>
      <c r="LC223" s="56"/>
      <c r="LD223" s="56"/>
      <c r="LE223" s="56"/>
      <c r="LF223" s="56"/>
      <c r="LG223" s="56"/>
      <c r="LH223" s="56"/>
      <c r="LI223" s="56"/>
      <c r="LJ223" s="56"/>
      <c r="LK223" s="56"/>
      <c r="LL223" s="56"/>
      <c r="LM223" s="56"/>
      <c r="LN223" s="56"/>
      <c r="LO223" s="56"/>
      <c r="LP223" s="56"/>
      <c r="LQ223" s="56"/>
      <c r="LR223" s="56"/>
      <c r="LS223" s="56"/>
      <c r="LT223" s="56"/>
      <c r="LU223" s="56"/>
      <c r="LV223" s="56"/>
      <c r="LW223" s="56"/>
      <c r="LX223" s="56"/>
      <c r="LY223" s="56"/>
      <c r="LZ223" s="56"/>
      <c r="MA223" s="56"/>
      <c r="MB223" s="56"/>
      <c r="MC223" s="56"/>
      <c r="MD223" s="56"/>
      <c r="ME223" s="56"/>
      <c r="MF223" s="56"/>
      <c r="MG223" s="56"/>
      <c r="MH223" s="56"/>
      <c r="MI223" s="56"/>
      <c r="MJ223" s="56"/>
      <c r="MK223" s="56"/>
      <c r="ML223" s="56"/>
      <c r="MM223" s="56"/>
      <c r="MN223" s="56"/>
      <c r="MO223" s="56"/>
      <c r="MP223" s="56"/>
      <c r="MQ223" s="56"/>
      <c r="MR223" s="56"/>
      <c r="MS223" s="56"/>
      <c r="MT223" s="56"/>
      <c r="MU223" s="56"/>
      <c r="MV223" s="56"/>
      <c r="MW223" s="56"/>
      <c r="MX223" s="56"/>
      <c r="MY223" s="56"/>
      <c r="MZ223" s="56"/>
      <c r="NA223" s="56"/>
      <c r="NB223" s="56"/>
      <c r="NC223" s="56"/>
      <c r="ND223" s="56"/>
      <c r="NE223" s="56"/>
      <c r="NF223" s="56"/>
      <c r="NG223" s="56"/>
      <c r="NH223" s="56"/>
      <c r="NI223" s="56"/>
      <c r="NJ223" s="56"/>
      <c r="NK223" s="56"/>
      <c r="NL223" s="56"/>
      <c r="NM223" s="56"/>
      <c r="NN223" s="56"/>
      <c r="NO223" s="56"/>
      <c r="NP223" s="56"/>
      <c r="NQ223" s="56"/>
      <c r="NR223" s="56"/>
      <c r="NS223" s="56"/>
      <c r="NT223" s="56"/>
      <c r="NU223" s="56"/>
      <c r="NV223" s="56"/>
      <c r="NW223" s="56"/>
      <c r="NX223" s="56"/>
      <c r="NY223" s="56"/>
      <c r="NZ223" s="56"/>
      <c r="OA223" s="56"/>
      <c r="OB223" s="56"/>
      <c r="OC223" s="56"/>
      <c r="OD223" s="56"/>
      <c r="OE223" s="56"/>
      <c r="OF223" s="56"/>
      <c r="OG223" s="56"/>
      <c r="OH223" s="56"/>
      <c r="OI223" s="56"/>
      <c r="OJ223" s="56"/>
      <c r="OK223" s="56"/>
      <c r="OL223" s="56"/>
      <c r="OM223" s="56"/>
      <c r="ON223" s="56"/>
      <c r="OO223" s="56"/>
      <c r="OP223" s="56"/>
      <c r="OQ223" s="56"/>
      <c r="OR223" s="56"/>
      <c r="OS223" s="56"/>
      <c r="OT223" s="56"/>
      <c r="OU223" s="56"/>
      <c r="OV223" s="56"/>
      <c r="OW223" s="56"/>
      <c r="OX223" s="56"/>
      <c r="OY223" s="56"/>
      <c r="OZ223" s="56"/>
      <c r="PA223" s="56"/>
      <c r="PB223" s="56"/>
      <c r="PC223" s="56"/>
      <c r="PD223" s="56"/>
      <c r="PE223" s="56"/>
      <c r="PF223" s="56"/>
      <c r="PG223" s="56"/>
      <c r="PH223" s="56"/>
      <c r="PI223" s="56"/>
      <c r="PJ223" s="56"/>
      <c r="PK223" s="56"/>
      <c r="PL223" s="56"/>
      <c r="PM223" s="56"/>
      <c r="PN223" s="56"/>
      <c r="PO223" s="56"/>
      <c r="PP223" s="56"/>
      <c r="PQ223" s="56"/>
      <c r="PR223" s="56"/>
      <c r="PS223" s="56"/>
      <c r="PT223" s="56"/>
      <c r="PU223" s="56"/>
      <c r="PV223" s="56"/>
      <c r="PW223" s="56"/>
      <c r="PX223" s="56"/>
      <c r="PY223" s="56"/>
      <c r="PZ223" s="56"/>
      <c r="QA223" s="56"/>
      <c r="QB223" s="56"/>
      <c r="QC223" s="56"/>
      <c r="QD223" s="56"/>
      <c r="QE223" s="56"/>
      <c r="QF223" s="56"/>
      <c r="QG223" s="56"/>
      <c r="QH223" s="56"/>
      <c r="QI223" s="56"/>
      <c r="QJ223" s="56"/>
      <c r="QK223" s="56"/>
      <c r="QL223" s="56"/>
      <c r="QM223" s="56"/>
      <c r="QN223" s="56"/>
      <c r="QO223" s="56"/>
      <c r="QP223" s="56"/>
      <c r="QQ223" s="56"/>
      <c r="QR223" s="56"/>
      <c r="QS223" s="56"/>
      <c r="QT223" s="56"/>
      <c r="QU223" s="56"/>
      <c r="QV223" s="56"/>
      <c r="QW223" s="56"/>
      <c r="QX223" s="56"/>
      <c r="QY223" s="56"/>
      <c r="QZ223" s="56"/>
      <c r="RA223" s="56"/>
      <c r="RB223" s="56"/>
      <c r="RC223" s="56"/>
      <c r="RD223" s="56"/>
      <c r="RE223" s="56"/>
      <c r="RF223" s="56"/>
      <c r="RG223" s="56"/>
      <c r="RH223" s="56"/>
      <c r="RI223" s="56"/>
      <c r="RJ223" s="56"/>
      <c r="RK223" s="56"/>
      <c r="RL223" s="56"/>
      <c r="RM223" s="56"/>
      <c r="RN223" s="56"/>
      <c r="RO223" s="56"/>
      <c r="RP223" s="56"/>
      <c r="RQ223" s="56"/>
      <c r="RR223" s="56"/>
      <c r="RS223" s="56"/>
      <c r="RT223" s="56"/>
      <c r="RU223" s="56"/>
      <c r="RV223" s="56"/>
      <c r="RW223" s="56"/>
      <c r="RX223" s="56"/>
      <c r="RY223" s="56"/>
      <c r="RZ223" s="56"/>
      <c r="SA223" s="56"/>
      <c r="SB223" s="56"/>
      <c r="SC223" s="56"/>
      <c r="SD223" s="56"/>
      <c r="SE223" s="56"/>
      <c r="SF223" s="56"/>
      <c r="SG223" s="56"/>
      <c r="SH223" s="56"/>
      <c r="SI223" s="56"/>
      <c r="SJ223" s="56"/>
      <c r="SK223" s="56"/>
      <c r="SL223" s="56"/>
      <c r="SM223" s="56"/>
      <c r="SN223" s="56"/>
      <c r="SO223" s="56"/>
      <c r="SP223" s="56"/>
      <c r="SQ223" s="56"/>
      <c r="SR223" s="56"/>
    </row>
    <row r="224" spans="1:512" ht="15" customHeight="1" x14ac:dyDescent="0.7">
      <c r="A224" s="171" t="s">
        <v>344</v>
      </c>
      <c r="B224" s="171" t="s">
        <v>344</v>
      </c>
      <c r="C224" s="171" t="s">
        <v>344</v>
      </c>
      <c r="D224" s="171"/>
      <c r="E224" s="171" t="s">
        <v>344</v>
      </c>
      <c r="F224" s="171"/>
      <c r="G224" s="188" t="s">
        <v>344</v>
      </c>
      <c r="H224" s="71" t="s">
        <v>344</v>
      </c>
      <c r="I224" s="72" t="s">
        <v>344</v>
      </c>
      <c r="J224" s="73" t="s">
        <v>344</v>
      </c>
      <c r="K224" s="189" t="s">
        <v>344</v>
      </c>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c r="DA224" s="54"/>
      <c r="DB224" s="54"/>
      <c r="DC224" s="54"/>
      <c r="DD224" s="54"/>
      <c r="DE224" s="54"/>
      <c r="DF224" s="54"/>
      <c r="DG224" s="54"/>
      <c r="DH224" s="54"/>
      <c r="DI224" s="54"/>
      <c r="DJ224" s="54"/>
      <c r="DK224" s="54"/>
      <c r="DL224" s="54"/>
      <c r="DM224" s="54"/>
      <c r="DN224" s="54"/>
      <c r="DO224" s="54"/>
      <c r="DP224" s="54"/>
      <c r="DQ224" s="54"/>
      <c r="DR224" s="54"/>
      <c r="DS224" s="54"/>
      <c r="DT224" s="54"/>
      <c r="DU224" s="54"/>
      <c r="DV224" s="54"/>
      <c r="DW224" s="54"/>
      <c r="DX224" s="54"/>
      <c r="DY224" s="54"/>
      <c r="DZ224" s="54"/>
      <c r="EA224" s="54"/>
      <c r="EB224" s="54"/>
      <c r="EC224" s="54"/>
      <c r="ED224" s="54"/>
      <c r="EE224" s="54"/>
      <c r="EF224" s="54"/>
      <c r="EG224" s="54"/>
      <c r="EH224" s="54"/>
      <c r="EI224" s="54"/>
      <c r="EJ224" s="54"/>
      <c r="EK224" s="54"/>
      <c r="EL224" s="54"/>
      <c r="EM224" s="54"/>
      <c r="EN224" s="54"/>
      <c r="EO224" s="54"/>
      <c r="EP224" s="54"/>
      <c r="EQ224" s="54"/>
      <c r="ER224" s="54"/>
      <c r="ES224" s="54"/>
      <c r="ET224" s="54"/>
      <c r="EU224" s="54"/>
      <c r="EV224" s="54"/>
      <c r="EW224" s="54"/>
      <c r="EX224" s="54"/>
      <c r="EY224" s="54"/>
      <c r="EZ224" s="54"/>
      <c r="FA224" s="54"/>
      <c r="FB224" s="54"/>
      <c r="FC224" s="54"/>
      <c r="FD224" s="54"/>
      <c r="FE224" s="54"/>
      <c r="FF224" s="54"/>
      <c r="FG224" s="54"/>
      <c r="FH224" s="54"/>
      <c r="FI224" s="54"/>
      <c r="FJ224" s="54"/>
      <c r="FK224" s="54"/>
      <c r="FL224" s="54"/>
      <c r="FM224" s="54"/>
      <c r="FN224" s="54"/>
      <c r="FO224" s="54"/>
      <c r="FP224" s="54"/>
      <c r="FQ224" s="54"/>
      <c r="FR224" s="54"/>
      <c r="FS224" s="54"/>
      <c r="FT224" s="54"/>
      <c r="FU224" s="54"/>
      <c r="FV224" s="54"/>
      <c r="FW224" s="54"/>
      <c r="FX224" s="54"/>
      <c r="FY224" s="54"/>
      <c r="FZ224" s="54"/>
      <c r="GA224" s="54"/>
      <c r="GB224" s="54"/>
      <c r="GC224" s="54"/>
      <c r="GD224" s="54"/>
      <c r="GE224" s="54"/>
      <c r="GF224" s="54"/>
      <c r="GG224" s="54"/>
      <c r="GH224" s="54"/>
      <c r="GI224" s="54"/>
      <c r="GJ224" s="54"/>
      <c r="GK224" s="54"/>
      <c r="GL224" s="54"/>
      <c r="GM224" s="54"/>
      <c r="GN224" s="54"/>
      <c r="GO224" s="54"/>
      <c r="GP224" s="54"/>
      <c r="GQ224" s="54"/>
      <c r="GR224" s="54"/>
      <c r="GS224" s="54"/>
      <c r="GT224" s="54"/>
      <c r="GU224" s="54"/>
      <c r="GV224" s="54"/>
      <c r="GW224" s="54"/>
      <c r="GX224" s="54"/>
      <c r="GY224" s="54"/>
      <c r="GZ224" s="54"/>
      <c r="HA224" s="54"/>
      <c r="HB224" s="54"/>
      <c r="HC224" s="54"/>
      <c r="HD224" s="54"/>
      <c r="HE224" s="54"/>
      <c r="HF224" s="54"/>
      <c r="HG224" s="54"/>
      <c r="HH224" s="54"/>
      <c r="HI224" s="54"/>
      <c r="HJ224" s="54"/>
      <c r="HK224" s="54"/>
      <c r="HL224" s="54"/>
      <c r="HM224" s="54"/>
      <c r="HN224" s="54"/>
      <c r="HO224" s="54"/>
      <c r="HP224" s="54"/>
      <c r="HQ224" s="54"/>
      <c r="HR224" s="54"/>
      <c r="HS224" s="54"/>
      <c r="HT224" s="54"/>
      <c r="HU224" s="54"/>
      <c r="HV224" s="54"/>
      <c r="HW224" s="54"/>
      <c r="HX224" s="54"/>
      <c r="HY224" s="54"/>
      <c r="HZ224" s="54"/>
      <c r="IA224" s="54"/>
      <c r="IB224" s="54"/>
      <c r="IC224" s="54"/>
      <c r="ID224" s="54"/>
      <c r="IE224" s="54"/>
      <c r="IF224" s="54"/>
      <c r="IG224" s="54"/>
      <c r="IH224" s="54"/>
      <c r="II224" s="54"/>
      <c r="IJ224" s="54"/>
      <c r="IK224" s="54"/>
      <c r="IL224" s="54"/>
      <c r="IM224" s="54"/>
      <c r="IN224" s="54"/>
      <c r="IO224" s="54"/>
      <c r="IP224" s="54"/>
      <c r="IQ224" s="54"/>
      <c r="IR224" s="54"/>
      <c r="IS224" s="54"/>
      <c r="IT224" s="54"/>
      <c r="IU224" s="54"/>
      <c r="IV224" s="54"/>
      <c r="IW224" s="54"/>
      <c r="IX224" s="54"/>
      <c r="IY224" s="54"/>
      <c r="IZ224" s="54"/>
      <c r="JA224" s="54"/>
      <c r="JB224" s="54"/>
      <c r="JC224" s="54"/>
      <c r="JD224" s="54"/>
      <c r="JE224" s="54"/>
      <c r="JF224" s="54"/>
      <c r="JG224" s="54"/>
      <c r="JH224" s="54"/>
      <c r="JI224" s="54"/>
      <c r="JJ224" s="54"/>
      <c r="JK224" s="54"/>
      <c r="JL224" s="54"/>
      <c r="JM224" s="54"/>
      <c r="JN224" s="54"/>
      <c r="JO224" s="54"/>
      <c r="JP224" s="54"/>
      <c r="JQ224" s="54"/>
      <c r="JR224" s="54"/>
      <c r="JS224" s="54"/>
      <c r="JT224" s="54"/>
      <c r="JU224" s="54"/>
      <c r="JV224" s="54"/>
      <c r="JW224" s="54"/>
      <c r="JX224" s="54"/>
      <c r="JY224" s="54"/>
      <c r="JZ224" s="54"/>
      <c r="KA224" s="54"/>
      <c r="KB224" s="54"/>
      <c r="KC224" s="54"/>
      <c r="KD224" s="54"/>
      <c r="KE224" s="54"/>
      <c r="KF224" s="54"/>
      <c r="KG224" s="54"/>
      <c r="KH224" s="54"/>
      <c r="KI224" s="54"/>
      <c r="KJ224" s="54"/>
      <c r="KK224" s="54"/>
      <c r="KL224" s="54"/>
      <c r="KM224" s="54"/>
      <c r="KN224" s="54"/>
      <c r="KO224" s="54"/>
      <c r="KP224" s="54"/>
      <c r="KQ224" s="54"/>
      <c r="KR224" s="54"/>
      <c r="KS224" s="54"/>
      <c r="KT224" s="54"/>
      <c r="KU224" s="54"/>
      <c r="KV224" s="54"/>
      <c r="KW224" s="54"/>
      <c r="KX224" s="54"/>
      <c r="KY224" s="54"/>
      <c r="KZ224" s="54"/>
      <c r="LA224" s="54"/>
      <c r="LB224" s="54"/>
      <c r="LC224" s="54"/>
      <c r="LD224" s="54"/>
      <c r="LE224" s="54"/>
      <c r="LF224" s="54"/>
      <c r="LG224" s="54"/>
      <c r="LH224" s="54"/>
      <c r="LI224" s="54"/>
      <c r="LJ224" s="54"/>
      <c r="LK224" s="54"/>
      <c r="LL224" s="54"/>
      <c r="LM224" s="54"/>
      <c r="LN224" s="54"/>
      <c r="LO224" s="54"/>
      <c r="LP224" s="54"/>
      <c r="LQ224" s="54"/>
      <c r="LR224" s="54"/>
      <c r="LS224" s="54"/>
      <c r="LT224" s="54"/>
      <c r="LU224" s="54"/>
      <c r="LV224" s="54"/>
      <c r="LW224" s="54"/>
      <c r="LX224" s="54"/>
      <c r="LY224" s="54"/>
      <c r="LZ224" s="54"/>
      <c r="MA224" s="54"/>
      <c r="MB224" s="54"/>
      <c r="MC224" s="54"/>
      <c r="MD224" s="54"/>
      <c r="ME224" s="54"/>
      <c r="MF224" s="54"/>
      <c r="MG224" s="54"/>
      <c r="MH224" s="54"/>
      <c r="MI224" s="54"/>
      <c r="MJ224" s="54"/>
      <c r="MK224" s="54"/>
      <c r="ML224" s="54"/>
      <c r="MM224" s="54"/>
      <c r="MN224" s="54"/>
      <c r="MO224" s="54"/>
      <c r="MP224" s="54"/>
      <c r="MQ224" s="54"/>
      <c r="MR224" s="54"/>
      <c r="MS224" s="54"/>
      <c r="MT224" s="54"/>
      <c r="MU224" s="54"/>
      <c r="MV224" s="54"/>
      <c r="MW224" s="54"/>
      <c r="MX224" s="54"/>
      <c r="MY224" s="54"/>
      <c r="MZ224" s="54"/>
      <c r="NA224" s="54"/>
      <c r="NB224" s="54"/>
      <c r="NC224" s="54"/>
      <c r="ND224" s="54"/>
      <c r="NE224" s="54"/>
      <c r="NF224" s="54"/>
      <c r="NG224" s="54"/>
      <c r="NH224" s="54"/>
      <c r="NI224" s="54"/>
      <c r="NJ224" s="54"/>
      <c r="NK224" s="54"/>
      <c r="NL224" s="54"/>
      <c r="NM224" s="54"/>
      <c r="NN224" s="54"/>
      <c r="NO224" s="54"/>
      <c r="NP224" s="54"/>
      <c r="NQ224" s="54"/>
      <c r="NR224" s="54"/>
      <c r="NS224" s="54"/>
      <c r="NT224" s="54"/>
      <c r="NU224" s="54"/>
      <c r="NV224" s="54"/>
      <c r="NW224" s="54"/>
      <c r="NX224" s="54"/>
      <c r="NY224" s="54"/>
      <c r="NZ224" s="54"/>
      <c r="OA224" s="54"/>
      <c r="OB224" s="54"/>
      <c r="OC224" s="54"/>
      <c r="OD224" s="54"/>
      <c r="OE224" s="54"/>
      <c r="OF224" s="54"/>
      <c r="OG224" s="54"/>
      <c r="OH224" s="54"/>
      <c r="OI224" s="54"/>
      <c r="OJ224" s="54"/>
      <c r="OK224" s="54"/>
      <c r="OL224" s="54"/>
      <c r="OM224" s="54"/>
      <c r="ON224" s="54"/>
      <c r="OO224" s="54"/>
      <c r="OP224" s="54"/>
      <c r="OQ224" s="54"/>
      <c r="OR224" s="54"/>
      <c r="OS224" s="54"/>
      <c r="OT224" s="54"/>
      <c r="OU224" s="54"/>
      <c r="OV224" s="54"/>
      <c r="OW224" s="54"/>
      <c r="OX224" s="54"/>
      <c r="OY224" s="54"/>
      <c r="OZ224" s="54"/>
      <c r="PA224" s="54"/>
      <c r="PB224" s="54"/>
      <c r="PC224" s="54"/>
      <c r="PD224" s="54"/>
      <c r="PE224" s="54"/>
      <c r="PF224" s="54"/>
      <c r="PG224" s="54"/>
      <c r="PH224" s="54"/>
      <c r="PI224" s="54"/>
      <c r="PJ224" s="54"/>
      <c r="PK224" s="54"/>
      <c r="PL224" s="54"/>
      <c r="PM224" s="54"/>
      <c r="PN224" s="54"/>
      <c r="PO224" s="54"/>
      <c r="PP224" s="54"/>
      <c r="PQ224" s="54"/>
      <c r="PR224" s="54"/>
      <c r="PS224" s="54"/>
      <c r="PT224" s="54"/>
      <c r="PU224" s="54"/>
      <c r="PV224" s="54"/>
      <c r="PW224" s="54"/>
      <c r="PX224" s="54"/>
      <c r="PY224" s="54"/>
      <c r="PZ224" s="54"/>
      <c r="QA224" s="54"/>
      <c r="QB224" s="54"/>
      <c r="QC224" s="54"/>
      <c r="QD224" s="54"/>
      <c r="QE224" s="54"/>
      <c r="QF224" s="54"/>
      <c r="QG224" s="54"/>
      <c r="QH224" s="54"/>
      <c r="QI224" s="54"/>
      <c r="QJ224" s="54"/>
      <c r="QK224" s="54"/>
      <c r="QL224" s="54"/>
      <c r="QM224" s="54"/>
      <c r="QN224" s="54"/>
      <c r="QO224" s="54"/>
      <c r="QP224" s="54"/>
      <c r="QQ224" s="54"/>
      <c r="QR224" s="54"/>
      <c r="QS224" s="54"/>
      <c r="QT224" s="54"/>
      <c r="QU224" s="54"/>
      <c r="QV224" s="54"/>
      <c r="QW224" s="54"/>
      <c r="QX224" s="54"/>
      <c r="QY224" s="54"/>
      <c r="QZ224" s="54"/>
      <c r="RA224" s="54"/>
      <c r="RB224" s="54"/>
      <c r="RC224" s="54"/>
      <c r="RD224" s="54"/>
      <c r="RE224" s="54"/>
      <c r="RF224" s="54"/>
      <c r="RG224" s="54"/>
      <c r="RH224" s="54"/>
      <c r="RI224" s="54"/>
      <c r="RJ224" s="54"/>
      <c r="RK224" s="54"/>
      <c r="RL224" s="54"/>
      <c r="RM224" s="54"/>
      <c r="RN224" s="54"/>
      <c r="RO224" s="54"/>
      <c r="RP224" s="54"/>
      <c r="RQ224" s="54"/>
      <c r="RR224" s="54"/>
      <c r="RS224" s="54"/>
      <c r="RT224" s="54"/>
      <c r="RU224" s="54"/>
      <c r="RV224" s="54"/>
      <c r="RW224" s="54"/>
      <c r="RX224" s="54"/>
      <c r="RY224" s="54"/>
      <c r="RZ224" s="54"/>
      <c r="SA224" s="54"/>
      <c r="SB224" s="54"/>
      <c r="SC224" s="54"/>
      <c r="SD224" s="54"/>
      <c r="SE224" s="54"/>
      <c r="SF224" s="54"/>
      <c r="SG224" s="54"/>
      <c r="SH224" s="54"/>
      <c r="SI224" s="54"/>
      <c r="SJ224" s="54"/>
      <c r="SK224" s="54"/>
      <c r="SL224" s="54"/>
      <c r="SM224" s="54"/>
      <c r="SN224" s="54"/>
      <c r="SO224" s="54"/>
      <c r="SP224" s="54"/>
      <c r="SQ224" s="54"/>
      <c r="SR224" s="54"/>
    </row>
    <row r="225" spans="1:512" ht="15" customHeight="1" x14ac:dyDescent="0.7">
      <c r="A225" s="172"/>
      <c r="B225" s="172"/>
      <c r="C225" s="172"/>
      <c r="D225" s="172"/>
      <c r="E225" s="172"/>
      <c r="F225" s="172"/>
      <c r="G225" s="172"/>
      <c r="I225" s="72" t="s">
        <v>344</v>
      </c>
      <c r="J225" s="73" t="s">
        <v>344</v>
      </c>
      <c r="K225" s="190"/>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c r="DA225" s="54"/>
      <c r="DB225" s="54"/>
      <c r="DC225" s="54"/>
      <c r="DD225" s="54"/>
      <c r="DE225" s="54"/>
      <c r="DF225" s="54"/>
      <c r="DG225" s="54"/>
      <c r="DH225" s="54"/>
      <c r="DI225" s="54"/>
      <c r="DJ225" s="54"/>
      <c r="DK225" s="54"/>
      <c r="DL225" s="54"/>
      <c r="DM225" s="54"/>
      <c r="DN225" s="54"/>
      <c r="DO225" s="54"/>
      <c r="DP225" s="54"/>
      <c r="DQ225" s="54"/>
      <c r="DR225" s="54"/>
      <c r="DS225" s="54"/>
      <c r="DT225" s="54"/>
      <c r="DU225" s="54"/>
      <c r="DV225" s="54"/>
      <c r="DW225" s="54"/>
      <c r="DX225" s="54"/>
      <c r="DY225" s="54"/>
      <c r="DZ225" s="54"/>
      <c r="EA225" s="54"/>
      <c r="EB225" s="54"/>
      <c r="EC225" s="54"/>
      <c r="ED225" s="54"/>
      <c r="EE225" s="54"/>
      <c r="EF225" s="54"/>
      <c r="EG225" s="54"/>
      <c r="EH225" s="54"/>
      <c r="EI225" s="54"/>
      <c r="EJ225" s="54"/>
      <c r="EK225" s="54"/>
      <c r="EL225" s="54"/>
      <c r="EM225" s="54"/>
      <c r="EN225" s="54"/>
      <c r="EO225" s="54"/>
      <c r="EP225" s="54"/>
      <c r="EQ225" s="54"/>
      <c r="ER225" s="54"/>
      <c r="ES225" s="54"/>
      <c r="ET225" s="54"/>
      <c r="EU225" s="54"/>
      <c r="EV225" s="54"/>
      <c r="EW225" s="54"/>
      <c r="EX225" s="54"/>
      <c r="EY225" s="54"/>
      <c r="EZ225" s="54"/>
      <c r="FA225" s="54"/>
      <c r="FB225" s="54"/>
      <c r="FC225" s="54"/>
      <c r="FD225" s="54"/>
      <c r="FE225" s="54"/>
      <c r="FF225" s="54"/>
      <c r="FG225" s="54"/>
      <c r="FH225" s="54"/>
      <c r="FI225" s="54"/>
      <c r="FJ225" s="54"/>
      <c r="FK225" s="54"/>
      <c r="FL225" s="54"/>
      <c r="FM225" s="54"/>
      <c r="FN225" s="54"/>
      <c r="FO225" s="54"/>
      <c r="FP225" s="54"/>
      <c r="FQ225" s="54"/>
      <c r="FR225" s="54"/>
      <c r="FS225" s="54"/>
      <c r="FT225" s="54"/>
      <c r="FU225" s="54"/>
      <c r="FV225" s="54"/>
      <c r="FW225" s="54"/>
      <c r="FX225" s="54"/>
      <c r="FY225" s="54"/>
      <c r="FZ225" s="54"/>
      <c r="GA225" s="54"/>
      <c r="GB225" s="54"/>
      <c r="GC225" s="54"/>
      <c r="GD225" s="54"/>
      <c r="GE225" s="54"/>
      <c r="GF225" s="54"/>
      <c r="GG225" s="54"/>
      <c r="GH225" s="54"/>
      <c r="GI225" s="54"/>
      <c r="GJ225" s="54"/>
      <c r="GK225" s="54"/>
      <c r="GL225" s="54"/>
      <c r="GM225" s="54"/>
      <c r="GN225" s="54"/>
      <c r="GO225" s="54"/>
      <c r="GP225" s="54"/>
      <c r="GQ225" s="54"/>
      <c r="GR225" s="54"/>
      <c r="GS225" s="54"/>
      <c r="GT225" s="54"/>
      <c r="GU225" s="54"/>
      <c r="GV225" s="54"/>
      <c r="GW225" s="54"/>
      <c r="GX225" s="54"/>
      <c r="GY225" s="54"/>
      <c r="GZ225" s="54"/>
      <c r="HA225" s="54"/>
      <c r="HB225" s="54"/>
      <c r="HC225" s="54"/>
      <c r="HD225" s="54"/>
      <c r="HE225" s="54"/>
      <c r="HF225" s="54"/>
      <c r="HG225" s="54"/>
      <c r="HH225" s="54"/>
      <c r="HI225" s="54"/>
      <c r="HJ225" s="54"/>
      <c r="HK225" s="54"/>
      <c r="HL225" s="54"/>
      <c r="HM225" s="54"/>
      <c r="HN225" s="54"/>
      <c r="HO225" s="54"/>
      <c r="HP225" s="54"/>
      <c r="HQ225" s="54"/>
      <c r="HR225" s="54"/>
      <c r="HS225" s="54"/>
      <c r="HT225" s="54"/>
      <c r="HU225" s="54"/>
      <c r="HV225" s="54"/>
      <c r="HW225" s="54"/>
      <c r="HX225" s="54"/>
      <c r="HY225" s="54"/>
      <c r="HZ225" s="54"/>
      <c r="IA225" s="54"/>
      <c r="IB225" s="54"/>
      <c r="IC225" s="54"/>
      <c r="ID225" s="54"/>
      <c r="IE225" s="54"/>
      <c r="IF225" s="54"/>
      <c r="IG225" s="54"/>
      <c r="IH225" s="54"/>
      <c r="II225" s="54"/>
      <c r="IJ225" s="54"/>
      <c r="IK225" s="54"/>
      <c r="IL225" s="54"/>
      <c r="IM225" s="54"/>
      <c r="IN225" s="54"/>
      <c r="IO225" s="54"/>
      <c r="IP225" s="54"/>
      <c r="IQ225" s="54"/>
      <c r="IR225" s="54"/>
      <c r="IS225" s="54"/>
      <c r="IT225" s="54"/>
      <c r="IU225" s="54"/>
      <c r="IV225" s="54"/>
      <c r="IW225" s="54"/>
      <c r="IX225" s="54"/>
      <c r="IY225" s="54"/>
      <c r="IZ225" s="54"/>
      <c r="JA225" s="54"/>
      <c r="JB225" s="54"/>
      <c r="JC225" s="54"/>
      <c r="JD225" s="54"/>
      <c r="JE225" s="54"/>
      <c r="JF225" s="54"/>
      <c r="JG225" s="54"/>
      <c r="JH225" s="54"/>
      <c r="JI225" s="54"/>
      <c r="JJ225" s="54"/>
      <c r="JK225" s="54"/>
      <c r="JL225" s="54"/>
      <c r="JM225" s="54"/>
      <c r="JN225" s="54"/>
      <c r="JO225" s="54"/>
      <c r="JP225" s="54"/>
      <c r="JQ225" s="54"/>
      <c r="JR225" s="54"/>
      <c r="JS225" s="54"/>
      <c r="JT225" s="54"/>
      <c r="JU225" s="54"/>
      <c r="JV225" s="54"/>
      <c r="JW225" s="54"/>
      <c r="JX225" s="54"/>
      <c r="JY225" s="54"/>
      <c r="JZ225" s="54"/>
      <c r="KA225" s="54"/>
      <c r="KB225" s="54"/>
      <c r="KC225" s="54"/>
      <c r="KD225" s="54"/>
      <c r="KE225" s="54"/>
      <c r="KF225" s="54"/>
      <c r="KG225" s="54"/>
      <c r="KH225" s="54"/>
      <c r="KI225" s="54"/>
      <c r="KJ225" s="54"/>
      <c r="KK225" s="54"/>
      <c r="KL225" s="54"/>
      <c r="KM225" s="54"/>
      <c r="KN225" s="54"/>
      <c r="KO225" s="54"/>
      <c r="KP225" s="54"/>
      <c r="KQ225" s="54"/>
      <c r="KR225" s="54"/>
      <c r="KS225" s="54"/>
      <c r="KT225" s="54"/>
      <c r="KU225" s="54"/>
      <c r="KV225" s="54"/>
      <c r="KW225" s="54"/>
      <c r="KX225" s="54"/>
      <c r="KY225" s="54"/>
      <c r="KZ225" s="54"/>
      <c r="LA225" s="54"/>
      <c r="LB225" s="54"/>
      <c r="LC225" s="54"/>
      <c r="LD225" s="54"/>
      <c r="LE225" s="54"/>
      <c r="LF225" s="54"/>
      <c r="LG225" s="54"/>
      <c r="LH225" s="54"/>
      <c r="LI225" s="54"/>
      <c r="LJ225" s="54"/>
      <c r="LK225" s="54"/>
      <c r="LL225" s="54"/>
      <c r="LM225" s="54"/>
      <c r="LN225" s="54"/>
      <c r="LO225" s="54"/>
      <c r="LP225" s="54"/>
      <c r="LQ225" s="54"/>
      <c r="LR225" s="54"/>
      <c r="LS225" s="54"/>
      <c r="LT225" s="54"/>
      <c r="LU225" s="54"/>
      <c r="LV225" s="54"/>
      <c r="LW225" s="54"/>
      <c r="LX225" s="54"/>
      <c r="LY225" s="54"/>
      <c r="LZ225" s="54"/>
      <c r="MA225" s="54"/>
      <c r="MB225" s="54"/>
      <c r="MC225" s="54"/>
      <c r="MD225" s="54"/>
      <c r="ME225" s="54"/>
      <c r="MF225" s="54"/>
      <c r="MG225" s="54"/>
      <c r="MH225" s="54"/>
      <c r="MI225" s="54"/>
      <c r="MJ225" s="54"/>
      <c r="MK225" s="54"/>
      <c r="ML225" s="54"/>
      <c r="MM225" s="54"/>
      <c r="MN225" s="54"/>
      <c r="MO225" s="54"/>
      <c r="MP225" s="54"/>
      <c r="MQ225" s="54"/>
      <c r="MR225" s="54"/>
      <c r="MS225" s="54"/>
      <c r="MT225" s="54"/>
      <c r="MU225" s="54"/>
      <c r="MV225" s="54"/>
      <c r="MW225" s="54"/>
      <c r="MX225" s="54"/>
      <c r="MY225" s="54"/>
      <c r="MZ225" s="54"/>
      <c r="NA225" s="54"/>
      <c r="NB225" s="54"/>
      <c r="NC225" s="54"/>
      <c r="ND225" s="54"/>
      <c r="NE225" s="54"/>
      <c r="NF225" s="54"/>
      <c r="NG225" s="54"/>
      <c r="NH225" s="54"/>
      <c r="NI225" s="54"/>
      <c r="NJ225" s="54"/>
      <c r="NK225" s="54"/>
      <c r="NL225" s="54"/>
      <c r="NM225" s="54"/>
      <c r="NN225" s="54"/>
      <c r="NO225" s="54"/>
      <c r="NP225" s="54"/>
      <c r="NQ225" s="54"/>
      <c r="NR225" s="54"/>
      <c r="NS225" s="54"/>
      <c r="NT225" s="54"/>
      <c r="NU225" s="54"/>
      <c r="NV225" s="54"/>
      <c r="NW225" s="54"/>
      <c r="NX225" s="54"/>
      <c r="NY225" s="54"/>
      <c r="NZ225" s="54"/>
      <c r="OA225" s="54"/>
      <c r="OB225" s="54"/>
      <c r="OC225" s="54"/>
      <c r="OD225" s="54"/>
      <c r="OE225" s="54"/>
      <c r="OF225" s="54"/>
      <c r="OG225" s="54"/>
      <c r="OH225" s="54"/>
      <c r="OI225" s="54"/>
      <c r="OJ225" s="54"/>
      <c r="OK225" s="54"/>
      <c r="OL225" s="54"/>
      <c r="OM225" s="54"/>
      <c r="ON225" s="54"/>
      <c r="OO225" s="54"/>
      <c r="OP225" s="54"/>
      <c r="OQ225" s="54"/>
      <c r="OR225" s="54"/>
      <c r="OS225" s="54"/>
      <c r="OT225" s="54"/>
      <c r="OU225" s="54"/>
      <c r="OV225" s="54"/>
      <c r="OW225" s="54"/>
      <c r="OX225" s="54"/>
      <c r="OY225" s="54"/>
      <c r="OZ225" s="54"/>
      <c r="PA225" s="54"/>
      <c r="PB225" s="54"/>
      <c r="PC225" s="54"/>
      <c r="PD225" s="54"/>
      <c r="PE225" s="54"/>
      <c r="PF225" s="54"/>
      <c r="PG225" s="54"/>
      <c r="PH225" s="54"/>
      <c r="PI225" s="54"/>
      <c r="PJ225" s="54"/>
      <c r="PK225" s="54"/>
      <c r="PL225" s="54"/>
      <c r="PM225" s="54"/>
      <c r="PN225" s="54"/>
      <c r="PO225" s="54"/>
      <c r="PP225" s="54"/>
      <c r="PQ225" s="54"/>
      <c r="PR225" s="54"/>
      <c r="PS225" s="54"/>
      <c r="PT225" s="54"/>
      <c r="PU225" s="54"/>
      <c r="PV225" s="54"/>
      <c r="PW225" s="54"/>
      <c r="PX225" s="54"/>
      <c r="PY225" s="54"/>
      <c r="PZ225" s="54"/>
      <c r="QA225" s="54"/>
      <c r="QB225" s="54"/>
      <c r="QC225" s="54"/>
      <c r="QD225" s="54"/>
      <c r="QE225" s="54"/>
      <c r="QF225" s="54"/>
      <c r="QG225" s="54"/>
      <c r="QH225" s="54"/>
      <c r="QI225" s="54"/>
      <c r="QJ225" s="54"/>
      <c r="QK225" s="54"/>
      <c r="QL225" s="54"/>
      <c r="QM225" s="54"/>
      <c r="QN225" s="54"/>
      <c r="QO225" s="54"/>
      <c r="QP225" s="54"/>
      <c r="QQ225" s="54"/>
      <c r="QR225" s="54"/>
      <c r="QS225" s="54"/>
      <c r="QT225" s="54"/>
      <c r="QU225" s="54"/>
      <c r="QV225" s="54"/>
      <c r="QW225" s="54"/>
      <c r="QX225" s="54"/>
      <c r="QY225" s="54"/>
      <c r="QZ225" s="54"/>
      <c r="RA225" s="54"/>
      <c r="RB225" s="54"/>
      <c r="RC225" s="54"/>
      <c r="RD225" s="54"/>
      <c r="RE225" s="54"/>
      <c r="RF225" s="54"/>
      <c r="RG225" s="54"/>
      <c r="RH225" s="54"/>
      <c r="RI225" s="54"/>
      <c r="RJ225" s="54"/>
      <c r="RK225" s="54"/>
      <c r="RL225" s="54"/>
      <c r="RM225" s="54"/>
      <c r="RN225" s="54"/>
      <c r="RO225" s="54"/>
      <c r="RP225" s="54"/>
      <c r="RQ225" s="54"/>
      <c r="RR225" s="54"/>
      <c r="RS225" s="54"/>
      <c r="RT225" s="54"/>
      <c r="RU225" s="54"/>
      <c r="RV225" s="54"/>
      <c r="RW225" s="54"/>
      <c r="RX225" s="54"/>
      <c r="RY225" s="54"/>
      <c r="RZ225" s="54"/>
      <c r="SA225" s="54"/>
      <c r="SB225" s="54"/>
      <c r="SC225" s="54"/>
      <c r="SD225" s="54"/>
      <c r="SE225" s="54"/>
      <c r="SF225" s="54"/>
      <c r="SG225" s="54"/>
      <c r="SH225" s="54"/>
      <c r="SI225" s="54"/>
      <c r="SJ225" s="54"/>
      <c r="SK225" s="54"/>
      <c r="SL225" s="54"/>
      <c r="SM225" s="54"/>
      <c r="SN225" s="54"/>
      <c r="SO225" s="54"/>
      <c r="SP225" s="54"/>
      <c r="SQ225" s="54"/>
      <c r="SR225" s="54"/>
    </row>
    <row r="226" spans="1:512" s="55" customFormat="1" ht="15" customHeight="1" x14ac:dyDescent="0.7">
      <c r="A226" s="173"/>
      <c r="B226" s="173"/>
      <c r="C226" s="173"/>
      <c r="D226" s="173"/>
      <c r="E226" s="173"/>
      <c r="F226" s="173"/>
      <c r="G226" s="173"/>
      <c r="H226" s="74"/>
      <c r="I226" s="75"/>
      <c r="J226" s="76"/>
      <c r="K226" s="191"/>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c r="IX226" s="56"/>
      <c r="IY226" s="56"/>
      <c r="IZ226" s="56"/>
      <c r="JA226" s="56"/>
      <c r="JB226" s="56"/>
      <c r="JC226" s="56"/>
      <c r="JD226" s="56"/>
      <c r="JE226" s="56"/>
      <c r="JF226" s="56"/>
      <c r="JG226" s="56"/>
      <c r="JH226" s="56"/>
      <c r="JI226" s="56"/>
      <c r="JJ226" s="56"/>
      <c r="JK226" s="56"/>
      <c r="JL226" s="56"/>
      <c r="JM226" s="56"/>
      <c r="JN226" s="56"/>
      <c r="JO226" s="56"/>
      <c r="JP226" s="56"/>
      <c r="JQ226" s="56"/>
      <c r="JR226" s="56"/>
      <c r="JS226" s="56"/>
      <c r="JT226" s="56"/>
      <c r="JU226" s="56"/>
      <c r="JV226" s="56"/>
      <c r="JW226" s="56"/>
      <c r="JX226" s="56"/>
      <c r="JY226" s="56"/>
      <c r="JZ226" s="56"/>
      <c r="KA226" s="56"/>
      <c r="KB226" s="56"/>
      <c r="KC226" s="56"/>
      <c r="KD226" s="56"/>
      <c r="KE226" s="56"/>
      <c r="KF226" s="56"/>
      <c r="KG226" s="56"/>
      <c r="KH226" s="56"/>
      <c r="KI226" s="56"/>
      <c r="KJ226" s="56"/>
      <c r="KK226" s="56"/>
      <c r="KL226" s="56"/>
      <c r="KM226" s="56"/>
      <c r="KN226" s="56"/>
      <c r="KO226" s="56"/>
      <c r="KP226" s="56"/>
      <c r="KQ226" s="56"/>
      <c r="KR226" s="56"/>
      <c r="KS226" s="56"/>
      <c r="KT226" s="56"/>
      <c r="KU226" s="56"/>
      <c r="KV226" s="56"/>
      <c r="KW226" s="56"/>
      <c r="KX226" s="56"/>
      <c r="KY226" s="56"/>
      <c r="KZ226" s="56"/>
      <c r="LA226" s="56"/>
      <c r="LB226" s="56"/>
      <c r="LC226" s="56"/>
      <c r="LD226" s="56"/>
      <c r="LE226" s="56"/>
      <c r="LF226" s="56"/>
      <c r="LG226" s="56"/>
      <c r="LH226" s="56"/>
      <c r="LI226" s="56"/>
      <c r="LJ226" s="56"/>
      <c r="LK226" s="56"/>
      <c r="LL226" s="56"/>
      <c r="LM226" s="56"/>
      <c r="LN226" s="56"/>
      <c r="LO226" s="56"/>
      <c r="LP226" s="56"/>
      <c r="LQ226" s="56"/>
      <c r="LR226" s="56"/>
      <c r="LS226" s="56"/>
      <c r="LT226" s="56"/>
      <c r="LU226" s="56"/>
      <c r="LV226" s="56"/>
      <c r="LW226" s="56"/>
      <c r="LX226" s="56"/>
      <c r="LY226" s="56"/>
      <c r="LZ226" s="56"/>
      <c r="MA226" s="56"/>
      <c r="MB226" s="56"/>
      <c r="MC226" s="56"/>
      <c r="MD226" s="56"/>
      <c r="ME226" s="56"/>
      <c r="MF226" s="56"/>
      <c r="MG226" s="56"/>
      <c r="MH226" s="56"/>
      <c r="MI226" s="56"/>
      <c r="MJ226" s="56"/>
      <c r="MK226" s="56"/>
      <c r="ML226" s="56"/>
      <c r="MM226" s="56"/>
      <c r="MN226" s="56"/>
      <c r="MO226" s="56"/>
      <c r="MP226" s="56"/>
      <c r="MQ226" s="56"/>
      <c r="MR226" s="56"/>
      <c r="MS226" s="56"/>
      <c r="MT226" s="56"/>
      <c r="MU226" s="56"/>
      <c r="MV226" s="56"/>
      <c r="MW226" s="56"/>
      <c r="MX226" s="56"/>
      <c r="MY226" s="56"/>
      <c r="MZ226" s="56"/>
      <c r="NA226" s="56"/>
      <c r="NB226" s="56"/>
      <c r="NC226" s="56"/>
      <c r="ND226" s="56"/>
      <c r="NE226" s="56"/>
      <c r="NF226" s="56"/>
      <c r="NG226" s="56"/>
      <c r="NH226" s="56"/>
      <c r="NI226" s="56"/>
      <c r="NJ226" s="56"/>
      <c r="NK226" s="56"/>
      <c r="NL226" s="56"/>
      <c r="NM226" s="56"/>
      <c r="NN226" s="56"/>
      <c r="NO226" s="56"/>
      <c r="NP226" s="56"/>
      <c r="NQ226" s="56"/>
      <c r="NR226" s="56"/>
      <c r="NS226" s="56"/>
      <c r="NT226" s="56"/>
      <c r="NU226" s="56"/>
      <c r="NV226" s="56"/>
      <c r="NW226" s="56"/>
      <c r="NX226" s="56"/>
      <c r="NY226" s="56"/>
      <c r="NZ226" s="56"/>
      <c r="OA226" s="56"/>
      <c r="OB226" s="56"/>
      <c r="OC226" s="56"/>
      <c r="OD226" s="56"/>
      <c r="OE226" s="56"/>
      <c r="OF226" s="56"/>
      <c r="OG226" s="56"/>
      <c r="OH226" s="56"/>
      <c r="OI226" s="56"/>
      <c r="OJ226" s="56"/>
      <c r="OK226" s="56"/>
      <c r="OL226" s="56"/>
      <c r="OM226" s="56"/>
      <c r="ON226" s="56"/>
      <c r="OO226" s="56"/>
      <c r="OP226" s="56"/>
      <c r="OQ226" s="56"/>
      <c r="OR226" s="56"/>
      <c r="OS226" s="56"/>
      <c r="OT226" s="56"/>
      <c r="OU226" s="56"/>
      <c r="OV226" s="56"/>
      <c r="OW226" s="56"/>
      <c r="OX226" s="56"/>
      <c r="OY226" s="56"/>
      <c r="OZ226" s="56"/>
      <c r="PA226" s="56"/>
      <c r="PB226" s="56"/>
      <c r="PC226" s="56"/>
      <c r="PD226" s="56"/>
      <c r="PE226" s="56"/>
      <c r="PF226" s="56"/>
      <c r="PG226" s="56"/>
      <c r="PH226" s="56"/>
      <c r="PI226" s="56"/>
      <c r="PJ226" s="56"/>
      <c r="PK226" s="56"/>
      <c r="PL226" s="56"/>
      <c r="PM226" s="56"/>
      <c r="PN226" s="56"/>
      <c r="PO226" s="56"/>
      <c r="PP226" s="56"/>
      <c r="PQ226" s="56"/>
      <c r="PR226" s="56"/>
      <c r="PS226" s="56"/>
      <c r="PT226" s="56"/>
      <c r="PU226" s="56"/>
      <c r="PV226" s="56"/>
      <c r="PW226" s="56"/>
      <c r="PX226" s="56"/>
      <c r="PY226" s="56"/>
      <c r="PZ226" s="56"/>
      <c r="QA226" s="56"/>
      <c r="QB226" s="56"/>
      <c r="QC226" s="56"/>
      <c r="QD226" s="56"/>
      <c r="QE226" s="56"/>
      <c r="QF226" s="56"/>
      <c r="QG226" s="56"/>
      <c r="QH226" s="56"/>
      <c r="QI226" s="56"/>
      <c r="QJ226" s="56"/>
      <c r="QK226" s="56"/>
      <c r="QL226" s="56"/>
      <c r="QM226" s="56"/>
      <c r="QN226" s="56"/>
      <c r="QO226" s="56"/>
      <c r="QP226" s="56"/>
      <c r="QQ226" s="56"/>
      <c r="QR226" s="56"/>
      <c r="QS226" s="56"/>
      <c r="QT226" s="56"/>
      <c r="QU226" s="56"/>
      <c r="QV226" s="56"/>
      <c r="QW226" s="56"/>
      <c r="QX226" s="56"/>
      <c r="QY226" s="56"/>
      <c r="QZ226" s="56"/>
      <c r="RA226" s="56"/>
      <c r="RB226" s="56"/>
      <c r="RC226" s="56"/>
      <c r="RD226" s="56"/>
      <c r="RE226" s="56"/>
      <c r="RF226" s="56"/>
      <c r="RG226" s="56"/>
      <c r="RH226" s="56"/>
      <c r="RI226" s="56"/>
      <c r="RJ226" s="56"/>
      <c r="RK226" s="56"/>
      <c r="RL226" s="56"/>
      <c r="RM226" s="56"/>
      <c r="RN226" s="56"/>
      <c r="RO226" s="56"/>
      <c r="RP226" s="56"/>
      <c r="RQ226" s="56"/>
      <c r="RR226" s="56"/>
      <c r="RS226" s="56"/>
      <c r="RT226" s="56"/>
      <c r="RU226" s="56"/>
      <c r="RV226" s="56"/>
      <c r="RW226" s="56"/>
      <c r="RX226" s="56"/>
      <c r="RY226" s="56"/>
      <c r="RZ226" s="56"/>
      <c r="SA226" s="56"/>
      <c r="SB226" s="56"/>
      <c r="SC226" s="56"/>
      <c r="SD226" s="56"/>
      <c r="SE226" s="56"/>
      <c r="SF226" s="56"/>
      <c r="SG226" s="56"/>
      <c r="SH226" s="56"/>
      <c r="SI226" s="56"/>
      <c r="SJ226" s="56"/>
      <c r="SK226" s="56"/>
      <c r="SL226" s="56"/>
      <c r="SM226" s="56"/>
      <c r="SN226" s="56"/>
      <c r="SO226" s="56"/>
      <c r="SP226" s="56"/>
      <c r="SQ226" s="56"/>
      <c r="SR226" s="56"/>
    </row>
    <row r="227" spans="1:512" ht="15" customHeight="1" x14ac:dyDescent="0.7">
      <c r="A227" s="171" t="s">
        <v>344</v>
      </c>
      <c r="B227" s="171" t="s">
        <v>344</v>
      </c>
      <c r="C227" s="171" t="s">
        <v>344</v>
      </c>
      <c r="D227" s="171"/>
      <c r="E227" s="171" t="s">
        <v>344</v>
      </c>
      <c r="F227" s="171"/>
      <c r="G227" s="188" t="s">
        <v>344</v>
      </c>
      <c r="H227" s="71" t="s">
        <v>344</v>
      </c>
      <c r="I227" s="72" t="s">
        <v>344</v>
      </c>
      <c r="J227" s="73" t="s">
        <v>344</v>
      </c>
      <c r="K227" s="189" t="s">
        <v>344</v>
      </c>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c r="DA227" s="54"/>
      <c r="DB227" s="54"/>
      <c r="DC227" s="54"/>
      <c r="DD227" s="54"/>
      <c r="DE227" s="54"/>
      <c r="DF227" s="54"/>
      <c r="DG227" s="54"/>
      <c r="DH227" s="54"/>
      <c r="DI227" s="54"/>
      <c r="DJ227" s="54"/>
      <c r="DK227" s="54"/>
      <c r="DL227" s="54"/>
      <c r="DM227" s="54"/>
      <c r="DN227" s="54"/>
      <c r="DO227" s="54"/>
      <c r="DP227" s="54"/>
      <c r="DQ227" s="54"/>
      <c r="DR227" s="54"/>
      <c r="DS227" s="54"/>
      <c r="DT227" s="54"/>
      <c r="DU227" s="54"/>
      <c r="DV227" s="54"/>
      <c r="DW227" s="54"/>
      <c r="DX227" s="54"/>
      <c r="DY227" s="54"/>
      <c r="DZ227" s="54"/>
      <c r="EA227" s="54"/>
      <c r="EB227" s="54"/>
      <c r="EC227" s="54"/>
      <c r="ED227" s="54"/>
      <c r="EE227" s="54"/>
      <c r="EF227" s="54"/>
      <c r="EG227" s="54"/>
      <c r="EH227" s="54"/>
      <c r="EI227" s="54"/>
      <c r="EJ227" s="54"/>
      <c r="EK227" s="54"/>
      <c r="EL227" s="54"/>
      <c r="EM227" s="54"/>
      <c r="EN227" s="54"/>
      <c r="EO227" s="54"/>
      <c r="EP227" s="54"/>
      <c r="EQ227" s="54"/>
      <c r="ER227" s="54"/>
      <c r="ES227" s="54"/>
      <c r="ET227" s="54"/>
      <c r="EU227" s="54"/>
      <c r="EV227" s="54"/>
      <c r="EW227" s="54"/>
      <c r="EX227" s="54"/>
      <c r="EY227" s="54"/>
      <c r="EZ227" s="54"/>
      <c r="FA227" s="54"/>
      <c r="FB227" s="54"/>
      <c r="FC227" s="54"/>
      <c r="FD227" s="54"/>
      <c r="FE227" s="54"/>
      <c r="FF227" s="54"/>
      <c r="FG227" s="54"/>
      <c r="FH227" s="54"/>
      <c r="FI227" s="54"/>
      <c r="FJ227" s="54"/>
      <c r="FK227" s="54"/>
      <c r="FL227" s="54"/>
      <c r="FM227" s="54"/>
      <c r="FN227" s="54"/>
      <c r="FO227" s="54"/>
      <c r="FP227" s="54"/>
      <c r="FQ227" s="54"/>
      <c r="FR227" s="54"/>
      <c r="FS227" s="54"/>
      <c r="FT227" s="54"/>
      <c r="FU227" s="54"/>
      <c r="FV227" s="54"/>
      <c r="FW227" s="54"/>
      <c r="FX227" s="54"/>
      <c r="FY227" s="54"/>
      <c r="FZ227" s="54"/>
      <c r="GA227" s="54"/>
      <c r="GB227" s="54"/>
      <c r="GC227" s="54"/>
      <c r="GD227" s="54"/>
      <c r="GE227" s="54"/>
      <c r="GF227" s="54"/>
      <c r="GG227" s="54"/>
      <c r="GH227" s="54"/>
      <c r="GI227" s="54"/>
      <c r="GJ227" s="54"/>
      <c r="GK227" s="54"/>
      <c r="GL227" s="54"/>
      <c r="GM227" s="54"/>
      <c r="GN227" s="54"/>
      <c r="GO227" s="54"/>
      <c r="GP227" s="54"/>
      <c r="GQ227" s="54"/>
      <c r="GR227" s="54"/>
      <c r="GS227" s="54"/>
      <c r="GT227" s="54"/>
      <c r="GU227" s="54"/>
      <c r="GV227" s="54"/>
      <c r="GW227" s="54"/>
      <c r="GX227" s="54"/>
      <c r="GY227" s="54"/>
      <c r="GZ227" s="54"/>
      <c r="HA227" s="54"/>
      <c r="HB227" s="54"/>
      <c r="HC227" s="54"/>
      <c r="HD227" s="54"/>
      <c r="HE227" s="54"/>
      <c r="HF227" s="54"/>
      <c r="HG227" s="54"/>
      <c r="HH227" s="54"/>
      <c r="HI227" s="54"/>
      <c r="HJ227" s="54"/>
      <c r="HK227" s="54"/>
      <c r="HL227" s="54"/>
      <c r="HM227" s="54"/>
      <c r="HN227" s="54"/>
      <c r="HO227" s="54"/>
      <c r="HP227" s="54"/>
      <c r="HQ227" s="54"/>
      <c r="HR227" s="54"/>
      <c r="HS227" s="54"/>
      <c r="HT227" s="54"/>
      <c r="HU227" s="54"/>
      <c r="HV227" s="54"/>
      <c r="HW227" s="54"/>
      <c r="HX227" s="54"/>
      <c r="HY227" s="54"/>
      <c r="HZ227" s="54"/>
      <c r="IA227" s="54"/>
      <c r="IB227" s="54"/>
      <c r="IC227" s="54"/>
      <c r="ID227" s="54"/>
      <c r="IE227" s="54"/>
      <c r="IF227" s="54"/>
      <c r="IG227" s="54"/>
      <c r="IH227" s="54"/>
      <c r="II227" s="54"/>
      <c r="IJ227" s="54"/>
      <c r="IK227" s="54"/>
      <c r="IL227" s="54"/>
      <c r="IM227" s="54"/>
      <c r="IN227" s="54"/>
      <c r="IO227" s="54"/>
      <c r="IP227" s="54"/>
      <c r="IQ227" s="54"/>
      <c r="IR227" s="54"/>
      <c r="IS227" s="54"/>
      <c r="IT227" s="54"/>
      <c r="IU227" s="54"/>
      <c r="IV227" s="54"/>
      <c r="IW227" s="54"/>
      <c r="IX227" s="54"/>
      <c r="IY227" s="54"/>
      <c r="IZ227" s="54"/>
      <c r="JA227" s="54"/>
      <c r="JB227" s="54"/>
      <c r="JC227" s="54"/>
      <c r="JD227" s="54"/>
      <c r="JE227" s="54"/>
      <c r="JF227" s="54"/>
      <c r="JG227" s="54"/>
      <c r="JH227" s="54"/>
      <c r="JI227" s="54"/>
      <c r="JJ227" s="54"/>
      <c r="JK227" s="54"/>
      <c r="JL227" s="54"/>
      <c r="JM227" s="54"/>
      <c r="JN227" s="54"/>
      <c r="JO227" s="54"/>
      <c r="JP227" s="54"/>
      <c r="JQ227" s="54"/>
      <c r="JR227" s="54"/>
      <c r="JS227" s="54"/>
      <c r="JT227" s="54"/>
      <c r="JU227" s="54"/>
      <c r="JV227" s="54"/>
      <c r="JW227" s="54"/>
      <c r="JX227" s="54"/>
      <c r="JY227" s="54"/>
      <c r="JZ227" s="54"/>
      <c r="KA227" s="54"/>
      <c r="KB227" s="54"/>
      <c r="KC227" s="54"/>
      <c r="KD227" s="54"/>
      <c r="KE227" s="54"/>
      <c r="KF227" s="54"/>
      <c r="KG227" s="54"/>
      <c r="KH227" s="54"/>
      <c r="KI227" s="54"/>
      <c r="KJ227" s="54"/>
      <c r="KK227" s="54"/>
      <c r="KL227" s="54"/>
      <c r="KM227" s="54"/>
      <c r="KN227" s="54"/>
      <c r="KO227" s="54"/>
      <c r="KP227" s="54"/>
      <c r="KQ227" s="54"/>
      <c r="KR227" s="54"/>
      <c r="KS227" s="54"/>
      <c r="KT227" s="54"/>
      <c r="KU227" s="54"/>
      <c r="KV227" s="54"/>
      <c r="KW227" s="54"/>
      <c r="KX227" s="54"/>
      <c r="KY227" s="54"/>
      <c r="KZ227" s="54"/>
      <c r="LA227" s="54"/>
      <c r="LB227" s="54"/>
      <c r="LC227" s="54"/>
      <c r="LD227" s="54"/>
      <c r="LE227" s="54"/>
      <c r="LF227" s="54"/>
      <c r="LG227" s="54"/>
      <c r="LH227" s="54"/>
      <c r="LI227" s="54"/>
      <c r="LJ227" s="54"/>
      <c r="LK227" s="54"/>
      <c r="LL227" s="54"/>
      <c r="LM227" s="54"/>
      <c r="LN227" s="54"/>
      <c r="LO227" s="54"/>
      <c r="LP227" s="54"/>
      <c r="LQ227" s="54"/>
      <c r="LR227" s="54"/>
      <c r="LS227" s="54"/>
      <c r="LT227" s="54"/>
      <c r="LU227" s="54"/>
      <c r="LV227" s="54"/>
      <c r="LW227" s="54"/>
      <c r="LX227" s="54"/>
      <c r="LY227" s="54"/>
      <c r="LZ227" s="54"/>
      <c r="MA227" s="54"/>
      <c r="MB227" s="54"/>
      <c r="MC227" s="54"/>
      <c r="MD227" s="54"/>
      <c r="ME227" s="54"/>
      <c r="MF227" s="54"/>
      <c r="MG227" s="54"/>
      <c r="MH227" s="54"/>
      <c r="MI227" s="54"/>
      <c r="MJ227" s="54"/>
      <c r="MK227" s="54"/>
      <c r="ML227" s="54"/>
      <c r="MM227" s="54"/>
      <c r="MN227" s="54"/>
      <c r="MO227" s="54"/>
      <c r="MP227" s="54"/>
      <c r="MQ227" s="54"/>
      <c r="MR227" s="54"/>
      <c r="MS227" s="54"/>
      <c r="MT227" s="54"/>
      <c r="MU227" s="54"/>
      <c r="MV227" s="54"/>
      <c r="MW227" s="54"/>
      <c r="MX227" s="54"/>
      <c r="MY227" s="54"/>
      <c r="MZ227" s="54"/>
      <c r="NA227" s="54"/>
      <c r="NB227" s="54"/>
      <c r="NC227" s="54"/>
      <c r="ND227" s="54"/>
      <c r="NE227" s="54"/>
      <c r="NF227" s="54"/>
      <c r="NG227" s="54"/>
      <c r="NH227" s="54"/>
      <c r="NI227" s="54"/>
      <c r="NJ227" s="54"/>
      <c r="NK227" s="54"/>
      <c r="NL227" s="54"/>
      <c r="NM227" s="54"/>
      <c r="NN227" s="54"/>
      <c r="NO227" s="54"/>
      <c r="NP227" s="54"/>
      <c r="NQ227" s="54"/>
      <c r="NR227" s="54"/>
      <c r="NS227" s="54"/>
      <c r="NT227" s="54"/>
      <c r="NU227" s="54"/>
      <c r="NV227" s="54"/>
      <c r="NW227" s="54"/>
      <c r="NX227" s="54"/>
      <c r="NY227" s="54"/>
      <c r="NZ227" s="54"/>
      <c r="OA227" s="54"/>
      <c r="OB227" s="54"/>
      <c r="OC227" s="54"/>
      <c r="OD227" s="54"/>
      <c r="OE227" s="54"/>
      <c r="OF227" s="54"/>
      <c r="OG227" s="54"/>
      <c r="OH227" s="54"/>
      <c r="OI227" s="54"/>
      <c r="OJ227" s="54"/>
      <c r="OK227" s="54"/>
      <c r="OL227" s="54"/>
      <c r="OM227" s="54"/>
      <c r="ON227" s="54"/>
      <c r="OO227" s="54"/>
      <c r="OP227" s="54"/>
      <c r="OQ227" s="54"/>
      <c r="OR227" s="54"/>
      <c r="OS227" s="54"/>
      <c r="OT227" s="54"/>
      <c r="OU227" s="54"/>
      <c r="OV227" s="54"/>
      <c r="OW227" s="54"/>
      <c r="OX227" s="54"/>
      <c r="OY227" s="54"/>
      <c r="OZ227" s="54"/>
      <c r="PA227" s="54"/>
      <c r="PB227" s="54"/>
      <c r="PC227" s="54"/>
      <c r="PD227" s="54"/>
      <c r="PE227" s="54"/>
      <c r="PF227" s="54"/>
      <c r="PG227" s="54"/>
      <c r="PH227" s="54"/>
      <c r="PI227" s="54"/>
      <c r="PJ227" s="54"/>
      <c r="PK227" s="54"/>
      <c r="PL227" s="54"/>
      <c r="PM227" s="54"/>
      <c r="PN227" s="54"/>
      <c r="PO227" s="54"/>
      <c r="PP227" s="54"/>
      <c r="PQ227" s="54"/>
      <c r="PR227" s="54"/>
      <c r="PS227" s="54"/>
      <c r="PT227" s="54"/>
      <c r="PU227" s="54"/>
      <c r="PV227" s="54"/>
      <c r="PW227" s="54"/>
      <c r="PX227" s="54"/>
      <c r="PY227" s="54"/>
      <c r="PZ227" s="54"/>
      <c r="QA227" s="54"/>
      <c r="QB227" s="54"/>
      <c r="QC227" s="54"/>
      <c r="QD227" s="54"/>
      <c r="QE227" s="54"/>
      <c r="QF227" s="54"/>
      <c r="QG227" s="54"/>
      <c r="QH227" s="54"/>
      <c r="QI227" s="54"/>
      <c r="QJ227" s="54"/>
      <c r="QK227" s="54"/>
      <c r="QL227" s="54"/>
      <c r="QM227" s="54"/>
      <c r="QN227" s="54"/>
      <c r="QO227" s="54"/>
      <c r="QP227" s="54"/>
      <c r="QQ227" s="54"/>
      <c r="QR227" s="54"/>
      <c r="QS227" s="54"/>
      <c r="QT227" s="54"/>
      <c r="QU227" s="54"/>
      <c r="QV227" s="54"/>
      <c r="QW227" s="54"/>
      <c r="QX227" s="54"/>
      <c r="QY227" s="54"/>
      <c r="QZ227" s="54"/>
      <c r="RA227" s="54"/>
      <c r="RB227" s="54"/>
      <c r="RC227" s="54"/>
      <c r="RD227" s="54"/>
      <c r="RE227" s="54"/>
      <c r="RF227" s="54"/>
      <c r="RG227" s="54"/>
      <c r="RH227" s="54"/>
      <c r="RI227" s="54"/>
      <c r="RJ227" s="54"/>
      <c r="RK227" s="54"/>
      <c r="RL227" s="54"/>
      <c r="RM227" s="54"/>
      <c r="RN227" s="54"/>
      <c r="RO227" s="54"/>
      <c r="RP227" s="54"/>
      <c r="RQ227" s="54"/>
      <c r="RR227" s="54"/>
      <c r="RS227" s="54"/>
      <c r="RT227" s="54"/>
      <c r="RU227" s="54"/>
      <c r="RV227" s="54"/>
      <c r="RW227" s="54"/>
      <c r="RX227" s="54"/>
      <c r="RY227" s="54"/>
      <c r="RZ227" s="54"/>
      <c r="SA227" s="54"/>
      <c r="SB227" s="54"/>
      <c r="SC227" s="54"/>
      <c r="SD227" s="54"/>
      <c r="SE227" s="54"/>
      <c r="SF227" s="54"/>
      <c r="SG227" s="54"/>
      <c r="SH227" s="54"/>
      <c r="SI227" s="54"/>
      <c r="SJ227" s="54"/>
      <c r="SK227" s="54"/>
      <c r="SL227" s="54"/>
      <c r="SM227" s="54"/>
      <c r="SN227" s="54"/>
      <c r="SO227" s="54"/>
      <c r="SP227" s="54"/>
      <c r="SQ227" s="54"/>
      <c r="SR227" s="54"/>
    </row>
    <row r="228" spans="1:512" ht="15" customHeight="1" x14ac:dyDescent="0.7">
      <c r="A228" s="172"/>
      <c r="B228" s="172"/>
      <c r="C228" s="172"/>
      <c r="D228" s="172"/>
      <c r="E228" s="172"/>
      <c r="F228" s="172"/>
      <c r="G228" s="172"/>
      <c r="I228" s="72" t="s">
        <v>344</v>
      </c>
      <c r="J228" s="73" t="s">
        <v>344</v>
      </c>
      <c r="K228" s="190"/>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c r="DA228" s="54"/>
      <c r="DB228" s="54"/>
      <c r="DC228" s="54"/>
      <c r="DD228" s="54"/>
      <c r="DE228" s="54"/>
      <c r="DF228" s="54"/>
      <c r="DG228" s="54"/>
      <c r="DH228" s="54"/>
      <c r="DI228" s="54"/>
      <c r="DJ228" s="54"/>
      <c r="DK228" s="54"/>
      <c r="DL228" s="54"/>
      <c r="DM228" s="54"/>
      <c r="DN228" s="54"/>
      <c r="DO228" s="54"/>
      <c r="DP228" s="54"/>
      <c r="DQ228" s="54"/>
      <c r="DR228" s="54"/>
      <c r="DS228" s="54"/>
      <c r="DT228" s="54"/>
      <c r="DU228" s="54"/>
      <c r="DV228" s="54"/>
      <c r="DW228" s="54"/>
      <c r="DX228" s="54"/>
      <c r="DY228" s="54"/>
      <c r="DZ228" s="54"/>
      <c r="EA228" s="54"/>
      <c r="EB228" s="54"/>
      <c r="EC228" s="54"/>
      <c r="ED228" s="54"/>
      <c r="EE228" s="54"/>
      <c r="EF228" s="54"/>
      <c r="EG228" s="54"/>
      <c r="EH228" s="54"/>
      <c r="EI228" s="54"/>
      <c r="EJ228" s="54"/>
      <c r="EK228" s="54"/>
      <c r="EL228" s="54"/>
      <c r="EM228" s="54"/>
      <c r="EN228" s="54"/>
      <c r="EO228" s="54"/>
      <c r="EP228" s="54"/>
      <c r="EQ228" s="54"/>
      <c r="ER228" s="54"/>
      <c r="ES228" s="54"/>
      <c r="ET228" s="54"/>
      <c r="EU228" s="54"/>
      <c r="EV228" s="54"/>
      <c r="EW228" s="54"/>
      <c r="EX228" s="54"/>
      <c r="EY228" s="54"/>
      <c r="EZ228" s="54"/>
      <c r="FA228" s="54"/>
      <c r="FB228" s="54"/>
      <c r="FC228" s="54"/>
      <c r="FD228" s="54"/>
      <c r="FE228" s="54"/>
      <c r="FF228" s="54"/>
      <c r="FG228" s="54"/>
      <c r="FH228" s="54"/>
      <c r="FI228" s="54"/>
      <c r="FJ228" s="54"/>
      <c r="FK228" s="54"/>
      <c r="FL228" s="54"/>
      <c r="FM228" s="54"/>
      <c r="FN228" s="54"/>
      <c r="FO228" s="54"/>
      <c r="FP228" s="54"/>
      <c r="FQ228" s="54"/>
      <c r="FR228" s="54"/>
      <c r="FS228" s="54"/>
      <c r="FT228" s="54"/>
      <c r="FU228" s="54"/>
      <c r="FV228" s="54"/>
      <c r="FW228" s="54"/>
      <c r="FX228" s="54"/>
      <c r="FY228" s="54"/>
      <c r="FZ228" s="54"/>
      <c r="GA228" s="54"/>
      <c r="GB228" s="54"/>
      <c r="GC228" s="54"/>
      <c r="GD228" s="54"/>
      <c r="GE228" s="54"/>
      <c r="GF228" s="54"/>
      <c r="GG228" s="54"/>
      <c r="GH228" s="54"/>
      <c r="GI228" s="54"/>
      <c r="GJ228" s="54"/>
      <c r="GK228" s="54"/>
      <c r="GL228" s="54"/>
      <c r="GM228" s="54"/>
      <c r="GN228" s="54"/>
      <c r="GO228" s="54"/>
      <c r="GP228" s="54"/>
      <c r="GQ228" s="54"/>
      <c r="GR228" s="54"/>
      <c r="GS228" s="54"/>
      <c r="GT228" s="54"/>
      <c r="GU228" s="54"/>
      <c r="GV228" s="54"/>
      <c r="GW228" s="54"/>
      <c r="GX228" s="54"/>
      <c r="GY228" s="54"/>
      <c r="GZ228" s="54"/>
      <c r="HA228" s="54"/>
      <c r="HB228" s="54"/>
      <c r="HC228" s="54"/>
      <c r="HD228" s="54"/>
      <c r="HE228" s="54"/>
      <c r="HF228" s="54"/>
      <c r="HG228" s="54"/>
      <c r="HH228" s="54"/>
      <c r="HI228" s="54"/>
      <c r="HJ228" s="54"/>
      <c r="HK228" s="54"/>
      <c r="HL228" s="54"/>
      <c r="HM228" s="54"/>
      <c r="HN228" s="54"/>
      <c r="HO228" s="54"/>
      <c r="HP228" s="54"/>
      <c r="HQ228" s="54"/>
      <c r="HR228" s="54"/>
      <c r="HS228" s="54"/>
      <c r="HT228" s="54"/>
      <c r="HU228" s="54"/>
      <c r="HV228" s="54"/>
      <c r="HW228" s="54"/>
      <c r="HX228" s="54"/>
      <c r="HY228" s="54"/>
      <c r="HZ228" s="54"/>
      <c r="IA228" s="54"/>
      <c r="IB228" s="54"/>
      <c r="IC228" s="54"/>
      <c r="ID228" s="54"/>
      <c r="IE228" s="54"/>
      <c r="IF228" s="54"/>
      <c r="IG228" s="54"/>
      <c r="IH228" s="54"/>
      <c r="II228" s="54"/>
      <c r="IJ228" s="54"/>
      <c r="IK228" s="54"/>
      <c r="IL228" s="54"/>
      <c r="IM228" s="54"/>
      <c r="IN228" s="54"/>
      <c r="IO228" s="54"/>
      <c r="IP228" s="54"/>
      <c r="IQ228" s="54"/>
      <c r="IR228" s="54"/>
      <c r="IS228" s="54"/>
      <c r="IT228" s="54"/>
      <c r="IU228" s="54"/>
      <c r="IV228" s="54"/>
      <c r="IW228" s="54"/>
      <c r="IX228" s="54"/>
      <c r="IY228" s="54"/>
      <c r="IZ228" s="54"/>
      <c r="JA228" s="54"/>
      <c r="JB228" s="54"/>
      <c r="JC228" s="54"/>
      <c r="JD228" s="54"/>
      <c r="JE228" s="54"/>
      <c r="JF228" s="54"/>
      <c r="JG228" s="54"/>
      <c r="JH228" s="54"/>
      <c r="JI228" s="54"/>
      <c r="JJ228" s="54"/>
      <c r="JK228" s="54"/>
      <c r="JL228" s="54"/>
      <c r="JM228" s="54"/>
      <c r="JN228" s="54"/>
      <c r="JO228" s="54"/>
      <c r="JP228" s="54"/>
      <c r="JQ228" s="54"/>
      <c r="JR228" s="54"/>
      <c r="JS228" s="54"/>
      <c r="JT228" s="54"/>
      <c r="JU228" s="54"/>
      <c r="JV228" s="54"/>
      <c r="JW228" s="54"/>
      <c r="JX228" s="54"/>
      <c r="JY228" s="54"/>
      <c r="JZ228" s="54"/>
      <c r="KA228" s="54"/>
      <c r="KB228" s="54"/>
      <c r="KC228" s="54"/>
      <c r="KD228" s="54"/>
      <c r="KE228" s="54"/>
      <c r="KF228" s="54"/>
      <c r="KG228" s="54"/>
      <c r="KH228" s="54"/>
      <c r="KI228" s="54"/>
      <c r="KJ228" s="54"/>
      <c r="KK228" s="54"/>
      <c r="KL228" s="54"/>
      <c r="KM228" s="54"/>
      <c r="KN228" s="54"/>
      <c r="KO228" s="54"/>
      <c r="KP228" s="54"/>
      <c r="KQ228" s="54"/>
      <c r="KR228" s="54"/>
      <c r="KS228" s="54"/>
      <c r="KT228" s="54"/>
      <c r="KU228" s="54"/>
      <c r="KV228" s="54"/>
      <c r="KW228" s="54"/>
      <c r="KX228" s="54"/>
      <c r="KY228" s="54"/>
      <c r="KZ228" s="54"/>
      <c r="LA228" s="54"/>
      <c r="LB228" s="54"/>
      <c r="LC228" s="54"/>
      <c r="LD228" s="54"/>
      <c r="LE228" s="54"/>
      <c r="LF228" s="54"/>
      <c r="LG228" s="54"/>
      <c r="LH228" s="54"/>
      <c r="LI228" s="54"/>
      <c r="LJ228" s="54"/>
      <c r="LK228" s="54"/>
      <c r="LL228" s="54"/>
      <c r="LM228" s="54"/>
      <c r="LN228" s="54"/>
      <c r="LO228" s="54"/>
      <c r="LP228" s="54"/>
      <c r="LQ228" s="54"/>
      <c r="LR228" s="54"/>
      <c r="LS228" s="54"/>
      <c r="LT228" s="54"/>
      <c r="LU228" s="54"/>
      <c r="LV228" s="54"/>
      <c r="LW228" s="54"/>
      <c r="LX228" s="54"/>
      <c r="LY228" s="54"/>
      <c r="LZ228" s="54"/>
      <c r="MA228" s="54"/>
      <c r="MB228" s="54"/>
      <c r="MC228" s="54"/>
      <c r="MD228" s="54"/>
      <c r="ME228" s="54"/>
      <c r="MF228" s="54"/>
      <c r="MG228" s="54"/>
      <c r="MH228" s="54"/>
      <c r="MI228" s="54"/>
      <c r="MJ228" s="54"/>
      <c r="MK228" s="54"/>
      <c r="ML228" s="54"/>
      <c r="MM228" s="54"/>
      <c r="MN228" s="54"/>
      <c r="MO228" s="54"/>
      <c r="MP228" s="54"/>
      <c r="MQ228" s="54"/>
      <c r="MR228" s="54"/>
      <c r="MS228" s="54"/>
      <c r="MT228" s="54"/>
      <c r="MU228" s="54"/>
      <c r="MV228" s="54"/>
      <c r="MW228" s="54"/>
      <c r="MX228" s="54"/>
      <c r="MY228" s="54"/>
      <c r="MZ228" s="54"/>
      <c r="NA228" s="54"/>
      <c r="NB228" s="54"/>
      <c r="NC228" s="54"/>
      <c r="ND228" s="54"/>
      <c r="NE228" s="54"/>
      <c r="NF228" s="54"/>
      <c r="NG228" s="54"/>
      <c r="NH228" s="54"/>
      <c r="NI228" s="54"/>
      <c r="NJ228" s="54"/>
      <c r="NK228" s="54"/>
      <c r="NL228" s="54"/>
      <c r="NM228" s="54"/>
      <c r="NN228" s="54"/>
      <c r="NO228" s="54"/>
      <c r="NP228" s="54"/>
      <c r="NQ228" s="54"/>
      <c r="NR228" s="54"/>
      <c r="NS228" s="54"/>
      <c r="NT228" s="54"/>
      <c r="NU228" s="54"/>
      <c r="NV228" s="54"/>
      <c r="NW228" s="54"/>
      <c r="NX228" s="54"/>
      <c r="NY228" s="54"/>
      <c r="NZ228" s="54"/>
      <c r="OA228" s="54"/>
      <c r="OB228" s="54"/>
      <c r="OC228" s="54"/>
      <c r="OD228" s="54"/>
      <c r="OE228" s="54"/>
      <c r="OF228" s="54"/>
      <c r="OG228" s="54"/>
      <c r="OH228" s="54"/>
      <c r="OI228" s="54"/>
      <c r="OJ228" s="54"/>
      <c r="OK228" s="54"/>
      <c r="OL228" s="54"/>
      <c r="OM228" s="54"/>
      <c r="ON228" s="54"/>
      <c r="OO228" s="54"/>
      <c r="OP228" s="54"/>
      <c r="OQ228" s="54"/>
      <c r="OR228" s="54"/>
      <c r="OS228" s="54"/>
      <c r="OT228" s="54"/>
      <c r="OU228" s="54"/>
      <c r="OV228" s="54"/>
      <c r="OW228" s="54"/>
      <c r="OX228" s="54"/>
      <c r="OY228" s="54"/>
      <c r="OZ228" s="54"/>
      <c r="PA228" s="54"/>
      <c r="PB228" s="54"/>
      <c r="PC228" s="54"/>
      <c r="PD228" s="54"/>
      <c r="PE228" s="54"/>
      <c r="PF228" s="54"/>
      <c r="PG228" s="54"/>
      <c r="PH228" s="54"/>
      <c r="PI228" s="54"/>
      <c r="PJ228" s="54"/>
      <c r="PK228" s="54"/>
      <c r="PL228" s="54"/>
      <c r="PM228" s="54"/>
      <c r="PN228" s="54"/>
      <c r="PO228" s="54"/>
      <c r="PP228" s="54"/>
      <c r="PQ228" s="54"/>
      <c r="PR228" s="54"/>
      <c r="PS228" s="54"/>
      <c r="PT228" s="54"/>
      <c r="PU228" s="54"/>
      <c r="PV228" s="54"/>
      <c r="PW228" s="54"/>
      <c r="PX228" s="54"/>
      <c r="PY228" s="54"/>
      <c r="PZ228" s="54"/>
      <c r="QA228" s="54"/>
      <c r="QB228" s="54"/>
      <c r="QC228" s="54"/>
      <c r="QD228" s="54"/>
      <c r="QE228" s="54"/>
      <c r="QF228" s="54"/>
      <c r="QG228" s="54"/>
      <c r="QH228" s="54"/>
      <c r="QI228" s="54"/>
      <c r="QJ228" s="54"/>
      <c r="QK228" s="54"/>
      <c r="QL228" s="54"/>
      <c r="QM228" s="54"/>
      <c r="QN228" s="54"/>
      <c r="QO228" s="54"/>
      <c r="QP228" s="54"/>
      <c r="QQ228" s="54"/>
      <c r="QR228" s="54"/>
      <c r="QS228" s="54"/>
      <c r="QT228" s="54"/>
      <c r="QU228" s="54"/>
      <c r="QV228" s="54"/>
      <c r="QW228" s="54"/>
      <c r="QX228" s="54"/>
      <c r="QY228" s="54"/>
      <c r="QZ228" s="54"/>
      <c r="RA228" s="54"/>
      <c r="RB228" s="54"/>
      <c r="RC228" s="54"/>
      <c r="RD228" s="54"/>
      <c r="RE228" s="54"/>
      <c r="RF228" s="54"/>
      <c r="RG228" s="54"/>
      <c r="RH228" s="54"/>
      <c r="RI228" s="54"/>
      <c r="RJ228" s="54"/>
      <c r="RK228" s="54"/>
      <c r="RL228" s="54"/>
      <c r="RM228" s="54"/>
      <c r="RN228" s="54"/>
      <c r="RO228" s="54"/>
      <c r="RP228" s="54"/>
      <c r="RQ228" s="54"/>
      <c r="RR228" s="54"/>
      <c r="RS228" s="54"/>
      <c r="RT228" s="54"/>
      <c r="RU228" s="54"/>
      <c r="RV228" s="54"/>
      <c r="RW228" s="54"/>
      <c r="RX228" s="54"/>
      <c r="RY228" s="54"/>
      <c r="RZ228" s="54"/>
      <c r="SA228" s="54"/>
      <c r="SB228" s="54"/>
      <c r="SC228" s="54"/>
      <c r="SD228" s="54"/>
      <c r="SE228" s="54"/>
      <c r="SF228" s="54"/>
      <c r="SG228" s="54"/>
      <c r="SH228" s="54"/>
      <c r="SI228" s="54"/>
      <c r="SJ228" s="54"/>
      <c r="SK228" s="54"/>
      <c r="SL228" s="54"/>
      <c r="SM228" s="54"/>
      <c r="SN228" s="54"/>
      <c r="SO228" s="54"/>
      <c r="SP228" s="54"/>
      <c r="SQ228" s="54"/>
      <c r="SR228" s="54"/>
    </row>
    <row r="229" spans="1:512" s="55" customFormat="1" ht="15" customHeight="1" x14ac:dyDescent="0.7">
      <c r="A229" s="173"/>
      <c r="B229" s="173"/>
      <c r="C229" s="173"/>
      <c r="D229" s="173"/>
      <c r="E229" s="173"/>
      <c r="F229" s="173"/>
      <c r="G229" s="173"/>
      <c r="H229" s="74"/>
      <c r="I229" s="75"/>
      <c r="J229" s="76"/>
      <c r="K229" s="191"/>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c r="IX229" s="56"/>
      <c r="IY229" s="56"/>
      <c r="IZ229" s="56"/>
      <c r="JA229" s="56"/>
      <c r="JB229" s="56"/>
      <c r="JC229" s="56"/>
      <c r="JD229" s="56"/>
      <c r="JE229" s="56"/>
      <c r="JF229" s="56"/>
      <c r="JG229" s="56"/>
      <c r="JH229" s="56"/>
      <c r="JI229" s="56"/>
      <c r="JJ229" s="56"/>
      <c r="JK229" s="56"/>
      <c r="JL229" s="56"/>
      <c r="JM229" s="56"/>
      <c r="JN229" s="56"/>
      <c r="JO229" s="56"/>
      <c r="JP229" s="56"/>
      <c r="JQ229" s="56"/>
      <c r="JR229" s="56"/>
      <c r="JS229" s="56"/>
      <c r="JT229" s="56"/>
      <c r="JU229" s="56"/>
      <c r="JV229" s="56"/>
      <c r="JW229" s="56"/>
      <c r="JX229" s="56"/>
      <c r="JY229" s="56"/>
      <c r="JZ229" s="56"/>
      <c r="KA229" s="56"/>
      <c r="KB229" s="56"/>
      <c r="KC229" s="56"/>
      <c r="KD229" s="56"/>
      <c r="KE229" s="56"/>
      <c r="KF229" s="56"/>
      <c r="KG229" s="56"/>
      <c r="KH229" s="56"/>
      <c r="KI229" s="56"/>
      <c r="KJ229" s="56"/>
      <c r="KK229" s="56"/>
      <c r="KL229" s="56"/>
      <c r="KM229" s="56"/>
      <c r="KN229" s="56"/>
      <c r="KO229" s="56"/>
      <c r="KP229" s="56"/>
      <c r="KQ229" s="56"/>
      <c r="KR229" s="56"/>
      <c r="KS229" s="56"/>
      <c r="KT229" s="56"/>
      <c r="KU229" s="56"/>
      <c r="KV229" s="56"/>
      <c r="KW229" s="56"/>
      <c r="KX229" s="56"/>
      <c r="KY229" s="56"/>
      <c r="KZ229" s="56"/>
      <c r="LA229" s="56"/>
      <c r="LB229" s="56"/>
      <c r="LC229" s="56"/>
      <c r="LD229" s="56"/>
      <c r="LE229" s="56"/>
      <c r="LF229" s="56"/>
      <c r="LG229" s="56"/>
      <c r="LH229" s="56"/>
      <c r="LI229" s="56"/>
      <c r="LJ229" s="56"/>
      <c r="LK229" s="56"/>
      <c r="LL229" s="56"/>
      <c r="LM229" s="56"/>
      <c r="LN229" s="56"/>
      <c r="LO229" s="56"/>
      <c r="LP229" s="56"/>
      <c r="LQ229" s="56"/>
      <c r="LR229" s="56"/>
      <c r="LS229" s="56"/>
      <c r="LT229" s="56"/>
      <c r="LU229" s="56"/>
      <c r="LV229" s="56"/>
      <c r="LW229" s="56"/>
      <c r="LX229" s="56"/>
      <c r="LY229" s="56"/>
      <c r="LZ229" s="56"/>
      <c r="MA229" s="56"/>
      <c r="MB229" s="56"/>
      <c r="MC229" s="56"/>
      <c r="MD229" s="56"/>
      <c r="ME229" s="56"/>
      <c r="MF229" s="56"/>
      <c r="MG229" s="56"/>
      <c r="MH229" s="56"/>
      <c r="MI229" s="56"/>
      <c r="MJ229" s="56"/>
      <c r="MK229" s="56"/>
      <c r="ML229" s="56"/>
      <c r="MM229" s="56"/>
      <c r="MN229" s="56"/>
      <c r="MO229" s="56"/>
      <c r="MP229" s="56"/>
      <c r="MQ229" s="56"/>
      <c r="MR229" s="56"/>
      <c r="MS229" s="56"/>
      <c r="MT229" s="56"/>
      <c r="MU229" s="56"/>
      <c r="MV229" s="56"/>
      <c r="MW229" s="56"/>
      <c r="MX229" s="56"/>
      <c r="MY229" s="56"/>
      <c r="MZ229" s="56"/>
      <c r="NA229" s="56"/>
      <c r="NB229" s="56"/>
      <c r="NC229" s="56"/>
      <c r="ND229" s="56"/>
      <c r="NE229" s="56"/>
      <c r="NF229" s="56"/>
      <c r="NG229" s="56"/>
      <c r="NH229" s="56"/>
      <c r="NI229" s="56"/>
      <c r="NJ229" s="56"/>
      <c r="NK229" s="56"/>
      <c r="NL229" s="56"/>
      <c r="NM229" s="56"/>
      <c r="NN229" s="56"/>
      <c r="NO229" s="56"/>
      <c r="NP229" s="56"/>
      <c r="NQ229" s="56"/>
      <c r="NR229" s="56"/>
      <c r="NS229" s="56"/>
      <c r="NT229" s="56"/>
      <c r="NU229" s="56"/>
      <c r="NV229" s="56"/>
      <c r="NW229" s="56"/>
      <c r="NX229" s="56"/>
      <c r="NY229" s="56"/>
      <c r="NZ229" s="56"/>
      <c r="OA229" s="56"/>
      <c r="OB229" s="56"/>
      <c r="OC229" s="56"/>
      <c r="OD229" s="56"/>
      <c r="OE229" s="56"/>
      <c r="OF229" s="56"/>
      <c r="OG229" s="56"/>
      <c r="OH229" s="56"/>
      <c r="OI229" s="56"/>
      <c r="OJ229" s="56"/>
      <c r="OK229" s="56"/>
      <c r="OL229" s="56"/>
      <c r="OM229" s="56"/>
      <c r="ON229" s="56"/>
      <c r="OO229" s="56"/>
      <c r="OP229" s="56"/>
      <c r="OQ229" s="56"/>
      <c r="OR229" s="56"/>
      <c r="OS229" s="56"/>
      <c r="OT229" s="56"/>
      <c r="OU229" s="56"/>
      <c r="OV229" s="56"/>
      <c r="OW229" s="56"/>
      <c r="OX229" s="56"/>
      <c r="OY229" s="56"/>
      <c r="OZ229" s="56"/>
      <c r="PA229" s="56"/>
      <c r="PB229" s="56"/>
      <c r="PC229" s="56"/>
      <c r="PD229" s="56"/>
      <c r="PE229" s="56"/>
      <c r="PF229" s="56"/>
      <c r="PG229" s="56"/>
      <c r="PH229" s="56"/>
      <c r="PI229" s="56"/>
      <c r="PJ229" s="56"/>
      <c r="PK229" s="56"/>
      <c r="PL229" s="56"/>
      <c r="PM229" s="56"/>
      <c r="PN229" s="56"/>
      <c r="PO229" s="56"/>
      <c r="PP229" s="56"/>
      <c r="PQ229" s="56"/>
      <c r="PR229" s="56"/>
      <c r="PS229" s="56"/>
      <c r="PT229" s="56"/>
      <c r="PU229" s="56"/>
      <c r="PV229" s="56"/>
      <c r="PW229" s="56"/>
      <c r="PX229" s="56"/>
      <c r="PY229" s="56"/>
      <c r="PZ229" s="56"/>
      <c r="QA229" s="56"/>
      <c r="QB229" s="56"/>
      <c r="QC229" s="56"/>
      <c r="QD229" s="56"/>
      <c r="QE229" s="56"/>
      <c r="QF229" s="56"/>
      <c r="QG229" s="56"/>
      <c r="QH229" s="56"/>
      <c r="QI229" s="56"/>
      <c r="QJ229" s="56"/>
      <c r="QK229" s="56"/>
      <c r="QL229" s="56"/>
      <c r="QM229" s="56"/>
      <c r="QN229" s="56"/>
      <c r="QO229" s="56"/>
      <c r="QP229" s="56"/>
      <c r="QQ229" s="56"/>
      <c r="QR229" s="56"/>
      <c r="QS229" s="56"/>
      <c r="QT229" s="56"/>
      <c r="QU229" s="56"/>
      <c r="QV229" s="56"/>
      <c r="QW229" s="56"/>
      <c r="QX229" s="56"/>
      <c r="QY229" s="56"/>
      <c r="QZ229" s="56"/>
      <c r="RA229" s="56"/>
      <c r="RB229" s="56"/>
      <c r="RC229" s="56"/>
      <c r="RD229" s="56"/>
      <c r="RE229" s="56"/>
      <c r="RF229" s="56"/>
      <c r="RG229" s="56"/>
      <c r="RH229" s="56"/>
      <c r="RI229" s="56"/>
      <c r="RJ229" s="56"/>
      <c r="RK229" s="56"/>
      <c r="RL229" s="56"/>
      <c r="RM229" s="56"/>
      <c r="RN229" s="56"/>
      <c r="RO229" s="56"/>
      <c r="RP229" s="56"/>
      <c r="RQ229" s="56"/>
      <c r="RR229" s="56"/>
      <c r="RS229" s="56"/>
      <c r="RT229" s="56"/>
      <c r="RU229" s="56"/>
      <c r="RV229" s="56"/>
      <c r="RW229" s="56"/>
      <c r="RX229" s="56"/>
      <c r="RY229" s="56"/>
      <c r="RZ229" s="56"/>
      <c r="SA229" s="56"/>
      <c r="SB229" s="56"/>
      <c r="SC229" s="56"/>
      <c r="SD229" s="56"/>
      <c r="SE229" s="56"/>
      <c r="SF229" s="56"/>
      <c r="SG229" s="56"/>
      <c r="SH229" s="56"/>
      <c r="SI229" s="56"/>
      <c r="SJ229" s="56"/>
      <c r="SK229" s="56"/>
      <c r="SL229" s="56"/>
      <c r="SM229" s="56"/>
      <c r="SN229" s="56"/>
      <c r="SO229" s="56"/>
      <c r="SP229" s="56"/>
      <c r="SQ229" s="56"/>
      <c r="SR229" s="56"/>
    </row>
    <row r="230" spans="1:512" ht="15" customHeight="1" x14ac:dyDescent="0.7">
      <c r="A230" s="171" t="s">
        <v>344</v>
      </c>
      <c r="B230" s="171" t="s">
        <v>344</v>
      </c>
      <c r="C230" s="171" t="s">
        <v>344</v>
      </c>
      <c r="D230" s="171"/>
      <c r="E230" s="171" t="s">
        <v>344</v>
      </c>
      <c r="F230" s="171"/>
      <c r="G230" s="188" t="s">
        <v>344</v>
      </c>
      <c r="H230" s="71" t="s">
        <v>344</v>
      </c>
      <c r="I230" s="72" t="s">
        <v>344</v>
      </c>
      <c r="J230" s="73" t="s">
        <v>344</v>
      </c>
      <c r="K230" s="189" t="s">
        <v>344</v>
      </c>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c r="DA230" s="54"/>
      <c r="DB230" s="54"/>
      <c r="DC230" s="54"/>
      <c r="DD230" s="54"/>
      <c r="DE230" s="54"/>
      <c r="DF230" s="54"/>
      <c r="DG230" s="54"/>
      <c r="DH230" s="54"/>
      <c r="DI230" s="54"/>
      <c r="DJ230" s="54"/>
      <c r="DK230" s="54"/>
      <c r="DL230" s="54"/>
      <c r="DM230" s="54"/>
      <c r="DN230" s="54"/>
      <c r="DO230" s="54"/>
      <c r="DP230" s="54"/>
      <c r="DQ230" s="54"/>
      <c r="DR230" s="54"/>
      <c r="DS230" s="54"/>
      <c r="DT230" s="54"/>
      <c r="DU230" s="54"/>
      <c r="DV230" s="54"/>
      <c r="DW230" s="54"/>
      <c r="DX230" s="54"/>
      <c r="DY230" s="54"/>
      <c r="DZ230" s="54"/>
      <c r="EA230" s="54"/>
      <c r="EB230" s="54"/>
      <c r="EC230" s="54"/>
      <c r="ED230" s="54"/>
      <c r="EE230" s="54"/>
      <c r="EF230" s="54"/>
      <c r="EG230" s="54"/>
      <c r="EH230" s="54"/>
      <c r="EI230" s="54"/>
      <c r="EJ230" s="54"/>
      <c r="EK230" s="54"/>
      <c r="EL230" s="54"/>
      <c r="EM230" s="54"/>
      <c r="EN230" s="54"/>
      <c r="EO230" s="54"/>
      <c r="EP230" s="54"/>
      <c r="EQ230" s="54"/>
      <c r="ER230" s="54"/>
      <c r="ES230" s="54"/>
      <c r="ET230" s="54"/>
      <c r="EU230" s="54"/>
      <c r="EV230" s="54"/>
      <c r="EW230" s="54"/>
      <c r="EX230" s="54"/>
      <c r="EY230" s="54"/>
      <c r="EZ230" s="54"/>
      <c r="FA230" s="54"/>
      <c r="FB230" s="54"/>
      <c r="FC230" s="54"/>
      <c r="FD230" s="54"/>
      <c r="FE230" s="54"/>
      <c r="FF230" s="54"/>
      <c r="FG230" s="54"/>
      <c r="FH230" s="54"/>
      <c r="FI230" s="54"/>
      <c r="FJ230" s="54"/>
      <c r="FK230" s="54"/>
      <c r="FL230" s="54"/>
      <c r="FM230" s="54"/>
      <c r="FN230" s="54"/>
      <c r="FO230" s="54"/>
      <c r="FP230" s="54"/>
      <c r="FQ230" s="54"/>
      <c r="FR230" s="54"/>
      <c r="FS230" s="54"/>
      <c r="FT230" s="54"/>
      <c r="FU230" s="54"/>
      <c r="FV230" s="54"/>
      <c r="FW230" s="54"/>
      <c r="FX230" s="54"/>
      <c r="FY230" s="54"/>
      <c r="FZ230" s="54"/>
      <c r="GA230" s="54"/>
      <c r="GB230" s="54"/>
      <c r="GC230" s="54"/>
      <c r="GD230" s="54"/>
      <c r="GE230" s="54"/>
      <c r="GF230" s="54"/>
      <c r="GG230" s="54"/>
      <c r="GH230" s="54"/>
      <c r="GI230" s="54"/>
      <c r="GJ230" s="54"/>
      <c r="GK230" s="54"/>
      <c r="GL230" s="54"/>
      <c r="GM230" s="54"/>
      <c r="GN230" s="54"/>
      <c r="GO230" s="54"/>
      <c r="GP230" s="54"/>
      <c r="GQ230" s="54"/>
      <c r="GR230" s="54"/>
      <c r="GS230" s="54"/>
      <c r="GT230" s="54"/>
      <c r="GU230" s="54"/>
      <c r="GV230" s="54"/>
      <c r="GW230" s="54"/>
      <c r="GX230" s="54"/>
      <c r="GY230" s="54"/>
      <c r="GZ230" s="54"/>
      <c r="HA230" s="54"/>
      <c r="HB230" s="54"/>
      <c r="HC230" s="54"/>
      <c r="HD230" s="54"/>
      <c r="HE230" s="54"/>
      <c r="HF230" s="54"/>
      <c r="HG230" s="54"/>
      <c r="HH230" s="54"/>
      <c r="HI230" s="54"/>
      <c r="HJ230" s="54"/>
      <c r="HK230" s="54"/>
      <c r="HL230" s="54"/>
      <c r="HM230" s="54"/>
      <c r="HN230" s="54"/>
      <c r="HO230" s="54"/>
      <c r="HP230" s="54"/>
      <c r="HQ230" s="54"/>
      <c r="HR230" s="54"/>
      <c r="HS230" s="54"/>
      <c r="HT230" s="54"/>
      <c r="HU230" s="54"/>
      <c r="HV230" s="54"/>
      <c r="HW230" s="54"/>
      <c r="HX230" s="54"/>
      <c r="HY230" s="54"/>
      <c r="HZ230" s="54"/>
      <c r="IA230" s="54"/>
      <c r="IB230" s="54"/>
      <c r="IC230" s="54"/>
      <c r="ID230" s="54"/>
      <c r="IE230" s="54"/>
      <c r="IF230" s="54"/>
      <c r="IG230" s="54"/>
      <c r="IH230" s="54"/>
      <c r="II230" s="54"/>
      <c r="IJ230" s="54"/>
      <c r="IK230" s="54"/>
      <c r="IL230" s="54"/>
      <c r="IM230" s="54"/>
      <c r="IN230" s="54"/>
      <c r="IO230" s="54"/>
      <c r="IP230" s="54"/>
      <c r="IQ230" s="54"/>
      <c r="IR230" s="54"/>
      <c r="IS230" s="54"/>
      <c r="IT230" s="54"/>
      <c r="IU230" s="54"/>
      <c r="IV230" s="54"/>
      <c r="IW230" s="54"/>
      <c r="IX230" s="54"/>
      <c r="IY230" s="54"/>
      <c r="IZ230" s="54"/>
      <c r="JA230" s="54"/>
      <c r="JB230" s="54"/>
      <c r="JC230" s="54"/>
      <c r="JD230" s="54"/>
      <c r="JE230" s="54"/>
      <c r="JF230" s="54"/>
      <c r="JG230" s="54"/>
      <c r="JH230" s="54"/>
      <c r="JI230" s="54"/>
      <c r="JJ230" s="54"/>
      <c r="JK230" s="54"/>
      <c r="JL230" s="54"/>
      <c r="JM230" s="54"/>
      <c r="JN230" s="54"/>
      <c r="JO230" s="54"/>
      <c r="JP230" s="54"/>
      <c r="JQ230" s="54"/>
      <c r="JR230" s="54"/>
      <c r="JS230" s="54"/>
      <c r="JT230" s="54"/>
      <c r="JU230" s="54"/>
      <c r="JV230" s="54"/>
      <c r="JW230" s="54"/>
      <c r="JX230" s="54"/>
      <c r="JY230" s="54"/>
      <c r="JZ230" s="54"/>
      <c r="KA230" s="54"/>
      <c r="KB230" s="54"/>
      <c r="KC230" s="54"/>
      <c r="KD230" s="54"/>
      <c r="KE230" s="54"/>
      <c r="KF230" s="54"/>
      <c r="KG230" s="54"/>
      <c r="KH230" s="54"/>
      <c r="KI230" s="54"/>
      <c r="KJ230" s="54"/>
      <c r="KK230" s="54"/>
      <c r="KL230" s="54"/>
      <c r="KM230" s="54"/>
      <c r="KN230" s="54"/>
      <c r="KO230" s="54"/>
      <c r="KP230" s="54"/>
      <c r="KQ230" s="54"/>
      <c r="KR230" s="54"/>
      <c r="KS230" s="54"/>
      <c r="KT230" s="54"/>
      <c r="KU230" s="54"/>
      <c r="KV230" s="54"/>
      <c r="KW230" s="54"/>
      <c r="KX230" s="54"/>
      <c r="KY230" s="54"/>
      <c r="KZ230" s="54"/>
      <c r="LA230" s="54"/>
      <c r="LB230" s="54"/>
      <c r="LC230" s="54"/>
      <c r="LD230" s="54"/>
      <c r="LE230" s="54"/>
      <c r="LF230" s="54"/>
      <c r="LG230" s="54"/>
      <c r="LH230" s="54"/>
      <c r="LI230" s="54"/>
      <c r="LJ230" s="54"/>
      <c r="LK230" s="54"/>
      <c r="LL230" s="54"/>
      <c r="LM230" s="54"/>
      <c r="LN230" s="54"/>
      <c r="LO230" s="54"/>
      <c r="LP230" s="54"/>
      <c r="LQ230" s="54"/>
      <c r="LR230" s="54"/>
      <c r="LS230" s="54"/>
      <c r="LT230" s="54"/>
      <c r="LU230" s="54"/>
      <c r="LV230" s="54"/>
      <c r="LW230" s="54"/>
      <c r="LX230" s="54"/>
      <c r="LY230" s="54"/>
      <c r="LZ230" s="54"/>
      <c r="MA230" s="54"/>
      <c r="MB230" s="54"/>
      <c r="MC230" s="54"/>
      <c r="MD230" s="54"/>
      <c r="ME230" s="54"/>
      <c r="MF230" s="54"/>
      <c r="MG230" s="54"/>
      <c r="MH230" s="54"/>
      <c r="MI230" s="54"/>
      <c r="MJ230" s="54"/>
      <c r="MK230" s="54"/>
      <c r="ML230" s="54"/>
      <c r="MM230" s="54"/>
      <c r="MN230" s="54"/>
      <c r="MO230" s="54"/>
      <c r="MP230" s="54"/>
      <c r="MQ230" s="54"/>
      <c r="MR230" s="54"/>
      <c r="MS230" s="54"/>
      <c r="MT230" s="54"/>
      <c r="MU230" s="54"/>
      <c r="MV230" s="54"/>
      <c r="MW230" s="54"/>
      <c r="MX230" s="54"/>
      <c r="MY230" s="54"/>
      <c r="MZ230" s="54"/>
      <c r="NA230" s="54"/>
      <c r="NB230" s="54"/>
      <c r="NC230" s="54"/>
      <c r="ND230" s="54"/>
      <c r="NE230" s="54"/>
      <c r="NF230" s="54"/>
      <c r="NG230" s="54"/>
      <c r="NH230" s="54"/>
      <c r="NI230" s="54"/>
      <c r="NJ230" s="54"/>
      <c r="NK230" s="54"/>
      <c r="NL230" s="54"/>
      <c r="NM230" s="54"/>
      <c r="NN230" s="54"/>
      <c r="NO230" s="54"/>
      <c r="NP230" s="54"/>
      <c r="NQ230" s="54"/>
      <c r="NR230" s="54"/>
      <c r="NS230" s="54"/>
      <c r="NT230" s="54"/>
      <c r="NU230" s="54"/>
      <c r="NV230" s="54"/>
      <c r="NW230" s="54"/>
      <c r="NX230" s="54"/>
      <c r="NY230" s="54"/>
      <c r="NZ230" s="54"/>
      <c r="OA230" s="54"/>
      <c r="OB230" s="54"/>
      <c r="OC230" s="54"/>
      <c r="OD230" s="54"/>
      <c r="OE230" s="54"/>
      <c r="OF230" s="54"/>
      <c r="OG230" s="54"/>
      <c r="OH230" s="54"/>
      <c r="OI230" s="54"/>
      <c r="OJ230" s="54"/>
      <c r="OK230" s="54"/>
      <c r="OL230" s="54"/>
      <c r="OM230" s="54"/>
      <c r="ON230" s="54"/>
      <c r="OO230" s="54"/>
      <c r="OP230" s="54"/>
      <c r="OQ230" s="54"/>
      <c r="OR230" s="54"/>
      <c r="OS230" s="54"/>
      <c r="OT230" s="54"/>
      <c r="OU230" s="54"/>
      <c r="OV230" s="54"/>
      <c r="OW230" s="54"/>
      <c r="OX230" s="54"/>
      <c r="OY230" s="54"/>
      <c r="OZ230" s="54"/>
      <c r="PA230" s="54"/>
      <c r="PB230" s="54"/>
      <c r="PC230" s="54"/>
      <c r="PD230" s="54"/>
      <c r="PE230" s="54"/>
      <c r="PF230" s="54"/>
      <c r="PG230" s="54"/>
      <c r="PH230" s="54"/>
      <c r="PI230" s="54"/>
      <c r="PJ230" s="54"/>
      <c r="PK230" s="54"/>
      <c r="PL230" s="54"/>
      <c r="PM230" s="54"/>
      <c r="PN230" s="54"/>
      <c r="PO230" s="54"/>
      <c r="PP230" s="54"/>
      <c r="PQ230" s="54"/>
      <c r="PR230" s="54"/>
      <c r="PS230" s="54"/>
      <c r="PT230" s="54"/>
      <c r="PU230" s="54"/>
      <c r="PV230" s="54"/>
      <c r="PW230" s="54"/>
      <c r="PX230" s="54"/>
      <c r="PY230" s="54"/>
      <c r="PZ230" s="54"/>
      <c r="QA230" s="54"/>
      <c r="QB230" s="54"/>
      <c r="QC230" s="54"/>
      <c r="QD230" s="54"/>
      <c r="QE230" s="54"/>
      <c r="QF230" s="54"/>
      <c r="QG230" s="54"/>
      <c r="QH230" s="54"/>
      <c r="QI230" s="54"/>
      <c r="QJ230" s="54"/>
      <c r="QK230" s="54"/>
      <c r="QL230" s="54"/>
      <c r="QM230" s="54"/>
      <c r="QN230" s="54"/>
      <c r="QO230" s="54"/>
      <c r="QP230" s="54"/>
      <c r="QQ230" s="54"/>
      <c r="QR230" s="54"/>
      <c r="QS230" s="54"/>
      <c r="QT230" s="54"/>
      <c r="QU230" s="54"/>
      <c r="QV230" s="54"/>
      <c r="QW230" s="54"/>
      <c r="QX230" s="54"/>
      <c r="QY230" s="54"/>
      <c r="QZ230" s="54"/>
      <c r="RA230" s="54"/>
      <c r="RB230" s="54"/>
      <c r="RC230" s="54"/>
      <c r="RD230" s="54"/>
      <c r="RE230" s="54"/>
      <c r="RF230" s="54"/>
      <c r="RG230" s="54"/>
      <c r="RH230" s="54"/>
      <c r="RI230" s="54"/>
      <c r="RJ230" s="54"/>
      <c r="RK230" s="54"/>
      <c r="RL230" s="54"/>
      <c r="RM230" s="54"/>
      <c r="RN230" s="54"/>
      <c r="RO230" s="54"/>
      <c r="RP230" s="54"/>
      <c r="RQ230" s="54"/>
      <c r="RR230" s="54"/>
      <c r="RS230" s="54"/>
      <c r="RT230" s="54"/>
      <c r="RU230" s="54"/>
      <c r="RV230" s="54"/>
      <c r="RW230" s="54"/>
      <c r="RX230" s="54"/>
      <c r="RY230" s="54"/>
      <c r="RZ230" s="54"/>
      <c r="SA230" s="54"/>
      <c r="SB230" s="54"/>
      <c r="SC230" s="54"/>
      <c r="SD230" s="54"/>
      <c r="SE230" s="54"/>
      <c r="SF230" s="54"/>
      <c r="SG230" s="54"/>
      <c r="SH230" s="54"/>
      <c r="SI230" s="54"/>
      <c r="SJ230" s="54"/>
      <c r="SK230" s="54"/>
      <c r="SL230" s="54"/>
      <c r="SM230" s="54"/>
      <c r="SN230" s="54"/>
      <c r="SO230" s="54"/>
      <c r="SP230" s="54"/>
      <c r="SQ230" s="54"/>
      <c r="SR230" s="54"/>
    </row>
    <row r="231" spans="1:512" ht="15" customHeight="1" x14ac:dyDescent="0.7">
      <c r="A231" s="172"/>
      <c r="B231" s="172"/>
      <c r="C231" s="172"/>
      <c r="D231" s="172"/>
      <c r="E231" s="172"/>
      <c r="F231" s="172"/>
      <c r="G231" s="172"/>
      <c r="I231" s="72" t="s">
        <v>344</v>
      </c>
      <c r="J231" s="73" t="s">
        <v>344</v>
      </c>
      <c r="K231" s="190"/>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c r="DA231" s="54"/>
      <c r="DB231" s="54"/>
      <c r="DC231" s="54"/>
      <c r="DD231" s="54"/>
      <c r="DE231" s="54"/>
      <c r="DF231" s="54"/>
      <c r="DG231" s="54"/>
      <c r="DH231" s="54"/>
      <c r="DI231" s="54"/>
      <c r="DJ231" s="54"/>
      <c r="DK231" s="54"/>
      <c r="DL231" s="54"/>
      <c r="DM231" s="54"/>
      <c r="DN231" s="54"/>
      <c r="DO231" s="54"/>
      <c r="DP231" s="54"/>
      <c r="DQ231" s="54"/>
      <c r="DR231" s="54"/>
      <c r="DS231" s="54"/>
      <c r="DT231" s="54"/>
      <c r="DU231" s="54"/>
      <c r="DV231" s="54"/>
      <c r="DW231" s="54"/>
      <c r="DX231" s="54"/>
      <c r="DY231" s="54"/>
      <c r="DZ231" s="54"/>
      <c r="EA231" s="54"/>
      <c r="EB231" s="54"/>
      <c r="EC231" s="54"/>
      <c r="ED231" s="54"/>
      <c r="EE231" s="54"/>
      <c r="EF231" s="54"/>
      <c r="EG231" s="54"/>
      <c r="EH231" s="54"/>
      <c r="EI231" s="54"/>
      <c r="EJ231" s="54"/>
      <c r="EK231" s="54"/>
      <c r="EL231" s="54"/>
      <c r="EM231" s="54"/>
      <c r="EN231" s="54"/>
      <c r="EO231" s="54"/>
      <c r="EP231" s="54"/>
      <c r="EQ231" s="54"/>
      <c r="ER231" s="54"/>
      <c r="ES231" s="54"/>
      <c r="ET231" s="54"/>
      <c r="EU231" s="54"/>
      <c r="EV231" s="54"/>
      <c r="EW231" s="54"/>
      <c r="EX231" s="54"/>
      <c r="EY231" s="54"/>
      <c r="EZ231" s="54"/>
      <c r="FA231" s="54"/>
      <c r="FB231" s="54"/>
      <c r="FC231" s="54"/>
      <c r="FD231" s="54"/>
      <c r="FE231" s="54"/>
      <c r="FF231" s="54"/>
      <c r="FG231" s="54"/>
      <c r="FH231" s="54"/>
      <c r="FI231" s="54"/>
      <c r="FJ231" s="54"/>
      <c r="FK231" s="54"/>
      <c r="FL231" s="54"/>
      <c r="FM231" s="54"/>
      <c r="FN231" s="54"/>
      <c r="FO231" s="54"/>
      <c r="FP231" s="54"/>
      <c r="FQ231" s="54"/>
      <c r="FR231" s="54"/>
      <c r="FS231" s="54"/>
      <c r="FT231" s="54"/>
      <c r="FU231" s="54"/>
      <c r="FV231" s="54"/>
      <c r="FW231" s="54"/>
      <c r="FX231" s="54"/>
      <c r="FY231" s="54"/>
      <c r="FZ231" s="54"/>
      <c r="GA231" s="54"/>
      <c r="GB231" s="54"/>
      <c r="GC231" s="54"/>
      <c r="GD231" s="54"/>
      <c r="GE231" s="54"/>
      <c r="GF231" s="54"/>
      <c r="GG231" s="54"/>
      <c r="GH231" s="54"/>
      <c r="GI231" s="54"/>
      <c r="GJ231" s="54"/>
      <c r="GK231" s="54"/>
      <c r="GL231" s="54"/>
      <c r="GM231" s="54"/>
      <c r="GN231" s="54"/>
      <c r="GO231" s="54"/>
      <c r="GP231" s="54"/>
      <c r="GQ231" s="54"/>
      <c r="GR231" s="54"/>
      <c r="GS231" s="54"/>
      <c r="GT231" s="54"/>
      <c r="GU231" s="54"/>
      <c r="GV231" s="54"/>
      <c r="GW231" s="54"/>
      <c r="GX231" s="54"/>
      <c r="GY231" s="54"/>
      <c r="GZ231" s="54"/>
      <c r="HA231" s="54"/>
      <c r="HB231" s="54"/>
      <c r="HC231" s="54"/>
      <c r="HD231" s="54"/>
      <c r="HE231" s="54"/>
      <c r="HF231" s="54"/>
      <c r="HG231" s="54"/>
      <c r="HH231" s="54"/>
      <c r="HI231" s="54"/>
      <c r="HJ231" s="54"/>
      <c r="HK231" s="54"/>
      <c r="HL231" s="54"/>
      <c r="HM231" s="54"/>
      <c r="HN231" s="54"/>
      <c r="HO231" s="54"/>
      <c r="HP231" s="54"/>
      <c r="HQ231" s="54"/>
      <c r="HR231" s="54"/>
      <c r="HS231" s="54"/>
      <c r="HT231" s="54"/>
      <c r="HU231" s="54"/>
      <c r="HV231" s="54"/>
      <c r="HW231" s="54"/>
      <c r="HX231" s="54"/>
      <c r="HY231" s="54"/>
      <c r="HZ231" s="54"/>
      <c r="IA231" s="54"/>
      <c r="IB231" s="54"/>
      <c r="IC231" s="54"/>
      <c r="ID231" s="54"/>
      <c r="IE231" s="54"/>
      <c r="IF231" s="54"/>
      <c r="IG231" s="54"/>
      <c r="IH231" s="54"/>
      <c r="II231" s="54"/>
      <c r="IJ231" s="54"/>
      <c r="IK231" s="54"/>
      <c r="IL231" s="54"/>
      <c r="IM231" s="54"/>
      <c r="IN231" s="54"/>
      <c r="IO231" s="54"/>
      <c r="IP231" s="54"/>
      <c r="IQ231" s="54"/>
      <c r="IR231" s="54"/>
      <c r="IS231" s="54"/>
      <c r="IT231" s="54"/>
      <c r="IU231" s="54"/>
      <c r="IV231" s="54"/>
      <c r="IW231" s="54"/>
      <c r="IX231" s="54"/>
      <c r="IY231" s="54"/>
      <c r="IZ231" s="54"/>
      <c r="JA231" s="54"/>
      <c r="JB231" s="54"/>
      <c r="JC231" s="54"/>
      <c r="JD231" s="54"/>
      <c r="JE231" s="54"/>
      <c r="JF231" s="54"/>
      <c r="JG231" s="54"/>
      <c r="JH231" s="54"/>
      <c r="JI231" s="54"/>
      <c r="JJ231" s="54"/>
      <c r="JK231" s="54"/>
      <c r="JL231" s="54"/>
      <c r="JM231" s="54"/>
      <c r="JN231" s="54"/>
      <c r="JO231" s="54"/>
      <c r="JP231" s="54"/>
      <c r="JQ231" s="54"/>
      <c r="JR231" s="54"/>
      <c r="JS231" s="54"/>
      <c r="JT231" s="54"/>
      <c r="JU231" s="54"/>
      <c r="JV231" s="54"/>
      <c r="JW231" s="54"/>
      <c r="JX231" s="54"/>
      <c r="JY231" s="54"/>
      <c r="JZ231" s="54"/>
      <c r="KA231" s="54"/>
      <c r="KB231" s="54"/>
      <c r="KC231" s="54"/>
      <c r="KD231" s="54"/>
      <c r="KE231" s="54"/>
      <c r="KF231" s="54"/>
      <c r="KG231" s="54"/>
      <c r="KH231" s="54"/>
      <c r="KI231" s="54"/>
      <c r="KJ231" s="54"/>
      <c r="KK231" s="54"/>
      <c r="KL231" s="54"/>
      <c r="KM231" s="54"/>
      <c r="KN231" s="54"/>
      <c r="KO231" s="54"/>
      <c r="KP231" s="54"/>
      <c r="KQ231" s="54"/>
      <c r="KR231" s="54"/>
      <c r="KS231" s="54"/>
      <c r="KT231" s="54"/>
      <c r="KU231" s="54"/>
      <c r="KV231" s="54"/>
      <c r="KW231" s="54"/>
      <c r="KX231" s="54"/>
      <c r="KY231" s="54"/>
      <c r="KZ231" s="54"/>
      <c r="LA231" s="54"/>
      <c r="LB231" s="54"/>
      <c r="LC231" s="54"/>
      <c r="LD231" s="54"/>
      <c r="LE231" s="54"/>
      <c r="LF231" s="54"/>
      <c r="LG231" s="54"/>
      <c r="LH231" s="54"/>
      <c r="LI231" s="54"/>
      <c r="LJ231" s="54"/>
      <c r="LK231" s="54"/>
      <c r="LL231" s="54"/>
      <c r="LM231" s="54"/>
      <c r="LN231" s="54"/>
      <c r="LO231" s="54"/>
      <c r="LP231" s="54"/>
      <c r="LQ231" s="54"/>
      <c r="LR231" s="54"/>
      <c r="LS231" s="54"/>
      <c r="LT231" s="54"/>
      <c r="LU231" s="54"/>
      <c r="LV231" s="54"/>
      <c r="LW231" s="54"/>
      <c r="LX231" s="54"/>
      <c r="LY231" s="54"/>
      <c r="LZ231" s="54"/>
      <c r="MA231" s="54"/>
      <c r="MB231" s="54"/>
      <c r="MC231" s="54"/>
      <c r="MD231" s="54"/>
      <c r="ME231" s="54"/>
      <c r="MF231" s="54"/>
      <c r="MG231" s="54"/>
      <c r="MH231" s="54"/>
      <c r="MI231" s="54"/>
      <c r="MJ231" s="54"/>
      <c r="MK231" s="54"/>
      <c r="ML231" s="54"/>
      <c r="MM231" s="54"/>
      <c r="MN231" s="54"/>
      <c r="MO231" s="54"/>
      <c r="MP231" s="54"/>
      <c r="MQ231" s="54"/>
      <c r="MR231" s="54"/>
      <c r="MS231" s="54"/>
      <c r="MT231" s="54"/>
      <c r="MU231" s="54"/>
      <c r="MV231" s="54"/>
      <c r="MW231" s="54"/>
      <c r="MX231" s="54"/>
      <c r="MY231" s="54"/>
      <c r="MZ231" s="54"/>
      <c r="NA231" s="54"/>
      <c r="NB231" s="54"/>
      <c r="NC231" s="54"/>
      <c r="ND231" s="54"/>
      <c r="NE231" s="54"/>
      <c r="NF231" s="54"/>
      <c r="NG231" s="54"/>
      <c r="NH231" s="54"/>
      <c r="NI231" s="54"/>
      <c r="NJ231" s="54"/>
      <c r="NK231" s="54"/>
      <c r="NL231" s="54"/>
      <c r="NM231" s="54"/>
      <c r="NN231" s="54"/>
      <c r="NO231" s="54"/>
      <c r="NP231" s="54"/>
      <c r="NQ231" s="54"/>
      <c r="NR231" s="54"/>
      <c r="NS231" s="54"/>
      <c r="NT231" s="54"/>
      <c r="NU231" s="54"/>
      <c r="NV231" s="54"/>
      <c r="NW231" s="54"/>
      <c r="NX231" s="54"/>
      <c r="NY231" s="54"/>
      <c r="NZ231" s="54"/>
      <c r="OA231" s="54"/>
      <c r="OB231" s="54"/>
      <c r="OC231" s="54"/>
      <c r="OD231" s="54"/>
      <c r="OE231" s="54"/>
      <c r="OF231" s="54"/>
      <c r="OG231" s="54"/>
      <c r="OH231" s="54"/>
      <c r="OI231" s="54"/>
      <c r="OJ231" s="54"/>
      <c r="OK231" s="54"/>
      <c r="OL231" s="54"/>
      <c r="OM231" s="54"/>
      <c r="ON231" s="54"/>
      <c r="OO231" s="54"/>
      <c r="OP231" s="54"/>
      <c r="OQ231" s="54"/>
      <c r="OR231" s="54"/>
      <c r="OS231" s="54"/>
      <c r="OT231" s="54"/>
      <c r="OU231" s="54"/>
      <c r="OV231" s="54"/>
      <c r="OW231" s="54"/>
      <c r="OX231" s="54"/>
      <c r="OY231" s="54"/>
      <c r="OZ231" s="54"/>
      <c r="PA231" s="54"/>
      <c r="PB231" s="54"/>
      <c r="PC231" s="54"/>
      <c r="PD231" s="54"/>
      <c r="PE231" s="54"/>
      <c r="PF231" s="54"/>
      <c r="PG231" s="54"/>
      <c r="PH231" s="54"/>
      <c r="PI231" s="54"/>
      <c r="PJ231" s="54"/>
      <c r="PK231" s="54"/>
      <c r="PL231" s="54"/>
      <c r="PM231" s="54"/>
      <c r="PN231" s="54"/>
      <c r="PO231" s="54"/>
      <c r="PP231" s="54"/>
      <c r="PQ231" s="54"/>
      <c r="PR231" s="54"/>
      <c r="PS231" s="54"/>
      <c r="PT231" s="54"/>
      <c r="PU231" s="54"/>
      <c r="PV231" s="54"/>
      <c r="PW231" s="54"/>
      <c r="PX231" s="54"/>
      <c r="PY231" s="54"/>
      <c r="PZ231" s="54"/>
      <c r="QA231" s="54"/>
      <c r="QB231" s="54"/>
      <c r="QC231" s="54"/>
      <c r="QD231" s="54"/>
      <c r="QE231" s="54"/>
      <c r="QF231" s="54"/>
      <c r="QG231" s="54"/>
      <c r="QH231" s="54"/>
      <c r="QI231" s="54"/>
      <c r="QJ231" s="54"/>
      <c r="QK231" s="54"/>
      <c r="QL231" s="54"/>
      <c r="QM231" s="54"/>
      <c r="QN231" s="54"/>
      <c r="QO231" s="54"/>
      <c r="QP231" s="54"/>
      <c r="QQ231" s="54"/>
      <c r="QR231" s="54"/>
      <c r="QS231" s="54"/>
      <c r="QT231" s="54"/>
      <c r="QU231" s="54"/>
      <c r="QV231" s="54"/>
      <c r="QW231" s="54"/>
      <c r="QX231" s="54"/>
      <c r="QY231" s="54"/>
      <c r="QZ231" s="54"/>
      <c r="RA231" s="54"/>
      <c r="RB231" s="54"/>
      <c r="RC231" s="54"/>
      <c r="RD231" s="54"/>
      <c r="RE231" s="54"/>
      <c r="RF231" s="54"/>
      <c r="RG231" s="54"/>
      <c r="RH231" s="54"/>
      <c r="RI231" s="54"/>
      <c r="RJ231" s="54"/>
      <c r="RK231" s="54"/>
      <c r="RL231" s="54"/>
      <c r="RM231" s="54"/>
      <c r="RN231" s="54"/>
      <c r="RO231" s="54"/>
      <c r="RP231" s="54"/>
      <c r="RQ231" s="54"/>
      <c r="RR231" s="54"/>
      <c r="RS231" s="54"/>
      <c r="RT231" s="54"/>
      <c r="RU231" s="54"/>
      <c r="RV231" s="54"/>
      <c r="RW231" s="54"/>
      <c r="RX231" s="54"/>
      <c r="RY231" s="54"/>
      <c r="RZ231" s="54"/>
      <c r="SA231" s="54"/>
      <c r="SB231" s="54"/>
      <c r="SC231" s="54"/>
      <c r="SD231" s="54"/>
      <c r="SE231" s="54"/>
      <c r="SF231" s="54"/>
      <c r="SG231" s="54"/>
      <c r="SH231" s="54"/>
      <c r="SI231" s="54"/>
      <c r="SJ231" s="54"/>
      <c r="SK231" s="54"/>
      <c r="SL231" s="54"/>
      <c r="SM231" s="54"/>
      <c r="SN231" s="54"/>
      <c r="SO231" s="54"/>
      <c r="SP231" s="54"/>
      <c r="SQ231" s="54"/>
      <c r="SR231" s="54"/>
    </row>
    <row r="232" spans="1:512" s="55" customFormat="1" ht="15" customHeight="1" x14ac:dyDescent="0.7">
      <c r="A232" s="173"/>
      <c r="B232" s="173"/>
      <c r="C232" s="173"/>
      <c r="D232" s="173"/>
      <c r="E232" s="173"/>
      <c r="F232" s="173"/>
      <c r="G232" s="173"/>
      <c r="H232" s="74"/>
      <c r="I232" s="75"/>
      <c r="J232" s="76"/>
      <c r="K232" s="191"/>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c r="IX232" s="56"/>
      <c r="IY232" s="56"/>
      <c r="IZ232" s="56"/>
      <c r="JA232" s="56"/>
      <c r="JB232" s="56"/>
      <c r="JC232" s="56"/>
      <c r="JD232" s="56"/>
      <c r="JE232" s="56"/>
      <c r="JF232" s="56"/>
      <c r="JG232" s="56"/>
      <c r="JH232" s="56"/>
      <c r="JI232" s="56"/>
      <c r="JJ232" s="56"/>
      <c r="JK232" s="56"/>
      <c r="JL232" s="56"/>
      <c r="JM232" s="56"/>
      <c r="JN232" s="56"/>
      <c r="JO232" s="56"/>
      <c r="JP232" s="56"/>
      <c r="JQ232" s="56"/>
      <c r="JR232" s="56"/>
      <c r="JS232" s="56"/>
      <c r="JT232" s="56"/>
      <c r="JU232" s="56"/>
      <c r="JV232" s="56"/>
      <c r="JW232" s="56"/>
      <c r="JX232" s="56"/>
      <c r="JY232" s="56"/>
      <c r="JZ232" s="56"/>
      <c r="KA232" s="56"/>
      <c r="KB232" s="56"/>
      <c r="KC232" s="56"/>
      <c r="KD232" s="56"/>
      <c r="KE232" s="56"/>
      <c r="KF232" s="56"/>
      <c r="KG232" s="56"/>
      <c r="KH232" s="56"/>
      <c r="KI232" s="56"/>
      <c r="KJ232" s="56"/>
      <c r="KK232" s="56"/>
      <c r="KL232" s="56"/>
      <c r="KM232" s="56"/>
      <c r="KN232" s="56"/>
      <c r="KO232" s="56"/>
      <c r="KP232" s="56"/>
      <c r="KQ232" s="56"/>
      <c r="KR232" s="56"/>
      <c r="KS232" s="56"/>
      <c r="KT232" s="56"/>
      <c r="KU232" s="56"/>
      <c r="KV232" s="56"/>
      <c r="KW232" s="56"/>
      <c r="KX232" s="56"/>
      <c r="KY232" s="56"/>
      <c r="KZ232" s="56"/>
      <c r="LA232" s="56"/>
      <c r="LB232" s="56"/>
      <c r="LC232" s="56"/>
      <c r="LD232" s="56"/>
      <c r="LE232" s="56"/>
      <c r="LF232" s="56"/>
      <c r="LG232" s="56"/>
      <c r="LH232" s="56"/>
      <c r="LI232" s="56"/>
      <c r="LJ232" s="56"/>
      <c r="LK232" s="56"/>
      <c r="LL232" s="56"/>
      <c r="LM232" s="56"/>
      <c r="LN232" s="56"/>
      <c r="LO232" s="56"/>
      <c r="LP232" s="56"/>
      <c r="LQ232" s="56"/>
      <c r="LR232" s="56"/>
      <c r="LS232" s="56"/>
      <c r="LT232" s="56"/>
      <c r="LU232" s="56"/>
      <c r="LV232" s="56"/>
      <c r="LW232" s="56"/>
      <c r="LX232" s="56"/>
      <c r="LY232" s="56"/>
      <c r="LZ232" s="56"/>
      <c r="MA232" s="56"/>
      <c r="MB232" s="56"/>
      <c r="MC232" s="56"/>
      <c r="MD232" s="56"/>
      <c r="ME232" s="56"/>
      <c r="MF232" s="56"/>
      <c r="MG232" s="56"/>
      <c r="MH232" s="56"/>
      <c r="MI232" s="56"/>
      <c r="MJ232" s="56"/>
      <c r="MK232" s="56"/>
      <c r="ML232" s="56"/>
      <c r="MM232" s="56"/>
      <c r="MN232" s="56"/>
      <c r="MO232" s="56"/>
      <c r="MP232" s="56"/>
      <c r="MQ232" s="56"/>
      <c r="MR232" s="56"/>
      <c r="MS232" s="56"/>
      <c r="MT232" s="56"/>
      <c r="MU232" s="56"/>
      <c r="MV232" s="56"/>
      <c r="MW232" s="56"/>
      <c r="MX232" s="56"/>
      <c r="MY232" s="56"/>
      <c r="MZ232" s="56"/>
      <c r="NA232" s="56"/>
      <c r="NB232" s="56"/>
      <c r="NC232" s="56"/>
      <c r="ND232" s="56"/>
      <c r="NE232" s="56"/>
      <c r="NF232" s="56"/>
      <c r="NG232" s="56"/>
      <c r="NH232" s="56"/>
      <c r="NI232" s="56"/>
      <c r="NJ232" s="56"/>
      <c r="NK232" s="56"/>
      <c r="NL232" s="56"/>
      <c r="NM232" s="56"/>
      <c r="NN232" s="56"/>
      <c r="NO232" s="56"/>
      <c r="NP232" s="56"/>
      <c r="NQ232" s="56"/>
      <c r="NR232" s="56"/>
      <c r="NS232" s="56"/>
      <c r="NT232" s="56"/>
      <c r="NU232" s="56"/>
      <c r="NV232" s="56"/>
      <c r="NW232" s="56"/>
      <c r="NX232" s="56"/>
      <c r="NY232" s="56"/>
      <c r="NZ232" s="56"/>
      <c r="OA232" s="56"/>
      <c r="OB232" s="56"/>
      <c r="OC232" s="56"/>
      <c r="OD232" s="56"/>
      <c r="OE232" s="56"/>
      <c r="OF232" s="56"/>
      <c r="OG232" s="56"/>
      <c r="OH232" s="56"/>
      <c r="OI232" s="56"/>
      <c r="OJ232" s="56"/>
      <c r="OK232" s="56"/>
      <c r="OL232" s="56"/>
      <c r="OM232" s="56"/>
      <c r="ON232" s="56"/>
      <c r="OO232" s="56"/>
      <c r="OP232" s="56"/>
      <c r="OQ232" s="56"/>
      <c r="OR232" s="56"/>
      <c r="OS232" s="56"/>
      <c r="OT232" s="56"/>
      <c r="OU232" s="56"/>
      <c r="OV232" s="56"/>
      <c r="OW232" s="56"/>
      <c r="OX232" s="56"/>
      <c r="OY232" s="56"/>
      <c r="OZ232" s="56"/>
      <c r="PA232" s="56"/>
      <c r="PB232" s="56"/>
      <c r="PC232" s="56"/>
      <c r="PD232" s="56"/>
      <c r="PE232" s="56"/>
      <c r="PF232" s="56"/>
      <c r="PG232" s="56"/>
      <c r="PH232" s="56"/>
      <c r="PI232" s="56"/>
      <c r="PJ232" s="56"/>
      <c r="PK232" s="56"/>
      <c r="PL232" s="56"/>
      <c r="PM232" s="56"/>
      <c r="PN232" s="56"/>
      <c r="PO232" s="56"/>
      <c r="PP232" s="56"/>
      <c r="PQ232" s="56"/>
      <c r="PR232" s="56"/>
      <c r="PS232" s="56"/>
      <c r="PT232" s="56"/>
      <c r="PU232" s="56"/>
      <c r="PV232" s="56"/>
      <c r="PW232" s="56"/>
      <c r="PX232" s="56"/>
      <c r="PY232" s="56"/>
      <c r="PZ232" s="56"/>
      <c r="QA232" s="56"/>
      <c r="QB232" s="56"/>
      <c r="QC232" s="56"/>
      <c r="QD232" s="56"/>
      <c r="QE232" s="56"/>
      <c r="QF232" s="56"/>
      <c r="QG232" s="56"/>
      <c r="QH232" s="56"/>
      <c r="QI232" s="56"/>
      <c r="QJ232" s="56"/>
      <c r="QK232" s="56"/>
      <c r="QL232" s="56"/>
      <c r="QM232" s="56"/>
      <c r="QN232" s="56"/>
      <c r="QO232" s="56"/>
      <c r="QP232" s="56"/>
      <c r="QQ232" s="56"/>
      <c r="QR232" s="56"/>
      <c r="QS232" s="56"/>
      <c r="QT232" s="56"/>
      <c r="QU232" s="56"/>
      <c r="QV232" s="56"/>
      <c r="QW232" s="56"/>
      <c r="QX232" s="56"/>
      <c r="QY232" s="56"/>
      <c r="QZ232" s="56"/>
      <c r="RA232" s="56"/>
      <c r="RB232" s="56"/>
      <c r="RC232" s="56"/>
      <c r="RD232" s="56"/>
      <c r="RE232" s="56"/>
      <c r="RF232" s="56"/>
      <c r="RG232" s="56"/>
      <c r="RH232" s="56"/>
      <c r="RI232" s="56"/>
      <c r="RJ232" s="56"/>
      <c r="RK232" s="56"/>
      <c r="RL232" s="56"/>
      <c r="RM232" s="56"/>
      <c r="RN232" s="56"/>
      <c r="RO232" s="56"/>
      <c r="RP232" s="56"/>
      <c r="RQ232" s="56"/>
      <c r="RR232" s="56"/>
      <c r="RS232" s="56"/>
      <c r="RT232" s="56"/>
      <c r="RU232" s="56"/>
      <c r="RV232" s="56"/>
      <c r="RW232" s="56"/>
      <c r="RX232" s="56"/>
      <c r="RY232" s="56"/>
      <c r="RZ232" s="56"/>
      <c r="SA232" s="56"/>
      <c r="SB232" s="56"/>
      <c r="SC232" s="56"/>
      <c r="SD232" s="56"/>
      <c r="SE232" s="56"/>
      <c r="SF232" s="56"/>
      <c r="SG232" s="56"/>
      <c r="SH232" s="56"/>
      <c r="SI232" s="56"/>
      <c r="SJ232" s="56"/>
      <c r="SK232" s="56"/>
      <c r="SL232" s="56"/>
      <c r="SM232" s="56"/>
      <c r="SN232" s="56"/>
      <c r="SO232" s="56"/>
      <c r="SP232" s="56"/>
      <c r="SQ232" s="56"/>
      <c r="SR232" s="56"/>
    </row>
    <row r="233" spans="1:512" ht="15" customHeight="1" x14ac:dyDescent="0.7">
      <c r="A233" s="171" t="s">
        <v>344</v>
      </c>
      <c r="B233" s="171" t="s">
        <v>344</v>
      </c>
      <c r="C233" s="171" t="s">
        <v>344</v>
      </c>
      <c r="D233" s="171"/>
      <c r="E233" s="171" t="s">
        <v>344</v>
      </c>
      <c r="F233" s="171"/>
      <c r="G233" s="188" t="s">
        <v>344</v>
      </c>
      <c r="H233" s="71" t="s">
        <v>344</v>
      </c>
      <c r="I233" s="72" t="s">
        <v>344</v>
      </c>
      <c r="J233" s="73" t="s">
        <v>344</v>
      </c>
      <c r="K233" s="189" t="s">
        <v>344</v>
      </c>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c r="DA233" s="54"/>
      <c r="DB233" s="54"/>
      <c r="DC233" s="54"/>
      <c r="DD233" s="54"/>
      <c r="DE233" s="54"/>
      <c r="DF233" s="54"/>
      <c r="DG233" s="54"/>
      <c r="DH233" s="54"/>
      <c r="DI233" s="54"/>
      <c r="DJ233" s="54"/>
      <c r="DK233" s="54"/>
      <c r="DL233" s="54"/>
      <c r="DM233" s="54"/>
      <c r="DN233" s="54"/>
      <c r="DO233" s="54"/>
      <c r="DP233" s="54"/>
      <c r="DQ233" s="54"/>
      <c r="DR233" s="54"/>
      <c r="DS233" s="54"/>
      <c r="DT233" s="54"/>
      <c r="DU233" s="54"/>
      <c r="DV233" s="54"/>
      <c r="DW233" s="54"/>
      <c r="DX233" s="54"/>
      <c r="DY233" s="54"/>
      <c r="DZ233" s="54"/>
      <c r="EA233" s="54"/>
      <c r="EB233" s="54"/>
      <c r="EC233" s="54"/>
      <c r="ED233" s="54"/>
      <c r="EE233" s="54"/>
      <c r="EF233" s="54"/>
      <c r="EG233" s="54"/>
      <c r="EH233" s="54"/>
      <c r="EI233" s="54"/>
      <c r="EJ233" s="54"/>
      <c r="EK233" s="54"/>
      <c r="EL233" s="54"/>
      <c r="EM233" s="54"/>
      <c r="EN233" s="54"/>
      <c r="EO233" s="54"/>
      <c r="EP233" s="54"/>
      <c r="EQ233" s="54"/>
      <c r="ER233" s="54"/>
      <c r="ES233" s="54"/>
      <c r="ET233" s="54"/>
      <c r="EU233" s="54"/>
      <c r="EV233" s="54"/>
      <c r="EW233" s="54"/>
      <c r="EX233" s="54"/>
      <c r="EY233" s="54"/>
      <c r="EZ233" s="54"/>
      <c r="FA233" s="54"/>
      <c r="FB233" s="54"/>
      <c r="FC233" s="54"/>
      <c r="FD233" s="54"/>
      <c r="FE233" s="54"/>
      <c r="FF233" s="54"/>
      <c r="FG233" s="54"/>
      <c r="FH233" s="54"/>
      <c r="FI233" s="54"/>
      <c r="FJ233" s="54"/>
      <c r="FK233" s="54"/>
      <c r="FL233" s="54"/>
      <c r="FM233" s="54"/>
      <c r="FN233" s="54"/>
      <c r="FO233" s="54"/>
      <c r="FP233" s="54"/>
      <c r="FQ233" s="54"/>
      <c r="FR233" s="54"/>
      <c r="FS233" s="54"/>
      <c r="FT233" s="54"/>
      <c r="FU233" s="54"/>
      <c r="FV233" s="54"/>
      <c r="FW233" s="54"/>
      <c r="FX233" s="54"/>
      <c r="FY233" s="54"/>
      <c r="FZ233" s="54"/>
      <c r="GA233" s="54"/>
      <c r="GB233" s="54"/>
      <c r="GC233" s="54"/>
      <c r="GD233" s="54"/>
      <c r="GE233" s="54"/>
      <c r="GF233" s="54"/>
      <c r="GG233" s="54"/>
      <c r="GH233" s="54"/>
      <c r="GI233" s="54"/>
      <c r="GJ233" s="54"/>
      <c r="GK233" s="54"/>
      <c r="GL233" s="54"/>
      <c r="GM233" s="54"/>
      <c r="GN233" s="54"/>
      <c r="GO233" s="54"/>
      <c r="GP233" s="54"/>
      <c r="GQ233" s="54"/>
      <c r="GR233" s="54"/>
      <c r="GS233" s="54"/>
      <c r="GT233" s="54"/>
      <c r="GU233" s="54"/>
      <c r="GV233" s="54"/>
      <c r="GW233" s="54"/>
      <c r="GX233" s="54"/>
      <c r="GY233" s="54"/>
      <c r="GZ233" s="54"/>
      <c r="HA233" s="54"/>
      <c r="HB233" s="54"/>
      <c r="HC233" s="54"/>
      <c r="HD233" s="54"/>
      <c r="HE233" s="54"/>
      <c r="HF233" s="54"/>
      <c r="HG233" s="54"/>
      <c r="HH233" s="54"/>
      <c r="HI233" s="54"/>
      <c r="HJ233" s="54"/>
      <c r="HK233" s="54"/>
      <c r="HL233" s="54"/>
      <c r="HM233" s="54"/>
      <c r="HN233" s="54"/>
      <c r="HO233" s="54"/>
      <c r="HP233" s="54"/>
      <c r="HQ233" s="54"/>
      <c r="HR233" s="54"/>
      <c r="HS233" s="54"/>
      <c r="HT233" s="54"/>
      <c r="HU233" s="54"/>
      <c r="HV233" s="54"/>
      <c r="HW233" s="54"/>
      <c r="HX233" s="54"/>
      <c r="HY233" s="54"/>
      <c r="HZ233" s="54"/>
      <c r="IA233" s="54"/>
      <c r="IB233" s="54"/>
      <c r="IC233" s="54"/>
      <c r="ID233" s="54"/>
      <c r="IE233" s="54"/>
      <c r="IF233" s="54"/>
      <c r="IG233" s="54"/>
      <c r="IH233" s="54"/>
      <c r="II233" s="54"/>
      <c r="IJ233" s="54"/>
      <c r="IK233" s="54"/>
      <c r="IL233" s="54"/>
      <c r="IM233" s="54"/>
      <c r="IN233" s="54"/>
      <c r="IO233" s="54"/>
      <c r="IP233" s="54"/>
      <c r="IQ233" s="54"/>
      <c r="IR233" s="54"/>
      <c r="IS233" s="54"/>
      <c r="IT233" s="54"/>
      <c r="IU233" s="54"/>
      <c r="IV233" s="54"/>
      <c r="IW233" s="54"/>
      <c r="IX233" s="54"/>
      <c r="IY233" s="54"/>
      <c r="IZ233" s="54"/>
      <c r="JA233" s="54"/>
      <c r="JB233" s="54"/>
      <c r="JC233" s="54"/>
      <c r="JD233" s="54"/>
      <c r="JE233" s="54"/>
      <c r="JF233" s="54"/>
      <c r="JG233" s="54"/>
      <c r="JH233" s="54"/>
      <c r="JI233" s="54"/>
      <c r="JJ233" s="54"/>
      <c r="JK233" s="54"/>
      <c r="JL233" s="54"/>
      <c r="JM233" s="54"/>
      <c r="JN233" s="54"/>
      <c r="JO233" s="54"/>
      <c r="JP233" s="54"/>
      <c r="JQ233" s="54"/>
      <c r="JR233" s="54"/>
      <c r="JS233" s="54"/>
      <c r="JT233" s="54"/>
      <c r="JU233" s="54"/>
      <c r="JV233" s="54"/>
      <c r="JW233" s="54"/>
      <c r="JX233" s="54"/>
      <c r="JY233" s="54"/>
      <c r="JZ233" s="54"/>
      <c r="KA233" s="54"/>
      <c r="KB233" s="54"/>
      <c r="KC233" s="54"/>
      <c r="KD233" s="54"/>
      <c r="KE233" s="54"/>
      <c r="KF233" s="54"/>
      <c r="KG233" s="54"/>
      <c r="KH233" s="54"/>
      <c r="KI233" s="54"/>
      <c r="KJ233" s="54"/>
      <c r="KK233" s="54"/>
      <c r="KL233" s="54"/>
      <c r="KM233" s="54"/>
      <c r="KN233" s="54"/>
      <c r="KO233" s="54"/>
      <c r="KP233" s="54"/>
      <c r="KQ233" s="54"/>
      <c r="KR233" s="54"/>
      <c r="KS233" s="54"/>
      <c r="KT233" s="54"/>
      <c r="KU233" s="54"/>
      <c r="KV233" s="54"/>
      <c r="KW233" s="54"/>
      <c r="KX233" s="54"/>
      <c r="KY233" s="54"/>
      <c r="KZ233" s="54"/>
      <c r="LA233" s="54"/>
      <c r="LB233" s="54"/>
      <c r="LC233" s="54"/>
      <c r="LD233" s="54"/>
      <c r="LE233" s="54"/>
      <c r="LF233" s="54"/>
      <c r="LG233" s="54"/>
      <c r="LH233" s="54"/>
      <c r="LI233" s="54"/>
      <c r="LJ233" s="54"/>
      <c r="LK233" s="54"/>
      <c r="LL233" s="54"/>
      <c r="LM233" s="54"/>
      <c r="LN233" s="54"/>
      <c r="LO233" s="54"/>
      <c r="LP233" s="54"/>
      <c r="LQ233" s="54"/>
      <c r="LR233" s="54"/>
      <c r="LS233" s="54"/>
      <c r="LT233" s="54"/>
      <c r="LU233" s="54"/>
      <c r="LV233" s="54"/>
      <c r="LW233" s="54"/>
      <c r="LX233" s="54"/>
      <c r="LY233" s="54"/>
      <c r="LZ233" s="54"/>
      <c r="MA233" s="54"/>
      <c r="MB233" s="54"/>
      <c r="MC233" s="54"/>
      <c r="MD233" s="54"/>
      <c r="ME233" s="54"/>
      <c r="MF233" s="54"/>
      <c r="MG233" s="54"/>
      <c r="MH233" s="54"/>
      <c r="MI233" s="54"/>
      <c r="MJ233" s="54"/>
      <c r="MK233" s="54"/>
      <c r="ML233" s="54"/>
      <c r="MM233" s="54"/>
      <c r="MN233" s="54"/>
      <c r="MO233" s="54"/>
      <c r="MP233" s="54"/>
      <c r="MQ233" s="54"/>
      <c r="MR233" s="54"/>
      <c r="MS233" s="54"/>
      <c r="MT233" s="54"/>
      <c r="MU233" s="54"/>
      <c r="MV233" s="54"/>
      <c r="MW233" s="54"/>
      <c r="MX233" s="54"/>
      <c r="MY233" s="54"/>
      <c r="MZ233" s="54"/>
      <c r="NA233" s="54"/>
      <c r="NB233" s="54"/>
      <c r="NC233" s="54"/>
      <c r="ND233" s="54"/>
      <c r="NE233" s="54"/>
      <c r="NF233" s="54"/>
      <c r="NG233" s="54"/>
      <c r="NH233" s="54"/>
      <c r="NI233" s="54"/>
      <c r="NJ233" s="54"/>
      <c r="NK233" s="54"/>
      <c r="NL233" s="54"/>
      <c r="NM233" s="54"/>
      <c r="NN233" s="54"/>
      <c r="NO233" s="54"/>
      <c r="NP233" s="54"/>
      <c r="NQ233" s="54"/>
      <c r="NR233" s="54"/>
      <c r="NS233" s="54"/>
      <c r="NT233" s="54"/>
      <c r="NU233" s="54"/>
      <c r="NV233" s="54"/>
      <c r="NW233" s="54"/>
      <c r="NX233" s="54"/>
      <c r="NY233" s="54"/>
      <c r="NZ233" s="54"/>
      <c r="OA233" s="54"/>
      <c r="OB233" s="54"/>
      <c r="OC233" s="54"/>
      <c r="OD233" s="54"/>
      <c r="OE233" s="54"/>
      <c r="OF233" s="54"/>
      <c r="OG233" s="54"/>
      <c r="OH233" s="54"/>
      <c r="OI233" s="54"/>
      <c r="OJ233" s="54"/>
      <c r="OK233" s="54"/>
      <c r="OL233" s="54"/>
      <c r="OM233" s="54"/>
      <c r="ON233" s="54"/>
      <c r="OO233" s="54"/>
      <c r="OP233" s="54"/>
      <c r="OQ233" s="54"/>
      <c r="OR233" s="54"/>
      <c r="OS233" s="54"/>
      <c r="OT233" s="54"/>
      <c r="OU233" s="54"/>
      <c r="OV233" s="54"/>
      <c r="OW233" s="54"/>
      <c r="OX233" s="54"/>
      <c r="OY233" s="54"/>
      <c r="OZ233" s="54"/>
      <c r="PA233" s="54"/>
      <c r="PB233" s="54"/>
      <c r="PC233" s="54"/>
      <c r="PD233" s="54"/>
      <c r="PE233" s="54"/>
      <c r="PF233" s="54"/>
      <c r="PG233" s="54"/>
      <c r="PH233" s="54"/>
      <c r="PI233" s="54"/>
      <c r="PJ233" s="54"/>
      <c r="PK233" s="54"/>
      <c r="PL233" s="54"/>
      <c r="PM233" s="54"/>
      <c r="PN233" s="54"/>
      <c r="PO233" s="54"/>
      <c r="PP233" s="54"/>
      <c r="PQ233" s="54"/>
      <c r="PR233" s="54"/>
      <c r="PS233" s="54"/>
      <c r="PT233" s="54"/>
      <c r="PU233" s="54"/>
      <c r="PV233" s="54"/>
      <c r="PW233" s="54"/>
      <c r="PX233" s="54"/>
      <c r="PY233" s="54"/>
      <c r="PZ233" s="54"/>
      <c r="QA233" s="54"/>
      <c r="QB233" s="54"/>
      <c r="QC233" s="54"/>
      <c r="QD233" s="54"/>
      <c r="QE233" s="54"/>
      <c r="QF233" s="54"/>
      <c r="QG233" s="54"/>
      <c r="QH233" s="54"/>
      <c r="QI233" s="54"/>
      <c r="QJ233" s="54"/>
      <c r="QK233" s="54"/>
      <c r="QL233" s="54"/>
      <c r="QM233" s="54"/>
      <c r="QN233" s="54"/>
      <c r="QO233" s="54"/>
      <c r="QP233" s="54"/>
      <c r="QQ233" s="54"/>
      <c r="QR233" s="54"/>
      <c r="QS233" s="54"/>
      <c r="QT233" s="54"/>
      <c r="QU233" s="54"/>
      <c r="QV233" s="54"/>
      <c r="QW233" s="54"/>
      <c r="QX233" s="54"/>
      <c r="QY233" s="54"/>
      <c r="QZ233" s="54"/>
      <c r="RA233" s="54"/>
      <c r="RB233" s="54"/>
      <c r="RC233" s="54"/>
      <c r="RD233" s="54"/>
      <c r="RE233" s="54"/>
      <c r="RF233" s="54"/>
      <c r="RG233" s="54"/>
      <c r="RH233" s="54"/>
      <c r="RI233" s="54"/>
      <c r="RJ233" s="54"/>
      <c r="RK233" s="54"/>
      <c r="RL233" s="54"/>
      <c r="RM233" s="54"/>
      <c r="RN233" s="54"/>
      <c r="RO233" s="54"/>
      <c r="RP233" s="54"/>
      <c r="RQ233" s="54"/>
      <c r="RR233" s="54"/>
      <c r="RS233" s="54"/>
      <c r="RT233" s="54"/>
      <c r="RU233" s="54"/>
      <c r="RV233" s="54"/>
      <c r="RW233" s="54"/>
      <c r="RX233" s="54"/>
      <c r="RY233" s="54"/>
      <c r="RZ233" s="54"/>
      <c r="SA233" s="54"/>
      <c r="SB233" s="54"/>
      <c r="SC233" s="54"/>
      <c r="SD233" s="54"/>
      <c r="SE233" s="54"/>
      <c r="SF233" s="54"/>
      <c r="SG233" s="54"/>
      <c r="SH233" s="54"/>
      <c r="SI233" s="54"/>
      <c r="SJ233" s="54"/>
      <c r="SK233" s="54"/>
      <c r="SL233" s="54"/>
      <c r="SM233" s="54"/>
      <c r="SN233" s="54"/>
      <c r="SO233" s="54"/>
      <c r="SP233" s="54"/>
      <c r="SQ233" s="54"/>
      <c r="SR233" s="54"/>
    </row>
    <row r="234" spans="1:512" ht="15" customHeight="1" x14ac:dyDescent="0.7">
      <c r="A234" s="172"/>
      <c r="B234" s="172"/>
      <c r="C234" s="172"/>
      <c r="D234" s="172"/>
      <c r="E234" s="172"/>
      <c r="F234" s="172"/>
      <c r="G234" s="172"/>
      <c r="I234" s="72" t="s">
        <v>344</v>
      </c>
      <c r="J234" s="73" t="s">
        <v>344</v>
      </c>
      <c r="K234" s="190"/>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c r="DA234" s="54"/>
      <c r="DB234" s="54"/>
      <c r="DC234" s="54"/>
      <c r="DD234" s="54"/>
      <c r="DE234" s="54"/>
      <c r="DF234" s="54"/>
      <c r="DG234" s="54"/>
      <c r="DH234" s="54"/>
      <c r="DI234" s="54"/>
      <c r="DJ234" s="54"/>
      <c r="DK234" s="54"/>
      <c r="DL234" s="54"/>
      <c r="DM234" s="54"/>
      <c r="DN234" s="54"/>
      <c r="DO234" s="54"/>
      <c r="DP234" s="54"/>
      <c r="DQ234" s="54"/>
      <c r="DR234" s="54"/>
      <c r="DS234" s="54"/>
      <c r="DT234" s="54"/>
      <c r="DU234" s="54"/>
      <c r="DV234" s="54"/>
      <c r="DW234" s="54"/>
      <c r="DX234" s="54"/>
      <c r="DY234" s="54"/>
      <c r="DZ234" s="54"/>
      <c r="EA234" s="54"/>
      <c r="EB234" s="54"/>
      <c r="EC234" s="54"/>
      <c r="ED234" s="54"/>
      <c r="EE234" s="54"/>
      <c r="EF234" s="54"/>
      <c r="EG234" s="54"/>
      <c r="EH234" s="54"/>
      <c r="EI234" s="54"/>
      <c r="EJ234" s="54"/>
      <c r="EK234" s="54"/>
      <c r="EL234" s="54"/>
      <c r="EM234" s="54"/>
      <c r="EN234" s="54"/>
      <c r="EO234" s="54"/>
      <c r="EP234" s="54"/>
      <c r="EQ234" s="54"/>
      <c r="ER234" s="54"/>
      <c r="ES234" s="54"/>
      <c r="ET234" s="54"/>
      <c r="EU234" s="54"/>
      <c r="EV234" s="54"/>
      <c r="EW234" s="54"/>
      <c r="EX234" s="54"/>
      <c r="EY234" s="54"/>
      <c r="EZ234" s="54"/>
      <c r="FA234" s="54"/>
      <c r="FB234" s="54"/>
      <c r="FC234" s="54"/>
      <c r="FD234" s="54"/>
      <c r="FE234" s="54"/>
      <c r="FF234" s="54"/>
      <c r="FG234" s="54"/>
      <c r="FH234" s="54"/>
      <c r="FI234" s="54"/>
      <c r="FJ234" s="54"/>
      <c r="FK234" s="54"/>
      <c r="FL234" s="54"/>
      <c r="FM234" s="54"/>
      <c r="FN234" s="54"/>
      <c r="FO234" s="54"/>
      <c r="FP234" s="54"/>
      <c r="FQ234" s="54"/>
      <c r="FR234" s="54"/>
      <c r="FS234" s="54"/>
      <c r="FT234" s="54"/>
      <c r="FU234" s="54"/>
      <c r="FV234" s="54"/>
      <c r="FW234" s="54"/>
      <c r="FX234" s="54"/>
      <c r="FY234" s="54"/>
      <c r="FZ234" s="54"/>
      <c r="GA234" s="54"/>
      <c r="GB234" s="54"/>
      <c r="GC234" s="54"/>
      <c r="GD234" s="54"/>
      <c r="GE234" s="54"/>
      <c r="GF234" s="54"/>
      <c r="GG234" s="54"/>
      <c r="GH234" s="54"/>
      <c r="GI234" s="54"/>
      <c r="GJ234" s="54"/>
      <c r="GK234" s="54"/>
      <c r="GL234" s="54"/>
      <c r="GM234" s="54"/>
      <c r="GN234" s="54"/>
      <c r="GO234" s="54"/>
      <c r="GP234" s="54"/>
      <c r="GQ234" s="54"/>
      <c r="GR234" s="54"/>
      <c r="GS234" s="54"/>
      <c r="GT234" s="54"/>
      <c r="GU234" s="54"/>
      <c r="GV234" s="54"/>
      <c r="GW234" s="54"/>
      <c r="GX234" s="54"/>
      <c r="GY234" s="54"/>
      <c r="GZ234" s="54"/>
      <c r="HA234" s="54"/>
      <c r="HB234" s="54"/>
      <c r="HC234" s="54"/>
      <c r="HD234" s="54"/>
      <c r="HE234" s="54"/>
      <c r="HF234" s="54"/>
      <c r="HG234" s="54"/>
      <c r="HH234" s="54"/>
      <c r="HI234" s="54"/>
      <c r="HJ234" s="54"/>
      <c r="HK234" s="54"/>
      <c r="HL234" s="54"/>
      <c r="HM234" s="54"/>
      <c r="HN234" s="54"/>
      <c r="HO234" s="54"/>
      <c r="HP234" s="54"/>
      <c r="HQ234" s="54"/>
      <c r="HR234" s="54"/>
      <c r="HS234" s="54"/>
      <c r="HT234" s="54"/>
      <c r="HU234" s="54"/>
      <c r="HV234" s="54"/>
      <c r="HW234" s="54"/>
      <c r="HX234" s="54"/>
      <c r="HY234" s="54"/>
      <c r="HZ234" s="54"/>
      <c r="IA234" s="54"/>
      <c r="IB234" s="54"/>
      <c r="IC234" s="54"/>
      <c r="ID234" s="54"/>
      <c r="IE234" s="54"/>
      <c r="IF234" s="54"/>
      <c r="IG234" s="54"/>
      <c r="IH234" s="54"/>
      <c r="II234" s="54"/>
      <c r="IJ234" s="54"/>
      <c r="IK234" s="54"/>
      <c r="IL234" s="54"/>
      <c r="IM234" s="54"/>
      <c r="IN234" s="54"/>
      <c r="IO234" s="54"/>
      <c r="IP234" s="54"/>
      <c r="IQ234" s="54"/>
      <c r="IR234" s="54"/>
      <c r="IS234" s="54"/>
      <c r="IT234" s="54"/>
      <c r="IU234" s="54"/>
      <c r="IV234" s="54"/>
      <c r="IW234" s="54"/>
      <c r="IX234" s="54"/>
      <c r="IY234" s="54"/>
      <c r="IZ234" s="54"/>
      <c r="JA234" s="54"/>
      <c r="JB234" s="54"/>
      <c r="JC234" s="54"/>
      <c r="JD234" s="54"/>
      <c r="JE234" s="54"/>
      <c r="JF234" s="54"/>
      <c r="JG234" s="54"/>
      <c r="JH234" s="54"/>
      <c r="JI234" s="54"/>
      <c r="JJ234" s="54"/>
      <c r="JK234" s="54"/>
      <c r="JL234" s="54"/>
      <c r="JM234" s="54"/>
      <c r="JN234" s="54"/>
      <c r="JO234" s="54"/>
      <c r="JP234" s="54"/>
      <c r="JQ234" s="54"/>
      <c r="JR234" s="54"/>
      <c r="JS234" s="54"/>
      <c r="JT234" s="54"/>
      <c r="JU234" s="54"/>
      <c r="JV234" s="54"/>
      <c r="JW234" s="54"/>
      <c r="JX234" s="54"/>
      <c r="JY234" s="54"/>
      <c r="JZ234" s="54"/>
      <c r="KA234" s="54"/>
      <c r="KB234" s="54"/>
      <c r="KC234" s="54"/>
      <c r="KD234" s="54"/>
      <c r="KE234" s="54"/>
      <c r="KF234" s="54"/>
      <c r="KG234" s="54"/>
      <c r="KH234" s="54"/>
      <c r="KI234" s="54"/>
      <c r="KJ234" s="54"/>
      <c r="KK234" s="54"/>
      <c r="KL234" s="54"/>
      <c r="KM234" s="54"/>
      <c r="KN234" s="54"/>
      <c r="KO234" s="54"/>
      <c r="KP234" s="54"/>
      <c r="KQ234" s="54"/>
      <c r="KR234" s="54"/>
      <c r="KS234" s="54"/>
      <c r="KT234" s="54"/>
      <c r="KU234" s="54"/>
      <c r="KV234" s="54"/>
      <c r="KW234" s="54"/>
      <c r="KX234" s="54"/>
      <c r="KY234" s="54"/>
      <c r="KZ234" s="54"/>
      <c r="LA234" s="54"/>
      <c r="LB234" s="54"/>
      <c r="LC234" s="54"/>
      <c r="LD234" s="54"/>
      <c r="LE234" s="54"/>
      <c r="LF234" s="54"/>
      <c r="LG234" s="54"/>
      <c r="LH234" s="54"/>
      <c r="LI234" s="54"/>
      <c r="LJ234" s="54"/>
      <c r="LK234" s="54"/>
      <c r="LL234" s="54"/>
      <c r="LM234" s="54"/>
      <c r="LN234" s="54"/>
      <c r="LO234" s="54"/>
      <c r="LP234" s="54"/>
      <c r="LQ234" s="54"/>
      <c r="LR234" s="54"/>
      <c r="LS234" s="54"/>
      <c r="LT234" s="54"/>
      <c r="LU234" s="54"/>
      <c r="LV234" s="54"/>
      <c r="LW234" s="54"/>
      <c r="LX234" s="54"/>
      <c r="LY234" s="54"/>
      <c r="LZ234" s="54"/>
      <c r="MA234" s="54"/>
      <c r="MB234" s="54"/>
      <c r="MC234" s="54"/>
      <c r="MD234" s="54"/>
      <c r="ME234" s="54"/>
      <c r="MF234" s="54"/>
      <c r="MG234" s="54"/>
      <c r="MH234" s="54"/>
      <c r="MI234" s="54"/>
      <c r="MJ234" s="54"/>
      <c r="MK234" s="54"/>
      <c r="ML234" s="54"/>
      <c r="MM234" s="54"/>
      <c r="MN234" s="54"/>
      <c r="MO234" s="54"/>
      <c r="MP234" s="54"/>
      <c r="MQ234" s="54"/>
      <c r="MR234" s="54"/>
      <c r="MS234" s="54"/>
      <c r="MT234" s="54"/>
      <c r="MU234" s="54"/>
      <c r="MV234" s="54"/>
      <c r="MW234" s="54"/>
      <c r="MX234" s="54"/>
      <c r="MY234" s="54"/>
      <c r="MZ234" s="54"/>
      <c r="NA234" s="54"/>
      <c r="NB234" s="54"/>
      <c r="NC234" s="54"/>
      <c r="ND234" s="54"/>
      <c r="NE234" s="54"/>
      <c r="NF234" s="54"/>
      <c r="NG234" s="54"/>
      <c r="NH234" s="54"/>
      <c r="NI234" s="54"/>
      <c r="NJ234" s="54"/>
      <c r="NK234" s="54"/>
      <c r="NL234" s="54"/>
      <c r="NM234" s="54"/>
      <c r="NN234" s="54"/>
      <c r="NO234" s="54"/>
      <c r="NP234" s="54"/>
      <c r="NQ234" s="54"/>
      <c r="NR234" s="54"/>
      <c r="NS234" s="54"/>
      <c r="NT234" s="54"/>
      <c r="NU234" s="54"/>
      <c r="NV234" s="54"/>
      <c r="NW234" s="54"/>
      <c r="NX234" s="54"/>
      <c r="NY234" s="54"/>
      <c r="NZ234" s="54"/>
      <c r="OA234" s="54"/>
      <c r="OB234" s="54"/>
      <c r="OC234" s="54"/>
      <c r="OD234" s="54"/>
      <c r="OE234" s="54"/>
      <c r="OF234" s="54"/>
      <c r="OG234" s="54"/>
      <c r="OH234" s="54"/>
      <c r="OI234" s="54"/>
      <c r="OJ234" s="54"/>
      <c r="OK234" s="54"/>
      <c r="OL234" s="54"/>
      <c r="OM234" s="54"/>
      <c r="ON234" s="54"/>
      <c r="OO234" s="54"/>
      <c r="OP234" s="54"/>
      <c r="OQ234" s="54"/>
      <c r="OR234" s="54"/>
      <c r="OS234" s="54"/>
      <c r="OT234" s="54"/>
      <c r="OU234" s="54"/>
      <c r="OV234" s="54"/>
      <c r="OW234" s="54"/>
      <c r="OX234" s="54"/>
      <c r="OY234" s="54"/>
      <c r="OZ234" s="54"/>
      <c r="PA234" s="54"/>
      <c r="PB234" s="54"/>
      <c r="PC234" s="54"/>
      <c r="PD234" s="54"/>
      <c r="PE234" s="54"/>
      <c r="PF234" s="54"/>
      <c r="PG234" s="54"/>
      <c r="PH234" s="54"/>
      <c r="PI234" s="54"/>
      <c r="PJ234" s="54"/>
      <c r="PK234" s="54"/>
      <c r="PL234" s="54"/>
      <c r="PM234" s="54"/>
      <c r="PN234" s="54"/>
      <c r="PO234" s="54"/>
      <c r="PP234" s="54"/>
      <c r="PQ234" s="54"/>
      <c r="PR234" s="54"/>
      <c r="PS234" s="54"/>
      <c r="PT234" s="54"/>
      <c r="PU234" s="54"/>
      <c r="PV234" s="54"/>
      <c r="PW234" s="54"/>
      <c r="PX234" s="54"/>
      <c r="PY234" s="54"/>
      <c r="PZ234" s="54"/>
      <c r="QA234" s="54"/>
      <c r="QB234" s="54"/>
      <c r="QC234" s="54"/>
      <c r="QD234" s="54"/>
      <c r="QE234" s="54"/>
      <c r="QF234" s="54"/>
      <c r="QG234" s="54"/>
      <c r="QH234" s="54"/>
      <c r="QI234" s="54"/>
      <c r="QJ234" s="54"/>
      <c r="QK234" s="54"/>
      <c r="QL234" s="54"/>
      <c r="QM234" s="54"/>
      <c r="QN234" s="54"/>
      <c r="QO234" s="54"/>
      <c r="QP234" s="54"/>
      <c r="QQ234" s="54"/>
      <c r="QR234" s="54"/>
      <c r="QS234" s="54"/>
      <c r="QT234" s="54"/>
      <c r="QU234" s="54"/>
      <c r="QV234" s="54"/>
      <c r="QW234" s="54"/>
      <c r="QX234" s="54"/>
      <c r="QY234" s="54"/>
      <c r="QZ234" s="54"/>
      <c r="RA234" s="54"/>
      <c r="RB234" s="54"/>
      <c r="RC234" s="54"/>
      <c r="RD234" s="54"/>
      <c r="RE234" s="54"/>
      <c r="RF234" s="54"/>
      <c r="RG234" s="54"/>
      <c r="RH234" s="54"/>
      <c r="RI234" s="54"/>
      <c r="RJ234" s="54"/>
      <c r="RK234" s="54"/>
      <c r="RL234" s="54"/>
      <c r="RM234" s="54"/>
      <c r="RN234" s="54"/>
      <c r="RO234" s="54"/>
      <c r="RP234" s="54"/>
      <c r="RQ234" s="54"/>
      <c r="RR234" s="54"/>
      <c r="RS234" s="54"/>
      <c r="RT234" s="54"/>
      <c r="RU234" s="54"/>
      <c r="RV234" s="54"/>
      <c r="RW234" s="54"/>
      <c r="RX234" s="54"/>
      <c r="RY234" s="54"/>
      <c r="RZ234" s="54"/>
      <c r="SA234" s="54"/>
      <c r="SB234" s="54"/>
      <c r="SC234" s="54"/>
      <c r="SD234" s="54"/>
      <c r="SE234" s="54"/>
      <c r="SF234" s="54"/>
      <c r="SG234" s="54"/>
      <c r="SH234" s="54"/>
      <c r="SI234" s="54"/>
      <c r="SJ234" s="54"/>
      <c r="SK234" s="54"/>
      <c r="SL234" s="54"/>
      <c r="SM234" s="54"/>
      <c r="SN234" s="54"/>
      <c r="SO234" s="54"/>
      <c r="SP234" s="54"/>
      <c r="SQ234" s="54"/>
      <c r="SR234" s="54"/>
    </row>
    <row r="235" spans="1:512" s="55" customFormat="1" ht="15" customHeight="1" x14ac:dyDescent="0.7">
      <c r="A235" s="173"/>
      <c r="B235" s="173"/>
      <c r="C235" s="173"/>
      <c r="D235" s="173"/>
      <c r="E235" s="173"/>
      <c r="F235" s="173"/>
      <c r="G235" s="173"/>
      <c r="H235" s="74"/>
      <c r="I235" s="75"/>
      <c r="J235" s="76"/>
      <c r="K235" s="191"/>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c r="IX235" s="56"/>
      <c r="IY235" s="56"/>
      <c r="IZ235" s="56"/>
      <c r="JA235" s="56"/>
      <c r="JB235" s="56"/>
      <c r="JC235" s="56"/>
      <c r="JD235" s="56"/>
      <c r="JE235" s="56"/>
      <c r="JF235" s="56"/>
      <c r="JG235" s="56"/>
      <c r="JH235" s="56"/>
      <c r="JI235" s="56"/>
      <c r="JJ235" s="56"/>
      <c r="JK235" s="56"/>
      <c r="JL235" s="56"/>
      <c r="JM235" s="56"/>
      <c r="JN235" s="56"/>
      <c r="JO235" s="56"/>
      <c r="JP235" s="56"/>
      <c r="JQ235" s="56"/>
      <c r="JR235" s="56"/>
      <c r="JS235" s="56"/>
      <c r="JT235" s="56"/>
      <c r="JU235" s="56"/>
      <c r="JV235" s="56"/>
      <c r="JW235" s="56"/>
      <c r="JX235" s="56"/>
      <c r="JY235" s="56"/>
      <c r="JZ235" s="56"/>
      <c r="KA235" s="56"/>
      <c r="KB235" s="56"/>
      <c r="KC235" s="56"/>
      <c r="KD235" s="56"/>
      <c r="KE235" s="56"/>
      <c r="KF235" s="56"/>
      <c r="KG235" s="56"/>
      <c r="KH235" s="56"/>
      <c r="KI235" s="56"/>
      <c r="KJ235" s="56"/>
      <c r="KK235" s="56"/>
      <c r="KL235" s="56"/>
      <c r="KM235" s="56"/>
      <c r="KN235" s="56"/>
      <c r="KO235" s="56"/>
      <c r="KP235" s="56"/>
      <c r="KQ235" s="56"/>
      <c r="KR235" s="56"/>
      <c r="KS235" s="56"/>
      <c r="KT235" s="56"/>
      <c r="KU235" s="56"/>
      <c r="KV235" s="56"/>
      <c r="KW235" s="56"/>
      <c r="KX235" s="56"/>
      <c r="KY235" s="56"/>
      <c r="KZ235" s="56"/>
      <c r="LA235" s="56"/>
      <c r="LB235" s="56"/>
      <c r="LC235" s="56"/>
      <c r="LD235" s="56"/>
      <c r="LE235" s="56"/>
      <c r="LF235" s="56"/>
      <c r="LG235" s="56"/>
      <c r="LH235" s="56"/>
      <c r="LI235" s="56"/>
      <c r="LJ235" s="56"/>
      <c r="LK235" s="56"/>
      <c r="LL235" s="56"/>
      <c r="LM235" s="56"/>
      <c r="LN235" s="56"/>
      <c r="LO235" s="56"/>
      <c r="LP235" s="56"/>
      <c r="LQ235" s="56"/>
      <c r="LR235" s="56"/>
      <c r="LS235" s="56"/>
      <c r="LT235" s="56"/>
      <c r="LU235" s="56"/>
      <c r="LV235" s="56"/>
      <c r="LW235" s="56"/>
      <c r="LX235" s="56"/>
      <c r="LY235" s="56"/>
      <c r="LZ235" s="56"/>
      <c r="MA235" s="56"/>
      <c r="MB235" s="56"/>
      <c r="MC235" s="56"/>
      <c r="MD235" s="56"/>
      <c r="ME235" s="56"/>
      <c r="MF235" s="56"/>
      <c r="MG235" s="56"/>
      <c r="MH235" s="56"/>
      <c r="MI235" s="56"/>
      <c r="MJ235" s="56"/>
      <c r="MK235" s="56"/>
      <c r="ML235" s="56"/>
      <c r="MM235" s="56"/>
      <c r="MN235" s="56"/>
      <c r="MO235" s="56"/>
      <c r="MP235" s="56"/>
      <c r="MQ235" s="56"/>
      <c r="MR235" s="56"/>
      <c r="MS235" s="56"/>
      <c r="MT235" s="56"/>
      <c r="MU235" s="56"/>
      <c r="MV235" s="56"/>
      <c r="MW235" s="56"/>
      <c r="MX235" s="56"/>
      <c r="MY235" s="56"/>
      <c r="MZ235" s="56"/>
      <c r="NA235" s="56"/>
      <c r="NB235" s="56"/>
      <c r="NC235" s="56"/>
      <c r="ND235" s="56"/>
      <c r="NE235" s="56"/>
      <c r="NF235" s="56"/>
      <c r="NG235" s="56"/>
      <c r="NH235" s="56"/>
      <c r="NI235" s="56"/>
      <c r="NJ235" s="56"/>
      <c r="NK235" s="56"/>
      <c r="NL235" s="56"/>
      <c r="NM235" s="56"/>
      <c r="NN235" s="56"/>
      <c r="NO235" s="56"/>
      <c r="NP235" s="56"/>
      <c r="NQ235" s="56"/>
      <c r="NR235" s="56"/>
      <c r="NS235" s="56"/>
      <c r="NT235" s="56"/>
      <c r="NU235" s="56"/>
      <c r="NV235" s="56"/>
      <c r="NW235" s="56"/>
      <c r="NX235" s="56"/>
      <c r="NY235" s="56"/>
      <c r="NZ235" s="56"/>
      <c r="OA235" s="56"/>
      <c r="OB235" s="56"/>
      <c r="OC235" s="56"/>
      <c r="OD235" s="56"/>
      <c r="OE235" s="56"/>
      <c r="OF235" s="56"/>
      <c r="OG235" s="56"/>
      <c r="OH235" s="56"/>
      <c r="OI235" s="56"/>
      <c r="OJ235" s="56"/>
      <c r="OK235" s="56"/>
      <c r="OL235" s="56"/>
      <c r="OM235" s="56"/>
      <c r="ON235" s="56"/>
      <c r="OO235" s="56"/>
      <c r="OP235" s="56"/>
      <c r="OQ235" s="56"/>
      <c r="OR235" s="56"/>
      <c r="OS235" s="56"/>
      <c r="OT235" s="56"/>
      <c r="OU235" s="56"/>
      <c r="OV235" s="56"/>
      <c r="OW235" s="56"/>
      <c r="OX235" s="56"/>
      <c r="OY235" s="56"/>
      <c r="OZ235" s="56"/>
      <c r="PA235" s="56"/>
      <c r="PB235" s="56"/>
      <c r="PC235" s="56"/>
      <c r="PD235" s="56"/>
      <c r="PE235" s="56"/>
      <c r="PF235" s="56"/>
      <c r="PG235" s="56"/>
      <c r="PH235" s="56"/>
      <c r="PI235" s="56"/>
      <c r="PJ235" s="56"/>
      <c r="PK235" s="56"/>
      <c r="PL235" s="56"/>
      <c r="PM235" s="56"/>
      <c r="PN235" s="56"/>
      <c r="PO235" s="56"/>
      <c r="PP235" s="56"/>
      <c r="PQ235" s="56"/>
      <c r="PR235" s="56"/>
      <c r="PS235" s="56"/>
      <c r="PT235" s="56"/>
      <c r="PU235" s="56"/>
      <c r="PV235" s="56"/>
      <c r="PW235" s="56"/>
      <c r="PX235" s="56"/>
      <c r="PY235" s="56"/>
      <c r="PZ235" s="56"/>
      <c r="QA235" s="56"/>
      <c r="QB235" s="56"/>
      <c r="QC235" s="56"/>
      <c r="QD235" s="56"/>
      <c r="QE235" s="56"/>
      <c r="QF235" s="56"/>
      <c r="QG235" s="56"/>
      <c r="QH235" s="56"/>
      <c r="QI235" s="56"/>
      <c r="QJ235" s="56"/>
      <c r="QK235" s="56"/>
      <c r="QL235" s="56"/>
      <c r="QM235" s="56"/>
      <c r="QN235" s="56"/>
      <c r="QO235" s="56"/>
      <c r="QP235" s="56"/>
      <c r="QQ235" s="56"/>
      <c r="QR235" s="56"/>
      <c r="QS235" s="56"/>
      <c r="QT235" s="56"/>
      <c r="QU235" s="56"/>
      <c r="QV235" s="56"/>
      <c r="QW235" s="56"/>
      <c r="QX235" s="56"/>
      <c r="QY235" s="56"/>
      <c r="QZ235" s="56"/>
      <c r="RA235" s="56"/>
      <c r="RB235" s="56"/>
      <c r="RC235" s="56"/>
      <c r="RD235" s="56"/>
      <c r="RE235" s="56"/>
      <c r="RF235" s="56"/>
      <c r="RG235" s="56"/>
      <c r="RH235" s="56"/>
      <c r="RI235" s="56"/>
      <c r="RJ235" s="56"/>
      <c r="RK235" s="56"/>
      <c r="RL235" s="56"/>
      <c r="RM235" s="56"/>
      <c r="RN235" s="56"/>
      <c r="RO235" s="56"/>
      <c r="RP235" s="56"/>
      <c r="RQ235" s="56"/>
      <c r="RR235" s="56"/>
      <c r="RS235" s="56"/>
      <c r="RT235" s="56"/>
      <c r="RU235" s="56"/>
      <c r="RV235" s="56"/>
      <c r="RW235" s="56"/>
      <c r="RX235" s="56"/>
      <c r="RY235" s="56"/>
      <c r="RZ235" s="56"/>
      <c r="SA235" s="56"/>
      <c r="SB235" s="56"/>
      <c r="SC235" s="56"/>
      <c r="SD235" s="56"/>
      <c r="SE235" s="56"/>
      <c r="SF235" s="56"/>
      <c r="SG235" s="56"/>
      <c r="SH235" s="56"/>
      <c r="SI235" s="56"/>
      <c r="SJ235" s="56"/>
      <c r="SK235" s="56"/>
      <c r="SL235" s="56"/>
      <c r="SM235" s="56"/>
      <c r="SN235" s="56"/>
      <c r="SO235" s="56"/>
      <c r="SP235" s="56"/>
      <c r="SQ235" s="56"/>
      <c r="SR235" s="56"/>
    </row>
    <row r="236" spans="1:512" ht="15" customHeight="1" x14ac:dyDescent="0.7">
      <c r="A236" s="171" t="s">
        <v>344</v>
      </c>
      <c r="B236" s="171" t="s">
        <v>344</v>
      </c>
      <c r="C236" s="171" t="s">
        <v>344</v>
      </c>
      <c r="D236" s="171"/>
      <c r="E236" s="171" t="s">
        <v>344</v>
      </c>
      <c r="F236" s="171"/>
      <c r="G236" s="188" t="s">
        <v>344</v>
      </c>
      <c r="H236" s="71" t="s">
        <v>344</v>
      </c>
      <c r="I236" s="72" t="s">
        <v>344</v>
      </c>
      <c r="J236" s="73" t="s">
        <v>344</v>
      </c>
      <c r="K236" s="189" t="s">
        <v>344</v>
      </c>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4"/>
      <c r="DI236" s="54"/>
      <c r="DJ236" s="54"/>
      <c r="DK236" s="54"/>
      <c r="DL236" s="54"/>
      <c r="DM236" s="54"/>
      <c r="DN236" s="54"/>
      <c r="DO236" s="54"/>
      <c r="DP236" s="54"/>
      <c r="DQ236" s="54"/>
      <c r="DR236" s="54"/>
      <c r="DS236" s="54"/>
      <c r="DT236" s="54"/>
      <c r="DU236" s="54"/>
      <c r="DV236" s="54"/>
      <c r="DW236" s="54"/>
      <c r="DX236" s="54"/>
      <c r="DY236" s="54"/>
      <c r="DZ236" s="54"/>
      <c r="EA236" s="54"/>
      <c r="EB236" s="54"/>
      <c r="EC236" s="54"/>
      <c r="ED236" s="54"/>
      <c r="EE236" s="54"/>
      <c r="EF236" s="54"/>
      <c r="EG236" s="54"/>
      <c r="EH236" s="54"/>
      <c r="EI236" s="54"/>
      <c r="EJ236" s="54"/>
      <c r="EK236" s="54"/>
      <c r="EL236" s="54"/>
      <c r="EM236" s="54"/>
      <c r="EN236" s="54"/>
      <c r="EO236" s="54"/>
      <c r="EP236" s="54"/>
      <c r="EQ236" s="54"/>
      <c r="ER236" s="54"/>
      <c r="ES236" s="54"/>
      <c r="ET236" s="54"/>
      <c r="EU236" s="54"/>
      <c r="EV236" s="54"/>
      <c r="EW236" s="54"/>
      <c r="EX236" s="54"/>
      <c r="EY236" s="54"/>
      <c r="EZ236" s="54"/>
      <c r="FA236" s="54"/>
      <c r="FB236" s="54"/>
      <c r="FC236" s="54"/>
      <c r="FD236" s="54"/>
      <c r="FE236" s="54"/>
      <c r="FF236" s="54"/>
      <c r="FG236" s="54"/>
      <c r="FH236" s="54"/>
      <c r="FI236" s="54"/>
      <c r="FJ236" s="54"/>
      <c r="FK236" s="54"/>
      <c r="FL236" s="54"/>
      <c r="FM236" s="54"/>
      <c r="FN236" s="54"/>
      <c r="FO236" s="54"/>
      <c r="FP236" s="54"/>
      <c r="FQ236" s="54"/>
      <c r="FR236" s="54"/>
      <c r="FS236" s="54"/>
      <c r="FT236" s="54"/>
      <c r="FU236" s="54"/>
      <c r="FV236" s="54"/>
      <c r="FW236" s="54"/>
      <c r="FX236" s="54"/>
      <c r="FY236" s="54"/>
      <c r="FZ236" s="54"/>
      <c r="GA236" s="54"/>
      <c r="GB236" s="54"/>
      <c r="GC236" s="54"/>
      <c r="GD236" s="54"/>
      <c r="GE236" s="54"/>
      <c r="GF236" s="54"/>
      <c r="GG236" s="54"/>
      <c r="GH236" s="54"/>
      <c r="GI236" s="54"/>
      <c r="GJ236" s="54"/>
      <c r="GK236" s="54"/>
      <c r="GL236" s="54"/>
      <c r="GM236" s="54"/>
      <c r="GN236" s="54"/>
      <c r="GO236" s="54"/>
      <c r="GP236" s="54"/>
      <c r="GQ236" s="54"/>
      <c r="GR236" s="54"/>
      <c r="GS236" s="54"/>
      <c r="GT236" s="54"/>
      <c r="GU236" s="54"/>
      <c r="GV236" s="54"/>
      <c r="GW236" s="54"/>
      <c r="GX236" s="54"/>
      <c r="GY236" s="54"/>
      <c r="GZ236" s="54"/>
      <c r="HA236" s="54"/>
      <c r="HB236" s="54"/>
      <c r="HC236" s="54"/>
      <c r="HD236" s="54"/>
      <c r="HE236" s="54"/>
      <c r="HF236" s="54"/>
      <c r="HG236" s="54"/>
      <c r="HH236" s="54"/>
      <c r="HI236" s="54"/>
      <c r="HJ236" s="54"/>
      <c r="HK236" s="54"/>
      <c r="HL236" s="54"/>
      <c r="HM236" s="54"/>
      <c r="HN236" s="54"/>
      <c r="HO236" s="54"/>
      <c r="HP236" s="54"/>
      <c r="HQ236" s="54"/>
      <c r="HR236" s="54"/>
      <c r="HS236" s="54"/>
      <c r="HT236" s="54"/>
      <c r="HU236" s="54"/>
      <c r="HV236" s="54"/>
      <c r="HW236" s="54"/>
      <c r="HX236" s="54"/>
      <c r="HY236" s="54"/>
      <c r="HZ236" s="54"/>
      <c r="IA236" s="54"/>
      <c r="IB236" s="54"/>
      <c r="IC236" s="54"/>
      <c r="ID236" s="54"/>
      <c r="IE236" s="54"/>
      <c r="IF236" s="54"/>
      <c r="IG236" s="54"/>
      <c r="IH236" s="54"/>
      <c r="II236" s="54"/>
      <c r="IJ236" s="54"/>
      <c r="IK236" s="54"/>
      <c r="IL236" s="54"/>
      <c r="IM236" s="54"/>
      <c r="IN236" s="54"/>
      <c r="IO236" s="54"/>
      <c r="IP236" s="54"/>
      <c r="IQ236" s="54"/>
      <c r="IR236" s="54"/>
      <c r="IS236" s="54"/>
      <c r="IT236" s="54"/>
      <c r="IU236" s="54"/>
      <c r="IV236" s="54"/>
      <c r="IW236" s="54"/>
      <c r="IX236" s="54"/>
      <c r="IY236" s="54"/>
      <c r="IZ236" s="54"/>
      <c r="JA236" s="54"/>
      <c r="JB236" s="54"/>
      <c r="JC236" s="54"/>
      <c r="JD236" s="54"/>
      <c r="JE236" s="54"/>
      <c r="JF236" s="54"/>
      <c r="JG236" s="54"/>
      <c r="JH236" s="54"/>
      <c r="JI236" s="54"/>
      <c r="JJ236" s="54"/>
      <c r="JK236" s="54"/>
      <c r="JL236" s="54"/>
      <c r="JM236" s="54"/>
      <c r="JN236" s="54"/>
      <c r="JO236" s="54"/>
      <c r="JP236" s="54"/>
      <c r="JQ236" s="54"/>
      <c r="JR236" s="54"/>
      <c r="JS236" s="54"/>
      <c r="JT236" s="54"/>
      <c r="JU236" s="54"/>
      <c r="JV236" s="54"/>
      <c r="JW236" s="54"/>
      <c r="JX236" s="54"/>
      <c r="JY236" s="54"/>
      <c r="JZ236" s="54"/>
      <c r="KA236" s="54"/>
      <c r="KB236" s="54"/>
      <c r="KC236" s="54"/>
      <c r="KD236" s="54"/>
      <c r="KE236" s="54"/>
      <c r="KF236" s="54"/>
      <c r="KG236" s="54"/>
      <c r="KH236" s="54"/>
      <c r="KI236" s="54"/>
      <c r="KJ236" s="54"/>
      <c r="KK236" s="54"/>
      <c r="KL236" s="54"/>
      <c r="KM236" s="54"/>
      <c r="KN236" s="54"/>
      <c r="KO236" s="54"/>
      <c r="KP236" s="54"/>
      <c r="KQ236" s="54"/>
      <c r="KR236" s="54"/>
      <c r="KS236" s="54"/>
      <c r="KT236" s="54"/>
      <c r="KU236" s="54"/>
      <c r="KV236" s="54"/>
      <c r="KW236" s="54"/>
      <c r="KX236" s="54"/>
      <c r="KY236" s="54"/>
      <c r="KZ236" s="54"/>
      <c r="LA236" s="54"/>
      <c r="LB236" s="54"/>
      <c r="LC236" s="54"/>
      <c r="LD236" s="54"/>
      <c r="LE236" s="54"/>
      <c r="LF236" s="54"/>
      <c r="LG236" s="54"/>
      <c r="LH236" s="54"/>
      <c r="LI236" s="54"/>
      <c r="LJ236" s="54"/>
      <c r="LK236" s="54"/>
      <c r="LL236" s="54"/>
      <c r="LM236" s="54"/>
      <c r="LN236" s="54"/>
      <c r="LO236" s="54"/>
      <c r="LP236" s="54"/>
      <c r="LQ236" s="54"/>
      <c r="LR236" s="54"/>
      <c r="LS236" s="54"/>
      <c r="LT236" s="54"/>
      <c r="LU236" s="54"/>
      <c r="LV236" s="54"/>
      <c r="LW236" s="54"/>
      <c r="LX236" s="54"/>
      <c r="LY236" s="54"/>
      <c r="LZ236" s="54"/>
      <c r="MA236" s="54"/>
      <c r="MB236" s="54"/>
      <c r="MC236" s="54"/>
      <c r="MD236" s="54"/>
      <c r="ME236" s="54"/>
      <c r="MF236" s="54"/>
      <c r="MG236" s="54"/>
      <c r="MH236" s="54"/>
      <c r="MI236" s="54"/>
      <c r="MJ236" s="54"/>
      <c r="MK236" s="54"/>
      <c r="ML236" s="54"/>
      <c r="MM236" s="54"/>
      <c r="MN236" s="54"/>
      <c r="MO236" s="54"/>
      <c r="MP236" s="54"/>
      <c r="MQ236" s="54"/>
      <c r="MR236" s="54"/>
      <c r="MS236" s="54"/>
      <c r="MT236" s="54"/>
      <c r="MU236" s="54"/>
      <c r="MV236" s="54"/>
      <c r="MW236" s="54"/>
      <c r="MX236" s="54"/>
      <c r="MY236" s="54"/>
      <c r="MZ236" s="54"/>
      <c r="NA236" s="54"/>
      <c r="NB236" s="54"/>
      <c r="NC236" s="54"/>
      <c r="ND236" s="54"/>
      <c r="NE236" s="54"/>
      <c r="NF236" s="54"/>
      <c r="NG236" s="54"/>
      <c r="NH236" s="54"/>
      <c r="NI236" s="54"/>
      <c r="NJ236" s="54"/>
      <c r="NK236" s="54"/>
      <c r="NL236" s="54"/>
      <c r="NM236" s="54"/>
      <c r="NN236" s="54"/>
      <c r="NO236" s="54"/>
      <c r="NP236" s="54"/>
      <c r="NQ236" s="54"/>
      <c r="NR236" s="54"/>
      <c r="NS236" s="54"/>
      <c r="NT236" s="54"/>
      <c r="NU236" s="54"/>
      <c r="NV236" s="54"/>
      <c r="NW236" s="54"/>
      <c r="NX236" s="54"/>
      <c r="NY236" s="54"/>
      <c r="NZ236" s="54"/>
      <c r="OA236" s="54"/>
      <c r="OB236" s="54"/>
      <c r="OC236" s="54"/>
      <c r="OD236" s="54"/>
      <c r="OE236" s="54"/>
      <c r="OF236" s="54"/>
      <c r="OG236" s="54"/>
      <c r="OH236" s="54"/>
      <c r="OI236" s="54"/>
      <c r="OJ236" s="54"/>
      <c r="OK236" s="54"/>
      <c r="OL236" s="54"/>
      <c r="OM236" s="54"/>
      <c r="ON236" s="54"/>
      <c r="OO236" s="54"/>
      <c r="OP236" s="54"/>
      <c r="OQ236" s="54"/>
      <c r="OR236" s="54"/>
      <c r="OS236" s="54"/>
      <c r="OT236" s="54"/>
      <c r="OU236" s="54"/>
      <c r="OV236" s="54"/>
      <c r="OW236" s="54"/>
      <c r="OX236" s="54"/>
      <c r="OY236" s="54"/>
      <c r="OZ236" s="54"/>
      <c r="PA236" s="54"/>
      <c r="PB236" s="54"/>
      <c r="PC236" s="54"/>
      <c r="PD236" s="54"/>
      <c r="PE236" s="54"/>
      <c r="PF236" s="54"/>
      <c r="PG236" s="54"/>
      <c r="PH236" s="54"/>
      <c r="PI236" s="54"/>
      <c r="PJ236" s="54"/>
      <c r="PK236" s="54"/>
      <c r="PL236" s="54"/>
      <c r="PM236" s="54"/>
      <c r="PN236" s="54"/>
      <c r="PO236" s="54"/>
      <c r="PP236" s="54"/>
      <c r="PQ236" s="54"/>
      <c r="PR236" s="54"/>
      <c r="PS236" s="54"/>
      <c r="PT236" s="54"/>
      <c r="PU236" s="54"/>
      <c r="PV236" s="54"/>
      <c r="PW236" s="54"/>
      <c r="PX236" s="54"/>
      <c r="PY236" s="54"/>
      <c r="PZ236" s="54"/>
      <c r="QA236" s="54"/>
      <c r="QB236" s="54"/>
      <c r="QC236" s="54"/>
      <c r="QD236" s="54"/>
      <c r="QE236" s="54"/>
      <c r="QF236" s="54"/>
      <c r="QG236" s="54"/>
      <c r="QH236" s="54"/>
      <c r="QI236" s="54"/>
      <c r="QJ236" s="54"/>
      <c r="QK236" s="54"/>
      <c r="QL236" s="54"/>
      <c r="QM236" s="54"/>
      <c r="QN236" s="54"/>
      <c r="QO236" s="54"/>
      <c r="QP236" s="54"/>
      <c r="QQ236" s="54"/>
      <c r="QR236" s="54"/>
      <c r="QS236" s="54"/>
      <c r="QT236" s="54"/>
      <c r="QU236" s="54"/>
      <c r="QV236" s="54"/>
      <c r="QW236" s="54"/>
      <c r="QX236" s="54"/>
      <c r="QY236" s="54"/>
      <c r="QZ236" s="54"/>
      <c r="RA236" s="54"/>
      <c r="RB236" s="54"/>
      <c r="RC236" s="54"/>
      <c r="RD236" s="54"/>
      <c r="RE236" s="54"/>
      <c r="RF236" s="54"/>
      <c r="RG236" s="54"/>
      <c r="RH236" s="54"/>
      <c r="RI236" s="54"/>
      <c r="RJ236" s="54"/>
      <c r="RK236" s="54"/>
      <c r="RL236" s="54"/>
      <c r="RM236" s="54"/>
      <c r="RN236" s="54"/>
      <c r="RO236" s="54"/>
      <c r="RP236" s="54"/>
      <c r="RQ236" s="54"/>
      <c r="RR236" s="54"/>
      <c r="RS236" s="54"/>
      <c r="RT236" s="54"/>
      <c r="RU236" s="54"/>
      <c r="RV236" s="54"/>
      <c r="RW236" s="54"/>
      <c r="RX236" s="54"/>
      <c r="RY236" s="54"/>
      <c r="RZ236" s="54"/>
      <c r="SA236" s="54"/>
      <c r="SB236" s="54"/>
      <c r="SC236" s="54"/>
      <c r="SD236" s="54"/>
      <c r="SE236" s="54"/>
      <c r="SF236" s="54"/>
      <c r="SG236" s="54"/>
      <c r="SH236" s="54"/>
      <c r="SI236" s="54"/>
      <c r="SJ236" s="54"/>
      <c r="SK236" s="54"/>
      <c r="SL236" s="54"/>
      <c r="SM236" s="54"/>
      <c r="SN236" s="54"/>
      <c r="SO236" s="54"/>
      <c r="SP236" s="54"/>
      <c r="SQ236" s="54"/>
      <c r="SR236" s="54"/>
    </row>
    <row r="237" spans="1:512" ht="15" customHeight="1" x14ac:dyDescent="0.7">
      <c r="A237" s="172"/>
      <c r="B237" s="172"/>
      <c r="C237" s="172"/>
      <c r="D237" s="172"/>
      <c r="E237" s="172"/>
      <c r="F237" s="172"/>
      <c r="G237" s="172"/>
      <c r="I237" s="72" t="s">
        <v>344</v>
      </c>
      <c r="J237" s="73" t="s">
        <v>344</v>
      </c>
      <c r="K237" s="190"/>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4"/>
      <c r="CK237" s="54"/>
      <c r="CL237" s="54"/>
      <c r="CM237" s="54"/>
      <c r="CN237" s="54"/>
      <c r="CO237" s="54"/>
      <c r="CP237" s="54"/>
      <c r="CQ237" s="54"/>
      <c r="CR237" s="54"/>
      <c r="CS237" s="54"/>
      <c r="CT237" s="54"/>
      <c r="CU237" s="54"/>
      <c r="CV237" s="54"/>
      <c r="CW237" s="54"/>
      <c r="CX237" s="54"/>
      <c r="CY237" s="54"/>
      <c r="CZ237" s="54"/>
      <c r="DA237" s="54"/>
      <c r="DB237" s="54"/>
      <c r="DC237" s="54"/>
      <c r="DD237" s="54"/>
      <c r="DE237" s="54"/>
      <c r="DF237" s="54"/>
      <c r="DG237" s="54"/>
      <c r="DH237" s="54"/>
      <c r="DI237" s="54"/>
      <c r="DJ237" s="54"/>
      <c r="DK237" s="54"/>
      <c r="DL237" s="54"/>
      <c r="DM237" s="54"/>
      <c r="DN237" s="54"/>
      <c r="DO237" s="54"/>
      <c r="DP237" s="54"/>
      <c r="DQ237" s="54"/>
      <c r="DR237" s="54"/>
      <c r="DS237" s="54"/>
      <c r="DT237" s="54"/>
      <c r="DU237" s="54"/>
      <c r="DV237" s="54"/>
      <c r="DW237" s="54"/>
      <c r="DX237" s="54"/>
      <c r="DY237" s="54"/>
      <c r="DZ237" s="54"/>
      <c r="EA237" s="54"/>
      <c r="EB237" s="54"/>
      <c r="EC237" s="54"/>
      <c r="ED237" s="54"/>
      <c r="EE237" s="54"/>
      <c r="EF237" s="54"/>
      <c r="EG237" s="54"/>
      <c r="EH237" s="54"/>
      <c r="EI237" s="54"/>
      <c r="EJ237" s="54"/>
      <c r="EK237" s="54"/>
      <c r="EL237" s="54"/>
      <c r="EM237" s="54"/>
      <c r="EN237" s="54"/>
      <c r="EO237" s="54"/>
      <c r="EP237" s="54"/>
      <c r="EQ237" s="54"/>
      <c r="ER237" s="54"/>
      <c r="ES237" s="54"/>
      <c r="ET237" s="54"/>
      <c r="EU237" s="54"/>
      <c r="EV237" s="54"/>
      <c r="EW237" s="54"/>
      <c r="EX237" s="54"/>
      <c r="EY237" s="54"/>
      <c r="EZ237" s="54"/>
      <c r="FA237" s="54"/>
      <c r="FB237" s="54"/>
      <c r="FC237" s="54"/>
      <c r="FD237" s="54"/>
      <c r="FE237" s="54"/>
      <c r="FF237" s="54"/>
      <c r="FG237" s="54"/>
      <c r="FH237" s="54"/>
      <c r="FI237" s="54"/>
      <c r="FJ237" s="54"/>
      <c r="FK237" s="54"/>
      <c r="FL237" s="54"/>
      <c r="FM237" s="54"/>
      <c r="FN237" s="54"/>
      <c r="FO237" s="54"/>
      <c r="FP237" s="54"/>
      <c r="FQ237" s="54"/>
      <c r="FR237" s="54"/>
      <c r="FS237" s="54"/>
      <c r="FT237" s="54"/>
      <c r="FU237" s="54"/>
      <c r="FV237" s="54"/>
      <c r="FW237" s="54"/>
      <c r="FX237" s="54"/>
      <c r="FY237" s="54"/>
      <c r="FZ237" s="54"/>
      <c r="GA237" s="54"/>
      <c r="GB237" s="54"/>
      <c r="GC237" s="54"/>
      <c r="GD237" s="54"/>
      <c r="GE237" s="54"/>
      <c r="GF237" s="54"/>
      <c r="GG237" s="54"/>
      <c r="GH237" s="54"/>
      <c r="GI237" s="54"/>
      <c r="GJ237" s="54"/>
      <c r="GK237" s="54"/>
      <c r="GL237" s="54"/>
      <c r="GM237" s="54"/>
      <c r="GN237" s="54"/>
      <c r="GO237" s="54"/>
      <c r="GP237" s="54"/>
      <c r="GQ237" s="54"/>
      <c r="GR237" s="54"/>
      <c r="GS237" s="54"/>
      <c r="GT237" s="54"/>
      <c r="GU237" s="54"/>
      <c r="GV237" s="54"/>
      <c r="GW237" s="54"/>
      <c r="GX237" s="54"/>
      <c r="GY237" s="54"/>
      <c r="GZ237" s="54"/>
      <c r="HA237" s="54"/>
      <c r="HB237" s="54"/>
      <c r="HC237" s="54"/>
      <c r="HD237" s="54"/>
      <c r="HE237" s="54"/>
      <c r="HF237" s="54"/>
      <c r="HG237" s="54"/>
      <c r="HH237" s="54"/>
      <c r="HI237" s="54"/>
      <c r="HJ237" s="54"/>
      <c r="HK237" s="54"/>
      <c r="HL237" s="54"/>
      <c r="HM237" s="54"/>
      <c r="HN237" s="54"/>
      <c r="HO237" s="54"/>
      <c r="HP237" s="54"/>
      <c r="HQ237" s="54"/>
      <c r="HR237" s="54"/>
      <c r="HS237" s="54"/>
      <c r="HT237" s="54"/>
      <c r="HU237" s="54"/>
      <c r="HV237" s="54"/>
      <c r="HW237" s="54"/>
      <c r="HX237" s="54"/>
      <c r="HY237" s="54"/>
      <c r="HZ237" s="54"/>
      <c r="IA237" s="54"/>
      <c r="IB237" s="54"/>
      <c r="IC237" s="54"/>
      <c r="ID237" s="54"/>
      <c r="IE237" s="54"/>
      <c r="IF237" s="54"/>
      <c r="IG237" s="54"/>
      <c r="IH237" s="54"/>
      <c r="II237" s="54"/>
      <c r="IJ237" s="54"/>
      <c r="IK237" s="54"/>
      <c r="IL237" s="54"/>
      <c r="IM237" s="54"/>
      <c r="IN237" s="54"/>
      <c r="IO237" s="54"/>
      <c r="IP237" s="54"/>
      <c r="IQ237" s="54"/>
      <c r="IR237" s="54"/>
      <c r="IS237" s="54"/>
      <c r="IT237" s="54"/>
      <c r="IU237" s="54"/>
      <c r="IV237" s="54"/>
      <c r="IW237" s="54"/>
      <c r="IX237" s="54"/>
      <c r="IY237" s="54"/>
      <c r="IZ237" s="54"/>
      <c r="JA237" s="54"/>
      <c r="JB237" s="54"/>
      <c r="JC237" s="54"/>
      <c r="JD237" s="54"/>
      <c r="JE237" s="54"/>
      <c r="JF237" s="54"/>
      <c r="JG237" s="54"/>
      <c r="JH237" s="54"/>
      <c r="JI237" s="54"/>
      <c r="JJ237" s="54"/>
      <c r="JK237" s="54"/>
      <c r="JL237" s="54"/>
      <c r="JM237" s="54"/>
      <c r="JN237" s="54"/>
      <c r="JO237" s="54"/>
      <c r="JP237" s="54"/>
      <c r="JQ237" s="54"/>
      <c r="JR237" s="54"/>
      <c r="JS237" s="54"/>
      <c r="JT237" s="54"/>
      <c r="JU237" s="54"/>
      <c r="JV237" s="54"/>
      <c r="JW237" s="54"/>
      <c r="JX237" s="54"/>
      <c r="JY237" s="54"/>
      <c r="JZ237" s="54"/>
      <c r="KA237" s="54"/>
      <c r="KB237" s="54"/>
      <c r="KC237" s="54"/>
      <c r="KD237" s="54"/>
      <c r="KE237" s="54"/>
      <c r="KF237" s="54"/>
      <c r="KG237" s="54"/>
      <c r="KH237" s="54"/>
      <c r="KI237" s="54"/>
      <c r="KJ237" s="54"/>
      <c r="KK237" s="54"/>
      <c r="KL237" s="54"/>
      <c r="KM237" s="54"/>
      <c r="KN237" s="54"/>
      <c r="KO237" s="54"/>
      <c r="KP237" s="54"/>
      <c r="KQ237" s="54"/>
      <c r="KR237" s="54"/>
      <c r="KS237" s="54"/>
      <c r="KT237" s="54"/>
      <c r="KU237" s="54"/>
      <c r="KV237" s="54"/>
      <c r="KW237" s="54"/>
      <c r="KX237" s="54"/>
      <c r="KY237" s="54"/>
      <c r="KZ237" s="54"/>
      <c r="LA237" s="54"/>
      <c r="LB237" s="54"/>
      <c r="LC237" s="54"/>
      <c r="LD237" s="54"/>
      <c r="LE237" s="54"/>
      <c r="LF237" s="54"/>
      <c r="LG237" s="54"/>
      <c r="LH237" s="54"/>
      <c r="LI237" s="54"/>
      <c r="LJ237" s="54"/>
      <c r="LK237" s="54"/>
      <c r="LL237" s="54"/>
      <c r="LM237" s="54"/>
      <c r="LN237" s="54"/>
      <c r="LO237" s="54"/>
      <c r="LP237" s="54"/>
      <c r="LQ237" s="54"/>
      <c r="LR237" s="54"/>
      <c r="LS237" s="54"/>
      <c r="LT237" s="54"/>
      <c r="LU237" s="54"/>
      <c r="LV237" s="54"/>
      <c r="LW237" s="54"/>
      <c r="LX237" s="54"/>
      <c r="LY237" s="54"/>
      <c r="LZ237" s="54"/>
      <c r="MA237" s="54"/>
      <c r="MB237" s="54"/>
      <c r="MC237" s="54"/>
      <c r="MD237" s="54"/>
      <c r="ME237" s="54"/>
      <c r="MF237" s="54"/>
      <c r="MG237" s="54"/>
      <c r="MH237" s="54"/>
      <c r="MI237" s="54"/>
      <c r="MJ237" s="54"/>
      <c r="MK237" s="54"/>
      <c r="ML237" s="54"/>
      <c r="MM237" s="54"/>
      <c r="MN237" s="54"/>
      <c r="MO237" s="54"/>
      <c r="MP237" s="54"/>
      <c r="MQ237" s="54"/>
      <c r="MR237" s="54"/>
      <c r="MS237" s="54"/>
      <c r="MT237" s="54"/>
      <c r="MU237" s="54"/>
      <c r="MV237" s="54"/>
      <c r="MW237" s="54"/>
      <c r="MX237" s="54"/>
      <c r="MY237" s="54"/>
      <c r="MZ237" s="54"/>
      <c r="NA237" s="54"/>
      <c r="NB237" s="54"/>
      <c r="NC237" s="54"/>
      <c r="ND237" s="54"/>
      <c r="NE237" s="54"/>
      <c r="NF237" s="54"/>
      <c r="NG237" s="54"/>
      <c r="NH237" s="54"/>
      <c r="NI237" s="54"/>
      <c r="NJ237" s="54"/>
      <c r="NK237" s="54"/>
      <c r="NL237" s="54"/>
      <c r="NM237" s="54"/>
      <c r="NN237" s="54"/>
      <c r="NO237" s="54"/>
      <c r="NP237" s="54"/>
      <c r="NQ237" s="54"/>
      <c r="NR237" s="54"/>
      <c r="NS237" s="54"/>
      <c r="NT237" s="54"/>
      <c r="NU237" s="54"/>
      <c r="NV237" s="54"/>
      <c r="NW237" s="54"/>
      <c r="NX237" s="54"/>
      <c r="NY237" s="54"/>
      <c r="NZ237" s="54"/>
      <c r="OA237" s="54"/>
      <c r="OB237" s="54"/>
      <c r="OC237" s="54"/>
      <c r="OD237" s="54"/>
      <c r="OE237" s="54"/>
      <c r="OF237" s="54"/>
      <c r="OG237" s="54"/>
      <c r="OH237" s="54"/>
      <c r="OI237" s="54"/>
      <c r="OJ237" s="54"/>
      <c r="OK237" s="54"/>
      <c r="OL237" s="54"/>
      <c r="OM237" s="54"/>
      <c r="ON237" s="54"/>
      <c r="OO237" s="54"/>
      <c r="OP237" s="54"/>
      <c r="OQ237" s="54"/>
      <c r="OR237" s="54"/>
      <c r="OS237" s="54"/>
      <c r="OT237" s="54"/>
      <c r="OU237" s="54"/>
      <c r="OV237" s="54"/>
      <c r="OW237" s="54"/>
      <c r="OX237" s="54"/>
      <c r="OY237" s="54"/>
      <c r="OZ237" s="54"/>
      <c r="PA237" s="54"/>
      <c r="PB237" s="54"/>
      <c r="PC237" s="54"/>
      <c r="PD237" s="54"/>
      <c r="PE237" s="54"/>
      <c r="PF237" s="54"/>
      <c r="PG237" s="54"/>
      <c r="PH237" s="54"/>
      <c r="PI237" s="54"/>
      <c r="PJ237" s="54"/>
      <c r="PK237" s="54"/>
      <c r="PL237" s="54"/>
      <c r="PM237" s="54"/>
      <c r="PN237" s="54"/>
      <c r="PO237" s="54"/>
      <c r="PP237" s="54"/>
      <c r="PQ237" s="54"/>
      <c r="PR237" s="54"/>
      <c r="PS237" s="54"/>
      <c r="PT237" s="54"/>
      <c r="PU237" s="54"/>
      <c r="PV237" s="54"/>
      <c r="PW237" s="54"/>
      <c r="PX237" s="54"/>
      <c r="PY237" s="54"/>
      <c r="PZ237" s="54"/>
      <c r="QA237" s="54"/>
      <c r="QB237" s="54"/>
      <c r="QC237" s="54"/>
      <c r="QD237" s="54"/>
      <c r="QE237" s="54"/>
      <c r="QF237" s="54"/>
      <c r="QG237" s="54"/>
      <c r="QH237" s="54"/>
      <c r="QI237" s="54"/>
      <c r="QJ237" s="54"/>
      <c r="QK237" s="54"/>
      <c r="QL237" s="54"/>
      <c r="QM237" s="54"/>
      <c r="QN237" s="54"/>
      <c r="QO237" s="54"/>
      <c r="QP237" s="54"/>
      <c r="QQ237" s="54"/>
      <c r="QR237" s="54"/>
      <c r="QS237" s="54"/>
      <c r="QT237" s="54"/>
      <c r="QU237" s="54"/>
      <c r="QV237" s="54"/>
      <c r="QW237" s="54"/>
      <c r="QX237" s="54"/>
      <c r="QY237" s="54"/>
      <c r="QZ237" s="54"/>
      <c r="RA237" s="54"/>
      <c r="RB237" s="54"/>
      <c r="RC237" s="54"/>
      <c r="RD237" s="54"/>
      <c r="RE237" s="54"/>
      <c r="RF237" s="54"/>
      <c r="RG237" s="54"/>
      <c r="RH237" s="54"/>
      <c r="RI237" s="54"/>
      <c r="RJ237" s="54"/>
      <c r="RK237" s="54"/>
      <c r="RL237" s="54"/>
      <c r="RM237" s="54"/>
      <c r="RN237" s="54"/>
      <c r="RO237" s="54"/>
      <c r="RP237" s="54"/>
      <c r="RQ237" s="54"/>
      <c r="RR237" s="54"/>
      <c r="RS237" s="54"/>
      <c r="RT237" s="54"/>
      <c r="RU237" s="54"/>
      <c r="RV237" s="54"/>
      <c r="RW237" s="54"/>
      <c r="RX237" s="54"/>
      <c r="RY237" s="54"/>
      <c r="RZ237" s="54"/>
      <c r="SA237" s="54"/>
      <c r="SB237" s="54"/>
      <c r="SC237" s="54"/>
      <c r="SD237" s="54"/>
      <c r="SE237" s="54"/>
      <c r="SF237" s="54"/>
      <c r="SG237" s="54"/>
      <c r="SH237" s="54"/>
      <c r="SI237" s="54"/>
      <c r="SJ237" s="54"/>
      <c r="SK237" s="54"/>
      <c r="SL237" s="54"/>
      <c r="SM237" s="54"/>
      <c r="SN237" s="54"/>
      <c r="SO237" s="54"/>
      <c r="SP237" s="54"/>
      <c r="SQ237" s="54"/>
      <c r="SR237" s="54"/>
    </row>
    <row r="238" spans="1:512" s="55" customFormat="1" ht="15" customHeight="1" x14ac:dyDescent="0.7">
      <c r="A238" s="173"/>
      <c r="B238" s="173"/>
      <c r="C238" s="173"/>
      <c r="D238" s="173"/>
      <c r="E238" s="173"/>
      <c r="F238" s="173"/>
      <c r="G238" s="173"/>
      <c r="H238" s="74"/>
      <c r="I238" s="75"/>
      <c r="J238" s="76"/>
      <c r="K238" s="191"/>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c r="IX238" s="56"/>
      <c r="IY238" s="56"/>
      <c r="IZ238" s="56"/>
      <c r="JA238" s="56"/>
      <c r="JB238" s="56"/>
      <c r="JC238" s="56"/>
      <c r="JD238" s="56"/>
      <c r="JE238" s="56"/>
      <c r="JF238" s="56"/>
      <c r="JG238" s="56"/>
      <c r="JH238" s="56"/>
      <c r="JI238" s="56"/>
      <c r="JJ238" s="56"/>
      <c r="JK238" s="56"/>
      <c r="JL238" s="56"/>
      <c r="JM238" s="56"/>
      <c r="JN238" s="56"/>
      <c r="JO238" s="56"/>
      <c r="JP238" s="56"/>
      <c r="JQ238" s="56"/>
      <c r="JR238" s="56"/>
      <c r="JS238" s="56"/>
      <c r="JT238" s="56"/>
      <c r="JU238" s="56"/>
      <c r="JV238" s="56"/>
      <c r="JW238" s="56"/>
      <c r="JX238" s="56"/>
      <c r="JY238" s="56"/>
      <c r="JZ238" s="56"/>
      <c r="KA238" s="56"/>
      <c r="KB238" s="56"/>
      <c r="KC238" s="56"/>
      <c r="KD238" s="56"/>
      <c r="KE238" s="56"/>
      <c r="KF238" s="56"/>
      <c r="KG238" s="56"/>
      <c r="KH238" s="56"/>
      <c r="KI238" s="56"/>
      <c r="KJ238" s="56"/>
      <c r="KK238" s="56"/>
      <c r="KL238" s="56"/>
      <c r="KM238" s="56"/>
      <c r="KN238" s="56"/>
      <c r="KO238" s="56"/>
      <c r="KP238" s="56"/>
      <c r="KQ238" s="56"/>
      <c r="KR238" s="56"/>
      <c r="KS238" s="56"/>
      <c r="KT238" s="56"/>
      <c r="KU238" s="56"/>
      <c r="KV238" s="56"/>
      <c r="KW238" s="56"/>
      <c r="KX238" s="56"/>
      <c r="KY238" s="56"/>
      <c r="KZ238" s="56"/>
      <c r="LA238" s="56"/>
      <c r="LB238" s="56"/>
      <c r="LC238" s="56"/>
      <c r="LD238" s="56"/>
      <c r="LE238" s="56"/>
      <c r="LF238" s="56"/>
      <c r="LG238" s="56"/>
      <c r="LH238" s="56"/>
      <c r="LI238" s="56"/>
      <c r="LJ238" s="56"/>
      <c r="LK238" s="56"/>
      <c r="LL238" s="56"/>
      <c r="LM238" s="56"/>
      <c r="LN238" s="56"/>
      <c r="LO238" s="56"/>
      <c r="LP238" s="56"/>
      <c r="LQ238" s="56"/>
      <c r="LR238" s="56"/>
      <c r="LS238" s="56"/>
      <c r="LT238" s="56"/>
      <c r="LU238" s="56"/>
      <c r="LV238" s="56"/>
      <c r="LW238" s="56"/>
      <c r="LX238" s="56"/>
      <c r="LY238" s="56"/>
      <c r="LZ238" s="56"/>
      <c r="MA238" s="56"/>
      <c r="MB238" s="56"/>
      <c r="MC238" s="56"/>
      <c r="MD238" s="56"/>
      <c r="ME238" s="56"/>
      <c r="MF238" s="56"/>
      <c r="MG238" s="56"/>
      <c r="MH238" s="56"/>
      <c r="MI238" s="56"/>
      <c r="MJ238" s="56"/>
      <c r="MK238" s="56"/>
      <c r="ML238" s="56"/>
      <c r="MM238" s="56"/>
      <c r="MN238" s="56"/>
      <c r="MO238" s="56"/>
      <c r="MP238" s="56"/>
      <c r="MQ238" s="56"/>
      <c r="MR238" s="56"/>
      <c r="MS238" s="56"/>
      <c r="MT238" s="56"/>
      <c r="MU238" s="56"/>
      <c r="MV238" s="56"/>
      <c r="MW238" s="56"/>
      <c r="MX238" s="56"/>
      <c r="MY238" s="56"/>
      <c r="MZ238" s="56"/>
      <c r="NA238" s="56"/>
      <c r="NB238" s="56"/>
      <c r="NC238" s="56"/>
      <c r="ND238" s="56"/>
      <c r="NE238" s="56"/>
      <c r="NF238" s="56"/>
      <c r="NG238" s="56"/>
      <c r="NH238" s="56"/>
      <c r="NI238" s="56"/>
      <c r="NJ238" s="56"/>
      <c r="NK238" s="56"/>
      <c r="NL238" s="56"/>
      <c r="NM238" s="56"/>
      <c r="NN238" s="56"/>
      <c r="NO238" s="56"/>
      <c r="NP238" s="56"/>
      <c r="NQ238" s="56"/>
      <c r="NR238" s="56"/>
      <c r="NS238" s="56"/>
      <c r="NT238" s="56"/>
      <c r="NU238" s="56"/>
      <c r="NV238" s="56"/>
      <c r="NW238" s="56"/>
      <c r="NX238" s="56"/>
      <c r="NY238" s="56"/>
      <c r="NZ238" s="56"/>
      <c r="OA238" s="56"/>
      <c r="OB238" s="56"/>
      <c r="OC238" s="56"/>
      <c r="OD238" s="56"/>
      <c r="OE238" s="56"/>
      <c r="OF238" s="56"/>
      <c r="OG238" s="56"/>
      <c r="OH238" s="56"/>
      <c r="OI238" s="56"/>
      <c r="OJ238" s="56"/>
      <c r="OK238" s="56"/>
      <c r="OL238" s="56"/>
      <c r="OM238" s="56"/>
      <c r="ON238" s="56"/>
      <c r="OO238" s="56"/>
      <c r="OP238" s="56"/>
      <c r="OQ238" s="56"/>
      <c r="OR238" s="56"/>
      <c r="OS238" s="56"/>
      <c r="OT238" s="56"/>
      <c r="OU238" s="56"/>
      <c r="OV238" s="56"/>
      <c r="OW238" s="56"/>
      <c r="OX238" s="56"/>
      <c r="OY238" s="56"/>
      <c r="OZ238" s="56"/>
      <c r="PA238" s="56"/>
      <c r="PB238" s="56"/>
      <c r="PC238" s="56"/>
      <c r="PD238" s="56"/>
      <c r="PE238" s="56"/>
      <c r="PF238" s="56"/>
      <c r="PG238" s="56"/>
      <c r="PH238" s="56"/>
      <c r="PI238" s="56"/>
      <c r="PJ238" s="56"/>
      <c r="PK238" s="56"/>
      <c r="PL238" s="56"/>
      <c r="PM238" s="56"/>
      <c r="PN238" s="56"/>
      <c r="PO238" s="56"/>
      <c r="PP238" s="56"/>
      <c r="PQ238" s="56"/>
      <c r="PR238" s="56"/>
      <c r="PS238" s="56"/>
      <c r="PT238" s="56"/>
      <c r="PU238" s="56"/>
      <c r="PV238" s="56"/>
      <c r="PW238" s="56"/>
      <c r="PX238" s="56"/>
      <c r="PY238" s="56"/>
      <c r="PZ238" s="56"/>
      <c r="QA238" s="56"/>
      <c r="QB238" s="56"/>
      <c r="QC238" s="56"/>
      <c r="QD238" s="56"/>
      <c r="QE238" s="56"/>
      <c r="QF238" s="56"/>
      <c r="QG238" s="56"/>
      <c r="QH238" s="56"/>
      <c r="QI238" s="56"/>
      <c r="QJ238" s="56"/>
      <c r="QK238" s="56"/>
      <c r="QL238" s="56"/>
      <c r="QM238" s="56"/>
      <c r="QN238" s="56"/>
      <c r="QO238" s="56"/>
      <c r="QP238" s="56"/>
      <c r="QQ238" s="56"/>
      <c r="QR238" s="56"/>
      <c r="QS238" s="56"/>
      <c r="QT238" s="56"/>
      <c r="QU238" s="56"/>
      <c r="QV238" s="56"/>
      <c r="QW238" s="56"/>
      <c r="QX238" s="56"/>
      <c r="QY238" s="56"/>
      <c r="QZ238" s="56"/>
      <c r="RA238" s="56"/>
      <c r="RB238" s="56"/>
      <c r="RC238" s="56"/>
      <c r="RD238" s="56"/>
      <c r="RE238" s="56"/>
      <c r="RF238" s="56"/>
      <c r="RG238" s="56"/>
      <c r="RH238" s="56"/>
      <c r="RI238" s="56"/>
      <c r="RJ238" s="56"/>
      <c r="RK238" s="56"/>
      <c r="RL238" s="56"/>
      <c r="RM238" s="56"/>
      <c r="RN238" s="56"/>
      <c r="RO238" s="56"/>
      <c r="RP238" s="56"/>
      <c r="RQ238" s="56"/>
      <c r="RR238" s="56"/>
      <c r="RS238" s="56"/>
      <c r="RT238" s="56"/>
      <c r="RU238" s="56"/>
      <c r="RV238" s="56"/>
      <c r="RW238" s="56"/>
      <c r="RX238" s="56"/>
      <c r="RY238" s="56"/>
      <c r="RZ238" s="56"/>
      <c r="SA238" s="56"/>
      <c r="SB238" s="56"/>
      <c r="SC238" s="56"/>
      <c r="SD238" s="56"/>
      <c r="SE238" s="56"/>
      <c r="SF238" s="56"/>
      <c r="SG238" s="56"/>
      <c r="SH238" s="56"/>
      <c r="SI238" s="56"/>
      <c r="SJ238" s="56"/>
      <c r="SK238" s="56"/>
      <c r="SL238" s="56"/>
      <c r="SM238" s="56"/>
      <c r="SN238" s="56"/>
      <c r="SO238" s="56"/>
      <c r="SP238" s="56"/>
      <c r="SQ238" s="56"/>
      <c r="SR238" s="56"/>
    </row>
    <row r="239" spans="1:512" ht="15" customHeight="1" x14ac:dyDescent="0.7">
      <c r="A239" s="171" t="s">
        <v>344</v>
      </c>
      <c r="B239" s="171" t="s">
        <v>344</v>
      </c>
      <c r="C239" s="171" t="s">
        <v>344</v>
      </c>
      <c r="D239" s="171"/>
      <c r="E239" s="171" t="s">
        <v>344</v>
      </c>
      <c r="F239" s="171"/>
      <c r="G239" s="188" t="s">
        <v>344</v>
      </c>
      <c r="H239" s="71" t="s">
        <v>344</v>
      </c>
      <c r="I239" s="72" t="s">
        <v>344</v>
      </c>
      <c r="J239" s="73" t="s">
        <v>344</v>
      </c>
      <c r="K239" s="189" t="s">
        <v>344</v>
      </c>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c r="BU239" s="54"/>
      <c r="BV239" s="54"/>
      <c r="BW239" s="54"/>
      <c r="BX239" s="54"/>
      <c r="BY239" s="54"/>
      <c r="BZ239" s="54"/>
      <c r="CA239" s="54"/>
      <c r="CB239" s="54"/>
      <c r="CC239" s="54"/>
      <c r="CD239" s="54"/>
      <c r="CE239" s="54"/>
      <c r="CF239" s="54"/>
      <c r="CG239" s="54"/>
      <c r="CH239" s="54"/>
      <c r="CI239" s="54"/>
      <c r="CJ239" s="54"/>
      <c r="CK239" s="54"/>
      <c r="CL239" s="54"/>
      <c r="CM239" s="54"/>
      <c r="CN239" s="54"/>
      <c r="CO239" s="54"/>
      <c r="CP239" s="54"/>
      <c r="CQ239" s="54"/>
      <c r="CR239" s="54"/>
      <c r="CS239" s="54"/>
      <c r="CT239" s="54"/>
      <c r="CU239" s="54"/>
      <c r="CV239" s="54"/>
      <c r="CW239" s="54"/>
      <c r="CX239" s="54"/>
      <c r="CY239" s="54"/>
      <c r="CZ239" s="54"/>
      <c r="DA239" s="54"/>
      <c r="DB239" s="54"/>
      <c r="DC239" s="54"/>
      <c r="DD239" s="54"/>
      <c r="DE239" s="54"/>
      <c r="DF239" s="54"/>
      <c r="DG239" s="54"/>
      <c r="DH239" s="54"/>
      <c r="DI239" s="54"/>
      <c r="DJ239" s="54"/>
      <c r="DK239" s="54"/>
      <c r="DL239" s="54"/>
      <c r="DM239" s="54"/>
      <c r="DN239" s="54"/>
      <c r="DO239" s="54"/>
      <c r="DP239" s="54"/>
      <c r="DQ239" s="54"/>
      <c r="DR239" s="54"/>
      <c r="DS239" s="54"/>
      <c r="DT239" s="54"/>
      <c r="DU239" s="54"/>
      <c r="DV239" s="54"/>
      <c r="DW239" s="54"/>
      <c r="DX239" s="54"/>
      <c r="DY239" s="54"/>
      <c r="DZ239" s="54"/>
      <c r="EA239" s="54"/>
      <c r="EB239" s="54"/>
      <c r="EC239" s="54"/>
      <c r="ED239" s="54"/>
      <c r="EE239" s="54"/>
      <c r="EF239" s="54"/>
      <c r="EG239" s="54"/>
      <c r="EH239" s="54"/>
      <c r="EI239" s="54"/>
      <c r="EJ239" s="54"/>
      <c r="EK239" s="54"/>
      <c r="EL239" s="54"/>
      <c r="EM239" s="54"/>
      <c r="EN239" s="54"/>
      <c r="EO239" s="54"/>
      <c r="EP239" s="54"/>
      <c r="EQ239" s="54"/>
      <c r="ER239" s="54"/>
      <c r="ES239" s="54"/>
      <c r="ET239" s="54"/>
      <c r="EU239" s="54"/>
      <c r="EV239" s="54"/>
      <c r="EW239" s="54"/>
      <c r="EX239" s="54"/>
      <c r="EY239" s="54"/>
      <c r="EZ239" s="54"/>
      <c r="FA239" s="54"/>
      <c r="FB239" s="54"/>
      <c r="FC239" s="54"/>
      <c r="FD239" s="54"/>
      <c r="FE239" s="54"/>
      <c r="FF239" s="54"/>
      <c r="FG239" s="54"/>
      <c r="FH239" s="54"/>
      <c r="FI239" s="54"/>
      <c r="FJ239" s="54"/>
      <c r="FK239" s="54"/>
      <c r="FL239" s="54"/>
      <c r="FM239" s="54"/>
      <c r="FN239" s="54"/>
      <c r="FO239" s="54"/>
      <c r="FP239" s="54"/>
      <c r="FQ239" s="54"/>
      <c r="FR239" s="54"/>
      <c r="FS239" s="54"/>
      <c r="FT239" s="54"/>
      <c r="FU239" s="54"/>
      <c r="FV239" s="54"/>
      <c r="FW239" s="54"/>
      <c r="FX239" s="54"/>
      <c r="FY239" s="54"/>
      <c r="FZ239" s="54"/>
      <c r="GA239" s="54"/>
      <c r="GB239" s="54"/>
      <c r="GC239" s="54"/>
      <c r="GD239" s="54"/>
      <c r="GE239" s="54"/>
      <c r="GF239" s="54"/>
      <c r="GG239" s="54"/>
      <c r="GH239" s="54"/>
      <c r="GI239" s="54"/>
      <c r="GJ239" s="54"/>
      <c r="GK239" s="54"/>
      <c r="GL239" s="54"/>
      <c r="GM239" s="54"/>
      <c r="GN239" s="54"/>
      <c r="GO239" s="54"/>
      <c r="GP239" s="54"/>
      <c r="GQ239" s="54"/>
      <c r="GR239" s="54"/>
      <c r="GS239" s="54"/>
      <c r="GT239" s="54"/>
      <c r="GU239" s="54"/>
      <c r="GV239" s="54"/>
      <c r="GW239" s="54"/>
      <c r="GX239" s="54"/>
      <c r="GY239" s="54"/>
      <c r="GZ239" s="54"/>
      <c r="HA239" s="54"/>
      <c r="HB239" s="54"/>
      <c r="HC239" s="54"/>
      <c r="HD239" s="54"/>
      <c r="HE239" s="54"/>
      <c r="HF239" s="54"/>
      <c r="HG239" s="54"/>
      <c r="HH239" s="54"/>
      <c r="HI239" s="54"/>
      <c r="HJ239" s="54"/>
      <c r="HK239" s="54"/>
      <c r="HL239" s="54"/>
      <c r="HM239" s="54"/>
      <c r="HN239" s="54"/>
      <c r="HO239" s="54"/>
      <c r="HP239" s="54"/>
      <c r="HQ239" s="54"/>
      <c r="HR239" s="54"/>
      <c r="HS239" s="54"/>
      <c r="HT239" s="54"/>
      <c r="HU239" s="54"/>
      <c r="HV239" s="54"/>
      <c r="HW239" s="54"/>
      <c r="HX239" s="54"/>
      <c r="HY239" s="54"/>
      <c r="HZ239" s="54"/>
      <c r="IA239" s="54"/>
      <c r="IB239" s="54"/>
      <c r="IC239" s="54"/>
      <c r="ID239" s="54"/>
      <c r="IE239" s="54"/>
      <c r="IF239" s="54"/>
      <c r="IG239" s="54"/>
      <c r="IH239" s="54"/>
      <c r="II239" s="54"/>
      <c r="IJ239" s="54"/>
      <c r="IK239" s="54"/>
      <c r="IL239" s="54"/>
      <c r="IM239" s="54"/>
      <c r="IN239" s="54"/>
      <c r="IO239" s="54"/>
      <c r="IP239" s="54"/>
      <c r="IQ239" s="54"/>
      <c r="IR239" s="54"/>
      <c r="IS239" s="54"/>
      <c r="IT239" s="54"/>
      <c r="IU239" s="54"/>
      <c r="IV239" s="54"/>
      <c r="IW239" s="54"/>
      <c r="IX239" s="54"/>
      <c r="IY239" s="54"/>
      <c r="IZ239" s="54"/>
      <c r="JA239" s="54"/>
      <c r="JB239" s="54"/>
      <c r="JC239" s="54"/>
      <c r="JD239" s="54"/>
      <c r="JE239" s="54"/>
      <c r="JF239" s="54"/>
      <c r="JG239" s="54"/>
      <c r="JH239" s="54"/>
      <c r="JI239" s="54"/>
      <c r="JJ239" s="54"/>
      <c r="JK239" s="54"/>
      <c r="JL239" s="54"/>
      <c r="JM239" s="54"/>
      <c r="JN239" s="54"/>
      <c r="JO239" s="54"/>
      <c r="JP239" s="54"/>
      <c r="JQ239" s="54"/>
      <c r="JR239" s="54"/>
      <c r="JS239" s="54"/>
      <c r="JT239" s="54"/>
      <c r="JU239" s="54"/>
      <c r="JV239" s="54"/>
      <c r="JW239" s="54"/>
      <c r="JX239" s="54"/>
      <c r="JY239" s="54"/>
      <c r="JZ239" s="54"/>
      <c r="KA239" s="54"/>
      <c r="KB239" s="54"/>
      <c r="KC239" s="54"/>
      <c r="KD239" s="54"/>
      <c r="KE239" s="54"/>
      <c r="KF239" s="54"/>
      <c r="KG239" s="54"/>
      <c r="KH239" s="54"/>
      <c r="KI239" s="54"/>
      <c r="KJ239" s="54"/>
      <c r="KK239" s="54"/>
      <c r="KL239" s="54"/>
      <c r="KM239" s="54"/>
      <c r="KN239" s="54"/>
      <c r="KO239" s="54"/>
      <c r="KP239" s="54"/>
      <c r="KQ239" s="54"/>
      <c r="KR239" s="54"/>
      <c r="KS239" s="54"/>
      <c r="KT239" s="54"/>
      <c r="KU239" s="54"/>
      <c r="KV239" s="54"/>
      <c r="KW239" s="54"/>
      <c r="KX239" s="54"/>
      <c r="KY239" s="54"/>
      <c r="KZ239" s="54"/>
      <c r="LA239" s="54"/>
      <c r="LB239" s="54"/>
      <c r="LC239" s="54"/>
      <c r="LD239" s="54"/>
      <c r="LE239" s="54"/>
      <c r="LF239" s="54"/>
      <c r="LG239" s="54"/>
      <c r="LH239" s="54"/>
      <c r="LI239" s="54"/>
      <c r="LJ239" s="54"/>
      <c r="LK239" s="54"/>
      <c r="LL239" s="54"/>
      <c r="LM239" s="54"/>
      <c r="LN239" s="54"/>
      <c r="LO239" s="54"/>
      <c r="LP239" s="54"/>
      <c r="LQ239" s="54"/>
      <c r="LR239" s="54"/>
      <c r="LS239" s="54"/>
      <c r="LT239" s="54"/>
      <c r="LU239" s="54"/>
      <c r="LV239" s="54"/>
      <c r="LW239" s="54"/>
      <c r="LX239" s="54"/>
      <c r="LY239" s="54"/>
      <c r="LZ239" s="54"/>
      <c r="MA239" s="54"/>
      <c r="MB239" s="54"/>
      <c r="MC239" s="54"/>
      <c r="MD239" s="54"/>
      <c r="ME239" s="54"/>
      <c r="MF239" s="54"/>
      <c r="MG239" s="54"/>
      <c r="MH239" s="54"/>
      <c r="MI239" s="54"/>
      <c r="MJ239" s="54"/>
      <c r="MK239" s="54"/>
      <c r="ML239" s="54"/>
      <c r="MM239" s="54"/>
      <c r="MN239" s="54"/>
      <c r="MO239" s="54"/>
      <c r="MP239" s="54"/>
      <c r="MQ239" s="54"/>
      <c r="MR239" s="54"/>
      <c r="MS239" s="54"/>
      <c r="MT239" s="54"/>
      <c r="MU239" s="54"/>
      <c r="MV239" s="54"/>
      <c r="MW239" s="54"/>
      <c r="MX239" s="54"/>
      <c r="MY239" s="54"/>
      <c r="MZ239" s="54"/>
      <c r="NA239" s="54"/>
      <c r="NB239" s="54"/>
      <c r="NC239" s="54"/>
      <c r="ND239" s="54"/>
      <c r="NE239" s="54"/>
      <c r="NF239" s="54"/>
      <c r="NG239" s="54"/>
      <c r="NH239" s="54"/>
      <c r="NI239" s="54"/>
      <c r="NJ239" s="54"/>
      <c r="NK239" s="54"/>
      <c r="NL239" s="54"/>
      <c r="NM239" s="54"/>
      <c r="NN239" s="54"/>
      <c r="NO239" s="54"/>
      <c r="NP239" s="54"/>
      <c r="NQ239" s="54"/>
      <c r="NR239" s="54"/>
      <c r="NS239" s="54"/>
      <c r="NT239" s="54"/>
      <c r="NU239" s="54"/>
      <c r="NV239" s="54"/>
      <c r="NW239" s="54"/>
      <c r="NX239" s="54"/>
      <c r="NY239" s="54"/>
      <c r="NZ239" s="54"/>
      <c r="OA239" s="54"/>
      <c r="OB239" s="54"/>
      <c r="OC239" s="54"/>
      <c r="OD239" s="54"/>
      <c r="OE239" s="54"/>
      <c r="OF239" s="54"/>
      <c r="OG239" s="54"/>
      <c r="OH239" s="54"/>
      <c r="OI239" s="54"/>
      <c r="OJ239" s="54"/>
      <c r="OK239" s="54"/>
      <c r="OL239" s="54"/>
      <c r="OM239" s="54"/>
      <c r="ON239" s="54"/>
      <c r="OO239" s="54"/>
      <c r="OP239" s="54"/>
      <c r="OQ239" s="54"/>
      <c r="OR239" s="54"/>
      <c r="OS239" s="54"/>
      <c r="OT239" s="54"/>
      <c r="OU239" s="54"/>
      <c r="OV239" s="54"/>
      <c r="OW239" s="54"/>
      <c r="OX239" s="54"/>
      <c r="OY239" s="54"/>
      <c r="OZ239" s="54"/>
      <c r="PA239" s="54"/>
      <c r="PB239" s="54"/>
      <c r="PC239" s="54"/>
      <c r="PD239" s="54"/>
      <c r="PE239" s="54"/>
      <c r="PF239" s="54"/>
      <c r="PG239" s="54"/>
      <c r="PH239" s="54"/>
      <c r="PI239" s="54"/>
      <c r="PJ239" s="54"/>
      <c r="PK239" s="54"/>
      <c r="PL239" s="54"/>
      <c r="PM239" s="54"/>
      <c r="PN239" s="54"/>
      <c r="PO239" s="54"/>
      <c r="PP239" s="54"/>
      <c r="PQ239" s="54"/>
      <c r="PR239" s="54"/>
      <c r="PS239" s="54"/>
      <c r="PT239" s="54"/>
      <c r="PU239" s="54"/>
      <c r="PV239" s="54"/>
      <c r="PW239" s="54"/>
      <c r="PX239" s="54"/>
      <c r="PY239" s="54"/>
      <c r="PZ239" s="54"/>
      <c r="QA239" s="54"/>
      <c r="QB239" s="54"/>
      <c r="QC239" s="54"/>
      <c r="QD239" s="54"/>
      <c r="QE239" s="54"/>
      <c r="QF239" s="54"/>
      <c r="QG239" s="54"/>
      <c r="QH239" s="54"/>
      <c r="QI239" s="54"/>
      <c r="QJ239" s="54"/>
      <c r="QK239" s="54"/>
      <c r="QL239" s="54"/>
      <c r="QM239" s="54"/>
      <c r="QN239" s="54"/>
      <c r="QO239" s="54"/>
      <c r="QP239" s="54"/>
      <c r="QQ239" s="54"/>
      <c r="QR239" s="54"/>
      <c r="QS239" s="54"/>
      <c r="QT239" s="54"/>
      <c r="QU239" s="54"/>
      <c r="QV239" s="54"/>
      <c r="QW239" s="54"/>
      <c r="QX239" s="54"/>
      <c r="QY239" s="54"/>
      <c r="QZ239" s="54"/>
      <c r="RA239" s="54"/>
      <c r="RB239" s="54"/>
      <c r="RC239" s="54"/>
      <c r="RD239" s="54"/>
      <c r="RE239" s="54"/>
      <c r="RF239" s="54"/>
      <c r="RG239" s="54"/>
      <c r="RH239" s="54"/>
      <c r="RI239" s="54"/>
      <c r="RJ239" s="54"/>
      <c r="RK239" s="54"/>
      <c r="RL239" s="54"/>
      <c r="RM239" s="54"/>
      <c r="RN239" s="54"/>
      <c r="RO239" s="54"/>
      <c r="RP239" s="54"/>
      <c r="RQ239" s="54"/>
      <c r="RR239" s="54"/>
      <c r="RS239" s="54"/>
      <c r="RT239" s="54"/>
      <c r="RU239" s="54"/>
      <c r="RV239" s="54"/>
      <c r="RW239" s="54"/>
      <c r="RX239" s="54"/>
      <c r="RY239" s="54"/>
      <c r="RZ239" s="54"/>
      <c r="SA239" s="54"/>
      <c r="SB239" s="54"/>
      <c r="SC239" s="54"/>
      <c r="SD239" s="54"/>
      <c r="SE239" s="54"/>
      <c r="SF239" s="54"/>
      <c r="SG239" s="54"/>
      <c r="SH239" s="54"/>
      <c r="SI239" s="54"/>
      <c r="SJ239" s="54"/>
      <c r="SK239" s="54"/>
      <c r="SL239" s="54"/>
      <c r="SM239" s="54"/>
      <c r="SN239" s="54"/>
      <c r="SO239" s="54"/>
      <c r="SP239" s="54"/>
      <c r="SQ239" s="54"/>
      <c r="SR239" s="54"/>
    </row>
    <row r="240" spans="1:512" ht="15" customHeight="1" x14ac:dyDescent="0.7">
      <c r="A240" s="172"/>
      <c r="B240" s="172"/>
      <c r="C240" s="172"/>
      <c r="D240" s="172"/>
      <c r="E240" s="172"/>
      <c r="F240" s="172"/>
      <c r="G240" s="172"/>
      <c r="I240" s="72" t="s">
        <v>344</v>
      </c>
      <c r="J240" s="73" t="s">
        <v>344</v>
      </c>
      <c r="K240" s="190"/>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4"/>
      <c r="DI240" s="54"/>
      <c r="DJ240" s="54"/>
      <c r="DK240" s="54"/>
      <c r="DL240" s="54"/>
      <c r="DM240" s="54"/>
      <c r="DN240" s="54"/>
      <c r="DO240" s="54"/>
      <c r="DP240" s="54"/>
      <c r="DQ240" s="54"/>
      <c r="DR240" s="54"/>
      <c r="DS240" s="54"/>
      <c r="DT240" s="54"/>
      <c r="DU240" s="54"/>
      <c r="DV240" s="54"/>
      <c r="DW240" s="54"/>
      <c r="DX240" s="54"/>
      <c r="DY240" s="54"/>
      <c r="DZ240" s="54"/>
      <c r="EA240" s="54"/>
      <c r="EB240" s="54"/>
      <c r="EC240" s="54"/>
      <c r="ED240" s="54"/>
      <c r="EE240" s="54"/>
      <c r="EF240" s="54"/>
      <c r="EG240" s="54"/>
      <c r="EH240" s="54"/>
      <c r="EI240" s="54"/>
      <c r="EJ240" s="54"/>
      <c r="EK240" s="54"/>
      <c r="EL240" s="54"/>
      <c r="EM240" s="54"/>
      <c r="EN240" s="54"/>
      <c r="EO240" s="54"/>
      <c r="EP240" s="54"/>
      <c r="EQ240" s="54"/>
      <c r="ER240" s="54"/>
      <c r="ES240" s="54"/>
      <c r="ET240" s="54"/>
      <c r="EU240" s="54"/>
      <c r="EV240" s="54"/>
      <c r="EW240" s="54"/>
      <c r="EX240" s="54"/>
      <c r="EY240" s="54"/>
      <c r="EZ240" s="54"/>
      <c r="FA240" s="54"/>
      <c r="FB240" s="54"/>
      <c r="FC240" s="54"/>
      <c r="FD240" s="54"/>
      <c r="FE240" s="54"/>
      <c r="FF240" s="54"/>
      <c r="FG240" s="54"/>
      <c r="FH240" s="54"/>
      <c r="FI240" s="54"/>
      <c r="FJ240" s="54"/>
      <c r="FK240" s="54"/>
      <c r="FL240" s="54"/>
      <c r="FM240" s="54"/>
      <c r="FN240" s="54"/>
      <c r="FO240" s="54"/>
      <c r="FP240" s="54"/>
      <c r="FQ240" s="54"/>
      <c r="FR240" s="54"/>
      <c r="FS240" s="54"/>
      <c r="FT240" s="54"/>
      <c r="FU240" s="54"/>
      <c r="FV240" s="54"/>
      <c r="FW240" s="54"/>
      <c r="FX240" s="54"/>
      <c r="FY240" s="54"/>
      <c r="FZ240" s="54"/>
      <c r="GA240" s="54"/>
      <c r="GB240" s="54"/>
      <c r="GC240" s="54"/>
      <c r="GD240" s="54"/>
      <c r="GE240" s="54"/>
      <c r="GF240" s="54"/>
      <c r="GG240" s="54"/>
      <c r="GH240" s="54"/>
      <c r="GI240" s="54"/>
      <c r="GJ240" s="54"/>
      <c r="GK240" s="54"/>
      <c r="GL240" s="54"/>
      <c r="GM240" s="54"/>
      <c r="GN240" s="54"/>
      <c r="GO240" s="54"/>
      <c r="GP240" s="54"/>
      <c r="GQ240" s="54"/>
      <c r="GR240" s="54"/>
      <c r="GS240" s="54"/>
      <c r="GT240" s="54"/>
      <c r="GU240" s="54"/>
      <c r="GV240" s="54"/>
      <c r="GW240" s="54"/>
      <c r="GX240" s="54"/>
      <c r="GY240" s="54"/>
      <c r="GZ240" s="54"/>
      <c r="HA240" s="54"/>
      <c r="HB240" s="54"/>
      <c r="HC240" s="54"/>
      <c r="HD240" s="54"/>
      <c r="HE240" s="54"/>
      <c r="HF240" s="54"/>
      <c r="HG240" s="54"/>
      <c r="HH240" s="54"/>
      <c r="HI240" s="54"/>
      <c r="HJ240" s="54"/>
      <c r="HK240" s="54"/>
      <c r="HL240" s="54"/>
      <c r="HM240" s="54"/>
      <c r="HN240" s="54"/>
      <c r="HO240" s="54"/>
      <c r="HP240" s="54"/>
      <c r="HQ240" s="54"/>
      <c r="HR240" s="54"/>
      <c r="HS240" s="54"/>
      <c r="HT240" s="54"/>
      <c r="HU240" s="54"/>
      <c r="HV240" s="54"/>
      <c r="HW240" s="54"/>
      <c r="HX240" s="54"/>
      <c r="HY240" s="54"/>
      <c r="HZ240" s="54"/>
      <c r="IA240" s="54"/>
      <c r="IB240" s="54"/>
      <c r="IC240" s="54"/>
      <c r="ID240" s="54"/>
      <c r="IE240" s="54"/>
      <c r="IF240" s="54"/>
      <c r="IG240" s="54"/>
      <c r="IH240" s="54"/>
      <c r="II240" s="54"/>
      <c r="IJ240" s="54"/>
      <c r="IK240" s="54"/>
      <c r="IL240" s="54"/>
      <c r="IM240" s="54"/>
      <c r="IN240" s="54"/>
      <c r="IO240" s="54"/>
      <c r="IP240" s="54"/>
      <c r="IQ240" s="54"/>
      <c r="IR240" s="54"/>
      <c r="IS240" s="54"/>
      <c r="IT240" s="54"/>
      <c r="IU240" s="54"/>
      <c r="IV240" s="54"/>
      <c r="IW240" s="54"/>
      <c r="IX240" s="54"/>
      <c r="IY240" s="54"/>
      <c r="IZ240" s="54"/>
      <c r="JA240" s="54"/>
      <c r="JB240" s="54"/>
      <c r="JC240" s="54"/>
      <c r="JD240" s="54"/>
      <c r="JE240" s="54"/>
      <c r="JF240" s="54"/>
      <c r="JG240" s="54"/>
      <c r="JH240" s="54"/>
      <c r="JI240" s="54"/>
      <c r="JJ240" s="54"/>
      <c r="JK240" s="54"/>
      <c r="JL240" s="54"/>
      <c r="JM240" s="54"/>
      <c r="JN240" s="54"/>
      <c r="JO240" s="54"/>
      <c r="JP240" s="54"/>
      <c r="JQ240" s="54"/>
      <c r="JR240" s="54"/>
      <c r="JS240" s="54"/>
      <c r="JT240" s="54"/>
      <c r="JU240" s="54"/>
      <c r="JV240" s="54"/>
      <c r="JW240" s="54"/>
      <c r="JX240" s="54"/>
      <c r="JY240" s="54"/>
      <c r="JZ240" s="54"/>
      <c r="KA240" s="54"/>
      <c r="KB240" s="54"/>
      <c r="KC240" s="54"/>
      <c r="KD240" s="54"/>
      <c r="KE240" s="54"/>
      <c r="KF240" s="54"/>
      <c r="KG240" s="54"/>
      <c r="KH240" s="54"/>
      <c r="KI240" s="54"/>
      <c r="KJ240" s="54"/>
      <c r="KK240" s="54"/>
      <c r="KL240" s="54"/>
      <c r="KM240" s="54"/>
      <c r="KN240" s="54"/>
      <c r="KO240" s="54"/>
      <c r="KP240" s="54"/>
      <c r="KQ240" s="54"/>
      <c r="KR240" s="54"/>
      <c r="KS240" s="54"/>
      <c r="KT240" s="54"/>
      <c r="KU240" s="54"/>
      <c r="KV240" s="54"/>
      <c r="KW240" s="54"/>
      <c r="KX240" s="54"/>
      <c r="KY240" s="54"/>
      <c r="KZ240" s="54"/>
      <c r="LA240" s="54"/>
      <c r="LB240" s="54"/>
      <c r="LC240" s="54"/>
      <c r="LD240" s="54"/>
      <c r="LE240" s="54"/>
      <c r="LF240" s="54"/>
      <c r="LG240" s="54"/>
      <c r="LH240" s="54"/>
      <c r="LI240" s="54"/>
      <c r="LJ240" s="54"/>
      <c r="LK240" s="54"/>
      <c r="LL240" s="54"/>
      <c r="LM240" s="54"/>
      <c r="LN240" s="54"/>
      <c r="LO240" s="54"/>
      <c r="LP240" s="54"/>
      <c r="LQ240" s="54"/>
      <c r="LR240" s="54"/>
      <c r="LS240" s="54"/>
      <c r="LT240" s="54"/>
      <c r="LU240" s="54"/>
      <c r="LV240" s="54"/>
      <c r="LW240" s="54"/>
      <c r="LX240" s="54"/>
      <c r="LY240" s="54"/>
      <c r="LZ240" s="54"/>
      <c r="MA240" s="54"/>
      <c r="MB240" s="54"/>
      <c r="MC240" s="54"/>
      <c r="MD240" s="54"/>
      <c r="ME240" s="54"/>
      <c r="MF240" s="54"/>
      <c r="MG240" s="54"/>
      <c r="MH240" s="54"/>
      <c r="MI240" s="54"/>
      <c r="MJ240" s="54"/>
      <c r="MK240" s="54"/>
      <c r="ML240" s="54"/>
      <c r="MM240" s="54"/>
      <c r="MN240" s="54"/>
      <c r="MO240" s="54"/>
      <c r="MP240" s="54"/>
      <c r="MQ240" s="54"/>
      <c r="MR240" s="54"/>
      <c r="MS240" s="54"/>
      <c r="MT240" s="54"/>
      <c r="MU240" s="54"/>
      <c r="MV240" s="54"/>
      <c r="MW240" s="54"/>
      <c r="MX240" s="54"/>
      <c r="MY240" s="54"/>
      <c r="MZ240" s="54"/>
      <c r="NA240" s="54"/>
      <c r="NB240" s="54"/>
      <c r="NC240" s="54"/>
      <c r="ND240" s="54"/>
      <c r="NE240" s="54"/>
      <c r="NF240" s="54"/>
      <c r="NG240" s="54"/>
      <c r="NH240" s="54"/>
      <c r="NI240" s="54"/>
      <c r="NJ240" s="54"/>
      <c r="NK240" s="54"/>
      <c r="NL240" s="54"/>
      <c r="NM240" s="54"/>
      <c r="NN240" s="54"/>
      <c r="NO240" s="54"/>
      <c r="NP240" s="54"/>
      <c r="NQ240" s="54"/>
      <c r="NR240" s="54"/>
      <c r="NS240" s="54"/>
      <c r="NT240" s="54"/>
      <c r="NU240" s="54"/>
      <c r="NV240" s="54"/>
      <c r="NW240" s="54"/>
      <c r="NX240" s="54"/>
      <c r="NY240" s="54"/>
      <c r="NZ240" s="54"/>
      <c r="OA240" s="54"/>
      <c r="OB240" s="54"/>
      <c r="OC240" s="54"/>
      <c r="OD240" s="54"/>
      <c r="OE240" s="54"/>
      <c r="OF240" s="54"/>
      <c r="OG240" s="54"/>
      <c r="OH240" s="54"/>
      <c r="OI240" s="54"/>
      <c r="OJ240" s="54"/>
      <c r="OK240" s="54"/>
      <c r="OL240" s="54"/>
      <c r="OM240" s="54"/>
      <c r="ON240" s="54"/>
      <c r="OO240" s="54"/>
      <c r="OP240" s="54"/>
      <c r="OQ240" s="54"/>
      <c r="OR240" s="54"/>
      <c r="OS240" s="54"/>
      <c r="OT240" s="54"/>
      <c r="OU240" s="54"/>
      <c r="OV240" s="54"/>
      <c r="OW240" s="54"/>
      <c r="OX240" s="54"/>
      <c r="OY240" s="54"/>
      <c r="OZ240" s="54"/>
      <c r="PA240" s="54"/>
      <c r="PB240" s="54"/>
      <c r="PC240" s="54"/>
      <c r="PD240" s="54"/>
      <c r="PE240" s="54"/>
      <c r="PF240" s="54"/>
      <c r="PG240" s="54"/>
      <c r="PH240" s="54"/>
      <c r="PI240" s="54"/>
      <c r="PJ240" s="54"/>
      <c r="PK240" s="54"/>
      <c r="PL240" s="54"/>
      <c r="PM240" s="54"/>
      <c r="PN240" s="54"/>
      <c r="PO240" s="54"/>
      <c r="PP240" s="54"/>
      <c r="PQ240" s="54"/>
      <c r="PR240" s="54"/>
      <c r="PS240" s="54"/>
      <c r="PT240" s="54"/>
      <c r="PU240" s="54"/>
      <c r="PV240" s="54"/>
      <c r="PW240" s="54"/>
      <c r="PX240" s="54"/>
      <c r="PY240" s="54"/>
      <c r="PZ240" s="54"/>
      <c r="QA240" s="54"/>
      <c r="QB240" s="54"/>
      <c r="QC240" s="54"/>
      <c r="QD240" s="54"/>
      <c r="QE240" s="54"/>
      <c r="QF240" s="54"/>
      <c r="QG240" s="54"/>
      <c r="QH240" s="54"/>
      <c r="QI240" s="54"/>
      <c r="QJ240" s="54"/>
      <c r="QK240" s="54"/>
      <c r="QL240" s="54"/>
      <c r="QM240" s="54"/>
      <c r="QN240" s="54"/>
      <c r="QO240" s="54"/>
      <c r="QP240" s="54"/>
      <c r="QQ240" s="54"/>
      <c r="QR240" s="54"/>
      <c r="QS240" s="54"/>
      <c r="QT240" s="54"/>
      <c r="QU240" s="54"/>
      <c r="QV240" s="54"/>
      <c r="QW240" s="54"/>
      <c r="QX240" s="54"/>
      <c r="QY240" s="54"/>
      <c r="QZ240" s="54"/>
      <c r="RA240" s="54"/>
      <c r="RB240" s="54"/>
      <c r="RC240" s="54"/>
      <c r="RD240" s="54"/>
      <c r="RE240" s="54"/>
      <c r="RF240" s="54"/>
      <c r="RG240" s="54"/>
      <c r="RH240" s="54"/>
      <c r="RI240" s="54"/>
      <c r="RJ240" s="54"/>
      <c r="RK240" s="54"/>
      <c r="RL240" s="54"/>
      <c r="RM240" s="54"/>
      <c r="RN240" s="54"/>
      <c r="RO240" s="54"/>
      <c r="RP240" s="54"/>
      <c r="RQ240" s="54"/>
      <c r="RR240" s="54"/>
      <c r="RS240" s="54"/>
      <c r="RT240" s="54"/>
      <c r="RU240" s="54"/>
      <c r="RV240" s="54"/>
      <c r="RW240" s="54"/>
      <c r="RX240" s="54"/>
      <c r="RY240" s="54"/>
      <c r="RZ240" s="54"/>
      <c r="SA240" s="54"/>
      <c r="SB240" s="54"/>
      <c r="SC240" s="54"/>
      <c r="SD240" s="54"/>
      <c r="SE240" s="54"/>
      <c r="SF240" s="54"/>
      <c r="SG240" s="54"/>
      <c r="SH240" s="54"/>
      <c r="SI240" s="54"/>
      <c r="SJ240" s="54"/>
      <c r="SK240" s="54"/>
      <c r="SL240" s="54"/>
      <c r="SM240" s="54"/>
      <c r="SN240" s="54"/>
      <c r="SO240" s="54"/>
      <c r="SP240" s="54"/>
      <c r="SQ240" s="54"/>
      <c r="SR240" s="54"/>
    </row>
    <row r="241" spans="1:512" s="55" customFormat="1" ht="15" customHeight="1" x14ac:dyDescent="0.7">
      <c r="A241" s="173"/>
      <c r="B241" s="173"/>
      <c r="C241" s="173"/>
      <c r="D241" s="173"/>
      <c r="E241" s="173"/>
      <c r="F241" s="173"/>
      <c r="G241" s="173"/>
      <c r="H241" s="74"/>
      <c r="I241" s="75"/>
      <c r="J241" s="76"/>
      <c r="K241" s="191"/>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c r="IX241" s="56"/>
      <c r="IY241" s="56"/>
      <c r="IZ241" s="56"/>
      <c r="JA241" s="56"/>
      <c r="JB241" s="56"/>
      <c r="JC241" s="56"/>
      <c r="JD241" s="56"/>
      <c r="JE241" s="56"/>
      <c r="JF241" s="56"/>
      <c r="JG241" s="56"/>
      <c r="JH241" s="56"/>
      <c r="JI241" s="56"/>
      <c r="JJ241" s="56"/>
      <c r="JK241" s="56"/>
      <c r="JL241" s="56"/>
      <c r="JM241" s="56"/>
      <c r="JN241" s="56"/>
      <c r="JO241" s="56"/>
      <c r="JP241" s="56"/>
      <c r="JQ241" s="56"/>
      <c r="JR241" s="56"/>
      <c r="JS241" s="56"/>
      <c r="JT241" s="56"/>
      <c r="JU241" s="56"/>
      <c r="JV241" s="56"/>
      <c r="JW241" s="56"/>
      <c r="JX241" s="56"/>
      <c r="JY241" s="56"/>
      <c r="JZ241" s="56"/>
      <c r="KA241" s="56"/>
      <c r="KB241" s="56"/>
      <c r="KC241" s="56"/>
      <c r="KD241" s="56"/>
      <c r="KE241" s="56"/>
      <c r="KF241" s="56"/>
      <c r="KG241" s="56"/>
      <c r="KH241" s="56"/>
      <c r="KI241" s="56"/>
      <c r="KJ241" s="56"/>
      <c r="KK241" s="56"/>
      <c r="KL241" s="56"/>
      <c r="KM241" s="56"/>
      <c r="KN241" s="56"/>
      <c r="KO241" s="56"/>
      <c r="KP241" s="56"/>
      <c r="KQ241" s="56"/>
      <c r="KR241" s="56"/>
      <c r="KS241" s="56"/>
      <c r="KT241" s="56"/>
      <c r="KU241" s="56"/>
      <c r="KV241" s="56"/>
      <c r="KW241" s="56"/>
      <c r="KX241" s="56"/>
      <c r="KY241" s="56"/>
      <c r="KZ241" s="56"/>
      <c r="LA241" s="56"/>
      <c r="LB241" s="56"/>
      <c r="LC241" s="56"/>
      <c r="LD241" s="56"/>
      <c r="LE241" s="56"/>
      <c r="LF241" s="56"/>
      <c r="LG241" s="56"/>
      <c r="LH241" s="56"/>
      <c r="LI241" s="56"/>
      <c r="LJ241" s="56"/>
      <c r="LK241" s="56"/>
      <c r="LL241" s="56"/>
      <c r="LM241" s="56"/>
      <c r="LN241" s="56"/>
      <c r="LO241" s="56"/>
      <c r="LP241" s="56"/>
      <c r="LQ241" s="56"/>
      <c r="LR241" s="56"/>
      <c r="LS241" s="56"/>
      <c r="LT241" s="56"/>
      <c r="LU241" s="56"/>
      <c r="LV241" s="56"/>
      <c r="LW241" s="56"/>
      <c r="LX241" s="56"/>
      <c r="LY241" s="56"/>
      <c r="LZ241" s="56"/>
      <c r="MA241" s="56"/>
      <c r="MB241" s="56"/>
      <c r="MC241" s="56"/>
      <c r="MD241" s="56"/>
      <c r="ME241" s="56"/>
      <c r="MF241" s="56"/>
      <c r="MG241" s="56"/>
      <c r="MH241" s="56"/>
      <c r="MI241" s="56"/>
      <c r="MJ241" s="56"/>
      <c r="MK241" s="56"/>
      <c r="ML241" s="56"/>
      <c r="MM241" s="56"/>
      <c r="MN241" s="56"/>
      <c r="MO241" s="56"/>
      <c r="MP241" s="56"/>
      <c r="MQ241" s="56"/>
      <c r="MR241" s="56"/>
      <c r="MS241" s="56"/>
      <c r="MT241" s="56"/>
      <c r="MU241" s="56"/>
      <c r="MV241" s="56"/>
      <c r="MW241" s="56"/>
      <c r="MX241" s="56"/>
      <c r="MY241" s="56"/>
      <c r="MZ241" s="56"/>
      <c r="NA241" s="56"/>
      <c r="NB241" s="56"/>
      <c r="NC241" s="56"/>
      <c r="ND241" s="56"/>
      <c r="NE241" s="56"/>
      <c r="NF241" s="56"/>
      <c r="NG241" s="56"/>
      <c r="NH241" s="56"/>
      <c r="NI241" s="56"/>
      <c r="NJ241" s="56"/>
      <c r="NK241" s="56"/>
      <c r="NL241" s="56"/>
      <c r="NM241" s="56"/>
      <c r="NN241" s="56"/>
      <c r="NO241" s="56"/>
      <c r="NP241" s="56"/>
      <c r="NQ241" s="56"/>
      <c r="NR241" s="56"/>
      <c r="NS241" s="56"/>
      <c r="NT241" s="56"/>
      <c r="NU241" s="56"/>
      <c r="NV241" s="56"/>
      <c r="NW241" s="56"/>
      <c r="NX241" s="56"/>
      <c r="NY241" s="56"/>
      <c r="NZ241" s="56"/>
      <c r="OA241" s="56"/>
      <c r="OB241" s="56"/>
      <c r="OC241" s="56"/>
      <c r="OD241" s="56"/>
      <c r="OE241" s="56"/>
      <c r="OF241" s="56"/>
      <c r="OG241" s="56"/>
      <c r="OH241" s="56"/>
      <c r="OI241" s="56"/>
      <c r="OJ241" s="56"/>
      <c r="OK241" s="56"/>
      <c r="OL241" s="56"/>
      <c r="OM241" s="56"/>
      <c r="ON241" s="56"/>
      <c r="OO241" s="56"/>
      <c r="OP241" s="56"/>
      <c r="OQ241" s="56"/>
      <c r="OR241" s="56"/>
      <c r="OS241" s="56"/>
      <c r="OT241" s="56"/>
      <c r="OU241" s="56"/>
      <c r="OV241" s="56"/>
      <c r="OW241" s="56"/>
      <c r="OX241" s="56"/>
      <c r="OY241" s="56"/>
      <c r="OZ241" s="56"/>
      <c r="PA241" s="56"/>
      <c r="PB241" s="56"/>
      <c r="PC241" s="56"/>
      <c r="PD241" s="56"/>
      <c r="PE241" s="56"/>
      <c r="PF241" s="56"/>
      <c r="PG241" s="56"/>
      <c r="PH241" s="56"/>
      <c r="PI241" s="56"/>
      <c r="PJ241" s="56"/>
      <c r="PK241" s="56"/>
      <c r="PL241" s="56"/>
      <c r="PM241" s="56"/>
      <c r="PN241" s="56"/>
      <c r="PO241" s="56"/>
      <c r="PP241" s="56"/>
      <c r="PQ241" s="56"/>
      <c r="PR241" s="56"/>
      <c r="PS241" s="56"/>
      <c r="PT241" s="56"/>
      <c r="PU241" s="56"/>
      <c r="PV241" s="56"/>
      <c r="PW241" s="56"/>
      <c r="PX241" s="56"/>
      <c r="PY241" s="56"/>
      <c r="PZ241" s="56"/>
      <c r="QA241" s="56"/>
      <c r="QB241" s="56"/>
      <c r="QC241" s="56"/>
      <c r="QD241" s="56"/>
      <c r="QE241" s="56"/>
      <c r="QF241" s="56"/>
      <c r="QG241" s="56"/>
      <c r="QH241" s="56"/>
      <c r="QI241" s="56"/>
      <c r="QJ241" s="56"/>
      <c r="QK241" s="56"/>
      <c r="QL241" s="56"/>
      <c r="QM241" s="56"/>
      <c r="QN241" s="56"/>
      <c r="QO241" s="56"/>
      <c r="QP241" s="56"/>
      <c r="QQ241" s="56"/>
      <c r="QR241" s="56"/>
      <c r="QS241" s="56"/>
      <c r="QT241" s="56"/>
      <c r="QU241" s="56"/>
      <c r="QV241" s="56"/>
      <c r="QW241" s="56"/>
      <c r="QX241" s="56"/>
      <c r="QY241" s="56"/>
      <c r="QZ241" s="56"/>
      <c r="RA241" s="56"/>
      <c r="RB241" s="56"/>
      <c r="RC241" s="56"/>
      <c r="RD241" s="56"/>
      <c r="RE241" s="56"/>
      <c r="RF241" s="56"/>
      <c r="RG241" s="56"/>
      <c r="RH241" s="56"/>
      <c r="RI241" s="56"/>
      <c r="RJ241" s="56"/>
      <c r="RK241" s="56"/>
      <c r="RL241" s="56"/>
      <c r="RM241" s="56"/>
      <c r="RN241" s="56"/>
      <c r="RO241" s="56"/>
      <c r="RP241" s="56"/>
      <c r="RQ241" s="56"/>
      <c r="RR241" s="56"/>
      <c r="RS241" s="56"/>
      <c r="RT241" s="56"/>
      <c r="RU241" s="56"/>
      <c r="RV241" s="56"/>
      <c r="RW241" s="56"/>
      <c r="RX241" s="56"/>
      <c r="RY241" s="56"/>
      <c r="RZ241" s="56"/>
      <c r="SA241" s="56"/>
      <c r="SB241" s="56"/>
      <c r="SC241" s="56"/>
      <c r="SD241" s="56"/>
      <c r="SE241" s="56"/>
      <c r="SF241" s="56"/>
      <c r="SG241" s="56"/>
      <c r="SH241" s="56"/>
      <c r="SI241" s="56"/>
      <c r="SJ241" s="56"/>
      <c r="SK241" s="56"/>
      <c r="SL241" s="56"/>
      <c r="SM241" s="56"/>
      <c r="SN241" s="56"/>
      <c r="SO241" s="56"/>
      <c r="SP241" s="56"/>
      <c r="SQ241" s="56"/>
      <c r="SR241" s="56"/>
    </row>
    <row r="242" spans="1:512" ht="15" customHeight="1" x14ac:dyDescent="0.7">
      <c r="A242" s="171" t="s">
        <v>344</v>
      </c>
      <c r="B242" s="171" t="s">
        <v>344</v>
      </c>
      <c r="C242" s="171" t="s">
        <v>344</v>
      </c>
      <c r="D242" s="171"/>
      <c r="E242" s="171" t="s">
        <v>344</v>
      </c>
      <c r="F242" s="171"/>
      <c r="G242" s="188" t="s">
        <v>344</v>
      </c>
      <c r="H242" s="71" t="s">
        <v>344</v>
      </c>
      <c r="I242" s="72" t="s">
        <v>344</v>
      </c>
      <c r="J242" s="73" t="s">
        <v>344</v>
      </c>
      <c r="K242" s="189" t="s">
        <v>344</v>
      </c>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c r="BU242" s="54"/>
      <c r="BV242" s="54"/>
      <c r="BW242" s="54"/>
      <c r="BX242" s="54"/>
      <c r="BY242" s="54"/>
      <c r="BZ242" s="54"/>
      <c r="CA242" s="54"/>
      <c r="CB242" s="54"/>
      <c r="CC242" s="54"/>
      <c r="CD242" s="54"/>
      <c r="CE242" s="54"/>
      <c r="CF242" s="54"/>
      <c r="CG242" s="54"/>
      <c r="CH242" s="54"/>
      <c r="CI242" s="54"/>
      <c r="CJ242" s="54"/>
      <c r="CK242" s="54"/>
      <c r="CL242" s="54"/>
      <c r="CM242" s="54"/>
      <c r="CN242" s="54"/>
      <c r="CO242" s="54"/>
      <c r="CP242" s="54"/>
      <c r="CQ242" s="54"/>
      <c r="CR242" s="54"/>
      <c r="CS242" s="54"/>
      <c r="CT242" s="54"/>
      <c r="CU242" s="54"/>
      <c r="CV242" s="54"/>
      <c r="CW242" s="54"/>
      <c r="CX242" s="54"/>
      <c r="CY242" s="54"/>
      <c r="CZ242" s="54"/>
      <c r="DA242" s="54"/>
      <c r="DB242" s="54"/>
      <c r="DC242" s="54"/>
      <c r="DD242" s="54"/>
      <c r="DE242" s="54"/>
      <c r="DF242" s="54"/>
      <c r="DG242" s="54"/>
      <c r="DH242" s="54"/>
      <c r="DI242" s="54"/>
      <c r="DJ242" s="54"/>
      <c r="DK242" s="54"/>
      <c r="DL242" s="54"/>
      <c r="DM242" s="54"/>
      <c r="DN242" s="54"/>
      <c r="DO242" s="54"/>
      <c r="DP242" s="54"/>
      <c r="DQ242" s="54"/>
      <c r="DR242" s="54"/>
      <c r="DS242" s="54"/>
      <c r="DT242" s="54"/>
      <c r="DU242" s="54"/>
      <c r="DV242" s="54"/>
      <c r="DW242" s="54"/>
      <c r="DX242" s="54"/>
      <c r="DY242" s="54"/>
      <c r="DZ242" s="54"/>
      <c r="EA242" s="54"/>
      <c r="EB242" s="54"/>
      <c r="EC242" s="54"/>
      <c r="ED242" s="54"/>
      <c r="EE242" s="54"/>
      <c r="EF242" s="54"/>
      <c r="EG242" s="54"/>
      <c r="EH242" s="54"/>
      <c r="EI242" s="54"/>
      <c r="EJ242" s="54"/>
      <c r="EK242" s="54"/>
      <c r="EL242" s="54"/>
      <c r="EM242" s="54"/>
      <c r="EN242" s="54"/>
      <c r="EO242" s="54"/>
      <c r="EP242" s="54"/>
      <c r="EQ242" s="54"/>
      <c r="ER242" s="54"/>
      <c r="ES242" s="54"/>
      <c r="ET242" s="54"/>
      <c r="EU242" s="54"/>
      <c r="EV242" s="54"/>
      <c r="EW242" s="54"/>
      <c r="EX242" s="54"/>
      <c r="EY242" s="54"/>
      <c r="EZ242" s="54"/>
      <c r="FA242" s="54"/>
      <c r="FB242" s="54"/>
      <c r="FC242" s="54"/>
      <c r="FD242" s="54"/>
      <c r="FE242" s="54"/>
      <c r="FF242" s="54"/>
      <c r="FG242" s="54"/>
      <c r="FH242" s="54"/>
      <c r="FI242" s="54"/>
      <c r="FJ242" s="54"/>
      <c r="FK242" s="54"/>
      <c r="FL242" s="54"/>
      <c r="FM242" s="54"/>
      <c r="FN242" s="54"/>
      <c r="FO242" s="54"/>
      <c r="FP242" s="54"/>
      <c r="FQ242" s="54"/>
      <c r="FR242" s="54"/>
      <c r="FS242" s="54"/>
      <c r="FT242" s="54"/>
      <c r="FU242" s="54"/>
      <c r="FV242" s="54"/>
      <c r="FW242" s="54"/>
      <c r="FX242" s="54"/>
      <c r="FY242" s="54"/>
      <c r="FZ242" s="54"/>
      <c r="GA242" s="54"/>
      <c r="GB242" s="54"/>
      <c r="GC242" s="54"/>
      <c r="GD242" s="54"/>
      <c r="GE242" s="54"/>
      <c r="GF242" s="54"/>
      <c r="GG242" s="54"/>
      <c r="GH242" s="54"/>
      <c r="GI242" s="54"/>
      <c r="GJ242" s="54"/>
      <c r="GK242" s="54"/>
      <c r="GL242" s="54"/>
      <c r="GM242" s="54"/>
      <c r="GN242" s="54"/>
      <c r="GO242" s="54"/>
      <c r="GP242" s="54"/>
      <c r="GQ242" s="54"/>
      <c r="GR242" s="54"/>
      <c r="GS242" s="54"/>
      <c r="GT242" s="54"/>
      <c r="GU242" s="54"/>
      <c r="GV242" s="54"/>
      <c r="GW242" s="54"/>
      <c r="GX242" s="54"/>
      <c r="GY242" s="54"/>
      <c r="GZ242" s="54"/>
      <c r="HA242" s="54"/>
      <c r="HB242" s="54"/>
      <c r="HC242" s="54"/>
      <c r="HD242" s="54"/>
      <c r="HE242" s="54"/>
      <c r="HF242" s="54"/>
      <c r="HG242" s="54"/>
      <c r="HH242" s="54"/>
      <c r="HI242" s="54"/>
      <c r="HJ242" s="54"/>
      <c r="HK242" s="54"/>
      <c r="HL242" s="54"/>
      <c r="HM242" s="54"/>
      <c r="HN242" s="54"/>
      <c r="HO242" s="54"/>
      <c r="HP242" s="54"/>
      <c r="HQ242" s="54"/>
      <c r="HR242" s="54"/>
      <c r="HS242" s="54"/>
      <c r="HT242" s="54"/>
      <c r="HU242" s="54"/>
      <c r="HV242" s="54"/>
      <c r="HW242" s="54"/>
      <c r="HX242" s="54"/>
      <c r="HY242" s="54"/>
      <c r="HZ242" s="54"/>
      <c r="IA242" s="54"/>
      <c r="IB242" s="54"/>
      <c r="IC242" s="54"/>
      <c r="ID242" s="54"/>
      <c r="IE242" s="54"/>
      <c r="IF242" s="54"/>
      <c r="IG242" s="54"/>
      <c r="IH242" s="54"/>
      <c r="II242" s="54"/>
      <c r="IJ242" s="54"/>
      <c r="IK242" s="54"/>
      <c r="IL242" s="54"/>
      <c r="IM242" s="54"/>
      <c r="IN242" s="54"/>
      <c r="IO242" s="54"/>
      <c r="IP242" s="54"/>
      <c r="IQ242" s="54"/>
      <c r="IR242" s="54"/>
      <c r="IS242" s="54"/>
      <c r="IT242" s="54"/>
      <c r="IU242" s="54"/>
      <c r="IV242" s="54"/>
      <c r="IW242" s="54"/>
      <c r="IX242" s="54"/>
      <c r="IY242" s="54"/>
      <c r="IZ242" s="54"/>
      <c r="JA242" s="54"/>
      <c r="JB242" s="54"/>
      <c r="JC242" s="54"/>
      <c r="JD242" s="54"/>
      <c r="JE242" s="54"/>
      <c r="JF242" s="54"/>
      <c r="JG242" s="54"/>
      <c r="JH242" s="54"/>
      <c r="JI242" s="54"/>
      <c r="JJ242" s="54"/>
      <c r="JK242" s="54"/>
      <c r="JL242" s="54"/>
      <c r="JM242" s="54"/>
      <c r="JN242" s="54"/>
      <c r="JO242" s="54"/>
      <c r="JP242" s="54"/>
      <c r="JQ242" s="54"/>
      <c r="JR242" s="54"/>
      <c r="JS242" s="54"/>
      <c r="JT242" s="54"/>
      <c r="JU242" s="54"/>
      <c r="JV242" s="54"/>
      <c r="JW242" s="54"/>
      <c r="JX242" s="54"/>
      <c r="JY242" s="54"/>
      <c r="JZ242" s="54"/>
      <c r="KA242" s="54"/>
      <c r="KB242" s="54"/>
      <c r="KC242" s="54"/>
      <c r="KD242" s="54"/>
      <c r="KE242" s="54"/>
      <c r="KF242" s="54"/>
      <c r="KG242" s="54"/>
      <c r="KH242" s="54"/>
      <c r="KI242" s="54"/>
      <c r="KJ242" s="54"/>
      <c r="KK242" s="54"/>
      <c r="KL242" s="54"/>
      <c r="KM242" s="54"/>
      <c r="KN242" s="54"/>
      <c r="KO242" s="54"/>
      <c r="KP242" s="54"/>
      <c r="KQ242" s="54"/>
      <c r="KR242" s="54"/>
      <c r="KS242" s="54"/>
      <c r="KT242" s="54"/>
      <c r="KU242" s="54"/>
      <c r="KV242" s="54"/>
      <c r="KW242" s="54"/>
      <c r="KX242" s="54"/>
      <c r="KY242" s="54"/>
      <c r="KZ242" s="54"/>
      <c r="LA242" s="54"/>
      <c r="LB242" s="54"/>
      <c r="LC242" s="54"/>
      <c r="LD242" s="54"/>
      <c r="LE242" s="54"/>
      <c r="LF242" s="54"/>
      <c r="LG242" s="54"/>
      <c r="LH242" s="54"/>
      <c r="LI242" s="54"/>
      <c r="LJ242" s="54"/>
      <c r="LK242" s="54"/>
      <c r="LL242" s="54"/>
      <c r="LM242" s="54"/>
      <c r="LN242" s="54"/>
      <c r="LO242" s="54"/>
      <c r="LP242" s="54"/>
      <c r="LQ242" s="54"/>
      <c r="LR242" s="54"/>
      <c r="LS242" s="54"/>
      <c r="LT242" s="54"/>
      <c r="LU242" s="54"/>
      <c r="LV242" s="54"/>
      <c r="LW242" s="54"/>
      <c r="LX242" s="54"/>
      <c r="LY242" s="54"/>
      <c r="LZ242" s="54"/>
      <c r="MA242" s="54"/>
      <c r="MB242" s="54"/>
      <c r="MC242" s="54"/>
      <c r="MD242" s="54"/>
      <c r="ME242" s="54"/>
      <c r="MF242" s="54"/>
      <c r="MG242" s="54"/>
      <c r="MH242" s="54"/>
      <c r="MI242" s="54"/>
      <c r="MJ242" s="54"/>
      <c r="MK242" s="54"/>
      <c r="ML242" s="54"/>
      <c r="MM242" s="54"/>
      <c r="MN242" s="54"/>
      <c r="MO242" s="54"/>
      <c r="MP242" s="54"/>
      <c r="MQ242" s="54"/>
      <c r="MR242" s="54"/>
      <c r="MS242" s="54"/>
      <c r="MT242" s="54"/>
      <c r="MU242" s="54"/>
      <c r="MV242" s="54"/>
      <c r="MW242" s="54"/>
      <c r="MX242" s="54"/>
      <c r="MY242" s="54"/>
      <c r="MZ242" s="54"/>
      <c r="NA242" s="54"/>
      <c r="NB242" s="54"/>
      <c r="NC242" s="54"/>
      <c r="ND242" s="54"/>
      <c r="NE242" s="54"/>
      <c r="NF242" s="54"/>
      <c r="NG242" s="54"/>
      <c r="NH242" s="54"/>
      <c r="NI242" s="54"/>
      <c r="NJ242" s="54"/>
      <c r="NK242" s="54"/>
      <c r="NL242" s="54"/>
      <c r="NM242" s="54"/>
      <c r="NN242" s="54"/>
      <c r="NO242" s="54"/>
      <c r="NP242" s="54"/>
      <c r="NQ242" s="54"/>
      <c r="NR242" s="54"/>
      <c r="NS242" s="54"/>
      <c r="NT242" s="54"/>
      <c r="NU242" s="54"/>
      <c r="NV242" s="54"/>
      <c r="NW242" s="54"/>
      <c r="NX242" s="54"/>
      <c r="NY242" s="54"/>
      <c r="NZ242" s="54"/>
      <c r="OA242" s="54"/>
      <c r="OB242" s="54"/>
      <c r="OC242" s="54"/>
      <c r="OD242" s="54"/>
      <c r="OE242" s="54"/>
      <c r="OF242" s="54"/>
      <c r="OG242" s="54"/>
      <c r="OH242" s="54"/>
      <c r="OI242" s="54"/>
      <c r="OJ242" s="54"/>
      <c r="OK242" s="54"/>
      <c r="OL242" s="54"/>
      <c r="OM242" s="54"/>
      <c r="ON242" s="54"/>
      <c r="OO242" s="54"/>
      <c r="OP242" s="54"/>
      <c r="OQ242" s="54"/>
      <c r="OR242" s="54"/>
      <c r="OS242" s="54"/>
      <c r="OT242" s="54"/>
      <c r="OU242" s="54"/>
      <c r="OV242" s="54"/>
      <c r="OW242" s="54"/>
      <c r="OX242" s="54"/>
      <c r="OY242" s="54"/>
      <c r="OZ242" s="54"/>
      <c r="PA242" s="54"/>
      <c r="PB242" s="54"/>
      <c r="PC242" s="54"/>
      <c r="PD242" s="54"/>
      <c r="PE242" s="54"/>
      <c r="PF242" s="54"/>
      <c r="PG242" s="54"/>
      <c r="PH242" s="54"/>
      <c r="PI242" s="54"/>
      <c r="PJ242" s="54"/>
      <c r="PK242" s="54"/>
      <c r="PL242" s="54"/>
      <c r="PM242" s="54"/>
      <c r="PN242" s="54"/>
      <c r="PO242" s="54"/>
      <c r="PP242" s="54"/>
      <c r="PQ242" s="54"/>
      <c r="PR242" s="54"/>
      <c r="PS242" s="54"/>
      <c r="PT242" s="54"/>
      <c r="PU242" s="54"/>
      <c r="PV242" s="54"/>
      <c r="PW242" s="54"/>
      <c r="PX242" s="54"/>
      <c r="PY242" s="54"/>
      <c r="PZ242" s="54"/>
      <c r="QA242" s="54"/>
      <c r="QB242" s="54"/>
      <c r="QC242" s="54"/>
      <c r="QD242" s="54"/>
      <c r="QE242" s="54"/>
      <c r="QF242" s="54"/>
      <c r="QG242" s="54"/>
      <c r="QH242" s="54"/>
      <c r="QI242" s="54"/>
      <c r="QJ242" s="54"/>
      <c r="QK242" s="54"/>
      <c r="QL242" s="54"/>
      <c r="QM242" s="54"/>
      <c r="QN242" s="54"/>
      <c r="QO242" s="54"/>
      <c r="QP242" s="54"/>
      <c r="QQ242" s="54"/>
      <c r="QR242" s="54"/>
      <c r="QS242" s="54"/>
      <c r="QT242" s="54"/>
      <c r="QU242" s="54"/>
      <c r="QV242" s="54"/>
      <c r="QW242" s="54"/>
      <c r="QX242" s="54"/>
      <c r="QY242" s="54"/>
      <c r="QZ242" s="54"/>
      <c r="RA242" s="54"/>
      <c r="RB242" s="54"/>
      <c r="RC242" s="54"/>
      <c r="RD242" s="54"/>
      <c r="RE242" s="54"/>
      <c r="RF242" s="54"/>
      <c r="RG242" s="54"/>
      <c r="RH242" s="54"/>
      <c r="RI242" s="54"/>
      <c r="RJ242" s="54"/>
      <c r="RK242" s="54"/>
      <c r="RL242" s="54"/>
      <c r="RM242" s="54"/>
      <c r="RN242" s="54"/>
      <c r="RO242" s="54"/>
      <c r="RP242" s="54"/>
      <c r="RQ242" s="54"/>
      <c r="RR242" s="54"/>
      <c r="RS242" s="54"/>
      <c r="RT242" s="54"/>
      <c r="RU242" s="54"/>
      <c r="RV242" s="54"/>
      <c r="RW242" s="54"/>
      <c r="RX242" s="54"/>
      <c r="RY242" s="54"/>
      <c r="RZ242" s="54"/>
      <c r="SA242" s="54"/>
      <c r="SB242" s="54"/>
      <c r="SC242" s="54"/>
      <c r="SD242" s="54"/>
      <c r="SE242" s="54"/>
      <c r="SF242" s="54"/>
      <c r="SG242" s="54"/>
      <c r="SH242" s="54"/>
      <c r="SI242" s="54"/>
      <c r="SJ242" s="54"/>
      <c r="SK242" s="54"/>
      <c r="SL242" s="54"/>
      <c r="SM242" s="54"/>
      <c r="SN242" s="54"/>
      <c r="SO242" s="54"/>
      <c r="SP242" s="54"/>
      <c r="SQ242" s="54"/>
      <c r="SR242" s="54"/>
    </row>
    <row r="243" spans="1:512" ht="15" customHeight="1" x14ac:dyDescent="0.7">
      <c r="A243" s="172"/>
      <c r="B243" s="172"/>
      <c r="C243" s="172"/>
      <c r="D243" s="172"/>
      <c r="E243" s="172"/>
      <c r="F243" s="172"/>
      <c r="G243" s="172"/>
      <c r="I243" s="72" t="s">
        <v>344</v>
      </c>
      <c r="J243" s="73" t="s">
        <v>344</v>
      </c>
      <c r="K243" s="190"/>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4"/>
      <c r="CK243" s="54"/>
      <c r="CL243" s="54"/>
      <c r="CM243" s="54"/>
      <c r="CN243" s="54"/>
      <c r="CO243" s="54"/>
      <c r="CP243" s="54"/>
      <c r="CQ243" s="54"/>
      <c r="CR243" s="54"/>
      <c r="CS243" s="54"/>
      <c r="CT243" s="54"/>
      <c r="CU243" s="54"/>
      <c r="CV243" s="54"/>
      <c r="CW243" s="54"/>
      <c r="CX243" s="54"/>
      <c r="CY243" s="54"/>
      <c r="CZ243" s="54"/>
      <c r="DA243" s="54"/>
      <c r="DB243" s="54"/>
      <c r="DC243" s="54"/>
      <c r="DD243" s="54"/>
      <c r="DE243" s="54"/>
      <c r="DF243" s="54"/>
      <c r="DG243" s="54"/>
      <c r="DH243" s="54"/>
      <c r="DI243" s="54"/>
      <c r="DJ243" s="54"/>
      <c r="DK243" s="54"/>
      <c r="DL243" s="54"/>
      <c r="DM243" s="54"/>
      <c r="DN243" s="54"/>
      <c r="DO243" s="54"/>
      <c r="DP243" s="54"/>
      <c r="DQ243" s="54"/>
      <c r="DR243" s="54"/>
      <c r="DS243" s="54"/>
      <c r="DT243" s="54"/>
      <c r="DU243" s="54"/>
      <c r="DV243" s="54"/>
      <c r="DW243" s="54"/>
      <c r="DX243" s="54"/>
      <c r="DY243" s="54"/>
      <c r="DZ243" s="54"/>
      <c r="EA243" s="54"/>
      <c r="EB243" s="54"/>
      <c r="EC243" s="54"/>
      <c r="ED243" s="54"/>
      <c r="EE243" s="54"/>
      <c r="EF243" s="54"/>
      <c r="EG243" s="54"/>
      <c r="EH243" s="54"/>
      <c r="EI243" s="54"/>
      <c r="EJ243" s="54"/>
      <c r="EK243" s="54"/>
      <c r="EL243" s="54"/>
      <c r="EM243" s="54"/>
      <c r="EN243" s="54"/>
      <c r="EO243" s="54"/>
      <c r="EP243" s="54"/>
      <c r="EQ243" s="54"/>
      <c r="ER243" s="54"/>
      <c r="ES243" s="54"/>
      <c r="ET243" s="54"/>
      <c r="EU243" s="54"/>
      <c r="EV243" s="54"/>
      <c r="EW243" s="54"/>
      <c r="EX243" s="54"/>
      <c r="EY243" s="54"/>
      <c r="EZ243" s="54"/>
      <c r="FA243" s="54"/>
      <c r="FB243" s="54"/>
      <c r="FC243" s="54"/>
      <c r="FD243" s="54"/>
      <c r="FE243" s="54"/>
      <c r="FF243" s="54"/>
      <c r="FG243" s="54"/>
      <c r="FH243" s="54"/>
      <c r="FI243" s="54"/>
      <c r="FJ243" s="54"/>
      <c r="FK243" s="54"/>
      <c r="FL243" s="54"/>
      <c r="FM243" s="54"/>
      <c r="FN243" s="54"/>
      <c r="FO243" s="54"/>
      <c r="FP243" s="54"/>
      <c r="FQ243" s="54"/>
      <c r="FR243" s="54"/>
      <c r="FS243" s="54"/>
      <c r="FT243" s="54"/>
      <c r="FU243" s="54"/>
      <c r="FV243" s="54"/>
      <c r="FW243" s="54"/>
      <c r="FX243" s="54"/>
      <c r="FY243" s="54"/>
      <c r="FZ243" s="54"/>
      <c r="GA243" s="54"/>
      <c r="GB243" s="54"/>
      <c r="GC243" s="54"/>
      <c r="GD243" s="54"/>
      <c r="GE243" s="54"/>
      <c r="GF243" s="54"/>
      <c r="GG243" s="54"/>
      <c r="GH243" s="54"/>
      <c r="GI243" s="54"/>
      <c r="GJ243" s="54"/>
      <c r="GK243" s="54"/>
      <c r="GL243" s="54"/>
      <c r="GM243" s="54"/>
      <c r="GN243" s="54"/>
      <c r="GO243" s="54"/>
      <c r="GP243" s="54"/>
      <c r="GQ243" s="54"/>
      <c r="GR243" s="54"/>
      <c r="GS243" s="54"/>
      <c r="GT243" s="54"/>
      <c r="GU243" s="54"/>
      <c r="GV243" s="54"/>
      <c r="GW243" s="54"/>
      <c r="GX243" s="54"/>
      <c r="GY243" s="54"/>
      <c r="GZ243" s="54"/>
      <c r="HA243" s="54"/>
      <c r="HB243" s="54"/>
      <c r="HC243" s="54"/>
      <c r="HD243" s="54"/>
      <c r="HE243" s="54"/>
      <c r="HF243" s="54"/>
      <c r="HG243" s="54"/>
      <c r="HH243" s="54"/>
      <c r="HI243" s="54"/>
      <c r="HJ243" s="54"/>
      <c r="HK243" s="54"/>
      <c r="HL243" s="54"/>
      <c r="HM243" s="54"/>
      <c r="HN243" s="54"/>
      <c r="HO243" s="54"/>
      <c r="HP243" s="54"/>
      <c r="HQ243" s="54"/>
      <c r="HR243" s="54"/>
      <c r="HS243" s="54"/>
      <c r="HT243" s="54"/>
      <c r="HU243" s="54"/>
      <c r="HV243" s="54"/>
      <c r="HW243" s="54"/>
      <c r="HX243" s="54"/>
      <c r="HY243" s="54"/>
      <c r="HZ243" s="54"/>
      <c r="IA243" s="54"/>
      <c r="IB243" s="54"/>
      <c r="IC243" s="54"/>
      <c r="ID243" s="54"/>
      <c r="IE243" s="54"/>
      <c r="IF243" s="54"/>
      <c r="IG243" s="54"/>
      <c r="IH243" s="54"/>
      <c r="II243" s="54"/>
      <c r="IJ243" s="54"/>
      <c r="IK243" s="54"/>
      <c r="IL243" s="54"/>
      <c r="IM243" s="54"/>
      <c r="IN243" s="54"/>
      <c r="IO243" s="54"/>
      <c r="IP243" s="54"/>
      <c r="IQ243" s="54"/>
      <c r="IR243" s="54"/>
      <c r="IS243" s="54"/>
      <c r="IT243" s="54"/>
      <c r="IU243" s="54"/>
      <c r="IV243" s="54"/>
      <c r="IW243" s="54"/>
      <c r="IX243" s="54"/>
      <c r="IY243" s="54"/>
      <c r="IZ243" s="54"/>
      <c r="JA243" s="54"/>
      <c r="JB243" s="54"/>
      <c r="JC243" s="54"/>
      <c r="JD243" s="54"/>
      <c r="JE243" s="54"/>
      <c r="JF243" s="54"/>
      <c r="JG243" s="54"/>
      <c r="JH243" s="54"/>
      <c r="JI243" s="54"/>
      <c r="JJ243" s="54"/>
      <c r="JK243" s="54"/>
      <c r="JL243" s="54"/>
      <c r="JM243" s="54"/>
      <c r="JN243" s="54"/>
      <c r="JO243" s="54"/>
      <c r="JP243" s="54"/>
      <c r="JQ243" s="54"/>
      <c r="JR243" s="54"/>
      <c r="JS243" s="54"/>
      <c r="JT243" s="54"/>
      <c r="JU243" s="54"/>
      <c r="JV243" s="54"/>
      <c r="JW243" s="54"/>
      <c r="JX243" s="54"/>
      <c r="JY243" s="54"/>
      <c r="JZ243" s="54"/>
      <c r="KA243" s="54"/>
      <c r="KB243" s="54"/>
      <c r="KC243" s="54"/>
      <c r="KD243" s="54"/>
      <c r="KE243" s="54"/>
      <c r="KF243" s="54"/>
      <c r="KG243" s="54"/>
      <c r="KH243" s="54"/>
      <c r="KI243" s="54"/>
      <c r="KJ243" s="54"/>
      <c r="KK243" s="54"/>
      <c r="KL243" s="54"/>
      <c r="KM243" s="54"/>
      <c r="KN243" s="54"/>
      <c r="KO243" s="54"/>
      <c r="KP243" s="54"/>
      <c r="KQ243" s="54"/>
      <c r="KR243" s="54"/>
      <c r="KS243" s="54"/>
      <c r="KT243" s="54"/>
      <c r="KU243" s="54"/>
      <c r="KV243" s="54"/>
      <c r="KW243" s="54"/>
      <c r="KX243" s="54"/>
      <c r="KY243" s="54"/>
      <c r="KZ243" s="54"/>
      <c r="LA243" s="54"/>
      <c r="LB243" s="54"/>
      <c r="LC243" s="54"/>
      <c r="LD243" s="54"/>
      <c r="LE243" s="54"/>
      <c r="LF243" s="54"/>
      <c r="LG243" s="54"/>
      <c r="LH243" s="54"/>
      <c r="LI243" s="54"/>
      <c r="LJ243" s="54"/>
      <c r="LK243" s="54"/>
      <c r="LL243" s="54"/>
      <c r="LM243" s="54"/>
      <c r="LN243" s="54"/>
      <c r="LO243" s="54"/>
      <c r="LP243" s="54"/>
      <c r="LQ243" s="54"/>
      <c r="LR243" s="54"/>
      <c r="LS243" s="54"/>
      <c r="LT243" s="54"/>
      <c r="LU243" s="54"/>
      <c r="LV243" s="54"/>
      <c r="LW243" s="54"/>
      <c r="LX243" s="54"/>
      <c r="LY243" s="54"/>
      <c r="LZ243" s="54"/>
      <c r="MA243" s="54"/>
      <c r="MB243" s="54"/>
      <c r="MC243" s="54"/>
      <c r="MD243" s="54"/>
      <c r="ME243" s="54"/>
      <c r="MF243" s="54"/>
      <c r="MG243" s="54"/>
      <c r="MH243" s="54"/>
      <c r="MI243" s="54"/>
      <c r="MJ243" s="54"/>
      <c r="MK243" s="54"/>
      <c r="ML243" s="54"/>
      <c r="MM243" s="54"/>
      <c r="MN243" s="54"/>
      <c r="MO243" s="54"/>
      <c r="MP243" s="54"/>
      <c r="MQ243" s="54"/>
      <c r="MR243" s="54"/>
      <c r="MS243" s="54"/>
      <c r="MT243" s="54"/>
      <c r="MU243" s="54"/>
      <c r="MV243" s="54"/>
      <c r="MW243" s="54"/>
      <c r="MX243" s="54"/>
      <c r="MY243" s="54"/>
      <c r="MZ243" s="54"/>
      <c r="NA243" s="54"/>
      <c r="NB243" s="54"/>
      <c r="NC243" s="54"/>
      <c r="ND243" s="54"/>
      <c r="NE243" s="54"/>
      <c r="NF243" s="54"/>
      <c r="NG243" s="54"/>
      <c r="NH243" s="54"/>
      <c r="NI243" s="54"/>
      <c r="NJ243" s="54"/>
      <c r="NK243" s="54"/>
      <c r="NL243" s="54"/>
      <c r="NM243" s="54"/>
      <c r="NN243" s="54"/>
      <c r="NO243" s="54"/>
      <c r="NP243" s="54"/>
      <c r="NQ243" s="54"/>
      <c r="NR243" s="54"/>
      <c r="NS243" s="54"/>
      <c r="NT243" s="54"/>
      <c r="NU243" s="54"/>
      <c r="NV243" s="54"/>
      <c r="NW243" s="54"/>
      <c r="NX243" s="54"/>
      <c r="NY243" s="54"/>
      <c r="NZ243" s="54"/>
      <c r="OA243" s="54"/>
      <c r="OB243" s="54"/>
      <c r="OC243" s="54"/>
      <c r="OD243" s="54"/>
      <c r="OE243" s="54"/>
      <c r="OF243" s="54"/>
      <c r="OG243" s="54"/>
      <c r="OH243" s="54"/>
      <c r="OI243" s="54"/>
      <c r="OJ243" s="54"/>
      <c r="OK243" s="54"/>
      <c r="OL243" s="54"/>
      <c r="OM243" s="54"/>
      <c r="ON243" s="54"/>
      <c r="OO243" s="54"/>
      <c r="OP243" s="54"/>
      <c r="OQ243" s="54"/>
      <c r="OR243" s="54"/>
      <c r="OS243" s="54"/>
      <c r="OT243" s="54"/>
      <c r="OU243" s="54"/>
      <c r="OV243" s="54"/>
      <c r="OW243" s="54"/>
      <c r="OX243" s="54"/>
      <c r="OY243" s="54"/>
      <c r="OZ243" s="54"/>
      <c r="PA243" s="54"/>
      <c r="PB243" s="54"/>
      <c r="PC243" s="54"/>
      <c r="PD243" s="54"/>
      <c r="PE243" s="54"/>
      <c r="PF243" s="54"/>
      <c r="PG243" s="54"/>
      <c r="PH243" s="54"/>
      <c r="PI243" s="54"/>
      <c r="PJ243" s="54"/>
      <c r="PK243" s="54"/>
      <c r="PL243" s="54"/>
      <c r="PM243" s="54"/>
      <c r="PN243" s="54"/>
      <c r="PO243" s="54"/>
      <c r="PP243" s="54"/>
      <c r="PQ243" s="54"/>
      <c r="PR243" s="54"/>
      <c r="PS243" s="54"/>
      <c r="PT243" s="54"/>
      <c r="PU243" s="54"/>
      <c r="PV243" s="54"/>
      <c r="PW243" s="54"/>
      <c r="PX243" s="54"/>
      <c r="PY243" s="54"/>
      <c r="PZ243" s="54"/>
      <c r="QA243" s="54"/>
      <c r="QB243" s="54"/>
      <c r="QC243" s="54"/>
      <c r="QD243" s="54"/>
      <c r="QE243" s="54"/>
      <c r="QF243" s="54"/>
      <c r="QG243" s="54"/>
      <c r="QH243" s="54"/>
      <c r="QI243" s="54"/>
      <c r="QJ243" s="54"/>
      <c r="QK243" s="54"/>
      <c r="QL243" s="54"/>
      <c r="QM243" s="54"/>
      <c r="QN243" s="54"/>
      <c r="QO243" s="54"/>
      <c r="QP243" s="54"/>
      <c r="QQ243" s="54"/>
      <c r="QR243" s="54"/>
      <c r="QS243" s="54"/>
      <c r="QT243" s="54"/>
      <c r="QU243" s="54"/>
      <c r="QV243" s="54"/>
      <c r="QW243" s="54"/>
      <c r="QX243" s="54"/>
      <c r="QY243" s="54"/>
      <c r="QZ243" s="54"/>
      <c r="RA243" s="54"/>
      <c r="RB243" s="54"/>
      <c r="RC243" s="54"/>
      <c r="RD243" s="54"/>
      <c r="RE243" s="54"/>
      <c r="RF243" s="54"/>
      <c r="RG243" s="54"/>
      <c r="RH243" s="54"/>
      <c r="RI243" s="54"/>
      <c r="RJ243" s="54"/>
      <c r="RK243" s="54"/>
      <c r="RL243" s="54"/>
      <c r="RM243" s="54"/>
      <c r="RN243" s="54"/>
      <c r="RO243" s="54"/>
      <c r="RP243" s="54"/>
      <c r="RQ243" s="54"/>
      <c r="RR243" s="54"/>
      <c r="RS243" s="54"/>
      <c r="RT243" s="54"/>
      <c r="RU243" s="54"/>
      <c r="RV243" s="54"/>
      <c r="RW243" s="54"/>
      <c r="RX243" s="54"/>
      <c r="RY243" s="54"/>
      <c r="RZ243" s="54"/>
      <c r="SA243" s="54"/>
      <c r="SB243" s="54"/>
      <c r="SC243" s="54"/>
      <c r="SD243" s="54"/>
      <c r="SE243" s="54"/>
      <c r="SF243" s="54"/>
      <c r="SG243" s="54"/>
      <c r="SH243" s="54"/>
      <c r="SI243" s="54"/>
      <c r="SJ243" s="54"/>
      <c r="SK243" s="54"/>
      <c r="SL243" s="54"/>
      <c r="SM243" s="54"/>
      <c r="SN243" s="54"/>
      <c r="SO243" s="54"/>
      <c r="SP243" s="54"/>
      <c r="SQ243" s="54"/>
      <c r="SR243" s="54"/>
    </row>
    <row r="244" spans="1:512" s="55" customFormat="1" ht="15" customHeight="1" x14ac:dyDescent="0.7">
      <c r="A244" s="173"/>
      <c r="B244" s="173"/>
      <c r="C244" s="173"/>
      <c r="D244" s="173"/>
      <c r="E244" s="173"/>
      <c r="F244" s="173"/>
      <c r="G244" s="173"/>
      <c r="H244" s="74"/>
      <c r="I244" s="75"/>
      <c r="J244" s="76"/>
      <c r="K244" s="191"/>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c r="IX244" s="56"/>
      <c r="IY244" s="56"/>
      <c r="IZ244" s="56"/>
      <c r="JA244" s="56"/>
      <c r="JB244" s="56"/>
      <c r="JC244" s="56"/>
      <c r="JD244" s="56"/>
      <c r="JE244" s="56"/>
      <c r="JF244" s="56"/>
      <c r="JG244" s="56"/>
      <c r="JH244" s="56"/>
      <c r="JI244" s="56"/>
      <c r="JJ244" s="56"/>
      <c r="JK244" s="56"/>
      <c r="JL244" s="56"/>
      <c r="JM244" s="56"/>
      <c r="JN244" s="56"/>
      <c r="JO244" s="56"/>
      <c r="JP244" s="56"/>
      <c r="JQ244" s="56"/>
      <c r="JR244" s="56"/>
      <c r="JS244" s="56"/>
      <c r="JT244" s="56"/>
      <c r="JU244" s="56"/>
      <c r="JV244" s="56"/>
      <c r="JW244" s="56"/>
      <c r="JX244" s="56"/>
      <c r="JY244" s="56"/>
      <c r="JZ244" s="56"/>
      <c r="KA244" s="56"/>
      <c r="KB244" s="56"/>
      <c r="KC244" s="56"/>
      <c r="KD244" s="56"/>
      <c r="KE244" s="56"/>
      <c r="KF244" s="56"/>
      <c r="KG244" s="56"/>
      <c r="KH244" s="56"/>
      <c r="KI244" s="56"/>
      <c r="KJ244" s="56"/>
      <c r="KK244" s="56"/>
      <c r="KL244" s="56"/>
      <c r="KM244" s="56"/>
      <c r="KN244" s="56"/>
      <c r="KO244" s="56"/>
      <c r="KP244" s="56"/>
      <c r="KQ244" s="56"/>
      <c r="KR244" s="56"/>
      <c r="KS244" s="56"/>
      <c r="KT244" s="56"/>
      <c r="KU244" s="56"/>
      <c r="KV244" s="56"/>
      <c r="KW244" s="56"/>
      <c r="KX244" s="56"/>
      <c r="KY244" s="56"/>
      <c r="KZ244" s="56"/>
      <c r="LA244" s="56"/>
      <c r="LB244" s="56"/>
      <c r="LC244" s="56"/>
      <c r="LD244" s="56"/>
      <c r="LE244" s="56"/>
      <c r="LF244" s="56"/>
      <c r="LG244" s="56"/>
      <c r="LH244" s="56"/>
      <c r="LI244" s="56"/>
      <c r="LJ244" s="56"/>
      <c r="LK244" s="56"/>
      <c r="LL244" s="56"/>
      <c r="LM244" s="56"/>
      <c r="LN244" s="56"/>
      <c r="LO244" s="56"/>
      <c r="LP244" s="56"/>
      <c r="LQ244" s="56"/>
      <c r="LR244" s="56"/>
      <c r="LS244" s="56"/>
      <c r="LT244" s="56"/>
      <c r="LU244" s="56"/>
      <c r="LV244" s="56"/>
      <c r="LW244" s="56"/>
      <c r="LX244" s="56"/>
      <c r="LY244" s="56"/>
      <c r="LZ244" s="56"/>
      <c r="MA244" s="56"/>
      <c r="MB244" s="56"/>
      <c r="MC244" s="56"/>
      <c r="MD244" s="56"/>
      <c r="ME244" s="56"/>
      <c r="MF244" s="56"/>
      <c r="MG244" s="56"/>
      <c r="MH244" s="56"/>
      <c r="MI244" s="56"/>
      <c r="MJ244" s="56"/>
      <c r="MK244" s="56"/>
      <c r="ML244" s="56"/>
      <c r="MM244" s="56"/>
      <c r="MN244" s="56"/>
      <c r="MO244" s="56"/>
      <c r="MP244" s="56"/>
      <c r="MQ244" s="56"/>
      <c r="MR244" s="56"/>
      <c r="MS244" s="56"/>
      <c r="MT244" s="56"/>
      <c r="MU244" s="56"/>
      <c r="MV244" s="56"/>
      <c r="MW244" s="56"/>
      <c r="MX244" s="56"/>
      <c r="MY244" s="56"/>
      <c r="MZ244" s="56"/>
      <c r="NA244" s="56"/>
      <c r="NB244" s="56"/>
      <c r="NC244" s="56"/>
      <c r="ND244" s="56"/>
      <c r="NE244" s="56"/>
      <c r="NF244" s="56"/>
      <c r="NG244" s="56"/>
      <c r="NH244" s="56"/>
      <c r="NI244" s="56"/>
      <c r="NJ244" s="56"/>
      <c r="NK244" s="56"/>
      <c r="NL244" s="56"/>
      <c r="NM244" s="56"/>
      <c r="NN244" s="56"/>
      <c r="NO244" s="56"/>
      <c r="NP244" s="56"/>
      <c r="NQ244" s="56"/>
      <c r="NR244" s="56"/>
      <c r="NS244" s="56"/>
      <c r="NT244" s="56"/>
      <c r="NU244" s="56"/>
      <c r="NV244" s="56"/>
      <c r="NW244" s="56"/>
      <c r="NX244" s="56"/>
      <c r="NY244" s="56"/>
      <c r="NZ244" s="56"/>
      <c r="OA244" s="56"/>
      <c r="OB244" s="56"/>
      <c r="OC244" s="56"/>
      <c r="OD244" s="56"/>
      <c r="OE244" s="56"/>
      <c r="OF244" s="56"/>
      <c r="OG244" s="56"/>
      <c r="OH244" s="56"/>
      <c r="OI244" s="56"/>
      <c r="OJ244" s="56"/>
      <c r="OK244" s="56"/>
      <c r="OL244" s="56"/>
      <c r="OM244" s="56"/>
      <c r="ON244" s="56"/>
      <c r="OO244" s="56"/>
      <c r="OP244" s="56"/>
      <c r="OQ244" s="56"/>
      <c r="OR244" s="56"/>
      <c r="OS244" s="56"/>
      <c r="OT244" s="56"/>
      <c r="OU244" s="56"/>
      <c r="OV244" s="56"/>
      <c r="OW244" s="56"/>
      <c r="OX244" s="56"/>
      <c r="OY244" s="56"/>
      <c r="OZ244" s="56"/>
      <c r="PA244" s="56"/>
      <c r="PB244" s="56"/>
      <c r="PC244" s="56"/>
      <c r="PD244" s="56"/>
      <c r="PE244" s="56"/>
      <c r="PF244" s="56"/>
      <c r="PG244" s="56"/>
      <c r="PH244" s="56"/>
      <c r="PI244" s="56"/>
      <c r="PJ244" s="56"/>
      <c r="PK244" s="56"/>
      <c r="PL244" s="56"/>
      <c r="PM244" s="56"/>
      <c r="PN244" s="56"/>
      <c r="PO244" s="56"/>
      <c r="PP244" s="56"/>
      <c r="PQ244" s="56"/>
      <c r="PR244" s="56"/>
      <c r="PS244" s="56"/>
      <c r="PT244" s="56"/>
      <c r="PU244" s="56"/>
      <c r="PV244" s="56"/>
      <c r="PW244" s="56"/>
      <c r="PX244" s="56"/>
      <c r="PY244" s="56"/>
      <c r="PZ244" s="56"/>
      <c r="QA244" s="56"/>
      <c r="QB244" s="56"/>
      <c r="QC244" s="56"/>
      <c r="QD244" s="56"/>
      <c r="QE244" s="56"/>
      <c r="QF244" s="56"/>
      <c r="QG244" s="56"/>
      <c r="QH244" s="56"/>
      <c r="QI244" s="56"/>
      <c r="QJ244" s="56"/>
      <c r="QK244" s="56"/>
      <c r="QL244" s="56"/>
      <c r="QM244" s="56"/>
      <c r="QN244" s="56"/>
      <c r="QO244" s="56"/>
      <c r="QP244" s="56"/>
      <c r="QQ244" s="56"/>
      <c r="QR244" s="56"/>
      <c r="QS244" s="56"/>
      <c r="QT244" s="56"/>
      <c r="QU244" s="56"/>
      <c r="QV244" s="56"/>
      <c r="QW244" s="56"/>
      <c r="QX244" s="56"/>
      <c r="QY244" s="56"/>
      <c r="QZ244" s="56"/>
      <c r="RA244" s="56"/>
      <c r="RB244" s="56"/>
      <c r="RC244" s="56"/>
      <c r="RD244" s="56"/>
      <c r="RE244" s="56"/>
      <c r="RF244" s="56"/>
      <c r="RG244" s="56"/>
      <c r="RH244" s="56"/>
      <c r="RI244" s="56"/>
      <c r="RJ244" s="56"/>
      <c r="RK244" s="56"/>
      <c r="RL244" s="56"/>
      <c r="RM244" s="56"/>
      <c r="RN244" s="56"/>
      <c r="RO244" s="56"/>
      <c r="RP244" s="56"/>
      <c r="RQ244" s="56"/>
      <c r="RR244" s="56"/>
      <c r="RS244" s="56"/>
      <c r="RT244" s="56"/>
      <c r="RU244" s="56"/>
      <c r="RV244" s="56"/>
      <c r="RW244" s="56"/>
      <c r="RX244" s="56"/>
      <c r="RY244" s="56"/>
      <c r="RZ244" s="56"/>
      <c r="SA244" s="56"/>
      <c r="SB244" s="56"/>
      <c r="SC244" s="56"/>
      <c r="SD244" s="56"/>
      <c r="SE244" s="56"/>
      <c r="SF244" s="56"/>
      <c r="SG244" s="56"/>
      <c r="SH244" s="56"/>
      <c r="SI244" s="56"/>
      <c r="SJ244" s="56"/>
      <c r="SK244" s="56"/>
      <c r="SL244" s="56"/>
      <c r="SM244" s="56"/>
      <c r="SN244" s="56"/>
      <c r="SO244" s="56"/>
      <c r="SP244" s="56"/>
      <c r="SQ244" s="56"/>
      <c r="SR244" s="56"/>
    </row>
    <row r="245" spans="1:512" ht="15" customHeight="1" x14ac:dyDescent="0.7">
      <c r="A245" s="171" t="s">
        <v>344</v>
      </c>
      <c r="B245" s="171" t="s">
        <v>344</v>
      </c>
      <c r="C245" s="171" t="s">
        <v>344</v>
      </c>
      <c r="D245" s="171"/>
      <c r="E245" s="171" t="s">
        <v>344</v>
      </c>
      <c r="F245" s="171"/>
      <c r="G245" s="188" t="s">
        <v>344</v>
      </c>
      <c r="H245" s="71" t="s">
        <v>344</v>
      </c>
      <c r="I245" s="72" t="s">
        <v>344</v>
      </c>
      <c r="J245" s="73" t="s">
        <v>344</v>
      </c>
      <c r="K245" s="189" t="s">
        <v>344</v>
      </c>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c r="BU245" s="54"/>
      <c r="BV245" s="54"/>
      <c r="BW245" s="54"/>
      <c r="BX245" s="54"/>
      <c r="BY245" s="54"/>
      <c r="BZ245" s="54"/>
      <c r="CA245" s="54"/>
      <c r="CB245" s="54"/>
      <c r="CC245" s="54"/>
      <c r="CD245" s="54"/>
      <c r="CE245" s="54"/>
      <c r="CF245" s="54"/>
      <c r="CG245" s="54"/>
      <c r="CH245" s="54"/>
      <c r="CI245" s="54"/>
      <c r="CJ245" s="54"/>
      <c r="CK245" s="54"/>
      <c r="CL245" s="54"/>
      <c r="CM245" s="54"/>
      <c r="CN245" s="54"/>
      <c r="CO245" s="54"/>
      <c r="CP245" s="54"/>
      <c r="CQ245" s="54"/>
      <c r="CR245" s="54"/>
      <c r="CS245" s="54"/>
      <c r="CT245" s="54"/>
      <c r="CU245" s="54"/>
      <c r="CV245" s="54"/>
      <c r="CW245" s="54"/>
      <c r="CX245" s="54"/>
      <c r="CY245" s="54"/>
      <c r="CZ245" s="54"/>
      <c r="DA245" s="54"/>
      <c r="DB245" s="54"/>
      <c r="DC245" s="54"/>
      <c r="DD245" s="54"/>
      <c r="DE245" s="54"/>
      <c r="DF245" s="54"/>
      <c r="DG245" s="54"/>
      <c r="DH245" s="54"/>
      <c r="DI245" s="54"/>
      <c r="DJ245" s="54"/>
      <c r="DK245" s="54"/>
      <c r="DL245" s="54"/>
      <c r="DM245" s="54"/>
      <c r="DN245" s="54"/>
      <c r="DO245" s="54"/>
      <c r="DP245" s="54"/>
      <c r="DQ245" s="54"/>
      <c r="DR245" s="54"/>
      <c r="DS245" s="54"/>
      <c r="DT245" s="54"/>
      <c r="DU245" s="54"/>
      <c r="DV245" s="54"/>
      <c r="DW245" s="54"/>
      <c r="DX245" s="54"/>
      <c r="DY245" s="54"/>
      <c r="DZ245" s="54"/>
      <c r="EA245" s="54"/>
      <c r="EB245" s="54"/>
      <c r="EC245" s="54"/>
      <c r="ED245" s="54"/>
      <c r="EE245" s="54"/>
      <c r="EF245" s="54"/>
      <c r="EG245" s="54"/>
      <c r="EH245" s="54"/>
      <c r="EI245" s="54"/>
      <c r="EJ245" s="54"/>
      <c r="EK245" s="54"/>
      <c r="EL245" s="54"/>
      <c r="EM245" s="54"/>
      <c r="EN245" s="54"/>
      <c r="EO245" s="54"/>
      <c r="EP245" s="54"/>
      <c r="EQ245" s="54"/>
      <c r="ER245" s="54"/>
      <c r="ES245" s="54"/>
      <c r="ET245" s="54"/>
      <c r="EU245" s="54"/>
      <c r="EV245" s="54"/>
      <c r="EW245" s="54"/>
      <c r="EX245" s="54"/>
      <c r="EY245" s="54"/>
      <c r="EZ245" s="54"/>
      <c r="FA245" s="54"/>
      <c r="FB245" s="54"/>
      <c r="FC245" s="54"/>
      <c r="FD245" s="54"/>
      <c r="FE245" s="54"/>
      <c r="FF245" s="54"/>
      <c r="FG245" s="54"/>
      <c r="FH245" s="54"/>
      <c r="FI245" s="54"/>
      <c r="FJ245" s="54"/>
      <c r="FK245" s="54"/>
      <c r="FL245" s="54"/>
      <c r="FM245" s="54"/>
      <c r="FN245" s="54"/>
      <c r="FO245" s="54"/>
      <c r="FP245" s="54"/>
      <c r="FQ245" s="54"/>
      <c r="FR245" s="54"/>
      <c r="FS245" s="54"/>
      <c r="FT245" s="54"/>
      <c r="FU245" s="54"/>
      <c r="FV245" s="54"/>
      <c r="FW245" s="54"/>
      <c r="FX245" s="54"/>
      <c r="FY245" s="54"/>
      <c r="FZ245" s="54"/>
      <c r="GA245" s="54"/>
      <c r="GB245" s="54"/>
      <c r="GC245" s="54"/>
      <c r="GD245" s="54"/>
      <c r="GE245" s="54"/>
      <c r="GF245" s="54"/>
      <c r="GG245" s="54"/>
      <c r="GH245" s="54"/>
      <c r="GI245" s="54"/>
      <c r="GJ245" s="54"/>
      <c r="GK245" s="54"/>
      <c r="GL245" s="54"/>
      <c r="GM245" s="54"/>
      <c r="GN245" s="54"/>
      <c r="GO245" s="54"/>
      <c r="GP245" s="54"/>
      <c r="GQ245" s="54"/>
      <c r="GR245" s="54"/>
      <c r="GS245" s="54"/>
      <c r="GT245" s="54"/>
      <c r="GU245" s="54"/>
      <c r="GV245" s="54"/>
      <c r="GW245" s="54"/>
      <c r="GX245" s="54"/>
      <c r="GY245" s="54"/>
      <c r="GZ245" s="54"/>
      <c r="HA245" s="54"/>
      <c r="HB245" s="54"/>
      <c r="HC245" s="54"/>
      <c r="HD245" s="54"/>
      <c r="HE245" s="54"/>
      <c r="HF245" s="54"/>
      <c r="HG245" s="54"/>
      <c r="HH245" s="54"/>
      <c r="HI245" s="54"/>
      <c r="HJ245" s="54"/>
      <c r="HK245" s="54"/>
      <c r="HL245" s="54"/>
      <c r="HM245" s="54"/>
      <c r="HN245" s="54"/>
      <c r="HO245" s="54"/>
      <c r="HP245" s="54"/>
      <c r="HQ245" s="54"/>
      <c r="HR245" s="54"/>
      <c r="HS245" s="54"/>
      <c r="HT245" s="54"/>
      <c r="HU245" s="54"/>
      <c r="HV245" s="54"/>
      <c r="HW245" s="54"/>
      <c r="HX245" s="54"/>
      <c r="HY245" s="54"/>
      <c r="HZ245" s="54"/>
      <c r="IA245" s="54"/>
      <c r="IB245" s="54"/>
      <c r="IC245" s="54"/>
      <c r="ID245" s="54"/>
      <c r="IE245" s="54"/>
      <c r="IF245" s="54"/>
      <c r="IG245" s="54"/>
      <c r="IH245" s="54"/>
      <c r="II245" s="54"/>
      <c r="IJ245" s="54"/>
      <c r="IK245" s="54"/>
      <c r="IL245" s="54"/>
      <c r="IM245" s="54"/>
      <c r="IN245" s="54"/>
      <c r="IO245" s="54"/>
      <c r="IP245" s="54"/>
      <c r="IQ245" s="54"/>
      <c r="IR245" s="54"/>
      <c r="IS245" s="54"/>
      <c r="IT245" s="54"/>
      <c r="IU245" s="54"/>
      <c r="IV245" s="54"/>
      <c r="IW245" s="54"/>
      <c r="IX245" s="54"/>
      <c r="IY245" s="54"/>
      <c r="IZ245" s="54"/>
      <c r="JA245" s="54"/>
      <c r="JB245" s="54"/>
      <c r="JC245" s="54"/>
      <c r="JD245" s="54"/>
      <c r="JE245" s="54"/>
      <c r="JF245" s="54"/>
      <c r="JG245" s="54"/>
      <c r="JH245" s="54"/>
      <c r="JI245" s="54"/>
      <c r="JJ245" s="54"/>
      <c r="JK245" s="54"/>
      <c r="JL245" s="54"/>
      <c r="JM245" s="54"/>
      <c r="JN245" s="54"/>
      <c r="JO245" s="54"/>
      <c r="JP245" s="54"/>
      <c r="JQ245" s="54"/>
      <c r="JR245" s="54"/>
      <c r="JS245" s="54"/>
      <c r="JT245" s="54"/>
      <c r="JU245" s="54"/>
      <c r="JV245" s="54"/>
      <c r="JW245" s="54"/>
      <c r="JX245" s="54"/>
      <c r="JY245" s="54"/>
      <c r="JZ245" s="54"/>
      <c r="KA245" s="54"/>
      <c r="KB245" s="54"/>
      <c r="KC245" s="54"/>
      <c r="KD245" s="54"/>
      <c r="KE245" s="54"/>
      <c r="KF245" s="54"/>
      <c r="KG245" s="54"/>
      <c r="KH245" s="54"/>
      <c r="KI245" s="54"/>
      <c r="KJ245" s="54"/>
      <c r="KK245" s="54"/>
      <c r="KL245" s="54"/>
      <c r="KM245" s="54"/>
      <c r="KN245" s="54"/>
      <c r="KO245" s="54"/>
      <c r="KP245" s="54"/>
      <c r="KQ245" s="54"/>
      <c r="KR245" s="54"/>
      <c r="KS245" s="54"/>
      <c r="KT245" s="54"/>
      <c r="KU245" s="54"/>
      <c r="KV245" s="54"/>
      <c r="KW245" s="54"/>
      <c r="KX245" s="54"/>
      <c r="KY245" s="54"/>
      <c r="KZ245" s="54"/>
      <c r="LA245" s="54"/>
      <c r="LB245" s="54"/>
      <c r="LC245" s="54"/>
      <c r="LD245" s="54"/>
      <c r="LE245" s="54"/>
      <c r="LF245" s="54"/>
      <c r="LG245" s="54"/>
      <c r="LH245" s="54"/>
      <c r="LI245" s="54"/>
      <c r="LJ245" s="54"/>
      <c r="LK245" s="54"/>
      <c r="LL245" s="54"/>
      <c r="LM245" s="54"/>
      <c r="LN245" s="54"/>
      <c r="LO245" s="54"/>
      <c r="LP245" s="54"/>
      <c r="LQ245" s="54"/>
      <c r="LR245" s="54"/>
      <c r="LS245" s="54"/>
      <c r="LT245" s="54"/>
      <c r="LU245" s="54"/>
      <c r="LV245" s="54"/>
      <c r="LW245" s="54"/>
      <c r="LX245" s="54"/>
      <c r="LY245" s="54"/>
      <c r="LZ245" s="54"/>
      <c r="MA245" s="54"/>
      <c r="MB245" s="54"/>
      <c r="MC245" s="54"/>
      <c r="MD245" s="54"/>
      <c r="ME245" s="54"/>
      <c r="MF245" s="54"/>
      <c r="MG245" s="54"/>
      <c r="MH245" s="54"/>
      <c r="MI245" s="54"/>
      <c r="MJ245" s="54"/>
      <c r="MK245" s="54"/>
      <c r="ML245" s="54"/>
      <c r="MM245" s="54"/>
      <c r="MN245" s="54"/>
      <c r="MO245" s="54"/>
      <c r="MP245" s="54"/>
      <c r="MQ245" s="54"/>
      <c r="MR245" s="54"/>
      <c r="MS245" s="54"/>
      <c r="MT245" s="54"/>
      <c r="MU245" s="54"/>
      <c r="MV245" s="54"/>
      <c r="MW245" s="54"/>
      <c r="MX245" s="54"/>
      <c r="MY245" s="54"/>
      <c r="MZ245" s="54"/>
      <c r="NA245" s="54"/>
      <c r="NB245" s="54"/>
      <c r="NC245" s="54"/>
      <c r="ND245" s="54"/>
      <c r="NE245" s="54"/>
      <c r="NF245" s="54"/>
      <c r="NG245" s="54"/>
      <c r="NH245" s="54"/>
      <c r="NI245" s="54"/>
      <c r="NJ245" s="54"/>
      <c r="NK245" s="54"/>
      <c r="NL245" s="54"/>
      <c r="NM245" s="54"/>
      <c r="NN245" s="54"/>
      <c r="NO245" s="54"/>
      <c r="NP245" s="54"/>
      <c r="NQ245" s="54"/>
      <c r="NR245" s="54"/>
      <c r="NS245" s="54"/>
      <c r="NT245" s="54"/>
      <c r="NU245" s="54"/>
      <c r="NV245" s="54"/>
      <c r="NW245" s="54"/>
      <c r="NX245" s="54"/>
      <c r="NY245" s="54"/>
      <c r="NZ245" s="54"/>
      <c r="OA245" s="54"/>
      <c r="OB245" s="54"/>
      <c r="OC245" s="54"/>
      <c r="OD245" s="54"/>
      <c r="OE245" s="54"/>
      <c r="OF245" s="54"/>
      <c r="OG245" s="54"/>
      <c r="OH245" s="54"/>
      <c r="OI245" s="54"/>
      <c r="OJ245" s="54"/>
      <c r="OK245" s="54"/>
      <c r="OL245" s="54"/>
      <c r="OM245" s="54"/>
      <c r="ON245" s="54"/>
      <c r="OO245" s="54"/>
      <c r="OP245" s="54"/>
      <c r="OQ245" s="54"/>
      <c r="OR245" s="54"/>
      <c r="OS245" s="54"/>
      <c r="OT245" s="54"/>
      <c r="OU245" s="54"/>
      <c r="OV245" s="54"/>
      <c r="OW245" s="54"/>
      <c r="OX245" s="54"/>
      <c r="OY245" s="54"/>
      <c r="OZ245" s="54"/>
      <c r="PA245" s="54"/>
      <c r="PB245" s="54"/>
      <c r="PC245" s="54"/>
      <c r="PD245" s="54"/>
      <c r="PE245" s="54"/>
      <c r="PF245" s="54"/>
      <c r="PG245" s="54"/>
      <c r="PH245" s="54"/>
      <c r="PI245" s="54"/>
      <c r="PJ245" s="54"/>
      <c r="PK245" s="54"/>
      <c r="PL245" s="54"/>
      <c r="PM245" s="54"/>
      <c r="PN245" s="54"/>
      <c r="PO245" s="54"/>
      <c r="PP245" s="54"/>
      <c r="PQ245" s="54"/>
      <c r="PR245" s="54"/>
      <c r="PS245" s="54"/>
      <c r="PT245" s="54"/>
      <c r="PU245" s="54"/>
      <c r="PV245" s="54"/>
      <c r="PW245" s="54"/>
      <c r="PX245" s="54"/>
      <c r="PY245" s="54"/>
      <c r="PZ245" s="54"/>
      <c r="QA245" s="54"/>
      <c r="QB245" s="54"/>
      <c r="QC245" s="54"/>
      <c r="QD245" s="54"/>
      <c r="QE245" s="54"/>
      <c r="QF245" s="54"/>
      <c r="QG245" s="54"/>
      <c r="QH245" s="54"/>
      <c r="QI245" s="54"/>
      <c r="QJ245" s="54"/>
      <c r="QK245" s="54"/>
      <c r="QL245" s="54"/>
      <c r="QM245" s="54"/>
      <c r="QN245" s="54"/>
      <c r="QO245" s="54"/>
      <c r="QP245" s="54"/>
      <c r="QQ245" s="54"/>
      <c r="QR245" s="54"/>
      <c r="QS245" s="54"/>
      <c r="QT245" s="54"/>
      <c r="QU245" s="54"/>
      <c r="QV245" s="54"/>
      <c r="QW245" s="54"/>
      <c r="QX245" s="54"/>
      <c r="QY245" s="54"/>
      <c r="QZ245" s="54"/>
      <c r="RA245" s="54"/>
      <c r="RB245" s="54"/>
      <c r="RC245" s="54"/>
      <c r="RD245" s="54"/>
      <c r="RE245" s="54"/>
      <c r="RF245" s="54"/>
      <c r="RG245" s="54"/>
      <c r="RH245" s="54"/>
      <c r="RI245" s="54"/>
      <c r="RJ245" s="54"/>
      <c r="RK245" s="54"/>
      <c r="RL245" s="54"/>
      <c r="RM245" s="54"/>
      <c r="RN245" s="54"/>
      <c r="RO245" s="54"/>
      <c r="RP245" s="54"/>
      <c r="RQ245" s="54"/>
      <c r="RR245" s="54"/>
      <c r="RS245" s="54"/>
      <c r="RT245" s="54"/>
      <c r="RU245" s="54"/>
      <c r="RV245" s="54"/>
      <c r="RW245" s="54"/>
      <c r="RX245" s="54"/>
      <c r="RY245" s="54"/>
      <c r="RZ245" s="54"/>
      <c r="SA245" s="54"/>
      <c r="SB245" s="54"/>
      <c r="SC245" s="54"/>
      <c r="SD245" s="54"/>
      <c r="SE245" s="54"/>
      <c r="SF245" s="54"/>
      <c r="SG245" s="54"/>
      <c r="SH245" s="54"/>
      <c r="SI245" s="54"/>
      <c r="SJ245" s="54"/>
      <c r="SK245" s="54"/>
      <c r="SL245" s="54"/>
      <c r="SM245" s="54"/>
      <c r="SN245" s="54"/>
      <c r="SO245" s="54"/>
      <c r="SP245" s="54"/>
      <c r="SQ245" s="54"/>
      <c r="SR245" s="54"/>
    </row>
    <row r="246" spans="1:512" ht="15" customHeight="1" x14ac:dyDescent="0.7">
      <c r="A246" s="172"/>
      <c r="B246" s="172"/>
      <c r="C246" s="172"/>
      <c r="D246" s="172"/>
      <c r="E246" s="172"/>
      <c r="F246" s="172"/>
      <c r="G246" s="172"/>
      <c r="I246" s="72" t="s">
        <v>344</v>
      </c>
      <c r="J246" s="73" t="s">
        <v>344</v>
      </c>
      <c r="K246" s="190"/>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c r="BU246" s="54"/>
      <c r="BV246" s="54"/>
      <c r="BW246" s="54"/>
      <c r="BX246" s="54"/>
      <c r="BY246" s="54"/>
      <c r="BZ246" s="54"/>
      <c r="CA246" s="54"/>
      <c r="CB246" s="54"/>
      <c r="CC246" s="54"/>
      <c r="CD246" s="54"/>
      <c r="CE246" s="54"/>
      <c r="CF246" s="54"/>
      <c r="CG246" s="54"/>
      <c r="CH246" s="54"/>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4"/>
      <c r="DI246" s="54"/>
      <c r="DJ246" s="54"/>
      <c r="DK246" s="54"/>
      <c r="DL246" s="54"/>
      <c r="DM246" s="54"/>
      <c r="DN246" s="54"/>
      <c r="DO246" s="54"/>
      <c r="DP246" s="54"/>
      <c r="DQ246" s="54"/>
      <c r="DR246" s="54"/>
      <c r="DS246" s="54"/>
      <c r="DT246" s="54"/>
      <c r="DU246" s="54"/>
      <c r="DV246" s="54"/>
      <c r="DW246" s="54"/>
      <c r="DX246" s="54"/>
      <c r="DY246" s="54"/>
      <c r="DZ246" s="54"/>
      <c r="EA246" s="54"/>
      <c r="EB246" s="54"/>
      <c r="EC246" s="54"/>
      <c r="ED246" s="54"/>
      <c r="EE246" s="54"/>
      <c r="EF246" s="54"/>
      <c r="EG246" s="54"/>
      <c r="EH246" s="54"/>
      <c r="EI246" s="54"/>
      <c r="EJ246" s="54"/>
      <c r="EK246" s="54"/>
      <c r="EL246" s="54"/>
      <c r="EM246" s="54"/>
      <c r="EN246" s="54"/>
      <c r="EO246" s="54"/>
      <c r="EP246" s="54"/>
      <c r="EQ246" s="54"/>
      <c r="ER246" s="54"/>
      <c r="ES246" s="54"/>
      <c r="ET246" s="54"/>
      <c r="EU246" s="54"/>
      <c r="EV246" s="54"/>
      <c r="EW246" s="54"/>
      <c r="EX246" s="54"/>
      <c r="EY246" s="54"/>
      <c r="EZ246" s="54"/>
      <c r="FA246" s="54"/>
      <c r="FB246" s="54"/>
      <c r="FC246" s="54"/>
      <c r="FD246" s="54"/>
      <c r="FE246" s="54"/>
      <c r="FF246" s="54"/>
      <c r="FG246" s="54"/>
      <c r="FH246" s="54"/>
      <c r="FI246" s="54"/>
      <c r="FJ246" s="54"/>
      <c r="FK246" s="54"/>
      <c r="FL246" s="54"/>
      <c r="FM246" s="54"/>
      <c r="FN246" s="54"/>
      <c r="FO246" s="54"/>
      <c r="FP246" s="54"/>
      <c r="FQ246" s="54"/>
      <c r="FR246" s="54"/>
      <c r="FS246" s="54"/>
      <c r="FT246" s="54"/>
      <c r="FU246" s="54"/>
      <c r="FV246" s="54"/>
      <c r="FW246" s="54"/>
      <c r="FX246" s="54"/>
      <c r="FY246" s="54"/>
      <c r="FZ246" s="54"/>
      <c r="GA246" s="54"/>
      <c r="GB246" s="54"/>
      <c r="GC246" s="54"/>
      <c r="GD246" s="54"/>
      <c r="GE246" s="54"/>
      <c r="GF246" s="54"/>
      <c r="GG246" s="54"/>
      <c r="GH246" s="54"/>
      <c r="GI246" s="54"/>
      <c r="GJ246" s="54"/>
      <c r="GK246" s="54"/>
      <c r="GL246" s="54"/>
      <c r="GM246" s="54"/>
      <c r="GN246" s="54"/>
      <c r="GO246" s="54"/>
      <c r="GP246" s="54"/>
      <c r="GQ246" s="54"/>
      <c r="GR246" s="54"/>
      <c r="GS246" s="54"/>
      <c r="GT246" s="54"/>
      <c r="GU246" s="54"/>
      <c r="GV246" s="54"/>
      <c r="GW246" s="54"/>
      <c r="GX246" s="54"/>
      <c r="GY246" s="54"/>
      <c r="GZ246" s="54"/>
      <c r="HA246" s="54"/>
      <c r="HB246" s="54"/>
      <c r="HC246" s="54"/>
      <c r="HD246" s="54"/>
      <c r="HE246" s="54"/>
      <c r="HF246" s="54"/>
      <c r="HG246" s="54"/>
      <c r="HH246" s="54"/>
      <c r="HI246" s="54"/>
      <c r="HJ246" s="54"/>
      <c r="HK246" s="54"/>
      <c r="HL246" s="54"/>
      <c r="HM246" s="54"/>
      <c r="HN246" s="54"/>
      <c r="HO246" s="54"/>
      <c r="HP246" s="54"/>
      <c r="HQ246" s="54"/>
      <c r="HR246" s="54"/>
      <c r="HS246" s="54"/>
      <c r="HT246" s="54"/>
      <c r="HU246" s="54"/>
      <c r="HV246" s="54"/>
      <c r="HW246" s="54"/>
      <c r="HX246" s="54"/>
      <c r="HY246" s="54"/>
      <c r="HZ246" s="54"/>
      <c r="IA246" s="54"/>
      <c r="IB246" s="54"/>
      <c r="IC246" s="54"/>
      <c r="ID246" s="54"/>
      <c r="IE246" s="54"/>
      <c r="IF246" s="54"/>
      <c r="IG246" s="54"/>
      <c r="IH246" s="54"/>
      <c r="II246" s="54"/>
      <c r="IJ246" s="54"/>
      <c r="IK246" s="54"/>
      <c r="IL246" s="54"/>
      <c r="IM246" s="54"/>
      <c r="IN246" s="54"/>
      <c r="IO246" s="54"/>
      <c r="IP246" s="54"/>
      <c r="IQ246" s="54"/>
      <c r="IR246" s="54"/>
      <c r="IS246" s="54"/>
      <c r="IT246" s="54"/>
      <c r="IU246" s="54"/>
      <c r="IV246" s="54"/>
      <c r="IW246" s="54"/>
      <c r="IX246" s="54"/>
      <c r="IY246" s="54"/>
      <c r="IZ246" s="54"/>
      <c r="JA246" s="54"/>
      <c r="JB246" s="54"/>
      <c r="JC246" s="54"/>
      <c r="JD246" s="54"/>
      <c r="JE246" s="54"/>
      <c r="JF246" s="54"/>
      <c r="JG246" s="54"/>
      <c r="JH246" s="54"/>
      <c r="JI246" s="54"/>
      <c r="JJ246" s="54"/>
      <c r="JK246" s="54"/>
      <c r="JL246" s="54"/>
      <c r="JM246" s="54"/>
      <c r="JN246" s="54"/>
      <c r="JO246" s="54"/>
      <c r="JP246" s="54"/>
      <c r="JQ246" s="54"/>
      <c r="JR246" s="54"/>
      <c r="JS246" s="54"/>
      <c r="JT246" s="54"/>
      <c r="JU246" s="54"/>
      <c r="JV246" s="54"/>
      <c r="JW246" s="54"/>
      <c r="JX246" s="54"/>
      <c r="JY246" s="54"/>
      <c r="JZ246" s="54"/>
      <c r="KA246" s="54"/>
      <c r="KB246" s="54"/>
      <c r="KC246" s="54"/>
      <c r="KD246" s="54"/>
      <c r="KE246" s="54"/>
      <c r="KF246" s="54"/>
      <c r="KG246" s="54"/>
      <c r="KH246" s="54"/>
      <c r="KI246" s="54"/>
      <c r="KJ246" s="54"/>
      <c r="KK246" s="54"/>
      <c r="KL246" s="54"/>
      <c r="KM246" s="54"/>
      <c r="KN246" s="54"/>
      <c r="KO246" s="54"/>
      <c r="KP246" s="54"/>
      <c r="KQ246" s="54"/>
      <c r="KR246" s="54"/>
      <c r="KS246" s="54"/>
      <c r="KT246" s="54"/>
      <c r="KU246" s="54"/>
      <c r="KV246" s="54"/>
      <c r="KW246" s="54"/>
      <c r="KX246" s="54"/>
      <c r="KY246" s="54"/>
      <c r="KZ246" s="54"/>
      <c r="LA246" s="54"/>
      <c r="LB246" s="54"/>
      <c r="LC246" s="54"/>
      <c r="LD246" s="54"/>
      <c r="LE246" s="54"/>
      <c r="LF246" s="54"/>
      <c r="LG246" s="54"/>
      <c r="LH246" s="54"/>
      <c r="LI246" s="54"/>
      <c r="LJ246" s="54"/>
      <c r="LK246" s="54"/>
      <c r="LL246" s="54"/>
      <c r="LM246" s="54"/>
      <c r="LN246" s="54"/>
      <c r="LO246" s="54"/>
      <c r="LP246" s="54"/>
      <c r="LQ246" s="54"/>
      <c r="LR246" s="54"/>
      <c r="LS246" s="54"/>
      <c r="LT246" s="54"/>
      <c r="LU246" s="54"/>
      <c r="LV246" s="54"/>
      <c r="LW246" s="54"/>
      <c r="LX246" s="54"/>
      <c r="LY246" s="54"/>
      <c r="LZ246" s="54"/>
      <c r="MA246" s="54"/>
      <c r="MB246" s="54"/>
      <c r="MC246" s="54"/>
      <c r="MD246" s="54"/>
      <c r="ME246" s="54"/>
      <c r="MF246" s="54"/>
      <c r="MG246" s="54"/>
      <c r="MH246" s="54"/>
      <c r="MI246" s="54"/>
      <c r="MJ246" s="54"/>
      <c r="MK246" s="54"/>
      <c r="ML246" s="54"/>
      <c r="MM246" s="54"/>
      <c r="MN246" s="54"/>
      <c r="MO246" s="54"/>
      <c r="MP246" s="54"/>
      <c r="MQ246" s="54"/>
      <c r="MR246" s="54"/>
      <c r="MS246" s="54"/>
      <c r="MT246" s="54"/>
      <c r="MU246" s="54"/>
      <c r="MV246" s="54"/>
      <c r="MW246" s="54"/>
      <c r="MX246" s="54"/>
      <c r="MY246" s="54"/>
      <c r="MZ246" s="54"/>
      <c r="NA246" s="54"/>
      <c r="NB246" s="54"/>
      <c r="NC246" s="54"/>
      <c r="ND246" s="54"/>
      <c r="NE246" s="54"/>
      <c r="NF246" s="54"/>
      <c r="NG246" s="54"/>
      <c r="NH246" s="54"/>
      <c r="NI246" s="54"/>
      <c r="NJ246" s="54"/>
      <c r="NK246" s="54"/>
      <c r="NL246" s="54"/>
      <c r="NM246" s="54"/>
      <c r="NN246" s="54"/>
      <c r="NO246" s="54"/>
      <c r="NP246" s="54"/>
      <c r="NQ246" s="54"/>
      <c r="NR246" s="54"/>
      <c r="NS246" s="54"/>
      <c r="NT246" s="54"/>
      <c r="NU246" s="54"/>
      <c r="NV246" s="54"/>
      <c r="NW246" s="54"/>
      <c r="NX246" s="54"/>
      <c r="NY246" s="54"/>
      <c r="NZ246" s="54"/>
      <c r="OA246" s="54"/>
      <c r="OB246" s="54"/>
      <c r="OC246" s="54"/>
      <c r="OD246" s="54"/>
      <c r="OE246" s="54"/>
      <c r="OF246" s="54"/>
      <c r="OG246" s="54"/>
      <c r="OH246" s="54"/>
      <c r="OI246" s="54"/>
      <c r="OJ246" s="54"/>
      <c r="OK246" s="54"/>
      <c r="OL246" s="54"/>
      <c r="OM246" s="54"/>
      <c r="ON246" s="54"/>
      <c r="OO246" s="54"/>
      <c r="OP246" s="54"/>
      <c r="OQ246" s="54"/>
      <c r="OR246" s="54"/>
      <c r="OS246" s="54"/>
      <c r="OT246" s="54"/>
      <c r="OU246" s="54"/>
      <c r="OV246" s="54"/>
      <c r="OW246" s="54"/>
      <c r="OX246" s="54"/>
      <c r="OY246" s="54"/>
      <c r="OZ246" s="54"/>
      <c r="PA246" s="54"/>
      <c r="PB246" s="54"/>
      <c r="PC246" s="54"/>
      <c r="PD246" s="54"/>
      <c r="PE246" s="54"/>
      <c r="PF246" s="54"/>
      <c r="PG246" s="54"/>
      <c r="PH246" s="54"/>
      <c r="PI246" s="54"/>
      <c r="PJ246" s="54"/>
      <c r="PK246" s="54"/>
      <c r="PL246" s="54"/>
      <c r="PM246" s="54"/>
      <c r="PN246" s="54"/>
      <c r="PO246" s="54"/>
      <c r="PP246" s="54"/>
      <c r="PQ246" s="54"/>
      <c r="PR246" s="54"/>
      <c r="PS246" s="54"/>
      <c r="PT246" s="54"/>
      <c r="PU246" s="54"/>
      <c r="PV246" s="54"/>
      <c r="PW246" s="54"/>
      <c r="PX246" s="54"/>
      <c r="PY246" s="54"/>
      <c r="PZ246" s="54"/>
      <c r="QA246" s="54"/>
      <c r="QB246" s="54"/>
      <c r="QC246" s="54"/>
      <c r="QD246" s="54"/>
      <c r="QE246" s="54"/>
      <c r="QF246" s="54"/>
      <c r="QG246" s="54"/>
      <c r="QH246" s="54"/>
      <c r="QI246" s="54"/>
      <c r="QJ246" s="54"/>
      <c r="QK246" s="54"/>
      <c r="QL246" s="54"/>
      <c r="QM246" s="54"/>
      <c r="QN246" s="54"/>
      <c r="QO246" s="54"/>
      <c r="QP246" s="54"/>
      <c r="QQ246" s="54"/>
      <c r="QR246" s="54"/>
      <c r="QS246" s="54"/>
      <c r="QT246" s="54"/>
      <c r="QU246" s="54"/>
      <c r="QV246" s="54"/>
      <c r="QW246" s="54"/>
      <c r="QX246" s="54"/>
      <c r="QY246" s="54"/>
      <c r="QZ246" s="54"/>
      <c r="RA246" s="54"/>
      <c r="RB246" s="54"/>
      <c r="RC246" s="54"/>
      <c r="RD246" s="54"/>
      <c r="RE246" s="54"/>
      <c r="RF246" s="54"/>
      <c r="RG246" s="54"/>
      <c r="RH246" s="54"/>
      <c r="RI246" s="54"/>
      <c r="RJ246" s="54"/>
      <c r="RK246" s="54"/>
      <c r="RL246" s="54"/>
      <c r="RM246" s="54"/>
      <c r="RN246" s="54"/>
      <c r="RO246" s="54"/>
      <c r="RP246" s="54"/>
      <c r="RQ246" s="54"/>
      <c r="RR246" s="54"/>
      <c r="RS246" s="54"/>
      <c r="RT246" s="54"/>
      <c r="RU246" s="54"/>
      <c r="RV246" s="54"/>
      <c r="RW246" s="54"/>
      <c r="RX246" s="54"/>
      <c r="RY246" s="54"/>
      <c r="RZ246" s="54"/>
      <c r="SA246" s="54"/>
      <c r="SB246" s="54"/>
      <c r="SC246" s="54"/>
      <c r="SD246" s="54"/>
      <c r="SE246" s="54"/>
      <c r="SF246" s="54"/>
      <c r="SG246" s="54"/>
      <c r="SH246" s="54"/>
      <c r="SI246" s="54"/>
      <c r="SJ246" s="54"/>
      <c r="SK246" s="54"/>
      <c r="SL246" s="54"/>
      <c r="SM246" s="54"/>
      <c r="SN246" s="54"/>
      <c r="SO246" s="54"/>
      <c r="SP246" s="54"/>
      <c r="SQ246" s="54"/>
      <c r="SR246" s="54"/>
    </row>
    <row r="247" spans="1:512" s="55" customFormat="1" ht="15" customHeight="1" x14ac:dyDescent="0.7">
      <c r="A247" s="173"/>
      <c r="B247" s="173"/>
      <c r="C247" s="173"/>
      <c r="D247" s="173"/>
      <c r="E247" s="173"/>
      <c r="F247" s="173"/>
      <c r="G247" s="173"/>
      <c r="H247" s="74"/>
      <c r="I247" s="75"/>
      <c r="J247" s="76"/>
      <c r="K247" s="191"/>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c r="IX247" s="56"/>
      <c r="IY247" s="56"/>
      <c r="IZ247" s="56"/>
      <c r="JA247" s="56"/>
      <c r="JB247" s="56"/>
      <c r="JC247" s="56"/>
      <c r="JD247" s="56"/>
      <c r="JE247" s="56"/>
      <c r="JF247" s="56"/>
      <c r="JG247" s="56"/>
      <c r="JH247" s="56"/>
      <c r="JI247" s="56"/>
      <c r="JJ247" s="56"/>
      <c r="JK247" s="56"/>
      <c r="JL247" s="56"/>
      <c r="JM247" s="56"/>
      <c r="JN247" s="56"/>
      <c r="JO247" s="56"/>
      <c r="JP247" s="56"/>
      <c r="JQ247" s="56"/>
      <c r="JR247" s="56"/>
      <c r="JS247" s="56"/>
      <c r="JT247" s="56"/>
      <c r="JU247" s="56"/>
      <c r="JV247" s="56"/>
      <c r="JW247" s="56"/>
      <c r="JX247" s="56"/>
      <c r="JY247" s="56"/>
      <c r="JZ247" s="56"/>
      <c r="KA247" s="56"/>
      <c r="KB247" s="56"/>
      <c r="KC247" s="56"/>
      <c r="KD247" s="56"/>
      <c r="KE247" s="56"/>
      <c r="KF247" s="56"/>
      <c r="KG247" s="56"/>
      <c r="KH247" s="56"/>
      <c r="KI247" s="56"/>
      <c r="KJ247" s="56"/>
      <c r="KK247" s="56"/>
      <c r="KL247" s="56"/>
      <c r="KM247" s="56"/>
      <c r="KN247" s="56"/>
      <c r="KO247" s="56"/>
      <c r="KP247" s="56"/>
      <c r="KQ247" s="56"/>
      <c r="KR247" s="56"/>
      <c r="KS247" s="56"/>
      <c r="KT247" s="56"/>
      <c r="KU247" s="56"/>
      <c r="KV247" s="56"/>
      <c r="KW247" s="56"/>
      <c r="KX247" s="56"/>
      <c r="KY247" s="56"/>
      <c r="KZ247" s="56"/>
      <c r="LA247" s="56"/>
      <c r="LB247" s="56"/>
      <c r="LC247" s="56"/>
      <c r="LD247" s="56"/>
      <c r="LE247" s="56"/>
      <c r="LF247" s="56"/>
      <c r="LG247" s="56"/>
      <c r="LH247" s="56"/>
      <c r="LI247" s="56"/>
      <c r="LJ247" s="56"/>
      <c r="LK247" s="56"/>
      <c r="LL247" s="56"/>
      <c r="LM247" s="56"/>
      <c r="LN247" s="56"/>
      <c r="LO247" s="56"/>
      <c r="LP247" s="56"/>
      <c r="LQ247" s="56"/>
      <c r="LR247" s="56"/>
      <c r="LS247" s="56"/>
      <c r="LT247" s="56"/>
      <c r="LU247" s="56"/>
      <c r="LV247" s="56"/>
      <c r="LW247" s="56"/>
      <c r="LX247" s="56"/>
      <c r="LY247" s="56"/>
      <c r="LZ247" s="56"/>
      <c r="MA247" s="56"/>
      <c r="MB247" s="56"/>
      <c r="MC247" s="56"/>
      <c r="MD247" s="56"/>
      <c r="ME247" s="56"/>
      <c r="MF247" s="56"/>
      <c r="MG247" s="56"/>
      <c r="MH247" s="56"/>
      <c r="MI247" s="56"/>
      <c r="MJ247" s="56"/>
      <c r="MK247" s="56"/>
      <c r="ML247" s="56"/>
      <c r="MM247" s="56"/>
      <c r="MN247" s="56"/>
      <c r="MO247" s="56"/>
      <c r="MP247" s="56"/>
      <c r="MQ247" s="56"/>
      <c r="MR247" s="56"/>
      <c r="MS247" s="56"/>
      <c r="MT247" s="56"/>
      <c r="MU247" s="56"/>
      <c r="MV247" s="56"/>
      <c r="MW247" s="56"/>
      <c r="MX247" s="56"/>
      <c r="MY247" s="56"/>
      <c r="MZ247" s="56"/>
      <c r="NA247" s="56"/>
      <c r="NB247" s="56"/>
      <c r="NC247" s="56"/>
      <c r="ND247" s="56"/>
      <c r="NE247" s="56"/>
      <c r="NF247" s="56"/>
      <c r="NG247" s="56"/>
      <c r="NH247" s="56"/>
      <c r="NI247" s="56"/>
      <c r="NJ247" s="56"/>
      <c r="NK247" s="56"/>
      <c r="NL247" s="56"/>
      <c r="NM247" s="56"/>
      <c r="NN247" s="56"/>
      <c r="NO247" s="56"/>
      <c r="NP247" s="56"/>
      <c r="NQ247" s="56"/>
      <c r="NR247" s="56"/>
      <c r="NS247" s="56"/>
      <c r="NT247" s="56"/>
      <c r="NU247" s="56"/>
      <c r="NV247" s="56"/>
      <c r="NW247" s="56"/>
      <c r="NX247" s="56"/>
      <c r="NY247" s="56"/>
      <c r="NZ247" s="56"/>
      <c r="OA247" s="56"/>
      <c r="OB247" s="56"/>
      <c r="OC247" s="56"/>
      <c r="OD247" s="56"/>
      <c r="OE247" s="56"/>
      <c r="OF247" s="56"/>
      <c r="OG247" s="56"/>
      <c r="OH247" s="56"/>
      <c r="OI247" s="56"/>
      <c r="OJ247" s="56"/>
      <c r="OK247" s="56"/>
      <c r="OL247" s="56"/>
      <c r="OM247" s="56"/>
      <c r="ON247" s="56"/>
      <c r="OO247" s="56"/>
      <c r="OP247" s="56"/>
      <c r="OQ247" s="56"/>
      <c r="OR247" s="56"/>
      <c r="OS247" s="56"/>
      <c r="OT247" s="56"/>
      <c r="OU247" s="56"/>
      <c r="OV247" s="56"/>
      <c r="OW247" s="56"/>
      <c r="OX247" s="56"/>
      <c r="OY247" s="56"/>
      <c r="OZ247" s="56"/>
      <c r="PA247" s="56"/>
      <c r="PB247" s="56"/>
      <c r="PC247" s="56"/>
      <c r="PD247" s="56"/>
      <c r="PE247" s="56"/>
      <c r="PF247" s="56"/>
      <c r="PG247" s="56"/>
      <c r="PH247" s="56"/>
      <c r="PI247" s="56"/>
      <c r="PJ247" s="56"/>
      <c r="PK247" s="56"/>
      <c r="PL247" s="56"/>
      <c r="PM247" s="56"/>
      <c r="PN247" s="56"/>
      <c r="PO247" s="56"/>
      <c r="PP247" s="56"/>
      <c r="PQ247" s="56"/>
      <c r="PR247" s="56"/>
      <c r="PS247" s="56"/>
      <c r="PT247" s="56"/>
      <c r="PU247" s="56"/>
      <c r="PV247" s="56"/>
      <c r="PW247" s="56"/>
      <c r="PX247" s="56"/>
      <c r="PY247" s="56"/>
      <c r="PZ247" s="56"/>
      <c r="QA247" s="56"/>
      <c r="QB247" s="56"/>
      <c r="QC247" s="56"/>
      <c r="QD247" s="56"/>
      <c r="QE247" s="56"/>
      <c r="QF247" s="56"/>
      <c r="QG247" s="56"/>
      <c r="QH247" s="56"/>
      <c r="QI247" s="56"/>
      <c r="QJ247" s="56"/>
      <c r="QK247" s="56"/>
      <c r="QL247" s="56"/>
      <c r="QM247" s="56"/>
      <c r="QN247" s="56"/>
      <c r="QO247" s="56"/>
      <c r="QP247" s="56"/>
      <c r="QQ247" s="56"/>
      <c r="QR247" s="56"/>
      <c r="QS247" s="56"/>
      <c r="QT247" s="56"/>
      <c r="QU247" s="56"/>
      <c r="QV247" s="56"/>
      <c r="QW247" s="56"/>
      <c r="QX247" s="56"/>
      <c r="QY247" s="56"/>
      <c r="QZ247" s="56"/>
      <c r="RA247" s="56"/>
      <c r="RB247" s="56"/>
      <c r="RC247" s="56"/>
      <c r="RD247" s="56"/>
      <c r="RE247" s="56"/>
      <c r="RF247" s="56"/>
      <c r="RG247" s="56"/>
      <c r="RH247" s="56"/>
      <c r="RI247" s="56"/>
      <c r="RJ247" s="56"/>
      <c r="RK247" s="56"/>
      <c r="RL247" s="56"/>
      <c r="RM247" s="56"/>
      <c r="RN247" s="56"/>
      <c r="RO247" s="56"/>
      <c r="RP247" s="56"/>
      <c r="RQ247" s="56"/>
      <c r="RR247" s="56"/>
      <c r="RS247" s="56"/>
      <c r="RT247" s="56"/>
      <c r="RU247" s="56"/>
      <c r="RV247" s="56"/>
      <c r="RW247" s="56"/>
      <c r="RX247" s="56"/>
      <c r="RY247" s="56"/>
      <c r="RZ247" s="56"/>
      <c r="SA247" s="56"/>
      <c r="SB247" s="56"/>
      <c r="SC247" s="56"/>
      <c r="SD247" s="56"/>
      <c r="SE247" s="56"/>
      <c r="SF247" s="56"/>
      <c r="SG247" s="56"/>
      <c r="SH247" s="56"/>
      <c r="SI247" s="56"/>
      <c r="SJ247" s="56"/>
      <c r="SK247" s="56"/>
      <c r="SL247" s="56"/>
      <c r="SM247" s="56"/>
      <c r="SN247" s="56"/>
      <c r="SO247" s="56"/>
      <c r="SP247" s="56"/>
      <c r="SQ247" s="56"/>
      <c r="SR247" s="56"/>
    </row>
    <row r="248" spans="1:512" ht="15" customHeight="1" x14ac:dyDescent="0.7">
      <c r="A248" s="171" t="s">
        <v>344</v>
      </c>
      <c r="B248" s="171" t="s">
        <v>344</v>
      </c>
      <c r="C248" s="171" t="s">
        <v>344</v>
      </c>
      <c r="D248" s="171"/>
      <c r="E248" s="171" t="s">
        <v>344</v>
      </c>
      <c r="F248" s="171"/>
      <c r="G248" s="188" t="s">
        <v>344</v>
      </c>
      <c r="H248" s="71" t="s">
        <v>344</v>
      </c>
      <c r="I248" s="72" t="s">
        <v>344</v>
      </c>
      <c r="J248" s="73" t="s">
        <v>344</v>
      </c>
      <c r="K248" s="189" t="s">
        <v>344</v>
      </c>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4"/>
      <c r="DI248" s="54"/>
      <c r="DJ248" s="54"/>
      <c r="DK248" s="54"/>
      <c r="DL248" s="54"/>
      <c r="DM248" s="54"/>
      <c r="DN248" s="54"/>
      <c r="DO248" s="54"/>
      <c r="DP248" s="54"/>
      <c r="DQ248" s="54"/>
      <c r="DR248" s="54"/>
      <c r="DS248" s="54"/>
      <c r="DT248" s="54"/>
      <c r="DU248" s="54"/>
      <c r="DV248" s="54"/>
      <c r="DW248" s="54"/>
      <c r="DX248" s="54"/>
      <c r="DY248" s="54"/>
      <c r="DZ248" s="54"/>
      <c r="EA248" s="54"/>
      <c r="EB248" s="54"/>
      <c r="EC248" s="54"/>
      <c r="ED248" s="54"/>
      <c r="EE248" s="54"/>
      <c r="EF248" s="54"/>
      <c r="EG248" s="54"/>
      <c r="EH248" s="54"/>
      <c r="EI248" s="54"/>
      <c r="EJ248" s="54"/>
      <c r="EK248" s="54"/>
      <c r="EL248" s="54"/>
      <c r="EM248" s="54"/>
      <c r="EN248" s="54"/>
      <c r="EO248" s="54"/>
      <c r="EP248" s="54"/>
      <c r="EQ248" s="54"/>
      <c r="ER248" s="54"/>
      <c r="ES248" s="54"/>
      <c r="ET248" s="54"/>
      <c r="EU248" s="54"/>
      <c r="EV248" s="54"/>
      <c r="EW248" s="54"/>
      <c r="EX248" s="54"/>
      <c r="EY248" s="54"/>
      <c r="EZ248" s="54"/>
      <c r="FA248" s="54"/>
      <c r="FB248" s="54"/>
      <c r="FC248" s="54"/>
      <c r="FD248" s="54"/>
      <c r="FE248" s="54"/>
      <c r="FF248" s="54"/>
      <c r="FG248" s="54"/>
      <c r="FH248" s="54"/>
      <c r="FI248" s="54"/>
      <c r="FJ248" s="54"/>
      <c r="FK248" s="54"/>
      <c r="FL248" s="54"/>
      <c r="FM248" s="54"/>
      <c r="FN248" s="54"/>
      <c r="FO248" s="54"/>
      <c r="FP248" s="54"/>
      <c r="FQ248" s="54"/>
      <c r="FR248" s="54"/>
      <c r="FS248" s="54"/>
      <c r="FT248" s="54"/>
      <c r="FU248" s="54"/>
      <c r="FV248" s="54"/>
      <c r="FW248" s="54"/>
      <c r="FX248" s="54"/>
      <c r="FY248" s="54"/>
      <c r="FZ248" s="54"/>
      <c r="GA248" s="54"/>
      <c r="GB248" s="54"/>
      <c r="GC248" s="54"/>
      <c r="GD248" s="54"/>
      <c r="GE248" s="54"/>
      <c r="GF248" s="54"/>
      <c r="GG248" s="54"/>
      <c r="GH248" s="54"/>
      <c r="GI248" s="54"/>
      <c r="GJ248" s="54"/>
      <c r="GK248" s="54"/>
      <c r="GL248" s="54"/>
      <c r="GM248" s="54"/>
      <c r="GN248" s="54"/>
      <c r="GO248" s="54"/>
      <c r="GP248" s="54"/>
      <c r="GQ248" s="54"/>
      <c r="GR248" s="54"/>
      <c r="GS248" s="54"/>
      <c r="GT248" s="54"/>
      <c r="GU248" s="54"/>
      <c r="GV248" s="54"/>
      <c r="GW248" s="54"/>
      <c r="GX248" s="54"/>
      <c r="GY248" s="54"/>
      <c r="GZ248" s="54"/>
      <c r="HA248" s="54"/>
      <c r="HB248" s="54"/>
      <c r="HC248" s="54"/>
      <c r="HD248" s="54"/>
      <c r="HE248" s="54"/>
      <c r="HF248" s="54"/>
      <c r="HG248" s="54"/>
      <c r="HH248" s="54"/>
      <c r="HI248" s="54"/>
      <c r="HJ248" s="54"/>
      <c r="HK248" s="54"/>
      <c r="HL248" s="54"/>
      <c r="HM248" s="54"/>
      <c r="HN248" s="54"/>
      <c r="HO248" s="54"/>
      <c r="HP248" s="54"/>
      <c r="HQ248" s="54"/>
      <c r="HR248" s="54"/>
      <c r="HS248" s="54"/>
      <c r="HT248" s="54"/>
      <c r="HU248" s="54"/>
      <c r="HV248" s="54"/>
      <c r="HW248" s="54"/>
      <c r="HX248" s="54"/>
      <c r="HY248" s="54"/>
      <c r="HZ248" s="54"/>
      <c r="IA248" s="54"/>
      <c r="IB248" s="54"/>
      <c r="IC248" s="54"/>
      <c r="ID248" s="54"/>
      <c r="IE248" s="54"/>
      <c r="IF248" s="54"/>
      <c r="IG248" s="54"/>
      <c r="IH248" s="54"/>
      <c r="II248" s="54"/>
      <c r="IJ248" s="54"/>
      <c r="IK248" s="54"/>
      <c r="IL248" s="54"/>
      <c r="IM248" s="54"/>
      <c r="IN248" s="54"/>
      <c r="IO248" s="54"/>
      <c r="IP248" s="54"/>
      <c r="IQ248" s="54"/>
      <c r="IR248" s="54"/>
      <c r="IS248" s="54"/>
      <c r="IT248" s="54"/>
      <c r="IU248" s="54"/>
      <c r="IV248" s="54"/>
      <c r="IW248" s="54"/>
      <c r="IX248" s="54"/>
      <c r="IY248" s="54"/>
      <c r="IZ248" s="54"/>
      <c r="JA248" s="54"/>
      <c r="JB248" s="54"/>
      <c r="JC248" s="54"/>
      <c r="JD248" s="54"/>
      <c r="JE248" s="54"/>
      <c r="JF248" s="54"/>
      <c r="JG248" s="54"/>
      <c r="JH248" s="54"/>
      <c r="JI248" s="54"/>
      <c r="JJ248" s="54"/>
      <c r="JK248" s="54"/>
      <c r="JL248" s="54"/>
      <c r="JM248" s="54"/>
      <c r="JN248" s="54"/>
      <c r="JO248" s="54"/>
      <c r="JP248" s="54"/>
      <c r="JQ248" s="54"/>
      <c r="JR248" s="54"/>
      <c r="JS248" s="54"/>
      <c r="JT248" s="54"/>
      <c r="JU248" s="54"/>
      <c r="JV248" s="54"/>
      <c r="JW248" s="54"/>
      <c r="JX248" s="54"/>
      <c r="JY248" s="54"/>
      <c r="JZ248" s="54"/>
      <c r="KA248" s="54"/>
      <c r="KB248" s="54"/>
      <c r="KC248" s="54"/>
      <c r="KD248" s="54"/>
      <c r="KE248" s="54"/>
      <c r="KF248" s="54"/>
      <c r="KG248" s="54"/>
      <c r="KH248" s="54"/>
      <c r="KI248" s="54"/>
      <c r="KJ248" s="54"/>
      <c r="KK248" s="54"/>
      <c r="KL248" s="54"/>
      <c r="KM248" s="54"/>
      <c r="KN248" s="54"/>
      <c r="KO248" s="54"/>
      <c r="KP248" s="54"/>
      <c r="KQ248" s="54"/>
      <c r="KR248" s="54"/>
      <c r="KS248" s="54"/>
      <c r="KT248" s="54"/>
      <c r="KU248" s="54"/>
      <c r="KV248" s="54"/>
      <c r="KW248" s="54"/>
      <c r="KX248" s="54"/>
      <c r="KY248" s="54"/>
      <c r="KZ248" s="54"/>
      <c r="LA248" s="54"/>
      <c r="LB248" s="54"/>
      <c r="LC248" s="54"/>
      <c r="LD248" s="54"/>
      <c r="LE248" s="54"/>
      <c r="LF248" s="54"/>
      <c r="LG248" s="54"/>
      <c r="LH248" s="54"/>
      <c r="LI248" s="54"/>
      <c r="LJ248" s="54"/>
      <c r="LK248" s="54"/>
      <c r="LL248" s="54"/>
      <c r="LM248" s="54"/>
      <c r="LN248" s="54"/>
      <c r="LO248" s="54"/>
      <c r="LP248" s="54"/>
      <c r="LQ248" s="54"/>
      <c r="LR248" s="54"/>
      <c r="LS248" s="54"/>
      <c r="LT248" s="54"/>
      <c r="LU248" s="54"/>
      <c r="LV248" s="54"/>
      <c r="LW248" s="54"/>
      <c r="LX248" s="54"/>
      <c r="LY248" s="54"/>
      <c r="LZ248" s="54"/>
      <c r="MA248" s="54"/>
      <c r="MB248" s="54"/>
      <c r="MC248" s="54"/>
      <c r="MD248" s="54"/>
      <c r="ME248" s="54"/>
      <c r="MF248" s="54"/>
      <c r="MG248" s="54"/>
      <c r="MH248" s="54"/>
      <c r="MI248" s="54"/>
      <c r="MJ248" s="54"/>
      <c r="MK248" s="54"/>
      <c r="ML248" s="54"/>
      <c r="MM248" s="54"/>
      <c r="MN248" s="54"/>
      <c r="MO248" s="54"/>
      <c r="MP248" s="54"/>
      <c r="MQ248" s="54"/>
      <c r="MR248" s="54"/>
      <c r="MS248" s="54"/>
      <c r="MT248" s="54"/>
      <c r="MU248" s="54"/>
      <c r="MV248" s="54"/>
      <c r="MW248" s="54"/>
      <c r="MX248" s="54"/>
      <c r="MY248" s="54"/>
      <c r="MZ248" s="54"/>
      <c r="NA248" s="54"/>
      <c r="NB248" s="54"/>
      <c r="NC248" s="54"/>
      <c r="ND248" s="54"/>
      <c r="NE248" s="54"/>
      <c r="NF248" s="54"/>
      <c r="NG248" s="54"/>
      <c r="NH248" s="54"/>
      <c r="NI248" s="54"/>
      <c r="NJ248" s="54"/>
      <c r="NK248" s="54"/>
      <c r="NL248" s="54"/>
      <c r="NM248" s="54"/>
      <c r="NN248" s="54"/>
      <c r="NO248" s="54"/>
      <c r="NP248" s="54"/>
      <c r="NQ248" s="54"/>
      <c r="NR248" s="54"/>
      <c r="NS248" s="54"/>
      <c r="NT248" s="54"/>
      <c r="NU248" s="54"/>
      <c r="NV248" s="54"/>
      <c r="NW248" s="54"/>
      <c r="NX248" s="54"/>
      <c r="NY248" s="54"/>
      <c r="NZ248" s="54"/>
      <c r="OA248" s="54"/>
      <c r="OB248" s="54"/>
      <c r="OC248" s="54"/>
      <c r="OD248" s="54"/>
      <c r="OE248" s="54"/>
      <c r="OF248" s="54"/>
      <c r="OG248" s="54"/>
      <c r="OH248" s="54"/>
      <c r="OI248" s="54"/>
      <c r="OJ248" s="54"/>
      <c r="OK248" s="54"/>
      <c r="OL248" s="54"/>
      <c r="OM248" s="54"/>
      <c r="ON248" s="54"/>
      <c r="OO248" s="54"/>
      <c r="OP248" s="54"/>
      <c r="OQ248" s="54"/>
      <c r="OR248" s="54"/>
      <c r="OS248" s="54"/>
      <c r="OT248" s="54"/>
      <c r="OU248" s="54"/>
      <c r="OV248" s="54"/>
      <c r="OW248" s="54"/>
      <c r="OX248" s="54"/>
      <c r="OY248" s="54"/>
      <c r="OZ248" s="54"/>
      <c r="PA248" s="54"/>
      <c r="PB248" s="54"/>
      <c r="PC248" s="54"/>
      <c r="PD248" s="54"/>
      <c r="PE248" s="54"/>
      <c r="PF248" s="54"/>
      <c r="PG248" s="54"/>
      <c r="PH248" s="54"/>
      <c r="PI248" s="54"/>
      <c r="PJ248" s="54"/>
      <c r="PK248" s="54"/>
      <c r="PL248" s="54"/>
      <c r="PM248" s="54"/>
      <c r="PN248" s="54"/>
      <c r="PO248" s="54"/>
      <c r="PP248" s="54"/>
      <c r="PQ248" s="54"/>
      <c r="PR248" s="54"/>
      <c r="PS248" s="54"/>
      <c r="PT248" s="54"/>
      <c r="PU248" s="54"/>
      <c r="PV248" s="54"/>
      <c r="PW248" s="54"/>
      <c r="PX248" s="54"/>
      <c r="PY248" s="54"/>
      <c r="PZ248" s="54"/>
      <c r="QA248" s="54"/>
      <c r="QB248" s="54"/>
      <c r="QC248" s="54"/>
      <c r="QD248" s="54"/>
      <c r="QE248" s="54"/>
      <c r="QF248" s="54"/>
      <c r="QG248" s="54"/>
      <c r="QH248" s="54"/>
      <c r="QI248" s="54"/>
      <c r="QJ248" s="54"/>
      <c r="QK248" s="54"/>
      <c r="QL248" s="54"/>
      <c r="QM248" s="54"/>
      <c r="QN248" s="54"/>
      <c r="QO248" s="54"/>
      <c r="QP248" s="54"/>
      <c r="QQ248" s="54"/>
      <c r="QR248" s="54"/>
      <c r="QS248" s="54"/>
      <c r="QT248" s="54"/>
      <c r="QU248" s="54"/>
      <c r="QV248" s="54"/>
      <c r="QW248" s="54"/>
      <c r="QX248" s="54"/>
      <c r="QY248" s="54"/>
      <c r="QZ248" s="54"/>
      <c r="RA248" s="54"/>
      <c r="RB248" s="54"/>
      <c r="RC248" s="54"/>
      <c r="RD248" s="54"/>
      <c r="RE248" s="54"/>
      <c r="RF248" s="54"/>
      <c r="RG248" s="54"/>
      <c r="RH248" s="54"/>
      <c r="RI248" s="54"/>
      <c r="RJ248" s="54"/>
      <c r="RK248" s="54"/>
      <c r="RL248" s="54"/>
      <c r="RM248" s="54"/>
      <c r="RN248" s="54"/>
      <c r="RO248" s="54"/>
      <c r="RP248" s="54"/>
      <c r="RQ248" s="54"/>
      <c r="RR248" s="54"/>
      <c r="RS248" s="54"/>
      <c r="RT248" s="54"/>
      <c r="RU248" s="54"/>
      <c r="RV248" s="54"/>
      <c r="RW248" s="54"/>
      <c r="RX248" s="54"/>
      <c r="RY248" s="54"/>
      <c r="RZ248" s="54"/>
      <c r="SA248" s="54"/>
      <c r="SB248" s="54"/>
      <c r="SC248" s="54"/>
      <c r="SD248" s="54"/>
      <c r="SE248" s="54"/>
      <c r="SF248" s="54"/>
      <c r="SG248" s="54"/>
      <c r="SH248" s="54"/>
      <c r="SI248" s="54"/>
      <c r="SJ248" s="54"/>
      <c r="SK248" s="54"/>
      <c r="SL248" s="54"/>
      <c r="SM248" s="54"/>
      <c r="SN248" s="54"/>
      <c r="SO248" s="54"/>
      <c r="SP248" s="54"/>
      <c r="SQ248" s="54"/>
      <c r="SR248" s="54"/>
    </row>
    <row r="249" spans="1:512" ht="15" customHeight="1" x14ac:dyDescent="0.7">
      <c r="A249" s="172"/>
      <c r="B249" s="172"/>
      <c r="C249" s="172"/>
      <c r="D249" s="172"/>
      <c r="E249" s="172"/>
      <c r="F249" s="172"/>
      <c r="G249" s="172"/>
      <c r="I249" s="72" t="s">
        <v>344</v>
      </c>
      <c r="J249" s="73" t="s">
        <v>344</v>
      </c>
      <c r="K249" s="190"/>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c r="DA249" s="54"/>
      <c r="DB249" s="54"/>
      <c r="DC249" s="54"/>
      <c r="DD249" s="54"/>
      <c r="DE249" s="54"/>
      <c r="DF249" s="54"/>
      <c r="DG249" s="54"/>
      <c r="DH249" s="54"/>
      <c r="DI249" s="54"/>
      <c r="DJ249" s="54"/>
      <c r="DK249" s="54"/>
      <c r="DL249" s="54"/>
      <c r="DM249" s="54"/>
      <c r="DN249" s="54"/>
      <c r="DO249" s="54"/>
      <c r="DP249" s="54"/>
      <c r="DQ249" s="54"/>
      <c r="DR249" s="54"/>
      <c r="DS249" s="54"/>
      <c r="DT249" s="54"/>
      <c r="DU249" s="54"/>
      <c r="DV249" s="54"/>
      <c r="DW249" s="54"/>
      <c r="DX249" s="54"/>
      <c r="DY249" s="54"/>
      <c r="DZ249" s="54"/>
      <c r="EA249" s="54"/>
      <c r="EB249" s="54"/>
      <c r="EC249" s="54"/>
      <c r="ED249" s="54"/>
      <c r="EE249" s="54"/>
      <c r="EF249" s="54"/>
      <c r="EG249" s="54"/>
      <c r="EH249" s="54"/>
      <c r="EI249" s="54"/>
      <c r="EJ249" s="54"/>
      <c r="EK249" s="54"/>
      <c r="EL249" s="54"/>
      <c r="EM249" s="54"/>
      <c r="EN249" s="54"/>
      <c r="EO249" s="54"/>
      <c r="EP249" s="54"/>
      <c r="EQ249" s="54"/>
      <c r="ER249" s="54"/>
      <c r="ES249" s="54"/>
      <c r="ET249" s="54"/>
      <c r="EU249" s="54"/>
      <c r="EV249" s="54"/>
      <c r="EW249" s="54"/>
      <c r="EX249" s="54"/>
      <c r="EY249" s="54"/>
      <c r="EZ249" s="54"/>
      <c r="FA249" s="54"/>
      <c r="FB249" s="54"/>
      <c r="FC249" s="54"/>
      <c r="FD249" s="54"/>
      <c r="FE249" s="54"/>
      <c r="FF249" s="54"/>
      <c r="FG249" s="54"/>
      <c r="FH249" s="54"/>
      <c r="FI249" s="54"/>
      <c r="FJ249" s="54"/>
      <c r="FK249" s="54"/>
      <c r="FL249" s="54"/>
      <c r="FM249" s="54"/>
      <c r="FN249" s="54"/>
      <c r="FO249" s="54"/>
      <c r="FP249" s="54"/>
      <c r="FQ249" s="54"/>
      <c r="FR249" s="54"/>
      <c r="FS249" s="54"/>
      <c r="FT249" s="54"/>
      <c r="FU249" s="54"/>
      <c r="FV249" s="54"/>
      <c r="FW249" s="54"/>
      <c r="FX249" s="54"/>
      <c r="FY249" s="54"/>
      <c r="FZ249" s="54"/>
      <c r="GA249" s="54"/>
      <c r="GB249" s="54"/>
      <c r="GC249" s="54"/>
      <c r="GD249" s="54"/>
      <c r="GE249" s="54"/>
      <c r="GF249" s="54"/>
      <c r="GG249" s="54"/>
      <c r="GH249" s="54"/>
      <c r="GI249" s="54"/>
      <c r="GJ249" s="54"/>
      <c r="GK249" s="54"/>
      <c r="GL249" s="54"/>
      <c r="GM249" s="54"/>
      <c r="GN249" s="54"/>
      <c r="GO249" s="54"/>
      <c r="GP249" s="54"/>
      <c r="GQ249" s="54"/>
      <c r="GR249" s="54"/>
      <c r="GS249" s="54"/>
      <c r="GT249" s="54"/>
      <c r="GU249" s="54"/>
      <c r="GV249" s="54"/>
      <c r="GW249" s="54"/>
      <c r="GX249" s="54"/>
      <c r="GY249" s="54"/>
      <c r="GZ249" s="54"/>
      <c r="HA249" s="54"/>
      <c r="HB249" s="54"/>
      <c r="HC249" s="54"/>
      <c r="HD249" s="54"/>
      <c r="HE249" s="54"/>
      <c r="HF249" s="54"/>
      <c r="HG249" s="54"/>
      <c r="HH249" s="54"/>
      <c r="HI249" s="54"/>
      <c r="HJ249" s="54"/>
      <c r="HK249" s="54"/>
      <c r="HL249" s="54"/>
      <c r="HM249" s="54"/>
      <c r="HN249" s="54"/>
      <c r="HO249" s="54"/>
      <c r="HP249" s="54"/>
      <c r="HQ249" s="54"/>
      <c r="HR249" s="54"/>
      <c r="HS249" s="54"/>
      <c r="HT249" s="54"/>
      <c r="HU249" s="54"/>
      <c r="HV249" s="54"/>
      <c r="HW249" s="54"/>
      <c r="HX249" s="54"/>
      <c r="HY249" s="54"/>
      <c r="HZ249" s="54"/>
      <c r="IA249" s="54"/>
      <c r="IB249" s="54"/>
      <c r="IC249" s="54"/>
      <c r="ID249" s="54"/>
      <c r="IE249" s="54"/>
      <c r="IF249" s="54"/>
      <c r="IG249" s="54"/>
      <c r="IH249" s="54"/>
      <c r="II249" s="54"/>
      <c r="IJ249" s="54"/>
      <c r="IK249" s="54"/>
      <c r="IL249" s="54"/>
      <c r="IM249" s="54"/>
      <c r="IN249" s="54"/>
      <c r="IO249" s="54"/>
      <c r="IP249" s="54"/>
      <c r="IQ249" s="54"/>
      <c r="IR249" s="54"/>
      <c r="IS249" s="54"/>
      <c r="IT249" s="54"/>
      <c r="IU249" s="54"/>
      <c r="IV249" s="54"/>
      <c r="IW249" s="54"/>
      <c r="IX249" s="54"/>
      <c r="IY249" s="54"/>
      <c r="IZ249" s="54"/>
      <c r="JA249" s="54"/>
      <c r="JB249" s="54"/>
      <c r="JC249" s="54"/>
      <c r="JD249" s="54"/>
      <c r="JE249" s="54"/>
      <c r="JF249" s="54"/>
      <c r="JG249" s="54"/>
      <c r="JH249" s="54"/>
      <c r="JI249" s="54"/>
      <c r="JJ249" s="54"/>
      <c r="JK249" s="54"/>
      <c r="JL249" s="54"/>
      <c r="JM249" s="54"/>
      <c r="JN249" s="54"/>
      <c r="JO249" s="54"/>
      <c r="JP249" s="54"/>
      <c r="JQ249" s="54"/>
      <c r="JR249" s="54"/>
      <c r="JS249" s="54"/>
      <c r="JT249" s="54"/>
      <c r="JU249" s="54"/>
      <c r="JV249" s="54"/>
      <c r="JW249" s="54"/>
      <c r="JX249" s="54"/>
      <c r="JY249" s="54"/>
      <c r="JZ249" s="54"/>
      <c r="KA249" s="54"/>
      <c r="KB249" s="54"/>
      <c r="KC249" s="54"/>
      <c r="KD249" s="54"/>
      <c r="KE249" s="54"/>
      <c r="KF249" s="54"/>
      <c r="KG249" s="54"/>
      <c r="KH249" s="54"/>
      <c r="KI249" s="54"/>
      <c r="KJ249" s="54"/>
      <c r="KK249" s="54"/>
      <c r="KL249" s="54"/>
      <c r="KM249" s="54"/>
      <c r="KN249" s="54"/>
      <c r="KO249" s="54"/>
      <c r="KP249" s="54"/>
      <c r="KQ249" s="54"/>
      <c r="KR249" s="54"/>
      <c r="KS249" s="54"/>
      <c r="KT249" s="54"/>
      <c r="KU249" s="54"/>
      <c r="KV249" s="54"/>
      <c r="KW249" s="54"/>
      <c r="KX249" s="54"/>
      <c r="KY249" s="54"/>
      <c r="KZ249" s="54"/>
      <c r="LA249" s="54"/>
      <c r="LB249" s="54"/>
      <c r="LC249" s="54"/>
      <c r="LD249" s="54"/>
      <c r="LE249" s="54"/>
      <c r="LF249" s="54"/>
      <c r="LG249" s="54"/>
      <c r="LH249" s="54"/>
      <c r="LI249" s="54"/>
      <c r="LJ249" s="54"/>
      <c r="LK249" s="54"/>
      <c r="LL249" s="54"/>
      <c r="LM249" s="54"/>
      <c r="LN249" s="54"/>
      <c r="LO249" s="54"/>
      <c r="LP249" s="54"/>
      <c r="LQ249" s="54"/>
      <c r="LR249" s="54"/>
      <c r="LS249" s="54"/>
      <c r="LT249" s="54"/>
      <c r="LU249" s="54"/>
      <c r="LV249" s="54"/>
      <c r="LW249" s="54"/>
      <c r="LX249" s="54"/>
      <c r="LY249" s="54"/>
      <c r="LZ249" s="54"/>
      <c r="MA249" s="54"/>
      <c r="MB249" s="54"/>
      <c r="MC249" s="54"/>
      <c r="MD249" s="54"/>
      <c r="ME249" s="54"/>
      <c r="MF249" s="54"/>
      <c r="MG249" s="54"/>
      <c r="MH249" s="54"/>
      <c r="MI249" s="54"/>
      <c r="MJ249" s="54"/>
      <c r="MK249" s="54"/>
      <c r="ML249" s="54"/>
      <c r="MM249" s="54"/>
      <c r="MN249" s="54"/>
      <c r="MO249" s="54"/>
      <c r="MP249" s="54"/>
      <c r="MQ249" s="54"/>
      <c r="MR249" s="54"/>
      <c r="MS249" s="54"/>
      <c r="MT249" s="54"/>
      <c r="MU249" s="54"/>
      <c r="MV249" s="54"/>
      <c r="MW249" s="54"/>
      <c r="MX249" s="54"/>
      <c r="MY249" s="54"/>
      <c r="MZ249" s="54"/>
      <c r="NA249" s="54"/>
      <c r="NB249" s="54"/>
      <c r="NC249" s="54"/>
      <c r="ND249" s="54"/>
      <c r="NE249" s="54"/>
      <c r="NF249" s="54"/>
      <c r="NG249" s="54"/>
      <c r="NH249" s="54"/>
      <c r="NI249" s="54"/>
      <c r="NJ249" s="54"/>
      <c r="NK249" s="54"/>
      <c r="NL249" s="54"/>
      <c r="NM249" s="54"/>
      <c r="NN249" s="54"/>
      <c r="NO249" s="54"/>
      <c r="NP249" s="54"/>
      <c r="NQ249" s="54"/>
      <c r="NR249" s="54"/>
      <c r="NS249" s="54"/>
      <c r="NT249" s="54"/>
      <c r="NU249" s="54"/>
      <c r="NV249" s="54"/>
      <c r="NW249" s="54"/>
      <c r="NX249" s="54"/>
      <c r="NY249" s="54"/>
      <c r="NZ249" s="54"/>
      <c r="OA249" s="54"/>
      <c r="OB249" s="54"/>
      <c r="OC249" s="54"/>
      <c r="OD249" s="54"/>
      <c r="OE249" s="54"/>
      <c r="OF249" s="54"/>
      <c r="OG249" s="54"/>
      <c r="OH249" s="54"/>
      <c r="OI249" s="54"/>
      <c r="OJ249" s="54"/>
      <c r="OK249" s="54"/>
      <c r="OL249" s="54"/>
      <c r="OM249" s="54"/>
      <c r="ON249" s="54"/>
      <c r="OO249" s="54"/>
      <c r="OP249" s="54"/>
      <c r="OQ249" s="54"/>
      <c r="OR249" s="54"/>
      <c r="OS249" s="54"/>
      <c r="OT249" s="54"/>
      <c r="OU249" s="54"/>
      <c r="OV249" s="54"/>
      <c r="OW249" s="54"/>
      <c r="OX249" s="54"/>
      <c r="OY249" s="54"/>
      <c r="OZ249" s="54"/>
      <c r="PA249" s="54"/>
      <c r="PB249" s="54"/>
      <c r="PC249" s="54"/>
      <c r="PD249" s="54"/>
      <c r="PE249" s="54"/>
      <c r="PF249" s="54"/>
      <c r="PG249" s="54"/>
      <c r="PH249" s="54"/>
      <c r="PI249" s="54"/>
      <c r="PJ249" s="54"/>
      <c r="PK249" s="54"/>
      <c r="PL249" s="54"/>
      <c r="PM249" s="54"/>
      <c r="PN249" s="54"/>
      <c r="PO249" s="54"/>
      <c r="PP249" s="54"/>
      <c r="PQ249" s="54"/>
      <c r="PR249" s="54"/>
      <c r="PS249" s="54"/>
      <c r="PT249" s="54"/>
      <c r="PU249" s="54"/>
      <c r="PV249" s="54"/>
      <c r="PW249" s="54"/>
      <c r="PX249" s="54"/>
      <c r="PY249" s="54"/>
      <c r="PZ249" s="54"/>
      <c r="QA249" s="54"/>
      <c r="QB249" s="54"/>
      <c r="QC249" s="54"/>
      <c r="QD249" s="54"/>
      <c r="QE249" s="54"/>
      <c r="QF249" s="54"/>
      <c r="QG249" s="54"/>
      <c r="QH249" s="54"/>
      <c r="QI249" s="54"/>
      <c r="QJ249" s="54"/>
      <c r="QK249" s="54"/>
      <c r="QL249" s="54"/>
      <c r="QM249" s="54"/>
      <c r="QN249" s="54"/>
      <c r="QO249" s="54"/>
      <c r="QP249" s="54"/>
      <c r="QQ249" s="54"/>
      <c r="QR249" s="54"/>
      <c r="QS249" s="54"/>
      <c r="QT249" s="54"/>
      <c r="QU249" s="54"/>
      <c r="QV249" s="54"/>
      <c r="QW249" s="54"/>
      <c r="QX249" s="54"/>
      <c r="QY249" s="54"/>
      <c r="QZ249" s="54"/>
      <c r="RA249" s="54"/>
      <c r="RB249" s="54"/>
      <c r="RC249" s="54"/>
      <c r="RD249" s="54"/>
      <c r="RE249" s="54"/>
      <c r="RF249" s="54"/>
      <c r="RG249" s="54"/>
      <c r="RH249" s="54"/>
      <c r="RI249" s="54"/>
      <c r="RJ249" s="54"/>
      <c r="RK249" s="54"/>
      <c r="RL249" s="54"/>
      <c r="RM249" s="54"/>
      <c r="RN249" s="54"/>
      <c r="RO249" s="54"/>
      <c r="RP249" s="54"/>
      <c r="RQ249" s="54"/>
      <c r="RR249" s="54"/>
      <c r="RS249" s="54"/>
      <c r="RT249" s="54"/>
      <c r="RU249" s="54"/>
      <c r="RV249" s="54"/>
      <c r="RW249" s="54"/>
      <c r="RX249" s="54"/>
      <c r="RY249" s="54"/>
      <c r="RZ249" s="54"/>
      <c r="SA249" s="54"/>
      <c r="SB249" s="54"/>
      <c r="SC249" s="54"/>
      <c r="SD249" s="54"/>
      <c r="SE249" s="54"/>
      <c r="SF249" s="54"/>
      <c r="SG249" s="54"/>
      <c r="SH249" s="54"/>
      <c r="SI249" s="54"/>
      <c r="SJ249" s="54"/>
      <c r="SK249" s="54"/>
      <c r="SL249" s="54"/>
      <c r="SM249" s="54"/>
      <c r="SN249" s="54"/>
      <c r="SO249" s="54"/>
      <c r="SP249" s="54"/>
      <c r="SQ249" s="54"/>
      <c r="SR249" s="54"/>
    </row>
    <row r="250" spans="1:512" s="55" customFormat="1" ht="15" customHeight="1" x14ac:dyDescent="0.7">
      <c r="A250" s="173"/>
      <c r="B250" s="173"/>
      <c r="C250" s="173"/>
      <c r="D250" s="173"/>
      <c r="E250" s="173"/>
      <c r="F250" s="173"/>
      <c r="G250" s="173"/>
      <c r="H250" s="74"/>
      <c r="I250" s="75"/>
      <c r="J250" s="76"/>
      <c r="K250" s="191"/>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c r="IX250" s="56"/>
      <c r="IY250" s="56"/>
      <c r="IZ250" s="56"/>
      <c r="JA250" s="56"/>
      <c r="JB250" s="56"/>
      <c r="JC250" s="56"/>
      <c r="JD250" s="56"/>
      <c r="JE250" s="56"/>
      <c r="JF250" s="56"/>
      <c r="JG250" s="56"/>
      <c r="JH250" s="56"/>
      <c r="JI250" s="56"/>
      <c r="JJ250" s="56"/>
      <c r="JK250" s="56"/>
      <c r="JL250" s="56"/>
      <c r="JM250" s="56"/>
      <c r="JN250" s="56"/>
      <c r="JO250" s="56"/>
      <c r="JP250" s="56"/>
      <c r="JQ250" s="56"/>
      <c r="JR250" s="56"/>
      <c r="JS250" s="56"/>
      <c r="JT250" s="56"/>
      <c r="JU250" s="56"/>
      <c r="JV250" s="56"/>
      <c r="JW250" s="56"/>
      <c r="JX250" s="56"/>
      <c r="JY250" s="56"/>
      <c r="JZ250" s="56"/>
      <c r="KA250" s="56"/>
      <c r="KB250" s="56"/>
      <c r="KC250" s="56"/>
      <c r="KD250" s="56"/>
      <c r="KE250" s="56"/>
      <c r="KF250" s="56"/>
      <c r="KG250" s="56"/>
      <c r="KH250" s="56"/>
      <c r="KI250" s="56"/>
      <c r="KJ250" s="56"/>
      <c r="KK250" s="56"/>
      <c r="KL250" s="56"/>
      <c r="KM250" s="56"/>
      <c r="KN250" s="56"/>
      <c r="KO250" s="56"/>
      <c r="KP250" s="56"/>
      <c r="KQ250" s="56"/>
      <c r="KR250" s="56"/>
      <c r="KS250" s="56"/>
      <c r="KT250" s="56"/>
      <c r="KU250" s="56"/>
      <c r="KV250" s="56"/>
      <c r="KW250" s="56"/>
      <c r="KX250" s="56"/>
      <c r="KY250" s="56"/>
      <c r="KZ250" s="56"/>
      <c r="LA250" s="56"/>
      <c r="LB250" s="56"/>
      <c r="LC250" s="56"/>
      <c r="LD250" s="56"/>
      <c r="LE250" s="56"/>
      <c r="LF250" s="56"/>
      <c r="LG250" s="56"/>
      <c r="LH250" s="56"/>
      <c r="LI250" s="56"/>
      <c r="LJ250" s="56"/>
      <c r="LK250" s="56"/>
      <c r="LL250" s="56"/>
      <c r="LM250" s="56"/>
      <c r="LN250" s="56"/>
      <c r="LO250" s="56"/>
      <c r="LP250" s="56"/>
      <c r="LQ250" s="56"/>
      <c r="LR250" s="56"/>
      <c r="LS250" s="56"/>
      <c r="LT250" s="56"/>
      <c r="LU250" s="56"/>
      <c r="LV250" s="56"/>
      <c r="LW250" s="56"/>
      <c r="LX250" s="56"/>
      <c r="LY250" s="56"/>
      <c r="LZ250" s="56"/>
      <c r="MA250" s="56"/>
      <c r="MB250" s="56"/>
      <c r="MC250" s="56"/>
      <c r="MD250" s="56"/>
      <c r="ME250" s="56"/>
      <c r="MF250" s="56"/>
      <c r="MG250" s="56"/>
      <c r="MH250" s="56"/>
      <c r="MI250" s="56"/>
      <c r="MJ250" s="56"/>
      <c r="MK250" s="56"/>
      <c r="ML250" s="56"/>
      <c r="MM250" s="56"/>
      <c r="MN250" s="56"/>
      <c r="MO250" s="56"/>
      <c r="MP250" s="56"/>
      <c r="MQ250" s="56"/>
      <c r="MR250" s="56"/>
      <c r="MS250" s="56"/>
      <c r="MT250" s="56"/>
      <c r="MU250" s="56"/>
      <c r="MV250" s="56"/>
      <c r="MW250" s="56"/>
      <c r="MX250" s="56"/>
      <c r="MY250" s="56"/>
      <c r="MZ250" s="56"/>
      <c r="NA250" s="56"/>
      <c r="NB250" s="56"/>
      <c r="NC250" s="56"/>
      <c r="ND250" s="56"/>
      <c r="NE250" s="56"/>
      <c r="NF250" s="56"/>
      <c r="NG250" s="56"/>
      <c r="NH250" s="56"/>
      <c r="NI250" s="56"/>
      <c r="NJ250" s="56"/>
      <c r="NK250" s="56"/>
      <c r="NL250" s="56"/>
      <c r="NM250" s="56"/>
      <c r="NN250" s="56"/>
      <c r="NO250" s="56"/>
      <c r="NP250" s="56"/>
      <c r="NQ250" s="56"/>
      <c r="NR250" s="56"/>
      <c r="NS250" s="56"/>
      <c r="NT250" s="56"/>
      <c r="NU250" s="56"/>
      <c r="NV250" s="56"/>
      <c r="NW250" s="56"/>
      <c r="NX250" s="56"/>
      <c r="NY250" s="56"/>
      <c r="NZ250" s="56"/>
      <c r="OA250" s="56"/>
      <c r="OB250" s="56"/>
      <c r="OC250" s="56"/>
      <c r="OD250" s="56"/>
      <c r="OE250" s="56"/>
      <c r="OF250" s="56"/>
      <c r="OG250" s="56"/>
      <c r="OH250" s="56"/>
      <c r="OI250" s="56"/>
      <c r="OJ250" s="56"/>
      <c r="OK250" s="56"/>
      <c r="OL250" s="56"/>
      <c r="OM250" s="56"/>
      <c r="ON250" s="56"/>
      <c r="OO250" s="56"/>
      <c r="OP250" s="56"/>
      <c r="OQ250" s="56"/>
      <c r="OR250" s="56"/>
      <c r="OS250" s="56"/>
      <c r="OT250" s="56"/>
      <c r="OU250" s="56"/>
      <c r="OV250" s="56"/>
      <c r="OW250" s="56"/>
      <c r="OX250" s="56"/>
      <c r="OY250" s="56"/>
      <c r="OZ250" s="56"/>
      <c r="PA250" s="56"/>
      <c r="PB250" s="56"/>
      <c r="PC250" s="56"/>
      <c r="PD250" s="56"/>
      <c r="PE250" s="56"/>
      <c r="PF250" s="56"/>
      <c r="PG250" s="56"/>
      <c r="PH250" s="56"/>
      <c r="PI250" s="56"/>
      <c r="PJ250" s="56"/>
      <c r="PK250" s="56"/>
      <c r="PL250" s="56"/>
      <c r="PM250" s="56"/>
      <c r="PN250" s="56"/>
      <c r="PO250" s="56"/>
      <c r="PP250" s="56"/>
      <c r="PQ250" s="56"/>
      <c r="PR250" s="56"/>
      <c r="PS250" s="56"/>
      <c r="PT250" s="56"/>
      <c r="PU250" s="56"/>
      <c r="PV250" s="56"/>
      <c r="PW250" s="56"/>
      <c r="PX250" s="56"/>
      <c r="PY250" s="56"/>
      <c r="PZ250" s="56"/>
      <c r="QA250" s="56"/>
      <c r="QB250" s="56"/>
      <c r="QC250" s="56"/>
      <c r="QD250" s="56"/>
      <c r="QE250" s="56"/>
      <c r="QF250" s="56"/>
      <c r="QG250" s="56"/>
      <c r="QH250" s="56"/>
      <c r="QI250" s="56"/>
      <c r="QJ250" s="56"/>
      <c r="QK250" s="56"/>
      <c r="QL250" s="56"/>
      <c r="QM250" s="56"/>
      <c r="QN250" s="56"/>
      <c r="QO250" s="56"/>
      <c r="QP250" s="56"/>
      <c r="QQ250" s="56"/>
      <c r="QR250" s="56"/>
      <c r="QS250" s="56"/>
      <c r="QT250" s="56"/>
      <c r="QU250" s="56"/>
      <c r="QV250" s="56"/>
      <c r="QW250" s="56"/>
      <c r="QX250" s="56"/>
      <c r="QY250" s="56"/>
      <c r="QZ250" s="56"/>
      <c r="RA250" s="56"/>
      <c r="RB250" s="56"/>
      <c r="RC250" s="56"/>
      <c r="RD250" s="56"/>
      <c r="RE250" s="56"/>
      <c r="RF250" s="56"/>
      <c r="RG250" s="56"/>
      <c r="RH250" s="56"/>
      <c r="RI250" s="56"/>
      <c r="RJ250" s="56"/>
      <c r="RK250" s="56"/>
      <c r="RL250" s="56"/>
      <c r="RM250" s="56"/>
      <c r="RN250" s="56"/>
      <c r="RO250" s="56"/>
      <c r="RP250" s="56"/>
      <c r="RQ250" s="56"/>
      <c r="RR250" s="56"/>
      <c r="RS250" s="56"/>
      <c r="RT250" s="56"/>
      <c r="RU250" s="56"/>
      <c r="RV250" s="56"/>
      <c r="RW250" s="56"/>
      <c r="RX250" s="56"/>
      <c r="RY250" s="56"/>
      <c r="RZ250" s="56"/>
      <c r="SA250" s="56"/>
      <c r="SB250" s="56"/>
      <c r="SC250" s="56"/>
      <c r="SD250" s="56"/>
      <c r="SE250" s="56"/>
      <c r="SF250" s="56"/>
      <c r="SG250" s="56"/>
      <c r="SH250" s="56"/>
      <c r="SI250" s="56"/>
      <c r="SJ250" s="56"/>
      <c r="SK250" s="56"/>
      <c r="SL250" s="56"/>
      <c r="SM250" s="56"/>
      <c r="SN250" s="56"/>
      <c r="SO250" s="56"/>
      <c r="SP250" s="56"/>
      <c r="SQ250" s="56"/>
      <c r="SR250" s="56"/>
    </row>
    <row r="251" spans="1:512" ht="15" customHeight="1" x14ac:dyDescent="0.7">
      <c r="A251" s="171" t="s">
        <v>344</v>
      </c>
      <c r="B251" s="171" t="s">
        <v>344</v>
      </c>
      <c r="C251" s="171" t="s">
        <v>344</v>
      </c>
      <c r="D251" s="171"/>
      <c r="E251" s="171" t="s">
        <v>344</v>
      </c>
      <c r="F251" s="171"/>
      <c r="G251" s="188" t="s">
        <v>344</v>
      </c>
      <c r="H251" s="71" t="s">
        <v>344</v>
      </c>
      <c r="I251" s="72" t="s">
        <v>344</v>
      </c>
      <c r="J251" s="73" t="s">
        <v>344</v>
      </c>
      <c r="K251" s="189" t="s">
        <v>344</v>
      </c>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c r="BU251" s="54"/>
      <c r="BV251" s="54"/>
      <c r="BW251" s="54"/>
      <c r="BX251" s="54"/>
      <c r="BY251" s="54"/>
      <c r="BZ251" s="54"/>
      <c r="CA251" s="54"/>
      <c r="CB251" s="54"/>
      <c r="CC251" s="54"/>
      <c r="CD251" s="54"/>
      <c r="CE251" s="54"/>
      <c r="CF251" s="54"/>
      <c r="CG251" s="54"/>
      <c r="CH251" s="54"/>
      <c r="CI251" s="54"/>
      <c r="CJ251" s="54"/>
      <c r="CK251" s="54"/>
      <c r="CL251" s="54"/>
      <c r="CM251" s="54"/>
      <c r="CN251" s="54"/>
      <c r="CO251" s="54"/>
      <c r="CP251" s="54"/>
      <c r="CQ251" s="54"/>
      <c r="CR251" s="54"/>
      <c r="CS251" s="54"/>
      <c r="CT251" s="54"/>
      <c r="CU251" s="54"/>
      <c r="CV251" s="54"/>
      <c r="CW251" s="54"/>
      <c r="CX251" s="54"/>
      <c r="CY251" s="54"/>
      <c r="CZ251" s="54"/>
      <c r="DA251" s="54"/>
      <c r="DB251" s="54"/>
      <c r="DC251" s="54"/>
      <c r="DD251" s="54"/>
      <c r="DE251" s="54"/>
      <c r="DF251" s="54"/>
      <c r="DG251" s="54"/>
      <c r="DH251" s="54"/>
      <c r="DI251" s="54"/>
      <c r="DJ251" s="54"/>
      <c r="DK251" s="54"/>
      <c r="DL251" s="54"/>
      <c r="DM251" s="54"/>
      <c r="DN251" s="54"/>
      <c r="DO251" s="54"/>
      <c r="DP251" s="54"/>
      <c r="DQ251" s="54"/>
      <c r="DR251" s="54"/>
      <c r="DS251" s="54"/>
      <c r="DT251" s="54"/>
      <c r="DU251" s="54"/>
      <c r="DV251" s="54"/>
      <c r="DW251" s="54"/>
      <c r="DX251" s="54"/>
      <c r="DY251" s="54"/>
      <c r="DZ251" s="54"/>
      <c r="EA251" s="54"/>
      <c r="EB251" s="54"/>
      <c r="EC251" s="54"/>
      <c r="ED251" s="54"/>
      <c r="EE251" s="54"/>
      <c r="EF251" s="54"/>
      <c r="EG251" s="54"/>
      <c r="EH251" s="54"/>
      <c r="EI251" s="54"/>
      <c r="EJ251" s="54"/>
      <c r="EK251" s="54"/>
      <c r="EL251" s="54"/>
      <c r="EM251" s="54"/>
      <c r="EN251" s="54"/>
      <c r="EO251" s="54"/>
      <c r="EP251" s="54"/>
      <c r="EQ251" s="54"/>
      <c r="ER251" s="54"/>
      <c r="ES251" s="54"/>
      <c r="ET251" s="54"/>
      <c r="EU251" s="54"/>
      <c r="EV251" s="54"/>
      <c r="EW251" s="54"/>
      <c r="EX251" s="54"/>
      <c r="EY251" s="54"/>
      <c r="EZ251" s="54"/>
      <c r="FA251" s="54"/>
      <c r="FB251" s="54"/>
      <c r="FC251" s="54"/>
      <c r="FD251" s="54"/>
      <c r="FE251" s="54"/>
      <c r="FF251" s="54"/>
      <c r="FG251" s="54"/>
      <c r="FH251" s="54"/>
      <c r="FI251" s="54"/>
      <c r="FJ251" s="54"/>
      <c r="FK251" s="54"/>
      <c r="FL251" s="54"/>
      <c r="FM251" s="54"/>
      <c r="FN251" s="54"/>
      <c r="FO251" s="54"/>
      <c r="FP251" s="54"/>
      <c r="FQ251" s="54"/>
      <c r="FR251" s="54"/>
      <c r="FS251" s="54"/>
      <c r="FT251" s="54"/>
      <c r="FU251" s="54"/>
      <c r="FV251" s="54"/>
      <c r="FW251" s="54"/>
      <c r="FX251" s="54"/>
      <c r="FY251" s="54"/>
      <c r="FZ251" s="54"/>
      <c r="GA251" s="54"/>
      <c r="GB251" s="54"/>
      <c r="GC251" s="54"/>
      <c r="GD251" s="54"/>
      <c r="GE251" s="54"/>
      <c r="GF251" s="54"/>
      <c r="GG251" s="54"/>
      <c r="GH251" s="54"/>
      <c r="GI251" s="54"/>
      <c r="GJ251" s="54"/>
      <c r="GK251" s="54"/>
      <c r="GL251" s="54"/>
      <c r="GM251" s="54"/>
      <c r="GN251" s="54"/>
      <c r="GO251" s="54"/>
      <c r="GP251" s="54"/>
      <c r="GQ251" s="54"/>
      <c r="GR251" s="54"/>
      <c r="GS251" s="54"/>
      <c r="GT251" s="54"/>
      <c r="GU251" s="54"/>
      <c r="GV251" s="54"/>
      <c r="GW251" s="54"/>
      <c r="GX251" s="54"/>
      <c r="GY251" s="54"/>
      <c r="GZ251" s="54"/>
      <c r="HA251" s="54"/>
      <c r="HB251" s="54"/>
      <c r="HC251" s="54"/>
      <c r="HD251" s="54"/>
      <c r="HE251" s="54"/>
      <c r="HF251" s="54"/>
      <c r="HG251" s="54"/>
      <c r="HH251" s="54"/>
      <c r="HI251" s="54"/>
      <c r="HJ251" s="54"/>
      <c r="HK251" s="54"/>
      <c r="HL251" s="54"/>
      <c r="HM251" s="54"/>
      <c r="HN251" s="54"/>
      <c r="HO251" s="54"/>
      <c r="HP251" s="54"/>
      <c r="HQ251" s="54"/>
      <c r="HR251" s="54"/>
      <c r="HS251" s="54"/>
      <c r="HT251" s="54"/>
      <c r="HU251" s="54"/>
      <c r="HV251" s="54"/>
      <c r="HW251" s="54"/>
      <c r="HX251" s="54"/>
      <c r="HY251" s="54"/>
      <c r="HZ251" s="54"/>
      <c r="IA251" s="54"/>
      <c r="IB251" s="54"/>
      <c r="IC251" s="54"/>
      <c r="ID251" s="54"/>
      <c r="IE251" s="54"/>
      <c r="IF251" s="54"/>
      <c r="IG251" s="54"/>
      <c r="IH251" s="54"/>
      <c r="II251" s="54"/>
      <c r="IJ251" s="54"/>
      <c r="IK251" s="54"/>
      <c r="IL251" s="54"/>
      <c r="IM251" s="54"/>
      <c r="IN251" s="54"/>
      <c r="IO251" s="54"/>
      <c r="IP251" s="54"/>
      <c r="IQ251" s="54"/>
      <c r="IR251" s="54"/>
      <c r="IS251" s="54"/>
      <c r="IT251" s="54"/>
      <c r="IU251" s="54"/>
      <c r="IV251" s="54"/>
      <c r="IW251" s="54"/>
      <c r="IX251" s="54"/>
      <c r="IY251" s="54"/>
      <c r="IZ251" s="54"/>
      <c r="JA251" s="54"/>
      <c r="JB251" s="54"/>
      <c r="JC251" s="54"/>
      <c r="JD251" s="54"/>
      <c r="JE251" s="54"/>
      <c r="JF251" s="54"/>
      <c r="JG251" s="54"/>
      <c r="JH251" s="54"/>
      <c r="JI251" s="54"/>
      <c r="JJ251" s="54"/>
      <c r="JK251" s="54"/>
      <c r="JL251" s="54"/>
      <c r="JM251" s="54"/>
      <c r="JN251" s="54"/>
      <c r="JO251" s="54"/>
      <c r="JP251" s="54"/>
      <c r="JQ251" s="54"/>
      <c r="JR251" s="54"/>
      <c r="JS251" s="54"/>
      <c r="JT251" s="54"/>
      <c r="JU251" s="54"/>
      <c r="JV251" s="54"/>
      <c r="JW251" s="54"/>
      <c r="JX251" s="54"/>
      <c r="JY251" s="54"/>
      <c r="JZ251" s="54"/>
      <c r="KA251" s="54"/>
      <c r="KB251" s="54"/>
      <c r="KC251" s="54"/>
      <c r="KD251" s="54"/>
      <c r="KE251" s="54"/>
      <c r="KF251" s="54"/>
      <c r="KG251" s="54"/>
      <c r="KH251" s="54"/>
      <c r="KI251" s="54"/>
      <c r="KJ251" s="54"/>
      <c r="KK251" s="54"/>
      <c r="KL251" s="54"/>
      <c r="KM251" s="54"/>
      <c r="KN251" s="54"/>
      <c r="KO251" s="54"/>
      <c r="KP251" s="54"/>
      <c r="KQ251" s="54"/>
      <c r="KR251" s="54"/>
      <c r="KS251" s="54"/>
      <c r="KT251" s="54"/>
      <c r="KU251" s="54"/>
      <c r="KV251" s="54"/>
      <c r="KW251" s="54"/>
      <c r="KX251" s="54"/>
      <c r="KY251" s="54"/>
      <c r="KZ251" s="54"/>
      <c r="LA251" s="54"/>
      <c r="LB251" s="54"/>
      <c r="LC251" s="54"/>
      <c r="LD251" s="54"/>
      <c r="LE251" s="54"/>
      <c r="LF251" s="54"/>
      <c r="LG251" s="54"/>
      <c r="LH251" s="54"/>
      <c r="LI251" s="54"/>
      <c r="LJ251" s="54"/>
      <c r="LK251" s="54"/>
      <c r="LL251" s="54"/>
      <c r="LM251" s="54"/>
      <c r="LN251" s="54"/>
      <c r="LO251" s="54"/>
      <c r="LP251" s="54"/>
      <c r="LQ251" s="54"/>
      <c r="LR251" s="54"/>
      <c r="LS251" s="54"/>
      <c r="LT251" s="54"/>
      <c r="LU251" s="54"/>
      <c r="LV251" s="54"/>
      <c r="LW251" s="54"/>
      <c r="LX251" s="54"/>
      <c r="LY251" s="54"/>
      <c r="LZ251" s="54"/>
      <c r="MA251" s="54"/>
      <c r="MB251" s="54"/>
      <c r="MC251" s="54"/>
      <c r="MD251" s="54"/>
      <c r="ME251" s="54"/>
      <c r="MF251" s="54"/>
      <c r="MG251" s="54"/>
      <c r="MH251" s="54"/>
      <c r="MI251" s="54"/>
      <c r="MJ251" s="54"/>
      <c r="MK251" s="54"/>
      <c r="ML251" s="54"/>
      <c r="MM251" s="54"/>
      <c r="MN251" s="54"/>
      <c r="MO251" s="54"/>
      <c r="MP251" s="54"/>
      <c r="MQ251" s="54"/>
      <c r="MR251" s="54"/>
      <c r="MS251" s="54"/>
      <c r="MT251" s="54"/>
      <c r="MU251" s="54"/>
      <c r="MV251" s="54"/>
      <c r="MW251" s="54"/>
      <c r="MX251" s="54"/>
      <c r="MY251" s="54"/>
      <c r="MZ251" s="54"/>
      <c r="NA251" s="54"/>
      <c r="NB251" s="54"/>
      <c r="NC251" s="54"/>
      <c r="ND251" s="54"/>
      <c r="NE251" s="54"/>
      <c r="NF251" s="54"/>
      <c r="NG251" s="54"/>
      <c r="NH251" s="54"/>
      <c r="NI251" s="54"/>
      <c r="NJ251" s="54"/>
      <c r="NK251" s="54"/>
      <c r="NL251" s="54"/>
      <c r="NM251" s="54"/>
      <c r="NN251" s="54"/>
      <c r="NO251" s="54"/>
      <c r="NP251" s="54"/>
      <c r="NQ251" s="54"/>
      <c r="NR251" s="54"/>
      <c r="NS251" s="54"/>
      <c r="NT251" s="54"/>
      <c r="NU251" s="54"/>
      <c r="NV251" s="54"/>
      <c r="NW251" s="54"/>
      <c r="NX251" s="54"/>
      <c r="NY251" s="54"/>
      <c r="NZ251" s="54"/>
      <c r="OA251" s="54"/>
      <c r="OB251" s="54"/>
      <c r="OC251" s="54"/>
      <c r="OD251" s="54"/>
      <c r="OE251" s="54"/>
      <c r="OF251" s="54"/>
      <c r="OG251" s="54"/>
      <c r="OH251" s="54"/>
      <c r="OI251" s="54"/>
      <c r="OJ251" s="54"/>
      <c r="OK251" s="54"/>
      <c r="OL251" s="54"/>
      <c r="OM251" s="54"/>
      <c r="ON251" s="54"/>
      <c r="OO251" s="54"/>
      <c r="OP251" s="54"/>
      <c r="OQ251" s="54"/>
      <c r="OR251" s="54"/>
      <c r="OS251" s="54"/>
      <c r="OT251" s="54"/>
      <c r="OU251" s="54"/>
      <c r="OV251" s="54"/>
      <c r="OW251" s="54"/>
      <c r="OX251" s="54"/>
      <c r="OY251" s="54"/>
      <c r="OZ251" s="54"/>
      <c r="PA251" s="54"/>
      <c r="PB251" s="54"/>
      <c r="PC251" s="54"/>
      <c r="PD251" s="54"/>
      <c r="PE251" s="54"/>
      <c r="PF251" s="54"/>
      <c r="PG251" s="54"/>
      <c r="PH251" s="54"/>
      <c r="PI251" s="54"/>
      <c r="PJ251" s="54"/>
      <c r="PK251" s="54"/>
      <c r="PL251" s="54"/>
      <c r="PM251" s="54"/>
      <c r="PN251" s="54"/>
      <c r="PO251" s="54"/>
      <c r="PP251" s="54"/>
      <c r="PQ251" s="54"/>
      <c r="PR251" s="54"/>
      <c r="PS251" s="54"/>
      <c r="PT251" s="54"/>
      <c r="PU251" s="54"/>
      <c r="PV251" s="54"/>
      <c r="PW251" s="54"/>
      <c r="PX251" s="54"/>
      <c r="PY251" s="54"/>
      <c r="PZ251" s="54"/>
      <c r="QA251" s="54"/>
      <c r="QB251" s="54"/>
      <c r="QC251" s="54"/>
      <c r="QD251" s="54"/>
      <c r="QE251" s="54"/>
      <c r="QF251" s="54"/>
      <c r="QG251" s="54"/>
      <c r="QH251" s="54"/>
      <c r="QI251" s="54"/>
      <c r="QJ251" s="54"/>
      <c r="QK251" s="54"/>
      <c r="QL251" s="54"/>
      <c r="QM251" s="54"/>
      <c r="QN251" s="54"/>
      <c r="QO251" s="54"/>
      <c r="QP251" s="54"/>
      <c r="QQ251" s="54"/>
      <c r="QR251" s="54"/>
      <c r="QS251" s="54"/>
      <c r="QT251" s="54"/>
      <c r="QU251" s="54"/>
      <c r="QV251" s="54"/>
      <c r="QW251" s="54"/>
      <c r="QX251" s="54"/>
      <c r="QY251" s="54"/>
      <c r="QZ251" s="54"/>
      <c r="RA251" s="54"/>
      <c r="RB251" s="54"/>
      <c r="RC251" s="54"/>
      <c r="RD251" s="54"/>
      <c r="RE251" s="54"/>
      <c r="RF251" s="54"/>
      <c r="RG251" s="54"/>
      <c r="RH251" s="54"/>
      <c r="RI251" s="54"/>
      <c r="RJ251" s="54"/>
      <c r="RK251" s="54"/>
      <c r="RL251" s="54"/>
      <c r="RM251" s="54"/>
      <c r="RN251" s="54"/>
      <c r="RO251" s="54"/>
      <c r="RP251" s="54"/>
      <c r="RQ251" s="54"/>
      <c r="RR251" s="54"/>
      <c r="RS251" s="54"/>
      <c r="RT251" s="54"/>
      <c r="RU251" s="54"/>
      <c r="RV251" s="54"/>
      <c r="RW251" s="54"/>
      <c r="RX251" s="54"/>
      <c r="RY251" s="54"/>
      <c r="RZ251" s="54"/>
      <c r="SA251" s="54"/>
      <c r="SB251" s="54"/>
      <c r="SC251" s="54"/>
      <c r="SD251" s="54"/>
      <c r="SE251" s="54"/>
      <c r="SF251" s="54"/>
      <c r="SG251" s="54"/>
      <c r="SH251" s="54"/>
      <c r="SI251" s="54"/>
      <c r="SJ251" s="54"/>
      <c r="SK251" s="54"/>
      <c r="SL251" s="54"/>
      <c r="SM251" s="54"/>
      <c r="SN251" s="54"/>
      <c r="SO251" s="54"/>
      <c r="SP251" s="54"/>
      <c r="SQ251" s="54"/>
      <c r="SR251" s="54"/>
    </row>
    <row r="252" spans="1:512" ht="15" customHeight="1" x14ac:dyDescent="0.7">
      <c r="A252" s="172"/>
      <c r="B252" s="172"/>
      <c r="C252" s="172"/>
      <c r="D252" s="172"/>
      <c r="E252" s="172"/>
      <c r="F252" s="172"/>
      <c r="G252" s="172"/>
      <c r="I252" s="72" t="s">
        <v>344</v>
      </c>
      <c r="J252" s="73" t="s">
        <v>344</v>
      </c>
      <c r="K252" s="190"/>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4"/>
      <c r="BW252" s="54"/>
      <c r="BX252" s="54"/>
      <c r="BY252" s="54"/>
      <c r="BZ252" s="54"/>
      <c r="CA252" s="54"/>
      <c r="CB252" s="54"/>
      <c r="CC252" s="54"/>
      <c r="CD252" s="54"/>
      <c r="CE252" s="54"/>
      <c r="CF252" s="54"/>
      <c r="CG252" s="54"/>
      <c r="CH252" s="54"/>
      <c r="CI252" s="54"/>
      <c r="CJ252" s="54"/>
      <c r="CK252" s="54"/>
      <c r="CL252" s="54"/>
      <c r="CM252" s="54"/>
      <c r="CN252" s="54"/>
      <c r="CO252" s="54"/>
      <c r="CP252" s="54"/>
      <c r="CQ252" s="54"/>
      <c r="CR252" s="54"/>
      <c r="CS252" s="54"/>
      <c r="CT252" s="54"/>
      <c r="CU252" s="54"/>
      <c r="CV252" s="54"/>
      <c r="CW252" s="54"/>
      <c r="CX252" s="54"/>
      <c r="CY252" s="54"/>
      <c r="CZ252" s="54"/>
      <c r="DA252" s="54"/>
      <c r="DB252" s="54"/>
      <c r="DC252" s="54"/>
      <c r="DD252" s="54"/>
      <c r="DE252" s="54"/>
      <c r="DF252" s="54"/>
      <c r="DG252" s="54"/>
      <c r="DH252" s="54"/>
      <c r="DI252" s="54"/>
      <c r="DJ252" s="54"/>
      <c r="DK252" s="54"/>
      <c r="DL252" s="54"/>
      <c r="DM252" s="54"/>
      <c r="DN252" s="54"/>
      <c r="DO252" s="54"/>
      <c r="DP252" s="54"/>
      <c r="DQ252" s="54"/>
      <c r="DR252" s="54"/>
      <c r="DS252" s="54"/>
      <c r="DT252" s="54"/>
      <c r="DU252" s="54"/>
      <c r="DV252" s="54"/>
      <c r="DW252" s="54"/>
      <c r="DX252" s="54"/>
      <c r="DY252" s="54"/>
      <c r="DZ252" s="54"/>
      <c r="EA252" s="54"/>
      <c r="EB252" s="54"/>
      <c r="EC252" s="54"/>
      <c r="ED252" s="54"/>
      <c r="EE252" s="54"/>
      <c r="EF252" s="54"/>
      <c r="EG252" s="54"/>
      <c r="EH252" s="54"/>
      <c r="EI252" s="54"/>
      <c r="EJ252" s="54"/>
      <c r="EK252" s="54"/>
      <c r="EL252" s="54"/>
      <c r="EM252" s="54"/>
      <c r="EN252" s="54"/>
      <c r="EO252" s="54"/>
      <c r="EP252" s="54"/>
      <c r="EQ252" s="54"/>
      <c r="ER252" s="54"/>
      <c r="ES252" s="54"/>
      <c r="ET252" s="54"/>
      <c r="EU252" s="54"/>
      <c r="EV252" s="54"/>
      <c r="EW252" s="54"/>
      <c r="EX252" s="54"/>
      <c r="EY252" s="54"/>
      <c r="EZ252" s="54"/>
      <c r="FA252" s="54"/>
      <c r="FB252" s="54"/>
      <c r="FC252" s="54"/>
      <c r="FD252" s="54"/>
      <c r="FE252" s="54"/>
      <c r="FF252" s="54"/>
      <c r="FG252" s="54"/>
      <c r="FH252" s="54"/>
      <c r="FI252" s="54"/>
      <c r="FJ252" s="54"/>
      <c r="FK252" s="54"/>
      <c r="FL252" s="54"/>
      <c r="FM252" s="54"/>
      <c r="FN252" s="54"/>
      <c r="FO252" s="54"/>
      <c r="FP252" s="54"/>
      <c r="FQ252" s="54"/>
      <c r="FR252" s="54"/>
      <c r="FS252" s="54"/>
      <c r="FT252" s="54"/>
      <c r="FU252" s="54"/>
      <c r="FV252" s="54"/>
      <c r="FW252" s="54"/>
      <c r="FX252" s="54"/>
      <c r="FY252" s="54"/>
      <c r="FZ252" s="54"/>
      <c r="GA252" s="54"/>
      <c r="GB252" s="54"/>
      <c r="GC252" s="54"/>
      <c r="GD252" s="54"/>
      <c r="GE252" s="54"/>
      <c r="GF252" s="54"/>
      <c r="GG252" s="54"/>
      <c r="GH252" s="54"/>
      <c r="GI252" s="54"/>
      <c r="GJ252" s="54"/>
      <c r="GK252" s="54"/>
      <c r="GL252" s="54"/>
      <c r="GM252" s="54"/>
      <c r="GN252" s="54"/>
      <c r="GO252" s="54"/>
      <c r="GP252" s="54"/>
      <c r="GQ252" s="54"/>
      <c r="GR252" s="54"/>
      <c r="GS252" s="54"/>
      <c r="GT252" s="54"/>
      <c r="GU252" s="54"/>
      <c r="GV252" s="54"/>
      <c r="GW252" s="54"/>
      <c r="GX252" s="54"/>
      <c r="GY252" s="54"/>
      <c r="GZ252" s="54"/>
      <c r="HA252" s="54"/>
      <c r="HB252" s="54"/>
      <c r="HC252" s="54"/>
      <c r="HD252" s="54"/>
      <c r="HE252" s="54"/>
      <c r="HF252" s="54"/>
      <c r="HG252" s="54"/>
      <c r="HH252" s="54"/>
      <c r="HI252" s="54"/>
      <c r="HJ252" s="54"/>
      <c r="HK252" s="54"/>
      <c r="HL252" s="54"/>
      <c r="HM252" s="54"/>
      <c r="HN252" s="54"/>
      <c r="HO252" s="54"/>
      <c r="HP252" s="54"/>
      <c r="HQ252" s="54"/>
      <c r="HR252" s="54"/>
      <c r="HS252" s="54"/>
      <c r="HT252" s="54"/>
      <c r="HU252" s="54"/>
      <c r="HV252" s="54"/>
      <c r="HW252" s="54"/>
      <c r="HX252" s="54"/>
      <c r="HY252" s="54"/>
      <c r="HZ252" s="54"/>
      <c r="IA252" s="54"/>
      <c r="IB252" s="54"/>
      <c r="IC252" s="54"/>
      <c r="ID252" s="54"/>
      <c r="IE252" s="54"/>
      <c r="IF252" s="54"/>
      <c r="IG252" s="54"/>
      <c r="IH252" s="54"/>
      <c r="II252" s="54"/>
      <c r="IJ252" s="54"/>
      <c r="IK252" s="54"/>
      <c r="IL252" s="54"/>
      <c r="IM252" s="54"/>
      <c r="IN252" s="54"/>
      <c r="IO252" s="54"/>
      <c r="IP252" s="54"/>
      <c r="IQ252" s="54"/>
      <c r="IR252" s="54"/>
      <c r="IS252" s="54"/>
      <c r="IT252" s="54"/>
      <c r="IU252" s="54"/>
      <c r="IV252" s="54"/>
      <c r="IW252" s="54"/>
      <c r="IX252" s="54"/>
      <c r="IY252" s="54"/>
      <c r="IZ252" s="54"/>
      <c r="JA252" s="54"/>
      <c r="JB252" s="54"/>
      <c r="JC252" s="54"/>
      <c r="JD252" s="54"/>
      <c r="JE252" s="54"/>
      <c r="JF252" s="54"/>
      <c r="JG252" s="54"/>
      <c r="JH252" s="54"/>
      <c r="JI252" s="54"/>
      <c r="JJ252" s="54"/>
      <c r="JK252" s="54"/>
      <c r="JL252" s="54"/>
      <c r="JM252" s="54"/>
      <c r="JN252" s="54"/>
      <c r="JO252" s="54"/>
      <c r="JP252" s="54"/>
      <c r="JQ252" s="54"/>
      <c r="JR252" s="54"/>
      <c r="JS252" s="54"/>
      <c r="JT252" s="54"/>
      <c r="JU252" s="54"/>
      <c r="JV252" s="54"/>
      <c r="JW252" s="54"/>
      <c r="JX252" s="54"/>
      <c r="JY252" s="54"/>
      <c r="JZ252" s="54"/>
      <c r="KA252" s="54"/>
      <c r="KB252" s="54"/>
      <c r="KC252" s="54"/>
      <c r="KD252" s="54"/>
      <c r="KE252" s="54"/>
      <c r="KF252" s="54"/>
      <c r="KG252" s="54"/>
      <c r="KH252" s="54"/>
      <c r="KI252" s="54"/>
      <c r="KJ252" s="54"/>
      <c r="KK252" s="54"/>
      <c r="KL252" s="54"/>
      <c r="KM252" s="54"/>
      <c r="KN252" s="54"/>
      <c r="KO252" s="54"/>
      <c r="KP252" s="54"/>
      <c r="KQ252" s="54"/>
      <c r="KR252" s="54"/>
      <c r="KS252" s="54"/>
      <c r="KT252" s="54"/>
      <c r="KU252" s="54"/>
      <c r="KV252" s="54"/>
      <c r="KW252" s="54"/>
      <c r="KX252" s="54"/>
      <c r="KY252" s="54"/>
      <c r="KZ252" s="54"/>
      <c r="LA252" s="54"/>
      <c r="LB252" s="54"/>
      <c r="LC252" s="54"/>
      <c r="LD252" s="54"/>
      <c r="LE252" s="54"/>
      <c r="LF252" s="54"/>
      <c r="LG252" s="54"/>
      <c r="LH252" s="54"/>
      <c r="LI252" s="54"/>
      <c r="LJ252" s="54"/>
      <c r="LK252" s="54"/>
      <c r="LL252" s="54"/>
      <c r="LM252" s="54"/>
      <c r="LN252" s="54"/>
      <c r="LO252" s="54"/>
      <c r="LP252" s="54"/>
      <c r="LQ252" s="54"/>
      <c r="LR252" s="54"/>
      <c r="LS252" s="54"/>
      <c r="LT252" s="54"/>
      <c r="LU252" s="54"/>
      <c r="LV252" s="54"/>
      <c r="LW252" s="54"/>
      <c r="LX252" s="54"/>
      <c r="LY252" s="54"/>
      <c r="LZ252" s="54"/>
      <c r="MA252" s="54"/>
      <c r="MB252" s="54"/>
      <c r="MC252" s="54"/>
      <c r="MD252" s="54"/>
      <c r="ME252" s="54"/>
      <c r="MF252" s="54"/>
      <c r="MG252" s="54"/>
      <c r="MH252" s="54"/>
      <c r="MI252" s="54"/>
      <c r="MJ252" s="54"/>
      <c r="MK252" s="54"/>
      <c r="ML252" s="54"/>
      <c r="MM252" s="54"/>
      <c r="MN252" s="54"/>
      <c r="MO252" s="54"/>
      <c r="MP252" s="54"/>
      <c r="MQ252" s="54"/>
      <c r="MR252" s="54"/>
      <c r="MS252" s="54"/>
      <c r="MT252" s="54"/>
      <c r="MU252" s="54"/>
      <c r="MV252" s="54"/>
      <c r="MW252" s="54"/>
      <c r="MX252" s="54"/>
      <c r="MY252" s="54"/>
      <c r="MZ252" s="54"/>
      <c r="NA252" s="54"/>
      <c r="NB252" s="54"/>
      <c r="NC252" s="54"/>
      <c r="ND252" s="54"/>
      <c r="NE252" s="54"/>
      <c r="NF252" s="54"/>
      <c r="NG252" s="54"/>
      <c r="NH252" s="54"/>
      <c r="NI252" s="54"/>
      <c r="NJ252" s="54"/>
      <c r="NK252" s="54"/>
      <c r="NL252" s="54"/>
      <c r="NM252" s="54"/>
      <c r="NN252" s="54"/>
      <c r="NO252" s="54"/>
      <c r="NP252" s="54"/>
      <c r="NQ252" s="54"/>
      <c r="NR252" s="54"/>
      <c r="NS252" s="54"/>
      <c r="NT252" s="54"/>
      <c r="NU252" s="54"/>
      <c r="NV252" s="54"/>
      <c r="NW252" s="54"/>
      <c r="NX252" s="54"/>
      <c r="NY252" s="54"/>
      <c r="NZ252" s="54"/>
      <c r="OA252" s="54"/>
      <c r="OB252" s="54"/>
      <c r="OC252" s="54"/>
      <c r="OD252" s="54"/>
      <c r="OE252" s="54"/>
      <c r="OF252" s="54"/>
      <c r="OG252" s="54"/>
      <c r="OH252" s="54"/>
      <c r="OI252" s="54"/>
      <c r="OJ252" s="54"/>
      <c r="OK252" s="54"/>
      <c r="OL252" s="54"/>
      <c r="OM252" s="54"/>
      <c r="ON252" s="54"/>
      <c r="OO252" s="54"/>
      <c r="OP252" s="54"/>
      <c r="OQ252" s="54"/>
      <c r="OR252" s="54"/>
      <c r="OS252" s="54"/>
      <c r="OT252" s="54"/>
      <c r="OU252" s="54"/>
      <c r="OV252" s="54"/>
      <c r="OW252" s="54"/>
      <c r="OX252" s="54"/>
      <c r="OY252" s="54"/>
      <c r="OZ252" s="54"/>
      <c r="PA252" s="54"/>
      <c r="PB252" s="54"/>
      <c r="PC252" s="54"/>
      <c r="PD252" s="54"/>
      <c r="PE252" s="54"/>
      <c r="PF252" s="54"/>
      <c r="PG252" s="54"/>
      <c r="PH252" s="54"/>
      <c r="PI252" s="54"/>
      <c r="PJ252" s="54"/>
      <c r="PK252" s="54"/>
      <c r="PL252" s="54"/>
      <c r="PM252" s="54"/>
      <c r="PN252" s="54"/>
      <c r="PO252" s="54"/>
      <c r="PP252" s="54"/>
      <c r="PQ252" s="54"/>
      <c r="PR252" s="54"/>
      <c r="PS252" s="54"/>
      <c r="PT252" s="54"/>
      <c r="PU252" s="54"/>
      <c r="PV252" s="54"/>
      <c r="PW252" s="54"/>
      <c r="PX252" s="54"/>
      <c r="PY252" s="54"/>
      <c r="PZ252" s="54"/>
      <c r="QA252" s="54"/>
      <c r="QB252" s="54"/>
      <c r="QC252" s="54"/>
      <c r="QD252" s="54"/>
      <c r="QE252" s="54"/>
      <c r="QF252" s="54"/>
      <c r="QG252" s="54"/>
      <c r="QH252" s="54"/>
      <c r="QI252" s="54"/>
      <c r="QJ252" s="54"/>
      <c r="QK252" s="54"/>
      <c r="QL252" s="54"/>
      <c r="QM252" s="54"/>
      <c r="QN252" s="54"/>
      <c r="QO252" s="54"/>
      <c r="QP252" s="54"/>
      <c r="QQ252" s="54"/>
      <c r="QR252" s="54"/>
      <c r="QS252" s="54"/>
      <c r="QT252" s="54"/>
      <c r="QU252" s="54"/>
      <c r="QV252" s="54"/>
      <c r="QW252" s="54"/>
      <c r="QX252" s="54"/>
      <c r="QY252" s="54"/>
      <c r="QZ252" s="54"/>
      <c r="RA252" s="54"/>
      <c r="RB252" s="54"/>
      <c r="RC252" s="54"/>
      <c r="RD252" s="54"/>
      <c r="RE252" s="54"/>
      <c r="RF252" s="54"/>
      <c r="RG252" s="54"/>
      <c r="RH252" s="54"/>
      <c r="RI252" s="54"/>
      <c r="RJ252" s="54"/>
      <c r="RK252" s="54"/>
      <c r="RL252" s="54"/>
      <c r="RM252" s="54"/>
      <c r="RN252" s="54"/>
      <c r="RO252" s="54"/>
      <c r="RP252" s="54"/>
      <c r="RQ252" s="54"/>
      <c r="RR252" s="54"/>
      <c r="RS252" s="54"/>
      <c r="RT252" s="54"/>
      <c r="RU252" s="54"/>
      <c r="RV252" s="54"/>
      <c r="RW252" s="54"/>
      <c r="RX252" s="54"/>
      <c r="RY252" s="54"/>
      <c r="RZ252" s="54"/>
      <c r="SA252" s="54"/>
      <c r="SB252" s="54"/>
      <c r="SC252" s="54"/>
      <c r="SD252" s="54"/>
      <c r="SE252" s="54"/>
      <c r="SF252" s="54"/>
      <c r="SG252" s="54"/>
      <c r="SH252" s="54"/>
      <c r="SI252" s="54"/>
      <c r="SJ252" s="54"/>
      <c r="SK252" s="54"/>
      <c r="SL252" s="54"/>
      <c r="SM252" s="54"/>
      <c r="SN252" s="54"/>
      <c r="SO252" s="54"/>
      <c r="SP252" s="54"/>
      <c r="SQ252" s="54"/>
      <c r="SR252" s="54"/>
    </row>
    <row r="253" spans="1:512" s="55" customFormat="1" ht="15" customHeight="1" x14ac:dyDescent="0.7">
      <c r="A253" s="173"/>
      <c r="B253" s="173"/>
      <c r="C253" s="173"/>
      <c r="D253" s="173"/>
      <c r="E253" s="173"/>
      <c r="F253" s="173"/>
      <c r="G253" s="173"/>
      <c r="H253" s="74"/>
      <c r="I253" s="75"/>
      <c r="J253" s="76"/>
      <c r="K253" s="191"/>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c r="IX253" s="56"/>
      <c r="IY253" s="56"/>
      <c r="IZ253" s="56"/>
      <c r="JA253" s="56"/>
      <c r="JB253" s="56"/>
      <c r="JC253" s="56"/>
      <c r="JD253" s="56"/>
      <c r="JE253" s="56"/>
      <c r="JF253" s="56"/>
      <c r="JG253" s="56"/>
      <c r="JH253" s="56"/>
      <c r="JI253" s="56"/>
      <c r="JJ253" s="56"/>
      <c r="JK253" s="56"/>
      <c r="JL253" s="56"/>
      <c r="JM253" s="56"/>
      <c r="JN253" s="56"/>
      <c r="JO253" s="56"/>
      <c r="JP253" s="56"/>
      <c r="JQ253" s="56"/>
      <c r="JR253" s="56"/>
      <c r="JS253" s="56"/>
      <c r="JT253" s="56"/>
      <c r="JU253" s="56"/>
      <c r="JV253" s="56"/>
      <c r="JW253" s="56"/>
      <c r="JX253" s="56"/>
      <c r="JY253" s="56"/>
      <c r="JZ253" s="56"/>
      <c r="KA253" s="56"/>
      <c r="KB253" s="56"/>
      <c r="KC253" s="56"/>
      <c r="KD253" s="56"/>
      <c r="KE253" s="56"/>
      <c r="KF253" s="56"/>
      <c r="KG253" s="56"/>
      <c r="KH253" s="56"/>
      <c r="KI253" s="56"/>
      <c r="KJ253" s="56"/>
      <c r="KK253" s="56"/>
      <c r="KL253" s="56"/>
      <c r="KM253" s="56"/>
      <c r="KN253" s="56"/>
      <c r="KO253" s="56"/>
      <c r="KP253" s="56"/>
      <c r="KQ253" s="56"/>
      <c r="KR253" s="56"/>
      <c r="KS253" s="56"/>
      <c r="KT253" s="56"/>
      <c r="KU253" s="56"/>
      <c r="KV253" s="56"/>
      <c r="KW253" s="56"/>
      <c r="KX253" s="56"/>
      <c r="KY253" s="56"/>
      <c r="KZ253" s="56"/>
      <c r="LA253" s="56"/>
      <c r="LB253" s="56"/>
      <c r="LC253" s="56"/>
      <c r="LD253" s="56"/>
      <c r="LE253" s="56"/>
      <c r="LF253" s="56"/>
      <c r="LG253" s="56"/>
      <c r="LH253" s="56"/>
      <c r="LI253" s="56"/>
      <c r="LJ253" s="56"/>
      <c r="LK253" s="56"/>
      <c r="LL253" s="56"/>
      <c r="LM253" s="56"/>
      <c r="LN253" s="56"/>
      <c r="LO253" s="56"/>
      <c r="LP253" s="56"/>
      <c r="LQ253" s="56"/>
      <c r="LR253" s="56"/>
      <c r="LS253" s="56"/>
      <c r="LT253" s="56"/>
      <c r="LU253" s="56"/>
      <c r="LV253" s="56"/>
      <c r="LW253" s="56"/>
      <c r="LX253" s="56"/>
      <c r="LY253" s="56"/>
      <c r="LZ253" s="56"/>
      <c r="MA253" s="56"/>
      <c r="MB253" s="56"/>
      <c r="MC253" s="56"/>
      <c r="MD253" s="56"/>
      <c r="ME253" s="56"/>
      <c r="MF253" s="56"/>
      <c r="MG253" s="56"/>
      <c r="MH253" s="56"/>
      <c r="MI253" s="56"/>
      <c r="MJ253" s="56"/>
      <c r="MK253" s="56"/>
      <c r="ML253" s="56"/>
      <c r="MM253" s="56"/>
      <c r="MN253" s="56"/>
      <c r="MO253" s="56"/>
      <c r="MP253" s="56"/>
      <c r="MQ253" s="56"/>
      <c r="MR253" s="56"/>
      <c r="MS253" s="56"/>
      <c r="MT253" s="56"/>
      <c r="MU253" s="56"/>
      <c r="MV253" s="56"/>
      <c r="MW253" s="56"/>
      <c r="MX253" s="56"/>
      <c r="MY253" s="56"/>
      <c r="MZ253" s="56"/>
      <c r="NA253" s="56"/>
      <c r="NB253" s="56"/>
      <c r="NC253" s="56"/>
      <c r="ND253" s="56"/>
      <c r="NE253" s="56"/>
      <c r="NF253" s="56"/>
      <c r="NG253" s="56"/>
      <c r="NH253" s="56"/>
      <c r="NI253" s="56"/>
      <c r="NJ253" s="56"/>
      <c r="NK253" s="56"/>
      <c r="NL253" s="56"/>
      <c r="NM253" s="56"/>
      <c r="NN253" s="56"/>
      <c r="NO253" s="56"/>
      <c r="NP253" s="56"/>
      <c r="NQ253" s="56"/>
      <c r="NR253" s="56"/>
      <c r="NS253" s="56"/>
      <c r="NT253" s="56"/>
      <c r="NU253" s="56"/>
      <c r="NV253" s="56"/>
      <c r="NW253" s="56"/>
      <c r="NX253" s="56"/>
      <c r="NY253" s="56"/>
      <c r="NZ253" s="56"/>
      <c r="OA253" s="56"/>
      <c r="OB253" s="56"/>
      <c r="OC253" s="56"/>
      <c r="OD253" s="56"/>
      <c r="OE253" s="56"/>
      <c r="OF253" s="56"/>
      <c r="OG253" s="56"/>
      <c r="OH253" s="56"/>
      <c r="OI253" s="56"/>
      <c r="OJ253" s="56"/>
      <c r="OK253" s="56"/>
      <c r="OL253" s="56"/>
      <c r="OM253" s="56"/>
      <c r="ON253" s="56"/>
      <c r="OO253" s="56"/>
      <c r="OP253" s="56"/>
      <c r="OQ253" s="56"/>
      <c r="OR253" s="56"/>
      <c r="OS253" s="56"/>
      <c r="OT253" s="56"/>
      <c r="OU253" s="56"/>
      <c r="OV253" s="56"/>
      <c r="OW253" s="56"/>
      <c r="OX253" s="56"/>
      <c r="OY253" s="56"/>
      <c r="OZ253" s="56"/>
      <c r="PA253" s="56"/>
      <c r="PB253" s="56"/>
      <c r="PC253" s="56"/>
      <c r="PD253" s="56"/>
      <c r="PE253" s="56"/>
      <c r="PF253" s="56"/>
      <c r="PG253" s="56"/>
      <c r="PH253" s="56"/>
      <c r="PI253" s="56"/>
      <c r="PJ253" s="56"/>
      <c r="PK253" s="56"/>
      <c r="PL253" s="56"/>
      <c r="PM253" s="56"/>
      <c r="PN253" s="56"/>
      <c r="PO253" s="56"/>
      <c r="PP253" s="56"/>
      <c r="PQ253" s="56"/>
      <c r="PR253" s="56"/>
      <c r="PS253" s="56"/>
      <c r="PT253" s="56"/>
      <c r="PU253" s="56"/>
      <c r="PV253" s="56"/>
      <c r="PW253" s="56"/>
      <c r="PX253" s="56"/>
      <c r="PY253" s="56"/>
      <c r="PZ253" s="56"/>
      <c r="QA253" s="56"/>
      <c r="QB253" s="56"/>
      <c r="QC253" s="56"/>
      <c r="QD253" s="56"/>
      <c r="QE253" s="56"/>
      <c r="QF253" s="56"/>
      <c r="QG253" s="56"/>
      <c r="QH253" s="56"/>
      <c r="QI253" s="56"/>
      <c r="QJ253" s="56"/>
      <c r="QK253" s="56"/>
      <c r="QL253" s="56"/>
      <c r="QM253" s="56"/>
      <c r="QN253" s="56"/>
      <c r="QO253" s="56"/>
      <c r="QP253" s="56"/>
      <c r="QQ253" s="56"/>
      <c r="QR253" s="56"/>
      <c r="QS253" s="56"/>
      <c r="QT253" s="56"/>
      <c r="QU253" s="56"/>
      <c r="QV253" s="56"/>
      <c r="QW253" s="56"/>
      <c r="QX253" s="56"/>
      <c r="QY253" s="56"/>
      <c r="QZ253" s="56"/>
      <c r="RA253" s="56"/>
      <c r="RB253" s="56"/>
      <c r="RC253" s="56"/>
      <c r="RD253" s="56"/>
      <c r="RE253" s="56"/>
      <c r="RF253" s="56"/>
      <c r="RG253" s="56"/>
      <c r="RH253" s="56"/>
      <c r="RI253" s="56"/>
      <c r="RJ253" s="56"/>
      <c r="RK253" s="56"/>
      <c r="RL253" s="56"/>
      <c r="RM253" s="56"/>
      <c r="RN253" s="56"/>
      <c r="RO253" s="56"/>
      <c r="RP253" s="56"/>
      <c r="RQ253" s="56"/>
      <c r="RR253" s="56"/>
      <c r="RS253" s="56"/>
      <c r="RT253" s="56"/>
      <c r="RU253" s="56"/>
      <c r="RV253" s="56"/>
      <c r="RW253" s="56"/>
      <c r="RX253" s="56"/>
      <c r="RY253" s="56"/>
      <c r="RZ253" s="56"/>
      <c r="SA253" s="56"/>
      <c r="SB253" s="56"/>
      <c r="SC253" s="56"/>
      <c r="SD253" s="56"/>
      <c r="SE253" s="56"/>
      <c r="SF253" s="56"/>
      <c r="SG253" s="56"/>
      <c r="SH253" s="56"/>
      <c r="SI253" s="56"/>
      <c r="SJ253" s="56"/>
      <c r="SK253" s="56"/>
      <c r="SL253" s="56"/>
      <c r="SM253" s="56"/>
      <c r="SN253" s="56"/>
      <c r="SO253" s="56"/>
      <c r="SP253" s="56"/>
      <c r="SQ253" s="56"/>
      <c r="SR253" s="56"/>
    </row>
    <row r="254" spans="1:512" ht="15" customHeight="1" x14ac:dyDescent="0.7">
      <c r="A254" s="171" t="s">
        <v>344</v>
      </c>
      <c r="B254" s="171" t="s">
        <v>344</v>
      </c>
      <c r="C254" s="171" t="s">
        <v>344</v>
      </c>
      <c r="D254" s="171"/>
      <c r="E254" s="171" t="s">
        <v>344</v>
      </c>
      <c r="F254" s="171"/>
      <c r="G254" s="188" t="s">
        <v>344</v>
      </c>
      <c r="H254" s="71" t="s">
        <v>344</v>
      </c>
      <c r="I254" s="72" t="s">
        <v>344</v>
      </c>
      <c r="J254" s="73" t="s">
        <v>344</v>
      </c>
      <c r="K254" s="189" t="s">
        <v>344</v>
      </c>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4"/>
      <c r="BW254" s="54"/>
      <c r="BX254" s="54"/>
      <c r="BY254" s="54"/>
      <c r="BZ254" s="54"/>
      <c r="CA254" s="54"/>
      <c r="CB254" s="54"/>
      <c r="CC254" s="54"/>
      <c r="CD254" s="54"/>
      <c r="CE254" s="54"/>
      <c r="CF254" s="54"/>
      <c r="CG254" s="54"/>
      <c r="CH254" s="54"/>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4"/>
      <c r="DI254" s="54"/>
      <c r="DJ254" s="54"/>
      <c r="DK254" s="54"/>
      <c r="DL254" s="54"/>
      <c r="DM254" s="54"/>
      <c r="DN254" s="54"/>
      <c r="DO254" s="54"/>
      <c r="DP254" s="54"/>
      <c r="DQ254" s="54"/>
      <c r="DR254" s="54"/>
      <c r="DS254" s="54"/>
      <c r="DT254" s="54"/>
      <c r="DU254" s="54"/>
      <c r="DV254" s="54"/>
      <c r="DW254" s="54"/>
      <c r="DX254" s="54"/>
      <c r="DY254" s="54"/>
      <c r="DZ254" s="54"/>
      <c r="EA254" s="54"/>
      <c r="EB254" s="54"/>
      <c r="EC254" s="54"/>
      <c r="ED254" s="54"/>
      <c r="EE254" s="54"/>
      <c r="EF254" s="54"/>
      <c r="EG254" s="54"/>
      <c r="EH254" s="54"/>
      <c r="EI254" s="54"/>
      <c r="EJ254" s="54"/>
      <c r="EK254" s="54"/>
      <c r="EL254" s="54"/>
      <c r="EM254" s="54"/>
      <c r="EN254" s="54"/>
      <c r="EO254" s="54"/>
      <c r="EP254" s="54"/>
      <c r="EQ254" s="54"/>
      <c r="ER254" s="54"/>
      <c r="ES254" s="54"/>
      <c r="ET254" s="54"/>
      <c r="EU254" s="54"/>
      <c r="EV254" s="54"/>
      <c r="EW254" s="54"/>
      <c r="EX254" s="54"/>
      <c r="EY254" s="54"/>
      <c r="EZ254" s="54"/>
      <c r="FA254" s="54"/>
      <c r="FB254" s="54"/>
      <c r="FC254" s="54"/>
      <c r="FD254" s="54"/>
      <c r="FE254" s="54"/>
      <c r="FF254" s="54"/>
      <c r="FG254" s="54"/>
      <c r="FH254" s="54"/>
      <c r="FI254" s="54"/>
      <c r="FJ254" s="54"/>
      <c r="FK254" s="54"/>
      <c r="FL254" s="54"/>
      <c r="FM254" s="54"/>
      <c r="FN254" s="54"/>
      <c r="FO254" s="54"/>
      <c r="FP254" s="54"/>
      <c r="FQ254" s="54"/>
      <c r="FR254" s="54"/>
      <c r="FS254" s="54"/>
      <c r="FT254" s="54"/>
      <c r="FU254" s="54"/>
      <c r="FV254" s="54"/>
      <c r="FW254" s="54"/>
      <c r="FX254" s="54"/>
      <c r="FY254" s="54"/>
      <c r="FZ254" s="54"/>
      <c r="GA254" s="54"/>
      <c r="GB254" s="54"/>
      <c r="GC254" s="54"/>
      <c r="GD254" s="54"/>
      <c r="GE254" s="54"/>
      <c r="GF254" s="54"/>
      <c r="GG254" s="54"/>
      <c r="GH254" s="54"/>
      <c r="GI254" s="54"/>
      <c r="GJ254" s="54"/>
      <c r="GK254" s="54"/>
      <c r="GL254" s="54"/>
      <c r="GM254" s="54"/>
      <c r="GN254" s="54"/>
      <c r="GO254" s="54"/>
      <c r="GP254" s="54"/>
      <c r="GQ254" s="54"/>
      <c r="GR254" s="54"/>
      <c r="GS254" s="54"/>
      <c r="GT254" s="54"/>
      <c r="GU254" s="54"/>
      <c r="GV254" s="54"/>
      <c r="GW254" s="54"/>
      <c r="GX254" s="54"/>
      <c r="GY254" s="54"/>
      <c r="GZ254" s="54"/>
      <c r="HA254" s="54"/>
      <c r="HB254" s="54"/>
      <c r="HC254" s="54"/>
      <c r="HD254" s="54"/>
      <c r="HE254" s="54"/>
      <c r="HF254" s="54"/>
      <c r="HG254" s="54"/>
      <c r="HH254" s="54"/>
      <c r="HI254" s="54"/>
      <c r="HJ254" s="54"/>
      <c r="HK254" s="54"/>
      <c r="HL254" s="54"/>
      <c r="HM254" s="54"/>
      <c r="HN254" s="54"/>
      <c r="HO254" s="54"/>
      <c r="HP254" s="54"/>
      <c r="HQ254" s="54"/>
      <c r="HR254" s="54"/>
      <c r="HS254" s="54"/>
      <c r="HT254" s="54"/>
      <c r="HU254" s="54"/>
      <c r="HV254" s="54"/>
      <c r="HW254" s="54"/>
      <c r="HX254" s="54"/>
      <c r="HY254" s="54"/>
      <c r="HZ254" s="54"/>
      <c r="IA254" s="54"/>
      <c r="IB254" s="54"/>
      <c r="IC254" s="54"/>
      <c r="ID254" s="54"/>
      <c r="IE254" s="54"/>
      <c r="IF254" s="54"/>
      <c r="IG254" s="54"/>
      <c r="IH254" s="54"/>
      <c r="II254" s="54"/>
      <c r="IJ254" s="54"/>
      <c r="IK254" s="54"/>
      <c r="IL254" s="54"/>
      <c r="IM254" s="54"/>
      <c r="IN254" s="54"/>
      <c r="IO254" s="54"/>
      <c r="IP254" s="54"/>
      <c r="IQ254" s="54"/>
      <c r="IR254" s="54"/>
      <c r="IS254" s="54"/>
      <c r="IT254" s="54"/>
      <c r="IU254" s="54"/>
      <c r="IV254" s="54"/>
      <c r="IW254" s="54"/>
      <c r="IX254" s="54"/>
      <c r="IY254" s="54"/>
      <c r="IZ254" s="54"/>
      <c r="JA254" s="54"/>
      <c r="JB254" s="54"/>
      <c r="JC254" s="54"/>
      <c r="JD254" s="54"/>
      <c r="JE254" s="54"/>
      <c r="JF254" s="54"/>
      <c r="JG254" s="54"/>
      <c r="JH254" s="54"/>
      <c r="JI254" s="54"/>
      <c r="JJ254" s="54"/>
      <c r="JK254" s="54"/>
      <c r="JL254" s="54"/>
      <c r="JM254" s="54"/>
      <c r="JN254" s="54"/>
      <c r="JO254" s="54"/>
      <c r="JP254" s="54"/>
      <c r="JQ254" s="54"/>
      <c r="JR254" s="54"/>
      <c r="JS254" s="54"/>
      <c r="JT254" s="54"/>
      <c r="JU254" s="54"/>
      <c r="JV254" s="54"/>
      <c r="JW254" s="54"/>
      <c r="JX254" s="54"/>
      <c r="JY254" s="54"/>
      <c r="JZ254" s="54"/>
      <c r="KA254" s="54"/>
      <c r="KB254" s="54"/>
      <c r="KC254" s="54"/>
      <c r="KD254" s="54"/>
      <c r="KE254" s="54"/>
      <c r="KF254" s="54"/>
      <c r="KG254" s="54"/>
      <c r="KH254" s="54"/>
      <c r="KI254" s="54"/>
      <c r="KJ254" s="54"/>
      <c r="KK254" s="54"/>
      <c r="KL254" s="54"/>
      <c r="KM254" s="54"/>
      <c r="KN254" s="54"/>
      <c r="KO254" s="54"/>
      <c r="KP254" s="54"/>
      <c r="KQ254" s="54"/>
      <c r="KR254" s="54"/>
      <c r="KS254" s="54"/>
      <c r="KT254" s="54"/>
      <c r="KU254" s="54"/>
      <c r="KV254" s="54"/>
      <c r="KW254" s="54"/>
      <c r="KX254" s="54"/>
      <c r="KY254" s="54"/>
      <c r="KZ254" s="54"/>
      <c r="LA254" s="54"/>
      <c r="LB254" s="54"/>
      <c r="LC254" s="54"/>
      <c r="LD254" s="54"/>
      <c r="LE254" s="54"/>
      <c r="LF254" s="54"/>
      <c r="LG254" s="54"/>
      <c r="LH254" s="54"/>
      <c r="LI254" s="54"/>
      <c r="LJ254" s="54"/>
      <c r="LK254" s="54"/>
      <c r="LL254" s="54"/>
      <c r="LM254" s="54"/>
      <c r="LN254" s="54"/>
      <c r="LO254" s="54"/>
      <c r="LP254" s="54"/>
      <c r="LQ254" s="54"/>
      <c r="LR254" s="54"/>
      <c r="LS254" s="54"/>
      <c r="LT254" s="54"/>
      <c r="LU254" s="54"/>
      <c r="LV254" s="54"/>
      <c r="LW254" s="54"/>
      <c r="LX254" s="54"/>
      <c r="LY254" s="54"/>
      <c r="LZ254" s="54"/>
      <c r="MA254" s="54"/>
      <c r="MB254" s="54"/>
      <c r="MC254" s="54"/>
      <c r="MD254" s="54"/>
      <c r="ME254" s="54"/>
      <c r="MF254" s="54"/>
      <c r="MG254" s="54"/>
      <c r="MH254" s="54"/>
      <c r="MI254" s="54"/>
      <c r="MJ254" s="54"/>
      <c r="MK254" s="54"/>
      <c r="ML254" s="54"/>
      <c r="MM254" s="54"/>
      <c r="MN254" s="54"/>
      <c r="MO254" s="54"/>
      <c r="MP254" s="54"/>
      <c r="MQ254" s="54"/>
      <c r="MR254" s="54"/>
      <c r="MS254" s="54"/>
      <c r="MT254" s="54"/>
      <c r="MU254" s="54"/>
      <c r="MV254" s="54"/>
      <c r="MW254" s="54"/>
      <c r="MX254" s="54"/>
      <c r="MY254" s="54"/>
      <c r="MZ254" s="54"/>
      <c r="NA254" s="54"/>
      <c r="NB254" s="54"/>
      <c r="NC254" s="54"/>
      <c r="ND254" s="54"/>
      <c r="NE254" s="54"/>
      <c r="NF254" s="54"/>
      <c r="NG254" s="54"/>
      <c r="NH254" s="54"/>
      <c r="NI254" s="54"/>
      <c r="NJ254" s="54"/>
      <c r="NK254" s="54"/>
      <c r="NL254" s="54"/>
      <c r="NM254" s="54"/>
      <c r="NN254" s="54"/>
      <c r="NO254" s="54"/>
      <c r="NP254" s="54"/>
      <c r="NQ254" s="54"/>
      <c r="NR254" s="54"/>
      <c r="NS254" s="54"/>
      <c r="NT254" s="54"/>
      <c r="NU254" s="54"/>
      <c r="NV254" s="54"/>
      <c r="NW254" s="54"/>
      <c r="NX254" s="54"/>
      <c r="NY254" s="54"/>
      <c r="NZ254" s="54"/>
      <c r="OA254" s="54"/>
      <c r="OB254" s="54"/>
      <c r="OC254" s="54"/>
      <c r="OD254" s="54"/>
      <c r="OE254" s="54"/>
      <c r="OF254" s="54"/>
      <c r="OG254" s="54"/>
      <c r="OH254" s="54"/>
      <c r="OI254" s="54"/>
      <c r="OJ254" s="54"/>
      <c r="OK254" s="54"/>
      <c r="OL254" s="54"/>
      <c r="OM254" s="54"/>
      <c r="ON254" s="54"/>
      <c r="OO254" s="54"/>
      <c r="OP254" s="54"/>
      <c r="OQ254" s="54"/>
      <c r="OR254" s="54"/>
      <c r="OS254" s="54"/>
      <c r="OT254" s="54"/>
      <c r="OU254" s="54"/>
      <c r="OV254" s="54"/>
      <c r="OW254" s="54"/>
      <c r="OX254" s="54"/>
      <c r="OY254" s="54"/>
      <c r="OZ254" s="54"/>
      <c r="PA254" s="54"/>
      <c r="PB254" s="54"/>
      <c r="PC254" s="54"/>
      <c r="PD254" s="54"/>
      <c r="PE254" s="54"/>
      <c r="PF254" s="54"/>
      <c r="PG254" s="54"/>
      <c r="PH254" s="54"/>
      <c r="PI254" s="54"/>
      <c r="PJ254" s="54"/>
      <c r="PK254" s="54"/>
      <c r="PL254" s="54"/>
      <c r="PM254" s="54"/>
      <c r="PN254" s="54"/>
      <c r="PO254" s="54"/>
      <c r="PP254" s="54"/>
      <c r="PQ254" s="54"/>
      <c r="PR254" s="54"/>
      <c r="PS254" s="54"/>
      <c r="PT254" s="54"/>
      <c r="PU254" s="54"/>
      <c r="PV254" s="54"/>
      <c r="PW254" s="54"/>
      <c r="PX254" s="54"/>
      <c r="PY254" s="54"/>
      <c r="PZ254" s="54"/>
      <c r="QA254" s="54"/>
      <c r="QB254" s="54"/>
      <c r="QC254" s="54"/>
      <c r="QD254" s="54"/>
      <c r="QE254" s="54"/>
      <c r="QF254" s="54"/>
      <c r="QG254" s="54"/>
      <c r="QH254" s="54"/>
      <c r="QI254" s="54"/>
      <c r="QJ254" s="54"/>
      <c r="QK254" s="54"/>
      <c r="QL254" s="54"/>
      <c r="QM254" s="54"/>
      <c r="QN254" s="54"/>
      <c r="QO254" s="54"/>
      <c r="QP254" s="54"/>
      <c r="QQ254" s="54"/>
      <c r="QR254" s="54"/>
      <c r="QS254" s="54"/>
      <c r="QT254" s="54"/>
      <c r="QU254" s="54"/>
      <c r="QV254" s="54"/>
      <c r="QW254" s="54"/>
      <c r="QX254" s="54"/>
      <c r="QY254" s="54"/>
      <c r="QZ254" s="54"/>
      <c r="RA254" s="54"/>
      <c r="RB254" s="54"/>
      <c r="RC254" s="54"/>
      <c r="RD254" s="54"/>
      <c r="RE254" s="54"/>
      <c r="RF254" s="54"/>
      <c r="RG254" s="54"/>
      <c r="RH254" s="54"/>
      <c r="RI254" s="54"/>
      <c r="RJ254" s="54"/>
      <c r="RK254" s="54"/>
      <c r="RL254" s="54"/>
      <c r="RM254" s="54"/>
      <c r="RN254" s="54"/>
      <c r="RO254" s="54"/>
      <c r="RP254" s="54"/>
      <c r="RQ254" s="54"/>
      <c r="RR254" s="54"/>
      <c r="RS254" s="54"/>
      <c r="RT254" s="54"/>
      <c r="RU254" s="54"/>
      <c r="RV254" s="54"/>
      <c r="RW254" s="54"/>
      <c r="RX254" s="54"/>
      <c r="RY254" s="54"/>
      <c r="RZ254" s="54"/>
      <c r="SA254" s="54"/>
      <c r="SB254" s="54"/>
      <c r="SC254" s="54"/>
      <c r="SD254" s="54"/>
      <c r="SE254" s="54"/>
      <c r="SF254" s="54"/>
      <c r="SG254" s="54"/>
      <c r="SH254" s="54"/>
      <c r="SI254" s="54"/>
      <c r="SJ254" s="54"/>
      <c r="SK254" s="54"/>
      <c r="SL254" s="54"/>
      <c r="SM254" s="54"/>
      <c r="SN254" s="54"/>
      <c r="SO254" s="54"/>
      <c r="SP254" s="54"/>
      <c r="SQ254" s="54"/>
      <c r="SR254" s="54"/>
    </row>
    <row r="255" spans="1:512" ht="15" customHeight="1" x14ac:dyDescent="0.7">
      <c r="A255" s="172"/>
      <c r="B255" s="172"/>
      <c r="C255" s="172"/>
      <c r="D255" s="172"/>
      <c r="E255" s="172"/>
      <c r="F255" s="172"/>
      <c r="G255" s="172"/>
      <c r="I255" s="72" t="s">
        <v>344</v>
      </c>
      <c r="J255" s="73" t="s">
        <v>344</v>
      </c>
      <c r="K255" s="190"/>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4"/>
      <c r="BW255" s="54"/>
      <c r="BX255" s="54"/>
      <c r="BY255" s="54"/>
      <c r="BZ255" s="54"/>
      <c r="CA255" s="54"/>
      <c r="CB255" s="54"/>
      <c r="CC255" s="54"/>
      <c r="CD255" s="54"/>
      <c r="CE255" s="54"/>
      <c r="CF255" s="54"/>
      <c r="CG255" s="54"/>
      <c r="CH255" s="54"/>
      <c r="CI255" s="54"/>
      <c r="CJ255" s="54"/>
      <c r="CK255" s="54"/>
      <c r="CL255" s="54"/>
      <c r="CM255" s="54"/>
      <c r="CN255" s="54"/>
      <c r="CO255" s="54"/>
      <c r="CP255" s="54"/>
      <c r="CQ255" s="54"/>
      <c r="CR255" s="54"/>
      <c r="CS255" s="54"/>
      <c r="CT255" s="54"/>
      <c r="CU255" s="54"/>
      <c r="CV255" s="54"/>
      <c r="CW255" s="54"/>
      <c r="CX255" s="54"/>
      <c r="CY255" s="54"/>
      <c r="CZ255" s="54"/>
      <c r="DA255" s="54"/>
      <c r="DB255" s="54"/>
      <c r="DC255" s="54"/>
      <c r="DD255" s="54"/>
      <c r="DE255" s="54"/>
      <c r="DF255" s="54"/>
      <c r="DG255" s="54"/>
      <c r="DH255" s="54"/>
      <c r="DI255" s="54"/>
      <c r="DJ255" s="54"/>
      <c r="DK255" s="54"/>
      <c r="DL255" s="54"/>
      <c r="DM255" s="54"/>
      <c r="DN255" s="54"/>
      <c r="DO255" s="54"/>
      <c r="DP255" s="54"/>
      <c r="DQ255" s="54"/>
      <c r="DR255" s="54"/>
      <c r="DS255" s="54"/>
      <c r="DT255" s="54"/>
      <c r="DU255" s="54"/>
      <c r="DV255" s="54"/>
      <c r="DW255" s="54"/>
      <c r="DX255" s="54"/>
      <c r="DY255" s="54"/>
      <c r="DZ255" s="54"/>
      <c r="EA255" s="54"/>
      <c r="EB255" s="54"/>
      <c r="EC255" s="54"/>
      <c r="ED255" s="54"/>
      <c r="EE255" s="54"/>
      <c r="EF255" s="54"/>
      <c r="EG255" s="54"/>
      <c r="EH255" s="54"/>
      <c r="EI255" s="54"/>
      <c r="EJ255" s="54"/>
      <c r="EK255" s="54"/>
      <c r="EL255" s="54"/>
      <c r="EM255" s="54"/>
      <c r="EN255" s="54"/>
      <c r="EO255" s="54"/>
      <c r="EP255" s="54"/>
      <c r="EQ255" s="54"/>
      <c r="ER255" s="54"/>
      <c r="ES255" s="54"/>
      <c r="ET255" s="54"/>
      <c r="EU255" s="54"/>
      <c r="EV255" s="54"/>
      <c r="EW255" s="54"/>
      <c r="EX255" s="54"/>
      <c r="EY255" s="54"/>
      <c r="EZ255" s="54"/>
      <c r="FA255" s="54"/>
      <c r="FB255" s="54"/>
      <c r="FC255" s="54"/>
      <c r="FD255" s="54"/>
      <c r="FE255" s="54"/>
      <c r="FF255" s="54"/>
      <c r="FG255" s="54"/>
      <c r="FH255" s="54"/>
      <c r="FI255" s="54"/>
      <c r="FJ255" s="54"/>
      <c r="FK255" s="54"/>
      <c r="FL255" s="54"/>
      <c r="FM255" s="54"/>
      <c r="FN255" s="54"/>
      <c r="FO255" s="54"/>
      <c r="FP255" s="54"/>
      <c r="FQ255" s="54"/>
      <c r="FR255" s="54"/>
      <c r="FS255" s="54"/>
      <c r="FT255" s="54"/>
      <c r="FU255" s="54"/>
      <c r="FV255" s="54"/>
      <c r="FW255" s="54"/>
      <c r="FX255" s="54"/>
      <c r="FY255" s="54"/>
      <c r="FZ255" s="54"/>
      <c r="GA255" s="54"/>
      <c r="GB255" s="54"/>
      <c r="GC255" s="54"/>
      <c r="GD255" s="54"/>
      <c r="GE255" s="54"/>
      <c r="GF255" s="54"/>
      <c r="GG255" s="54"/>
      <c r="GH255" s="54"/>
      <c r="GI255" s="54"/>
      <c r="GJ255" s="54"/>
      <c r="GK255" s="54"/>
      <c r="GL255" s="54"/>
      <c r="GM255" s="54"/>
      <c r="GN255" s="54"/>
      <c r="GO255" s="54"/>
      <c r="GP255" s="54"/>
      <c r="GQ255" s="54"/>
      <c r="GR255" s="54"/>
      <c r="GS255" s="54"/>
      <c r="GT255" s="54"/>
      <c r="GU255" s="54"/>
      <c r="GV255" s="54"/>
      <c r="GW255" s="54"/>
      <c r="GX255" s="54"/>
      <c r="GY255" s="54"/>
      <c r="GZ255" s="54"/>
      <c r="HA255" s="54"/>
      <c r="HB255" s="54"/>
      <c r="HC255" s="54"/>
      <c r="HD255" s="54"/>
      <c r="HE255" s="54"/>
      <c r="HF255" s="54"/>
      <c r="HG255" s="54"/>
      <c r="HH255" s="54"/>
      <c r="HI255" s="54"/>
      <c r="HJ255" s="54"/>
      <c r="HK255" s="54"/>
      <c r="HL255" s="54"/>
      <c r="HM255" s="54"/>
      <c r="HN255" s="54"/>
      <c r="HO255" s="54"/>
      <c r="HP255" s="54"/>
      <c r="HQ255" s="54"/>
      <c r="HR255" s="54"/>
      <c r="HS255" s="54"/>
      <c r="HT255" s="54"/>
      <c r="HU255" s="54"/>
      <c r="HV255" s="54"/>
      <c r="HW255" s="54"/>
      <c r="HX255" s="54"/>
      <c r="HY255" s="54"/>
      <c r="HZ255" s="54"/>
      <c r="IA255" s="54"/>
      <c r="IB255" s="54"/>
      <c r="IC255" s="54"/>
      <c r="ID255" s="54"/>
      <c r="IE255" s="54"/>
      <c r="IF255" s="54"/>
      <c r="IG255" s="54"/>
      <c r="IH255" s="54"/>
      <c r="II255" s="54"/>
      <c r="IJ255" s="54"/>
      <c r="IK255" s="54"/>
      <c r="IL255" s="54"/>
      <c r="IM255" s="54"/>
      <c r="IN255" s="54"/>
      <c r="IO255" s="54"/>
      <c r="IP255" s="54"/>
      <c r="IQ255" s="54"/>
      <c r="IR255" s="54"/>
      <c r="IS255" s="54"/>
      <c r="IT255" s="54"/>
      <c r="IU255" s="54"/>
      <c r="IV255" s="54"/>
      <c r="IW255" s="54"/>
      <c r="IX255" s="54"/>
      <c r="IY255" s="54"/>
      <c r="IZ255" s="54"/>
      <c r="JA255" s="54"/>
      <c r="JB255" s="54"/>
      <c r="JC255" s="54"/>
      <c r="JD255" s="54"/>
      <c r="JE255" s="54"/>
      <c r="JF255" s="54"/>
      <c r="JG255" s="54"/>
      <c r="JH255" s="54"/>
      <c r="JI255" s="54"/>
      <c r="JJ255" s="54"/>
      <c r="JK255" s="54"/>
      <c r="JL255" s="54"/>
      <c r="JM255" s="54"/>
      <c r="JN255" s="54"/>
      <c r="JO255" s="54"/>
      <c r="JP255" s="54"/>
      <c r="JQ255" s="54"/>
      <c r="JR255" s="54"/>
      <c r="JS255" s="54"/>
      <c r="JT255" s="54"/>
      <c r="JU255" s="54"/>
      <c r="JV255" s="54"/>
      <c r="JW255" s="54"/>
      <c r="JX255" s="54"/>
      <c r="JY255" s="54"/>
      <c r="JZ255" s="54"/>
      <c r="KA255" s="54"/>
      <c r="KB255" s="54"/>
      <c r="KC255" s="54"/>
      <c r="KD255" s="54"/>
      <c r="KE255" s="54"/>
      <c r="KF255" s="54"/>
      <c r="KG255" s="54"/>
      <c r="KH255" s="54"/>
      <c r="KI255" s="54"/>
      <c r="KJ255" s="54"/>
      <c r="KK255" s="54"/>
      <c r="KL255" s="54"/>
      <c r="KM255" s="54"/>
      <c r="KN255" s="54"/>
      <c r="KO255" s="54"/>
      <c r="KP255" s="54"/>
      <c r="KQ255" s="54"/>
      <c r="KR255" s="54"/>
      <c r="KS255" s="54"/>
      <c r="KT255" s="54"/>
      <c r="KU255" s="54"/>
      <c r="KV255" s="54"/>
      <c r="KW255" s="54"/>
      <c r="KX255" s="54"/>
      <c r="KY255" s="54"/>
      <c r="KZ255" s="54"/>
      <c r="LA255" s="54"/>
      <c r="LB255" s="54"/>
      <c r="LC255" s="54"/>
      <c r="LD255" s="54"/>
      <c r="LE255" s="54"/>
      <c r="LF255" s="54"/>
      <c r="LG255" s="54"/>
      <c r="LH255" s="54"/>
      <c r="LI255" s="54"/>
      <c r="LJ255" s="54"/>
      <c r="LK255" s="54"/>
      <c r="LL255" s="54"/>
      <c r="LM255" s="54"/>
      <c r="LN255" s="54"/>
      <c r="LO255" s="54"/>
      <c r="LP255" s="54"/>
      <c r="LQ255" s="54"/>
      <c r="LR255" s="54"/>
      <c r="LS255" s="54"/>
      <c r="LT255" s="54"/>
      <c r="LU255" s="54"/>
      <c r="LV255" s="54"/>
      <c r="LW255" s="54"/>
      <c r="LX255" s="54"/>
      <c r="LY255" s="54"/>
      <c r="LZ255" s="54"/>
      <c r="MA255" s="54"/>
      <c r="MB255" s="54"/>
      <c r="MC255" s="54"/>
      <c r="MD255" s="54"/>
      <c r="ME255" s="54"/>
      <c r="MF255" s="54"/>
      <c r="MG255" s="54"/>
      <c r="MH255" s="54"/>
      <c r="MI255" s="54"/>
      <c r="MJ255" s="54"/>
      <c r="MK255" s="54"/>
      <c r="ML255" s="54"/>
      <c r="MM255" s="54"/>
      <c r="MN255" s="54"/>
      <c r="MO255" s="54"/>
      <c r="MP255" s="54"/>
      <c r="MQ255" s="54"/>
      <c r="MR255" s="54"/>
      <c r="MS255" s="54"/>
      <c r="MT255" s="54"/>
      <c r="MU255" s="54"/>
      <c r="MV255" s="54"/>
      <c r="MW255" s="54"/>
      <c r="MX255" s="54"/>
      <c r="MY255" s="54"/>
      <c r="MZ255" s="54"/>
      <c r="NA255" s="54"/>
      <c r="NB255" s="54"/>
      <c r="NC255" s="54"/>
      <c r="ND255" s="54"/>
      <c r="NE255" s="54"/>
      <c r="NF255" s="54"/>
      <c r="NG255" s="54"/>
      <c r="NH255" s="54"/>
      <c r="NI255" s="54"/>
      <c r="NJ255" s="54"/>
      <c r="NK255" s="54"/>
      <c r="NL255" s="54"/>
      <c r="NM255" s="54"/>
      <c r="NN255" s="54"/>
      <c r="NO255" s="54"/>
      <c r="NP255" s="54"/>
      <c r="NQ255" s="54"/>
      <c r="NR255" s="54"/>
      <c r="NS255" s="54"/>
      <c r="NT255" s="54"/>
      <c r="NU255" s="54"/>
      <c r="NV255" s="54"/>
      <c r="NW255" s="54"/>
      <c r="NX255" s="54"/>
      <c r="NY255" s="54"/>
      <c r="NZ255" s="54"/>
      <c r="OA255" s="54"/>
      <c r="OB255" s="54"/>
      <c r="OC255" s="54"/>
      <c r="OD255" s="54"/>
      <c r="OE255" s="54"/>
      <c r="OF255" s="54"/>
      <c r="OG255" s="54"/>
      <c r="OH255" s="54"/>
      <c r="OI255" s="54"/>
      <c r="OJ255" s="54"/>
      <c r="OK255" s="54"/>
      <c r="OL255" s="54"/>
      <c r="OM255" s="54"/>
      <c r="ON255" s="54"/>
      <c r="OO255" s="54"/>
      <c r="OP255" s="54"/>
      <c r="OQ255" s="54"/>
      <c r="OR255" s="54"/>
      <c r="OS255" s="54"/>
      <c r="OT255" s="54"/>
      <c r="OU255" s="54"/>
      <c r="OV255" s="54"/>
      <c r="OW255" s="54"/>
      <c r="OX255" s="54"/>
      <c r="OY255" s="54"/>
      <c r="OZ255" s="54"/>
      <c r="PA255" s="54"/>
      <c r="PB255" s="54"/>
      <c r="PC255" s="54"/>
      <c r="PD255" s="54"/>
      <c r="PE255" s="54"/>
      <c r="PF255" s="54"/>
      <c r="PG255" s="54"/>
      <c r="PH255" s="54"/>
      <c r="PI255" s="54"/>
      <c r="PJ255" s="54"/>
      <c r="PK255" s="54"/>
      <c r="PL255" s="54"/>
      <c r="PM255" s="54"/>
      <c r="PN255" s="54"/>
      <c r="PO255" s="54"/>
      <c r="PP255" s="54"/>
      <c r="PQ255" s="54"/>
      <c r="PR255" s="54"/>
      <c r="PS255" s="54"/>
      <c r="PT255" s="54"/>
      <c r="PU255" s="54"/>
      <c r="PV255" s="54"/>
      <c r="PW255" s="54"/>
      <c r="PX255" s="54"/>
      <c r="PY255" s="54"/>
      <c r="PZ255" s="54"/>
      <c r="QA255" s="54"/>
      <c r="QB255" s="54"/>
      <c r="QC255" s="54"/>
      <c r="QD255" s="54"/>
      <c r="QE255" s="54"/>
      <c r="QF255" s="54"/>
      <c r="QG255" s="54"/>
      <c r="QH255" s="54"/>
      <c r="QI255" s="54"/>
      <c r="QJ255" s="54"/>
      <c r="QK255" s="54"/>
      <c r="QL255" s="54"/>
      <c r="QM255" s="54"/>
      <c r="QN255" s="54"/>
      <c r="QO255" s="54"/>
      <c r="QP255" s="54"/>
      <c r="QQ255" s="54"/>
      <c r="QR255" s="54"/>
      <c r="QS255" s="54"/>
      <c r="QT255" s="54"/>
      <c r="QU255" s="54"/>
      <c r="QV255" s="54"/>
      <c r="QW255" s="54"/>
      <c r="QX255" s="54"/>
      <c r="QY255" s="54"/>
      <c r="QZ255" s="54"/>
      <c r="RA255" s="54"/>
      <c r="RB255" s="54"/>
      <c r="RC255" s="54"/>
      <c r="RD255" s="54"/>
      <c r="RE255" s="54"/>
      <c r="RF255" s="54"/>
      <c r="RG255" s="54"/>
      <c r="RH255" s="54"/>
      <c r="RI255" s="54"/>
      <c r="RJ255" s="54"/>
      <c r="RK255" s="54"/>
      <c r="RL255" s="54"/>
      <c r="RM255" s="54"/>
      <c r="RN255" s="54"/>
      <c r="RO255" s="54"/>
      <c r="RP255" s="54"/>
      <c r="RQ255" s="54"/>
      <c r="RR255" s="54"/>
      <c r="RS255" s="54"/>
      <c r="RT255" s="54"/>
      <c r="RU255" s="54"/>
      <c r="RV255" s="54"/>
      <c r="RW255" s="54"/>
      <c r="RX255" s="54"/>
      <c r="RY255" s="54"/>
      <c r="RZ255" s="54"/>
      <c r="SA255" s="54"/>
      <c r="SB255" s="54"/>
      <c r="SC255" s="54"/>
      <c r="SD255" s="54"/>
      <c r="SE255" s="54"/>
      <c r="SF255" s="54"/>
      <c r="SG255" s="54"/>
      <c r="SH255" s="54"/>
      <c r="SI255" s="54"/>
      <c r="SJ255" s="54"/>
      <c r="SK255" s="54"/>
      <c r="SL255" s="54"/>
      <c r="SM255" s="54"/>
      <c r="SN255" s="54"/>
      <c r="SO255" s="54"/>
      <c r="SP255" s="54"/>
      <c r="SQ255" s="54"/>
      <c r="SR255" s="54"/>
    </row>
    <row r="256" spans="1:512" s="55" customFormat="1" ht="15" customHeight="1" x14ac:dyDescent="0.7">
      <c r="A256" s="173"/>
      <c r="B256" s="173"/>
      <c r="C256" s="173"/>
      <c r="D256" s="173"/>
      <c r="E256" s="173"/>
      <c r="F256" s="173"/>
      <c r="G256" s="173"/>
      <c r="H256" s="74"/>
      <c r="I256" s="75"/>
      <c r="J256" s="76"/>
      <c r="K256" s="191"/>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c r="IX256" s="56"/>
      <c r="IY256" s="56"/>
      <c r="IZ256" s="56"/>
      <c r="JA256" s="56"/>
      <c r="JB256" s="56"/>
      <c r="JC256" s="56"/>
      <c r="JD256" s="56"/>
      <c r="JE256" s="56"/>
      <c r="JF256" s="56"/>
      <c r="JG256" s="56"/>
      <c r="JH256" s="56"/>
      <c r="JI256" s="56"/>
      <c r="JJ256" s="56"/>
      <c r="JK256" s="56"/>
      <c r="JL256" s="56"/>
      <c r="JM256" s="56"/>
      <c r="JN256" s="56"/>
      <c r="JO256" s="56"/>
      <c r="JP256" s="56"/>
      <c r="JQ256" s="56"/>
      <c r="JR256" s="56"/>
      <c r="JS256" s="56"/>
      <c r="JT256" s="56"/>
      <c r="JU256" s="56"/>
      <c r="JV256" s="56"/>
      <c r="JW256" s="56"/>
      <c r="JX256" s="56"/>
      <c r="JY256" s="56"/>
      <c r="JZ256" s="56"/>
      <c r="KA256" s="56"/>
      <c r="KB256" s="56"/>
      <c r="KC256" s="56"/>
      <c r="KD256" s="56"/>
      <c r="KE256" s="56"/>
      <c r="KF256" s="56"/>
      <c r="KG256" s="56"/>
      <c r="KH256" s="56"/>
      <c r="KI256" s="56"/>
      <c r="KJ256" s="56"/>
      <c r="KK256" s="56"/>
      <c r="KL256" s="56"/>
      <c r="KM256" s="56"/>
      <c r="KN256" s="56"/>
      <c r="KO256" s="56"/>
      <c r="KP256" s="56"/>
      <c r="KQ256" s="56"/>
      <c r="KR256" s="56"/>
      <c r="KS256" s="56"/>
      <c r="KT256" s="56"/>
      <c r="KU256" s="56"/>
      <c r="KV256" s="56"/>
      <c r="KW256" s="56"/>
      <c r="KX256" s="56"/>
      <c r="KY256" s="56"/>
      <c r="KZ256" s="56"/>
      <c r="LA256" s="56"/>
      <c r="LB256" s="56"/>
      <c r="LC256" s="56"/>
      <c r="LD256" s="56"/>
      <c r="LE256" s="56"/>
      <c r="LF256" s="56"/>
      <c r="LG256" s="56"/>
      <c r="LH256" s="56"/>
      <c r="LI256" s="56"/>
      <c r="LJ256" s="56"/>
      <c r="LK256" s="56"/>
      <c r="LL256" s="56"/>
      <c r="LM256" s="56"/>
      <c r="LN256" s="56"/>
      <c r="LO256" s="56"/>
      <c r="LP256" s="56"/>
      <c r="LQ256" s="56"/>
      <c r="LR256" s="56"/>
      <c r="LS256" s="56"/>
      <c r="LT256" s="56"/>
      <c r="LU256" s="56"/>
      <c r="LV256" s="56"/>
      <c r="LW256" s="56"/>
      <c r="LX256" s="56"/>
      <c r="LY256" s="56"/>
      <c r="LZ256" s="56"/>
      <c r="MA256" s="56"/>
      <c r="MB256" s="56"/>
      <c r="MC256" s="56"/>
      <c r="MD256" s="56"/>
      <c r="ME256" s="56"/>
      <c r="MF256" s="56"/>
      <c r="MG256" s="56"/>
      <c r="MH256" s="56"/>
      <c r="MI256" s="56"/>
      <c r="MJ256" s="56"/>
      <c r="MK256" s="56"/>
      <c r="ML256" s="56"/>
      <c r="MM256" s="56"/>
      <c r="MN256" s="56"/>
      <c r="MO256" s="56"/>
      <c r="MP256" s="56"/>
      <c r="MQ256" s="56"/>
      <c r="MR256" s="56"/>
      <c r="MS256" s="56"/>
      <c r="MT256" s="56"/>
      <c r="MU256" s="56"/>
      <c r="MV256" s="56"/>
      <c r="MW256" s="56"/>
      <c r="MX256" s="56"/>
      <c r="MY256" s="56"/>
      <c r="MZ256" s="56"/>
      <c r="NA256" s="56"/>
      <c r="NB256" s="56"/>
      <c r="NC256" s="56"/>
      <c r="ND256" s="56"/>
      <c r="NE256" s="56"/>
      <c r="NF256" s="56"/>
      <c r="NG256" s="56"/>
      <c r="NH256" s="56"/>
      <c r="NI256" s="56"/>
      <c r="NJ256" s="56"/>
      <c r="NK256" s="56"/>
      <c r="NL256" s="56"/>
      <c r="NM256" s="56"/>
      <c r="NN256" s="56"/>
      <c r="NO256" s="56"/>
      <c r="NP256" s="56"/>
      <c r="NQ256" s="56"/>
      <c r="NR256" s="56"/>
      <c r="NS256" s="56"/>
      <c r="NT256" s="56"/>
      <c r="NU256" s="56"/>
      <c r="NV256" s="56"/>
      <c r="NW256" s="56"/>
      <c r="NX256" s="56"/>
      <c r="NY256" s="56"/>
      <c r="NZ256" s="56"/>
      <c r="OA256" s="56"/>
      <c r="OB256" s="56"/>
      <c r="OC256" s="56"/>
      <c r="OD256" s="56"/>
      <c r="OE256" s="56"/>
      <c r="OF256" s="56"/>
      <c r="OG256" s="56"/>
      <c r="OH256" s="56"/>
      <c r="OI256" s="56"/>
      <c r="OJ256" s="56"/>
      <c r="OK256" s="56"/>
      <c r="OL256" s="56"/>
      <c r="OM256" s="56"/>
      <c r="ON256" s="56"/>
      <c r="OO256" s="56"/>
      <c r="OP256" s="56"/>
      <c r="OQ256" s="56"/>
      <c r="OR256" s="56"/>
      <c r="OS256" s="56"/>
      <c r="OT256" s="56"/>
      <c r="OU256" s="56"/>
      <c r="OV256" s="56"/>
      <c r="OW256" s="56"/>
      <c r="OX256" s="56"/>
      <c r="OY256" s="56"/>
      <c r="OZ256" s="56"/>
      <c r="PA256" s="56"/>
      <c r="PB256" s="56"/>
      <c r="PC256" s="56"/>
      <c r="PD256" s="56"/>
      <c r="PE256" s="56"/>
      <c r="PF256" s="56"/>
      <c r="PG256" s="56"/>
      <c r="PH256" s="56"/>
      <c r="PI256" s="56"/>
      <c r="PJ256" s="56"/>
      <c r="PK256" s="56"/>
      <c r="PL256" s="56"/>
      <c r="PM256" s="56"/>
      <c r="PN256" s="56"/>
      <c r="PO256" s="56"/>
      <c r="PP256" s="56"/>
      <c r="PQ256" s="56"/>
      <c r="PR256" s="56"/>
      <c r="PS256" s="56"/>
      <c r="PT256" s="56"/>
      <c r="PU256" s="56"/>
      <c r="PV256" s="56"/>
      <c r="PW256" s="56"/>
      <c r="PX256" s="56"/>
      <c r="PY256" s="56"/>
      <c r="PZ256" s="56"/>
      <c r="QA256" s="56"/>
      <c r="QB256" s="56"/>
      <c r="QC256" s="56"/>
      <c r="QD256" s="56"/>
      <c r="QE256" s="56"/>
      <c r="QF256" s="56"/>
      <c r="QG256" s="56"/>
      <c r="QH256" s="56"/>
      <c r="QI256" s="56"/>
      <c r="QJ256" s="56"/>
      <c r="QK256" s="56"/>
      <c r="QL256" s="56"/>
      <c r="QM256" s="56"/>
      <c r="QN256" s="56"/>
      <c r="QO256" s="56"/>
      <c r="QP256" s="56"/>
      <c r="QQ256" s="56"/>
      <c r="QR256" s="56"/>
      <c r="QS256" s="56"/>
      <c r="QT256" s="56"/>
      <c r="QU256" s="56"/>
      <c r="QV256" s="56"/>
      <c r="QW256" s="56"/>
      <c r="QX256" s="56"/>
      <c r="QY256" s="56"/>
      <c r="QZ256" s="56"/>
      <c r="RA256" s="56"/>
      <c r="RB256" s="56"/>
      <c r="RC256" s="56"/>
      <c r="RD256" s="56"/>
      <c r="RE256" s="56"/>
      <c r="RF256" s="56"/>
      <c r="RG256" s="56"/>
      <c r="RH256" s="56"/>
      <c r="RI256" s="56"/>
      <c r="RJ256" s="56"/>
      <c r="RK256" s="56"/>
      <c r="RL256" s="56"/>
      <c r="RM256" s="56"/>
      <c r="RN256" s="56"/>
      <c r="RO256" s="56"/>
      <c r="RP256" s="56"/>
      <c r="RQ256" s="56"/>
      <c r="RR256" s="56"/>
      <c r="RS256" s="56"/>
      <c r="RT256" s="56"/>
      <c r="RU256" s="56"/>
      <c r="RV256" s="56"/>
      <c r="RW256" s="56"/>
      <c r="RX256" s="56"/>
      <c r="RY256" s="56"/>
      <c r="RZ256" s="56"/>
      <c r="SA256" s="56"/>
      <c r="SB256" s="56"/>
      <c r="SC256" s="56"/>
      <c r="SD256" s="56"/>
      <c r="SE256" s="56"/>
      <c r="SF256" s="56"/>
      <c r="SG256" s="56"/>
      <c r="SH256" s="56"/>
      <c r="SI256" s="56"/>
      <c r="SJ256" s="56"/>
      <c r="SK256" s="56"/>
      <c r="SL256" s="56"/>
      <c r="SM256" s="56"/>
      <c r="SN256" s="56"/>
      <c r="SO256" s="56"/>
      <c r="SP256" s="56"/>
      <c r="SQ256" s="56"/>
      <c r="SR256" s="56"/>
    </row>
    <row r="257" spans="1:512" ht="15" customHeight="1" x14ac:dyDescent="0.7">
      <c r="A257" s="171" t="s">
        <v>344</v>
      </c>
      <c r="B257" s="171" t="s">
        <v>344</v>
      </c>
      <c r="C257" s="171" t="s">
        <v>344</v>
      </c>
      <c r="D257" s="171"/>
      <c r="E257" s="171" t="s">
        <v>344</v>
      </c>
      <c r="F257" s="171"/>
      <c r="G257" s="188" t="s">
        <v>344</v>
      </c>
      <c r="H257" s="71" t="s">
        <v>344</v>
      </c>
      <c r="I257" s="72" t="s">
        <v>344</v>
      </c>
      <c r="J257" s="73" t="s">
        <v>344</v>
      </c>
      <c r="K257" s="189" t="s">
        <v>344</v>
      </c>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54"/>
      <c r="CE257" s="54"/>
      <c r="CF257" s="54"/>
      <c r="CG257" s="54"/>
      <c r="CH257" s="54"/>
      <c r="CI257" s="54"/>
      <c r="CJ257" s="54"/>
      <c r="CK257" s="54"/>
      <c r="CL257" s="54"/>
      <c r="CM257" s="54"/>
      <c r="CN257" s="54"/>
      <c r="CO257" s="54"/>
      <c r="CP257" s="54"/>
      <c r="CQ257" s="54"/>
      <c r="CR257" s="54"/>
      <c r="CS257" s="54"/>
      <c r="CT257" s="54"/>
      <c r="CU257" s="54"/>
      <c r="CV257" s="54"/>
      <c r="CW257" s="54"/>
      <c r="CX257" s="54"/>
      <c r="CY257" s="54"/>
      <c r="CZ257" s="54"/>
      <c r="DA257" s="54"/>
      <c r="DB257" s="54"/>
      <c r="DC257" s="54"/>
      <c r="DD257" s="54"/>
      <c r="DE257" s="54"/>
      <c r="DF257" s="54"/>
      <c r="DG257" s="54"/>
      <c r="DH257" s="54"/>
      <c r="DI257" s="54"/>
      <c r="DJ257" s="54"/>
      <c r="DK257" s="54"/>
      <c r="DL257" s="54"/>
      <c r="DM257" s="54"/>
      <c r="DN257" s="54"/>
      <c r="DO257" s="54"/>
      <c r="DP257" s="54"/>
      <c r="DQ257" s="54"/>
      <c r="DR257" s="54"/>
      <c r="DS257" s="54"/>
      <c r="DT257" s="54"/>
      <c r="DU257" s="54"/>
      <c r="DV257" s="54"/>
      <c r="DW257" s="54"/>
      <c r="DX257" s="54"/>
      <c r="DY257" s="54"/>
      <c r="DZ257" s="54"/>
      <c r="EA257" s="54"/>
      <c r="EB257" s="54"/>
      <c r="EC257" s="54"/>
      <c r="ED257" s="54"/>
      <c r="EE257" s="54"/>
      <c r="EF257" s="54"/>
      <c r="EG257" s="54"/>
      <c r="EH257" s="54"/>
      <c r="EI257" s="54"/>
      <c r="EJ257" s="54"/>
      <c r="EK257" s="54"/>
      <c r="EL257" s="54"/>
      <c r="EM257" s="54"/>
      <c r="EN257" s="54"/>
      <c r="EO257" s="54"/>
      <c r="EP257" s="54"/>
      <c r="EQ257" s="54"/>
      <c r="ER257" s="54"/>
      <c r="ES257" s="54"/>
      <c r="ET257" s="54"/>
      <c r="EU257" s="54"/>
      <c r="EV257" s="54"/>
      <c r="EW257" s="54"/>
      <c r="EX257" s="54"/>
      <c r="EY257" s="54"/>
      <c r="EZ257" s="54"/>
      <c r="FA257" s="54"/>
      <c r="FB257" s="54"/>
      <c r="FC257" s="54"/>
      <c r="FD257" s="54"/>
      <c r="FE257" s="54"/>
      <c r="FF257" s="54"/>
      <c r="FG257" s="54"/>
      <c r="FH257" s="54"/>
      <c r="FI257" s="54"/>
      <c r="FJ257" s="54"/>
      <c r="FK257" s="54"/>
      <c r="FL257" s="54"/>
      <c r="FM257" s="54"/>
      <c r="FN257" s="54"/>
      <c r="FO257" s="54"/>
      <c r="FP257" s="54"/>
      <c r="FQ257" s="54"/>
      <c r="FR257" s="54"/>
      <c r="FS257" s="54"/>
      <c r="FT257" s="54"/>
      <c r="FU257" s="54"/>
      <c r="FV257" s="54"/>
      <c r="FW257" s="54"/>
      <c r="FX257" s="54"/>
      <c r="FY257" s="54"/>
      <c r="FZ257" s="54"/>
      <c r="GA257" s="54"/>
      <c r="GB257" s="54"/>
      <c r="GC257" s="54"/>
      <c r="GD257" s="54"/>
      <c r="GE257" s="54"/>
      <c r="GF257" s="54"/>
      <c r="GG257" s="54"/>
      <c r="GH257" s="54"/>
      <c r="GI257" s="54"/>
      <c r="GJ257" s="54"/>
      <c r="GK257" s="54"/>
      <c r="GL257" s="54"/>
      <c r="GM257" s="54"/>
      <c r="GN257" s="54"/>
      <c r="GO257" s="54"/>
      <c r="GP257" s="54"/>
      <c r="GQ257" s="54"/>
      <c r="GR257" s="54"/>
      <c r="GS257" s="54"/>
      <c r="GT257" s="54"/>
      <c r="GU257" s="54"/>
      <c r="GV257" s="54"/>
      <c r="GW257" s="54"/>
      <c r="GX257" s="54"/>
      <c r="GY257" s="54"/>
      <c r="GZ257" s="54"/>
      <c r="HA257" s="54"/>
      <c r="HB257" s="54"/>
      <c r="HC257" s="54"/>
      <c r="HD257" s="54"/>
      <c r="HE257" s="54"/>
      <c r="HF257" s="54"/>
      <c r="HG257" s="54"/>
      <c r="HH257" s="54"/>
      <c r="HI257" s="54"/>
      <c r="HJ257" s="54"/>
      <c r="HK257" s="54"/>
      <c r="HL257" s="54"/>
      <c r="HM257" s="54"/>
      <c r="HN257" s="54"/>
      <c r="HO257" s="54"/>
      <c r="HP257" s="54"/>
      <c r="HQ257" s="54"/>
      <c r="HR257" s="54"/>
      <c r="HS257" s="54"/>
      <c r="HT257" s="54"/>
      <c r="HU257" s="54"/>
      <c r="HV257" s="54"/>
      <c r="HW257" s="54"/>
      <c r="HX257" s="54"/>
      <c r="HY257" s="54"/>
      <c r="HZ257" s="54"/>
      <c r="IA257" s="54"/>
      <c r="IB257" s="54"/>
      <c r="IC257" s="54"/>
      <c r="ID257" s="54"/>
      <c r="IE257" s="54"/>
      <c r="IF257" s="54"/>
      <c r="IG257" s="54"/>
      <c r="IH257" s="54"/>
      <c r="II257" s="54"/>
      <c r="IJ257" s="54"/>
      <c r="IK257" s="54"/>
      <c r="IL257" s="54"/>
      <c r="IM257" s="54"/>
      <c r="IN257" s="54"/>
      <c r="IO257" s="54"/>
      <c r="IP257" s="54"/>
      <c r="IQ257" s="54"/>
      <c r="IR257" s="54"/>
      <c r="IS257" s="54"/>
      <c r="IT257" s="54"/>
      <c r="IU257" s="54"/>
      <c r="IV257" s="54"/>
      <c r="IW257" s="54"/>
      <c r="IX257" s="54"/>
      <c r="IY257" s="54"/>
      <c r="IZ257" s="54"/>
      <c r="JA257" s="54"/>
      <c r="JB257" s="54"/>
      <c r="JC257" s="54"/>
      <c r="JD257" s="54"/>
      <c r="JE257" s="54"/>
      <c r="JF257" s="54"/>
      <c r="JG257" s="54"/>
      <c r="JH257" s="54"/>
      <c r="JI257" s="54"/>
      <c r="JJ257" s="54"/>
      <c r="JK257" s="54"/>
      <c r="JL257" s="54"/>
      <c r="JM257" s="54"/>
      <c r="JN257" s="54"/>
      <c r="JO257" s="54"/>
      <c r="JP257" s="54"/>
      <c r="JQ257" s="54"/>
      <c r="JR257" s="54"/>
      <c r="JS257" s="54"/>
      <c r="JT257" s="54"/>
      <c r="JU257" s="54"/>
      <c r="JV257" s="54"/>
      <c r="JW257" s="54"/>
      <c r="JX257" s="54"/>
      <c r="JY257" s="54"/>
      <c r="JZ257" s="54"/>
      <c r="KA257" s="54"/>
      <c r="KB257" s="54"/>
      <c r="KC257" s="54"/>
      <c r="KD257" s="54"/>
      <c r="KE257" s="54"/>
      <c r="KF257" s="54"/>
      <c r="KG257" s="54"/>
      <c r="KH257" s="54"/>
      <c r="KI257" s="54"/>
      <c r="KJ257" s="54"/>
      <c r="KK257" s="54"/>
      <c r="KL257" s="54"/>
      <c r="KM257" s="54"/>
      <c r="KN257" s="54"/>
      <c r="KO257" s="54"/>
      <c r="KP257" s="54"/>
      <c r="KQ257" s="54"/>
      <c r="KR257" s="54"/>
      <c r="KS257" s="54"/>
      <c r="KT257" s="54"/>
      <c r="KU257" s="54"/>
      <c r="KV257" s="54"/>
      <c r="KW257" s="54"/>
      <c r="KX257" s="54"/>
      <c r="KY257" s="54"/>
      <c r="KZ257" s="54"/>
      <c r="LA257" s="54"/>
      <c r="LB257" s="54"/>
      <c r="LC257" s="54"/>
      <c r="LD257" s="54"/>
      <c r="LE257" s="54"/>
      <c r="LF257" s="54"/>
      <c r="LG257" s="54"/>
      <c r="LH257" s="54"/>
      <c r="LI257" s="54"/>
      <c r="LJ257" s="54"/>
      <c r="LK257" s="54"/>
      <c r="LL257" s="54"/>
      <c r="LM257" s="54"/>
      <c r="LN257" s="54"/>
      <c r="LO257" s="54"/>
      <c r="LP257" s="54"/>
      <c r="LQ257" s="54"/>
      <c r="LR257" s="54"/>
      <c r="LS257" s="54"/>
      <c r="LT257" s="54"/>
      <c r="LU257" s="54"/>
      <c r="LV257" s="54"/>
      <c r="LW257" s="54"/>
      <c r="LX257" s="54"/>
      <c r="LY257" s="54"/>
      <c r="LZ257" s="54"/>
      <c r="MA257" s="54"/>
      <c r="MB257" s="54"/>
      <c r="MC257" s="54"/>
      <c r="MD257" s="54"/>
      <c r="ME257" s="54"/>
      <c r="MF257" s="54"/>
      <c r="MG257" s="54"/>
      <c r="MH257" s="54"/>
      <c r="MI257" s="54"/>
      <c r="MJ257" s="54"/>
      <c r="MK257" s="54"/>
      <c r="ML257" s="54"/>
      <c r="MM257" s="54"/>
      <c r="MN257" s="54"/>
      <c r="MO257" s="54"/>
      <c r="MP257" s="54"/>
      <c r="MQ257" s="54"/>
      <c r="MR257" s="54"/>
      <c r="MS257" s="54"/>
      <c r="MT257" s="54"/>
      <c r="MU257" s="54"/>
      <c r="MV257" s="54"/>
      <c r="MW257" s="54"/>
      <c r="MX257" s="54"/>
      <c r="MY257" s="54"/>
      <c r="MZ257" s="54"/>
      <c r="NA257" s="54"/>
      <c r="NB257" s="54"/>
      <c r="NC257" s="54"/>
      <c r="ND257" s="54"/>
      <c r="NE257" s="54"/>
      <c r="NF257" s="54"/>
      <c r="NG257" s="54"/>
      <c r="NH257" s="54"/>
      <c r="NI257" s="54"/>
      <c r="NJ257" s="54"/>
      <c r="NK257" s="54"/>
      <c r="NL257" s="54"/>
      <c r="NM257" s="54"/>
      <c r="NN257" s="54"/>
      <c r="NO257" s="54"/>
      <c r="NP257" s="54"/>
      <c r="NQ257" s="54"/>
      <c r="NR257" s="54"/>
      <c r="NS257" s="54"/>
      <c r="NT257" s="54"/>
      <c r="NU257" s="54"/>
      <c r="NV257" s="54"/>
      <c r="NW257" s="54"/>
      <c r="NX257" s="54"/>
      <c r="NY257" s="54"/>
      <c r="NZ257" s="54"/>
      <c r="OA257" s="54"/>
      <c r="OB257" s="54"/>
      <c r="OC257" s="54"/>
      <c r="OD257" s="54"/>
      <c r="OE257" s="54"/>
      <c r="OF257" s="54"/>
      <c r="OG257" s="54"/>
      <c r="OH257" s="54"/>
      <c r="OI257" s="54"/>
      <c r="OJ257" s="54"/>
      <c r="OK257" s="54"/>
      <c r="OL257" s="54"/>
      <c r="OM257" s="54"/>
      <c r="ON257" s="54"/>
      <c r="OO257" s="54"/>
      <c r="OP257" s="54"/>
      <c r="OQ257" s="54"/>
      <c r="OR257" s="54"/>
      <c r="OS257" s="54"/>
      <c r="OT257" s="54"/>
      <c r="OU257" s="54"/>
      <c r="OV257" s="54"/>
      <c r="OW257" s="54"/>
      <c r="OX257" s="54"/>
      <c r="OY257" s="54"/>
      <c r="OZ257" s="54"/>
      <c r="PA257" s="54"/>
      <c r="PB257" s="54"/>
      <c r="PC257" s="54"/>
      <c r="PD257" s="54"/>
      <c r="PE257" s="54"/>
      <c r="PF257" s="54"/>
      <c r="PG257" s="54"/>
      <c r="PH257" s="54"/>
      <c r="PI257" s="54"/>
      <c r="PJ257" s="54"/>
      <c r="PK257" s="54"/>
      <c r="PL257" s="54"/>
      <c r="PM257" s="54"/>
      <c r="PN257" s="54"/>
      <c r="PO257" s="54"/>
      <c r="PP257" s="54"/>
      <c r="PQ257" s="54"/>
      <c r="PR257" s="54"/>
      <c r="PS257" s="54"/>
      <c r="PT257" s="54"/>
      <c r="PU257" s="54"/>
      <c r="PV257" s="54"/>
      <c r="PW257" s="54"/>
      <c r="PX257" s="54"/>
      <c r="PY257" s="54"/>
      <c r="PZ257" s="54"/>
      <c r="QA257" s="54"/>
      <c r="QB257" s="54"/>
      <c r="QC257" s="54"/>
      <c r="QD257" s="54"/>
      <c r="QE257" s="54"/>
      <c r="QF257" s="54"/>
      <c r="QG257" s="54"/>
      <c r="QH257" s="54"/>
      <c r="QI257" s="54"/>
      <c r="QJ257" s="54"/>
      <c r="QK257" s="54"/>
      <c r="QL257" s="54"/>
      <c r="QM257" s="54"/>
      <c r="QN257" s="54"/>
      <c r="QO257" s="54"/>
      <c r="QP257" s="54"/>
      <c r="QQ257" s="54"/>
      <c r="QR257" s="54"/>
      <c r="QS257" s="54"/>
      <c r="QT257" s="54"/>
      <c r="QU257" s="54"/>
      <c r="QV257" s="54"/>
      <c r="QW257" s="54"/>
      <c r="QX257" s="54"/>
      <c r="QY257" s="54"/>
      <c r="QZ257" s="54"/>
      <c r="RA257" s="54"/>
      <c r="RB257" s="54"/>
      <c r="RC257" s="54"/>
      <c r="RD257" s="54"/>
      <c r="RE257" s="54"/>
      <c r="RF257" s="54"/>
      <c r="RG257" s="54"/>
      <c r="RH257" s="54"/>
      <c r="RI257" s="54"/>
      <c r="RJ257" s="54"/>
      <c r="RK257" s="54"/>
      <c r="RL257" s="54"/>
      <c r="RM257" s="54"/>
      <c r="RN257" s="54"/>
      <c r="RO257" s="54"/>
      <c r="RP257" s="54"/>
      <c r="RQ257" s="54"/>
      <c r="RR257" s="54"/>
      <c r="RS257" s="54"/>
      <c r="RT257" s="54"/>
      <c r="RU257" s="54"/>
      <c r="RV257" s="54"/>
      <c r="RW257" s="54"/>
      <c r="RX257" s="54"/>
      <c r="RY257" s="54"/>
      <c r="RZ257" s="54"/>
      <c r="SA257" s="54"/>
      <c r="SB257" s="54"/>
      <c r="SC257" s="54"/>
      <c r="SD257" s="54"/>
      <c r="SE257" s="54"/>
      <c r="SF257" s="54"/>
      <c r="SG257" s="54"/>
      <c r="SH257" s="54"/>
      <c r="SI257" s="54"/>
      <c r="SJ257" s="54"/>
      <c r="SK257" s="54"/>
      <c r="SL257" s="54"/>
      <c r="SM257" s="54"/>
      <c r="SN257" s="54"/>
      <c r="SO257" s="54"/>
      <c r="SP257" s="54"/>
      <c r="SQ257" s="54"/>
      <c r="SR257" s="54"/>
    </row>
    <row r="258" spans="1:512" ht="15" customHeight="1" x14ac:dyDescent="0.7">
      <c r="A258" s="172"/>
      <c r="B258" s="172"/>
      <c r="C258" s="172"/>
      <c r="D258" s="172"/>
      <c r="E258" s="172"/>
      <c r="F258" s="172"/>
      <c r="G258" s="172"/>
      <c r="I258" s="72" t="s">
        <v>344</v>
      </c>
      <c r="J258" s="73" t="s">
        <v>344</v>
      </c>
      <c r="K258" s="190"/>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c r="BU258" s="54"/>
      <c r="BV258" s="54"/>
      <c r="BW258" s="54"/>
      <c r="BX258" s="54"/>
      <c r="BY258" s="54"/>
      <c r="BZ258" s="54"/>
      <c r="CA258" s="54"/>
      <c r="CB258" s="54"/>
      <c r="CC258" s="54"/>
      <c r="CD258" s="54"/>
      <c r="CE258" s="54"/>
      <c r="CF258" s="54"/>
      <c r="CG258" s="54"/>
      <c r="CH258" s="54"/>
      <c r="CI258" s="54"/>
      <c r="CJ258" s="54"/>
      <c r="CK258" s="54"/>
      <c r="CL258" s="54"/>
      <c r="CM258" s="54"/>
      <c r="CN258" s="54"/>
      <c r="CO258" s="54"/>
      <c r="CP258" s="54"/>
      <c r="CQ258" s="54"/>
      <c r="CR258" s="54"/>
      <c r="CS258" s="54"/>
      <c r="CT258" s="54"/>
      <c r="CU258" s="54"/>
      <c r="CV258" s="54"/>
      <c r="CW258" s="54"/>
      <c r="CX258" s="54"/>
      <c r="CY258" s="54"/>
      <c r="CZ258" s="54"/>
      <c r="DA258" s="54"/>
      <c r="DB258" s="54"/>
      <c r="DC258" s="54"/>
      <c r="DD258" s="54"/>
      <c r="DE258" s="54"/>
      <c r="DF258" s="54"/>
      <c r="DG258" s="54"/>
      <c r="DH258" s="54"/>
      <c r="DI258" s="54"/>
      <c r="DJ258" s="54"/>
      <c r="DK258" s="54"/>
      <c r="DL258" s="54"/>
      <c r="DM258" s="54"/>
      <c r="DN258" s="54"/>
      <c r="DO258" s="54"/>
      <c r="DP258" s="54"/>
      <c r="DQ258" s="54"/>
      <c r="DR258" s="54"/>
      <c r="DS258" s="54"/>
      <c r="DT258" s="54"/>
      <c r="DU258" s="54"/>
      <c r="DV258" s="54"/>
      <c r="DW258" s="54"/>
      <c r="DX258" s="54"/>
      <c r="DY258" s="54"/>
      <c r="DZ258" s="54"/>
      <c r="EA258" s="54"/>
      <c r="EB258" s="54"/>
      <c r="EC258" s="54"/>
      <c r="ED258" s="54"/>
      <c r="EE258" s="54"/>
      <c r="EF258" s="54"/>
      <c r="EG258" s="54"/>
      <c r="EH258" s="54"/>
      <c r="EI258" s="54"/>
      <c r="EJ258" s="54"/>
      <c r="EK258" s="54"/>
      <c r="EL258" s="54"/>
      <c r="EM258" s="54"/>
      <c r="EN258" s="54"/>
      <c r="EO258" s="54"/>
      <c r="EP258" s="54"/>
      <c r="EQ258" s="54"/>
      <c r="ER258" s="54"/>
      <c r="ES258" s="54"/>
      <c r="ET258" s="54"/>
      <c r="EU258" s="54"/>
      <c r="EV258" s="54"/>
      <c r="EW258" s="54"/>
      <c r="EX258" s="54"/>
      <c r="EY258" s="54"/>
      <c r="EZ258" s="54"/>
      <c r="FA258" s="54"/>
      <c r="FB258" s="54"/>
      <c r="FC258" s="54"/>
      <c r="FD258" s="54"/>
      <c r="FE258" s="54"/>
      <c r="FF258" s="54"/>
      <c r="FG258" s="54"/>
      <c r="FH258" s="54"/>
      <c r="FI258" s="54"/>
      <c r="FJ258" s="54"/>
      <c r="FK258" s="54"/>
      <c r="FL258" s="54"/>
      <c r="FM258" s="54"/>
      <c r="FN258" s="54"/>
      <c r="FO258" s="54"/>
      <c r="FP258" s="54"/>
      <c r="FQ258" s="54"/>
      <c r="FR258" s="54"/>
      <c r="FS258" s="54"/>
      <c r="FT258" s="54"/>
      <c r="FU258" s="54"/>
      <c r="FV258" s="54"/>
      <c r="FW258" s="54"/>
      <c r="FX258" s="54"/>
      <c r="FY258" s="54"/>
      <c r="FZ258" s="54"/>
      <c r="GA258" s="54"/>
      <c r="GB258" s="54"/>
      <c r="GC258" s="54"/>
      <c r="GD258" s="54"/>
      <c r="GE258" s="54"/>
      <c r="GF258" s="54"/>
      <c r="GG258" s="54"/>
      <c r="GH258" s="54"/>
      <c r="GI258" s="54"/>
      <c r="GJ258" s="54"/>
      <c r="GK258" s="54"/>
      <c r="GL258" s="54"/>
      <c r="GM258" s="54"/>
      <c r="GN258" s="54"/>
      <c r="GO258" s="54"/>
      <c r="GP258" s="54"/>
      <c r="GQ258" s="54"/>
      <c r="GR258" s="54"/>
      <c r="GS258" s="54"/>
      <c r="GT258" s="54"/>
      <c r="GU258" s="54"/>
      <c r="GV258" s="54"/>
      <c r="GW258" s="54"/>
      <c r="GX258" s="54"/>
      <c r="GY258" s="54"/>
      <c r="GZ258" s="54"/>
      <c r="HA258" s="54"/>
      <c r="HB258" s="54"/>
      <c r="HC258" s="54"/>
      <c r="HD258" s="54"/>
      <c r="HE258" s="54"/>
      <c r="HF258" s="54"/>
      <c r="HG258" s="54"/>
      <c r="HH258" s="54"/>
      <c r="HI258" s="54"/>
      <c r="HJ258" s="54"/>
      <c r="HK258" s="54"/>
      <c r="HL258" s="54"/>
      <c r="HM258" s="54"/>
      <c r="HN258" s="54"/>
      <c r="HO258" s="54"/>
      <c r="HP258" s="54"/>
      <c r="HQ258" s="54"/>
      <c r="HR258" s="54"/>
      <c r="HS258" s="54"/>
      <c r="HT258" s="54"/>
      <c r="HU258" s="54"/>
      <c r="HV258" s="54"/>
      <c r="HW258" s="54"/>
      <c r="HX258" s="54"/>
      <c r="HY258" s="54"/>
      <c r="HZ258" s="54"/>
      <c r="IA258" s="54"/>
      <c r="IB258" s="54"/>
      <c r="IC258" s="54"/>
      <c r="ID258" s="54"/>
      <c r="IE258" s="54"/>
      <c r="IF258" s="54"/>
      <c r="IG258" s="54"/>
      <c r="IH258" s="54"/>
      <c r="II258" s="54"/>
      <c r="IJ258" s="54"/>
      <c r="IK258" s="54"/>
      <c r="IL258" s="54"/>
      <c r="IM258" s="54"/>
      <c r="IN258" s="54"/>
      <c r="IO258" s="54"/>
      <c r="IP258" s="54"/>
      <c r="IQ258" s="54"/>
      <c r="IR258" s="54"/>
      <c r="IS258" s="54"/>
      <c r="IT258" s="54"/>
      <c r="IU258" s="54"/>
      <c r="IV258" s="54"/>
      <c r="IW258" s="54"/>
      <c r="IX258" s="54"/>
      <c r="IY258" s="54"/>
      <c r="IZ258" s="54"/>
      <c r="JA258" s="54"/>
      <c r="JB258" s="54"/>
      <c r="JC258" s="54"/>
      <c r="JD258" s="54"/>
      <c r="JE258" s="54"/>
      <c r="JF258" s="54"/>
      <c r="JG258" s="54"/>
      <c r="JH258" s="54"/>
      <c r="JI258" s="54"/>
      <c r="JJ258" s="54"/>
      <c r="JK258" s="54"/>
      <c r="JL258" s="54"/>
      <c r="JM258" s="54"/>
      <c r="JN258" s="54"/>
      <c r="JO258" s="54"/>
      <c r="JP258" s="54"/>
      <c r="JQ258" s="54"/>
      <c r="JR258" s="54"/>
      <c r="JS258" s="54"/>
      <c r="JT258" s="54"/>
      <c r="JU258" s="54"/>
      <c r="JV258" s="54"/>
      <c r="JW258" s="54"/>
      <c r="JX258" s="54"/>
      <c r="JY258" s="54"/>
      <c r="JZ258" s="54"/>
      <c r="KA258" s="54"/>
      <c r="KB258" s="54"/>
      <c r="KC258" s="54"/>
      <c r="KD258" s="54"/>
      <c r="KE258" s="54"/>
      <c r="KF258" s="54"/>
      <c r="KG258" s="54"/>
      <c r="KH258" s="54"/>
      <c r="KI258" s="54"/>
      <c r="KJ258" s="54"/>
      <c r="KK258" s="54"/>
      <c r="KL258" s="54"/>
      <c r="KM258" s="54"/>
      <c r="KN258" s="54"/>
      <c r="KO258" s="54"/>
      <c r="KP258" s="54"/>
      <c r="KQ258" s="54"/>
      <c r="KR258" s="54"/>
      <c r="KS258" s="54"/>
      <c r="KT258" s="54"/>
      <c r="KU258" s="54"/>
      <c r="KV258" s="54"/>
      <c r="KW258" s="54"/>
      <c r="KX258" s="54"/>
      <c r="KY258" s="54"/>
      <c r="KZ258" s="54"/>
      <c r="LA258" s="54"/>
      <c r="LB258" s="54"/>
      <c r="LC258" s="54"/>
      <c r="LD258" s="54"/>
      <c r="LE258" s="54"/>
      <c r="LF258" s="54"/>
      <c r="LG258" s="54"/>
      <c r="LH258" s="54"/>
      <c r="LI258" s="54"/>
      <c r="LJ258" s="54"/>
      <c r="LK258" s="54"/>
      <c r="LL258" s="54"/>
      <c r="LM258" s="54"/>
      <c r="LN258" s="54"/>
      <c r="LO258" s="54"/>
      <c r="LP258" s="54"/>
      <c r="LQ258" s="54"/>
      <c r="LR258" s="54"/>
      <c r="LS258" s="54"/>
      <c r="LT258" s="54"/>
      <c r="LU258" s="54"/>
      <c r="LV258" s="54"/>
      <c r="LW258" s="54"/>
      <c r="LX258" s="54"/>
      <c r="LY258" s="54"/>
      <c r="LZ258" s="54"/>
      <c r="MA258" s="54"/>
      <c r="MB258" s="54"/>
      <c r="MC258" s="54"/>
      <c r="MD258" s="54"/>
      <c r="ME258" s="54"/>
      <c r="MF258" s="54"/>
      <c r="MG258" s="54"/>
      <c r="MH258" s="54"/>
      <c r="MI258" s="54"/>
      <c r="MJ258" s="54"/>
      <c r="MK258" s="54"/>
      <c r="ML258" s="54"/>
      <c r="MM258" s="54"/>
      <c r="MN258" s="54"/>
      <c r="MO258" s="54"/>
      <c r="MP258" s="54"/>
      <c r="MQ258" s="54"/>
      <c r="MR258" s="54"/>
      <c r="MS258" s="54"/>
      <c r="MT258" s="54"/>
      <c r="MU258" s="54"/>
      <c r="MV258" s="54"/>
      <c r="MW258" s="54"/>
      <c r="MX258" s="54"/>
      <c r="MY258" s="54"/>
      <c r="MZ258" s="54"/>
      <c r="NA258" s="54"/>
      <c r="NB258" s="54"/>
      <c r="NC258" s="54"/>
      <c r="ND258" s="54"/>
      <c r="NE258" s="54"/>
      <c r="NF258" s="54"/>
      <c r="NG258" s="54"/>
      <c r="NH258" s="54"/>
      <c r="NI258" s="54"/>
      <c r="NJ258" s="54"/>
      <c r="NK258" s="54"/>
      <c r="NL258" s="54"/>
      <c r="NM258" s="54"/>
      <c r="NN258" s="54"/>
      <c r="NO258" s="54"/>
      <c r="NP258" s="54"/>
      <c r="NQ258" s="54"/>
      <c r="NR258" s="54"/>
      <c r="NS258" s="54"/>
      <c r="NT258" s="54"/>
      <c r="NU258" s="54"/>
      <c r="NV258" s="54"/>
      <c r="NW258" s="54"/>
      <c r="NX258" s="54"/>
      <c r="NY258" s="54"/>
      <c r="NZ258" s="54"/>
      <c r="OA258" s="54"/>
      <c r="OB258" s="54"/>
      <c r="OC258" s="54"/>
      <c r="OD258" s="54"/>
      <c r="OE258" s="54"/>
      <c r="OF258" s="54"/>
      <c r="OG258" s="54"/>
      <c r="OH258" s="54"/>
      <c r="OI258" s="54"/>
      <c r="OJ258" s="54"/>
      <c r="OK258" s="54"/>
      <c r="OL258" s="54"/>
      <c r="OM258" s="54"/>
      <c r="ON258" s="54"/>
      <c r="OO258" s="54"/>
      <c r="OP258" s="54"/>
      <c r="OQ258" s="54"/>
      <c r="OR258" s="54"/>
      <c r="OS258" s="54"/>
      <c r="OT258" s="54"/>
      <c r="OU258" s="54"/>
      <c r="OV258" s="54"/>
      <c r="OW258" s="54"/>
      <c r="OX258" s="54"/>
      <c r="OY258" s="54"/>
      <c r="OZ258" s="54"/>
      <c r="PA258" s="54"/>
      <c r="PB258" s="54"/>
      <c r="PC258" s="54"/>
      <c r="PD258" s="54"/>
      <c r="PE258" s="54"/>
      <c r="PF258" s="54"/>
      <c r="PG258" s="54"/>
      <c r="PH258" s="54"/>
      <c r="PI258" s="54"/>
      <c r="PJ258" s="54"/>
      <c r="PK258" s="54"/>
      <c r="PL258" s="54"/>
      <c r="PM258" s="54"/>
      <c r="PN258" s="54"/>
      <c r="PO258" s="54"/>
      <c r="PP258" s="54"/>
      <c r="PQ258" s="54"/>
      <c r="PR258" s="54"/>
      <c r="PS258" s="54"/>
      <c r="PT258" s="54"/>
      <c r="PU258" s="54"/>
      <c r="PV258" s="54"/>
      <c r="PW258" s="54"/>
      <c r="PX258" s="54"/>
      <c r="PY258" s="54"/>
      <c r="PZ258" s="54"/>
      <c r="QA258" s="54"/>
      <c r="QB258" s="54"/>
      <c r="QC258" s="54"/>
      <c r="QD258" s="54"/>
      <c r="QE258" s="54"/>
      <c r="QF258" s="54"/>
      <c r="QG258" s="54"/>
      <c r="QH258" s="54"/>
      <c r="QI258" s="54"/>
      <c r="QJ258" s="54"/>
      <c r="QK258" s="54"/>
      <c r="QL258" s="54"/>
      <c r="QM258" s="54"/>
      <c r="QN258" s="54"/>
      <c r="QO258" s="54"/>
      <c r="QP258" s="54"/>
      <c r="QQ258" s="54"/>
      <c r="QR258" s="54"/>
      <c r="QS258" s="54"/>
      <c r="QT258" s="54"/>
      <c r="QU258" s="54"/>
      <c r="QV258" s="54"/>
      <c r="QW258" s="54"/>
      <c r="QX258" s="54"/>
      <c r="QY258" s="54"/>
      <c r="QZ258" s="54"/>
      <c r="RA258" s="54"/>
      <c r="RB258" s="54"/>
      <c r="RC258" s="54"/>
      <c r="RD258" s="54"/>
      <c r="RE258" s="54"/>
      <c r="RF258" s="54"/>
      <c r="RG258" s="54"/>
      <c r="RH258" s="54"/>
      <c r="RI258" s="54"/>
      <c r="RJ258" s="54"/>
      <c r="RK258" s="54"/>
      <c r="RL258" s="54"/>
      <c r="RM258" s="54"/>
      <c r="RN258" s="54"/>
      <c r="RO258" s="54"/>
      <c r="RP258" s="54"/>
      <c r="RQ258" s="54"/>
      <c r="RR258" s="54"/>
      <c r="RS258" s="54"/>
      <c r="RT258" s="54"/>
      <c r="RU258" s="54"/>
      <c r="RV258" s="54"/>
      <c r="RW258" s="54"/>
      <c r="RX258" s="54"/>
      <c r="RY258" s="54"/>
      <c r="RZ258" s="54"/>
      <c r="SA258" s="54"/>
      <c r="SB258" s="54"/>
      <c r="SC258" s="54"/>
      <c r="SD258" s="54"/>
      <c r="SE258" s="54"/>
      <c r="SF258" s="54"/>
      <c r="SG258" s="54"/>
      <c r="SH258" s="54"/>
      <c r="SI258" s="54"/>
      <c r="SJ258" s="54"/>
      <c r="SK258" s="54"/>
      <c r="SL258" s="54"/>
      <c r="SM258" s="54"/>
      <c r="SN258" s="54"/>
      <c r="SO258" s="54"/>
      <c r="SP258" s="54"/>
      <c r="SQ258" s="54"/>
      <c r="SR258" s="54"/>
    </row>
    <row r="259" spans="1:512" s="55" customFormat="1" ht="15" customHeight="1" x14ac:dyDescent="0.7">
      <c r="A259" s="173"/>
      <c r="B259" s="173"/>
      <c r="C259" s="173"/>
      <c r="D259" s="173"/>
      <c r="E259" s="173"/>
      <c r="F259" s="173"/>
      <c r="G259" s="173"/>
      <c r="H259" s="74"/>
      <c r="I259" s="75"/>
      <c r="J259" s="76"/>
      <c r="K259" s="191"/>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c r="IX259" s="56"/>
      <c r="IY259" s="56"/>
      <c r="IZ259" s="56"/>
      <c r="JA259" s="56"/>
      <c r="JB259" s="56"/>
      <c r="JC259" s="56"/>
      <c r="JD259" s="56"/>
      <c r="JE259" s="56"/>
      <c r="JF259" s="56"/>
      <c r="JG259" s="56"/>
      <c r="JH259" s="56"/>
      <c r="JI259" s="56"/>
      <c r="JJ259" s="56"/>
      <c r="JK259" s="56"/>
      <c r="JL259" s="56"/>
      <c r="JM259" s="56"/>
      <c r="JN259" s="56"/>
      <c r="JO259" s="56"/>
      <c r="JP259" s="56"/>
      <c r="JQ259" s="56"/>
      <c r="JR259" s="56"/>
      <c r="JS259" s="56"/>
      <c r="JT259" s="56"/>
      <c r="JU259" s="56"/>
      <c r="JV259" s="56"/>
      <c r="JW259" s="56"/>
      <c r="JX259" s="56"/>
      <c r="JY259" s="56"/>
      <c r="JZ259" s="56"/>
      <c r="KA259" s="56"/>
      <c r="KB259" s="56"/>
      <c r="KC259" s="56"/>
      <c r="KD259" s="56"/>
      <c r="KE259" s="56"/>
      <c r="KF259" s="56"/>
      <c r="KG259" s="56"/>
      <c r="KH259" s="56"/>
      <c r="KI259" s="56"/>
      <c r="KJ259" s="56"/>
      <c r="KK259" s="56"/>
      <c r="KL259" s="56"/>
      <c r="KM259" s="56"/>
      <c r="KN259" s="56"/>
      <c r="KO259" s="56"/>
      <c r="KP259" s="56"/>
      <c r="KQ259" s="56"/>
      <c r="KR259" s="56"/>
      <c r="KS259" s="56"/>
      <c r="KT259" s="56"/>
      <c r="KU259" s="56"/>
      <c r="KV259" s="56"/>
      <c r="KW259" s="56"/>
      <c r="KX259" s="56"/>
      <c r="KY259" s="56"/>
      <c r="KZ259" s="56"/>
      <c r="LA259" s="56"/>
      <c r="LB259" s="56"/>
      <c r="LC259" s="56"/>
      <c r="LD259" s="56"/>
      <c r="LE259" s="56"/>
      <c r="LF259" s="56"/>
      <c r="LG259" s="56"/>
      <c r="LH259" s="56"/>
      <c r="LI259" s="56"/>
      <c r="LJ259" s="56"/>
      <c r="LK259" s="56"/>
      <c r="LL259" s="56"/>
      <c r="LM259" s="56"/>
      <c r="LN259" s="56"/>
      <c r="LO259" s="56"/>
      <c r="LP259" s="56"/>
      <c r="LQ259" s="56"/>
      <c r="LR259" s="56"/>
      <c r="LS259" s="56"/>
      <c r="LT259" s="56"/>
      <c r="LU259" s="56"/>
      <c r="LV259" s="56"/>
      <c r="LW259" s="56"/>
      <c r="LX259" s="56"/>
      <c r="LY259" s="56"/>
      <c r="LZ259" s="56"/>
      <c r="MA259" s="56"/>
      <c r="MB259" s="56"/>
      <c r="MC259" s="56"/>
      <c r="MD259" s="56"/>
      <c r="ME259" s="56"/>
      <c r="MF259" s="56"/>
      <c r="MG259" s="56"/>
      <c r="MH259" s="56"/>
      <c r="MI259" s="56"/>
      <c r="MJ259" s="56"/>
      <c r="MK259" s="56"/>
      <c r="ML259" s="56"/>
      <c r="MM259" s="56"/>
      <c r="MN259" s="56"/>
      <c r="MO259" s="56"/>
      <c r="MP259" s="56"/>
      <c r="MQ259" s="56"/>
      <c r="MR259" s="56"/>
      <c r="MS259" s="56"/>
      <c r="MT259" s="56"/>
      <c r="MU259" s="56"/>
      <c r="MV259" s="56"/>
      <c r="MW259" s="56"/>
      <c r="MX259" s="56"/>
      <c r="MY259" s="56"/>
      <c r="MZ259" s="56"/>
      <c r="NA259" s="56"/>
      <c r="NB259" s="56"/>
      <c r="NC259" s="56"/>
      <c r="ND259" s="56"/>
      <c r="NE259" s="56"/>
      <c r="NF259" s="56"/>
      <c r="NG259" s="56"/>
      <c r="NH259" s="56"/>
      <c r="NI259" s="56"/>
      <c r="NJ259" s="56"/>
      <c r="NK259" s="56"/>
      <c r="NL259" s="56"/>
      <c r="NM259" s="56"/>
      <c r="NN259" s="56"/>
      <c r="NO259" s="56"/>
      <c r="NP259" s="56"/>
      <c r="NQ259" s="56"/>
      <c r="NR259" s="56"/>
      <c r="NS259" s="56"/>
      <c r="NT259" s="56"/>
      <c r="NU259" s="56"/>
      <c r="NV259" s="56"/>
      <c r="NW259" s="56"/>
      <c r="NX259" s="56"/>
      <c r="NY259" s="56"/>
      <c r="NZ259" s="56"/>
      <c r="OA259" s="56"/>
      <c r="OB259" s="56"/>
      <c r="OC259" s="56"/>
      <c r="OD259" s="56"/>
      <c r="OE259" s="56"/>
      <c r="OF259" s="56"/>
      <c r="OG259" s="56"/>
      <c r="OH259" s="56"/>
      <c r="OI259" s="56"/>
      <c r="OJ259" s="56"/>
      <c r="OK259" s="56"/>
      <c r="OL259" s="56"/>
      <c r="OM259" s="56"/>
      <c r="ON259" s="56"/>
      <c r="OO259" s="56"/>
      <c r="OP259" s="56"/>
      <c r="OQ259" s="56"/>
      <c r="OR259" s="56"/>
      <c r="OS259" s="56"/>
      <c r="OT259" s="56"/>
      <c r="OU259" s="56"/>
      <c r="OV259" s="56"/>
      <c r="OW259" s="56"/>
      <c r="OX259" s="56"/>
      <c r="OY259" s="56"/>
      <c r="OZ259" s="56"/>
      <c r="PA259" s="56"/>
      <c r="PB259" s="56"/>
      <c r="PC259" s="56"/>
      <c r="PD259" s="56"/>
      <c r="PE259" s="56"/>
      <c r="PF259" s="56"/>
      <c r="PG259" s="56"/>
      <c r="PH259" s="56"/>
      <c r="PI259" s="56"/>
      <c r="PJ259" s="56"/>
      <c r="PK259" s="56"/>
      <c r="PL259" s="56"/>
      <c r="PM259" s="56"/>
      <c r="PN259" s="56"/>
      <c r="PO259" s="56"/>
      <c r="PP259" s="56"/>
      <c r="PQ259" s="56"/>
      <c r="PR259" s="56"/>
      <c r="PS259" s="56"/>
      <c r="PT259" s="56"/>
      <c r="PU259" s="56"/>
      <c r="PV259" s="56"/>
      <c r="PW259" s="56"/>
      <c r="PX259" s="56"/>
      <c r="PY259" s="56"/>
      <c r="PZ259" s="56"/>
      <c r="QA259" s="56"/>
      <c r="QB259" s="56"/>
      <c r="QC259" s="56"/>
      <c r="QD259" s="56"/>
      <c r="QE259" s="56"/>
      <c r="QF259" s="56"/>
      <c r="QG259" s="56"/>
      <c r="QH259" s="56"/>
      <c r="QI259" s="56"/>
      <c r="QJ259" s="56"/>
      <c r="QK259" s="56"/>
      <c r="QL259" s="56"/>
      <c r="QM259" s="56"/>
      <c r="QN259" s="56"/>
      <c r="QO259" s="56"/>
      <c r="QP259" s="56"/>
      <c r="QQ259" s="56"/>
      <c r="QR259" s="56"/>
      <c r="QS259" s="56"/>
      <c r="QT259" s="56"/>
      <c r="QU259" s="56"/>
      <c r="QV259" s="56"/>
      <c r="QW259" s="56"/>
      <c r="QX259" s="56"/>
      <c r="QY259" s="56"/>
      <c r="QZ259" s="56"/>
      <c r="RA259" s="56"/>
      <c r="RB259" s="56"/>
      <c r="RC259" s="56"/>
      <c r="RD259" s="56"/>
      <c r="RE259" s="56"/>
      <c r="RF259" s="56"/>
      <c r="RG259" s="56"/>
      <c r="RH259" s="56"/>
      <c r="RI259" s="56"/>
      <c r="RJ259" s="56"/>
      <c r="RK259" s="56"/>
      <c r="RL259" s="56"/>
      <c r="RM259" s="56"/>
      <c r="RN259" s="56"/>
      <c r="RO259" s="56"/>
      <c r="RP259" s="56"/>
      <c r="RQ259" s="56"/>
      <c r="RR259" s="56"/>
      <c r="RS259" s="56"/>
      <c r="RT259" s="56"/>
      <c r="RU259" s="56"/>
      <c r="RV259" s="56"/>
      <c r="RW259" s="56"/>
      <c r="RX259" s="56"/>
      <c r="RY259" s="56"/>
      <c r="RZ259" s="56"/>
      <c r="SA259" s="56"/>
      <c r="SB259" s="56"/>
      <c r="SC259" s="56"/>
      <c r="SD259" s="56"/>
      <c r="SE259" s="56"/>
      <c r="SF259" s="56"/>
      <c r="SG259" s="56"/>
      <c r="SH259" s="56"/>
      <c r="SI259" s="56"/>
      <c r="SJ259" s="56"/>
      <c r="SK259" s="56"/>
      <c r="SL259" s="56"/>
      <c r="SM259" s="56"/>
      <c r="SN259" s="56"/>
      <c r="SO259" s="56"/>
      <c r="SP259" s="56"/>
      <c r="SQ259" s="56"/>
      <c r="SR259" s="56"/>
    </row>
    <row r="260" spans="1:512" ht="15" customHeight="1" x14ac:dyDescent="0.7">
      <c r="A260" s="171" t="s">
        <v>344</v>
      </c>
      <c r="B260" s="171" t="s">
        <v>344</v>
      </c>
      <c r="C260" s="171" t="s">
        <v>344</v>
      </c>
      <c r="D260" s="171"/>
      <c r="E260" s="171" t="s">
        <v>344</v>
      </c>
      <c r="F260" s="171"/>
      <c r="G260" s="188" t="s">
        <v>344</v>
      </c>
      <c r="H260" s="71" t="s">
        <v>344</v>
      </c>
      <c r="I260" s="72" t="s">
        <v>344</v>
      </c>
      <c r="J260" s="73" t="s">
        <v>344</v>
      </c>
      <c r="K260" s="189" t="s">
        <v>344</v>
      </c>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c r="BU260" s="54"/>
      <c r="BV260" s="54"/>
      <c r="BW260" s="54"/>
      <c r="BX260" s="54"/>
      <c r="BY260" s="54"/>
      <c r="BZ260" s="54"/>
      <c r="CA260" s="54"/>
      <c r="CB260" s="54"/>
      <c r="CC260" s="54"/>
      <c r="CD260" s="54"/>
      <c r="CE260" s="54"/>
      <c r="CF260" s="54"/>
      <c r="CG260" s="54"/>
      <c r="CH260" s="54"/>
      <c r="CI260" s="54"/>
      <c r="CJ260" s="54"/>
      <c r="CK260" s="54"/>
      <c r="CL260" s="54"/>
      <c r="CM260" s="54"/>
      <c r="CN260" s="54"/>
      <c r="CO260" s="54"/>
      <c r="CP260" s="54"/>
      <c r="CQ260" s="54"/>
      <c r="CR260" s="54"/>
      <c r="CS260" s="54"/>
      <c r="CT260" s="54"/>
      <c r="CU260" s="54"/>
      <c r="CV260" s="54"/>
      <c r="CW260" s="54"/>
      <c r="CX260" s="54"/>
      <c r="CY260" s="54"/>
      <c r="CZ260" s="54"/>
      <c r="DA260" s="54"/>
      <c r="DB260" s="54"/>
      <c r="DC260" s="54"/>
      <c r="DD260" s="54"/>
      <c r="DE260" s="54"/>
      <c r="DF260" s="54"/>
      <c r="DG260" s="54"/>
      <c r="DH260" s="54"/>
      <c r="DI260" s="54"/>
      <c r="DJ260" s="54"/>
      <c r="DK260" s="54"/>
      <c r="DL260" s="54"/>
      <c r="DM260" s="54"/>
      <c r="DN260" s="54"/>
      <c r="DO260" s="54"/>
      <c r="DP260" s="54"/>
      <c r="DQ260" s="54"/>
      <c r="DR260" s="54"/>
      <c r="DS260" s="54"/>
      <c r="DT260" s="54"/>
      <c r="DU260" s="54"/>
      <c r="DV260" s="54"/>
      <c r="DW260" s="54"/>
      <c r="DX260" s="54"/>
      <c r="DY260" s="54"/>
      <c r="DZ260" s="54"/>
      <c r="EA260" s="54"/>
      <c r="EB260" s="54"/>
      <c r="EC260" s="54"/>
      <c r="ED260" s="54"/>
      <c r="EE260" s="54"/>
      <c r="EF260" s="54"/>
      <c r="EG260" s="54"/>
      <c r="EH260" s="54"/>
      <c r="EI260" s="54"/>
      <c r="EJ260" s="54"/>
      <c r="EK260" s="54"/>
      <c r="EL260" s="54"/>
      <c r="EM260" s="54"/>
      <c r="EN260" s="54"/>
      <c r="EO260" s="54"/>
      <c r="EP260" s="54"/>
      <c r="EQ260" s="54"/>
      <c r="ER260" s="54"/>
      <c r="ES260" s="54"/>
      <c r="ET260" s="54"/>
      <c r="EU260" s="54"/>
      <c r="EV260" s="54"/>
      <c r="EW260" s="54"/>
      <c r="EX260" s="54"/>
      <c r="EY260" s="54"/>
      <c r="EZ260" s="54"/>
      <c r="FA260" s="54"/>
      <c r="FB260" s="54"/>
      <c r="FC260" s="54"/>
      <c r="FD260" s="54"/>
      <c r="FE260" s="54"/>
      <c r="FF260" s="54"/>
      <c r="FG260" s="54"/>
      <c r="FH260" s="54"/>
      <c r="FI260" s="54"/>
      <c r="FJ260" s="54"/>
      <c r="FK260" s="54"/>
      <c r="FL260" s="54"/>
      <c r="FM260" s="54"/>
      <c r="FN260" s="54"/>
      <c r="FO260" s="54"/>
      <c r="FP260" s="54"/>
      <c r="FQ260" s="54"/>
      <c r="FR260" s="54"/>
      <c r="FS260" s="54"/>
      <c r="FT260" s="54"/>
      <c r="FU260" s="54"/>
      <c r="FV260" s="54"/>
      <c r="FW260" s="54"/>
      <c r="FX260" s="54"/>
      <c r="FY260" s="54"/>
      <c r="FZ260" s="54"/>
      <c r="GA260" s="54"/>
      <c r="GB260" s="54"/>
      <c r="GC260" s="54"/>
      <c r="GD260" s="54"/>
      <c r="GE260" s="54"/>
      <c r="GF260" s="54"/>
      <c r="GG260" s="54"/>
      <c r="GH260" s="54"/>
      <c r="GI260" s="54"/>
      <c r="GJ260" s="54"/>
      <c r="GK260" s="54"/>
      <c r="GL260" s="54"/>
      <c r="GM260" s="54"/>
      <c r="GN260" s="54"/>
      <c r="GO260" s="54"/>
      <c r="GP260" s="54"/>
      <c r="GQ260" s="54"/>
      <c r="GR260" s="54"/>
      <c r="GS260" s="54"/>
      <c r="GT260" s="54"/>
      <c r="GU260" s="54"/>
      <c r="GV260" s="54"/>
      <c r="GW260" s="54"/>
      <c r="GX260" s="54"/>
      <c r="GY260" s="54"/>
      <c r="GZ260" s="54"/>
      <c r="HA260" s="54"/>
      <c r="HB260" s="54"/>
      <c r="HC260" s="54"/>
      <c r="HD260" s="54"/>
      <c r="HE260" s="54"/>
      <c r="HF260" s="54"/>
      <c r="HG260" s="54"/>
      <c r="HH260" s="54"/>
      <c r="HI260" s="54"/>
      <c r="HJ260" s="54"/>
      <c r="HK260" s="54"/>
      <c r="HL260" s="54"/>
      <c r="HM260" s="54"/>
      <c r="HN260" s="54"/>
      <c r="HO260" s="54"/>
      <c r="HP260" s="54"/>
      <c r="HQ260" s="54"/>
      <c r="HR260" s="54"/>
      <c r="HS260" s="54"/>
      <c r="HT260" s="54"/>
      <c r="HU260" s="54"/>
      <c r="HV260" s="54"/>
      <c r="HW260" s="54"/>
      <c r="HX260" s="54"/>
      <c r="HY260" s="54"/>
      <c r="HZ260" s="54"/>
      <c r="IA260" s="54"/>
      <c r="IB260" s="54"/>
      <c r="IC260" s="54"/>
      <c r="ID260" s="54"/>
      <c r="IE260" s="54"/>
      <c r="IF260" s="54"/>
      <c r="IG260" s="54"/>
      <c r="IH260" s="54"/>
      <c r="II260" s="54"/>
      <c r="IJ260" s="54"/>
      <c r="IK260" s="54"/>
      <c r="IL260" s="54"/>
      <c r="IM260" s="54"/>
      <c r="IN260" s="54"/>
      <c r="IO260" s="54"/>
      <c r="IP260" s="54"/>
      <c r="IQ260" s="54"/>
      <c r="IR260" s="54"/>
      <c r="IS260" s="54"/>
      <c r="IT260" s="54"/>
      <c r="IU260" s="54"/>
      <c r="IV260" s="54"/>
      <c r="IW260" s="54"/>
      <c r="IX260" s="54"/>
      <c r="IY260" s="54"/>
      <c r="IZ260" s="54"/>
      <c r="JA260" s="54"/>
      <c r="JB260" s="54"/>
      <c r="JC260" s="54"/>
      <c r="JD260" s="54"/>
      <c r="JE260" s="54"/>
      <c r="JF260" s="54"/>
      <c r="JG260" s="54"/>
      <c r="JH260" s="54"/>
      <c r="JI260" s="54"/>
      <c r="JJ260" s="54"/>
      <c r="JK260" s="54"/>
      <c r="JL260" s="54"/>
      <c r="JM260" s="54"/>
      <c r="JN260" s="54"/>
      <c r="JO260" s="54"/>
      <c r="JP260" s="54"/>
      <c r="JQ260" s="54"/>
      <c r="JR260" s="54"/>
      <c r="JS260" s="54"/>
      <c r="JT260" s="54"/>
      <c r="JU260" s="54"/>
      <c r="JV260" s="54"/>
      <c r="JW260" s="54"/>
      <c r="JX260" s="54"/>
      <c r="JY260" s="54"/>
      <c r="JZ260" s="54"/>
      <c r="KA260" s="54"/>
      <c r="KB260" s="54"/>
      <c r="KC260" s="54"/>
      <c r="KD260" s="54"/>
      <c r="KE260" s="54"/>
      <c r="KF260" s="54"/>
      <c r="KG260" s="54"/>
      <c r="KH260" s="54"/>
      <c r="KI260" s="54"/>
      <c r="KJ260" s="54"/>
      <c r="KK260" s="54"/>
      <c r="KL260" s="54"/>
      <c r="KM260" s="54"/>
      <c r="KN260" s="54"/>
      <c r="KO260" s="54"/>
      <c r="KP260" s="54"/>
      <c r="KQ260" s="54"/>
      <c r="KR260" s="54"/>
      <c r="KS260" s="54"/>
      <c r="KT260" s="54"/>
      <c r="KU260" s="54"/>
      <c r="KV260" s="54"/>
      <c r="KW260" s="54"/>
      <c r="KX260" s="54"/>
      <c r="KY260" s="54"/>
      <c r="KZ260" s="54"/>
      <c r="LA260" s="54"/>
      <c r="LB260" s="54"/>
      <c r="LC260" s="54"/>
      <c r="LD260" s="54"/>
      <c r="LE260" s="54"/>
      <c r="LF260" s="54"/>
      <c r="LG260" s="54"/>
      <c r="LH260" s="54"/>
      <c r="LI260" s="54"/>
      <c r="LJ260" s="54"/>
      <c r="LK260" s="54"/>
      <c r="LL260" s="54"/>
      <c r="LM260" s="54"/>
      <c r="LN260" s="54"/>
      <c r="LO260" s="54"/>
      <c r="LP260" s="54"/>
      <c r="LQ260" s="54"/>
      <c r="LR260" s="54"/>
      <c r="LS260" s="54"/>
      <c r="LT260" s="54"/>
      <c r="LU260" s="54"/>
      <c r="LV260" s="54"/>
      <c r="LW260" s="54"/>
      <c r="LX260" s="54"/>
      <c r="LY260" s="54"/>
      <c r="LZ260" s="54"/>
      <c r="MA260" s="54"/>
      <c r="MB260" s="54"/>
      <c r="MC260" s="54"/>
      <c r="MD260" s="54"/>
      <c r="ME260" s="54"/>
      <c r="MF260" s="54"/>
      <c r="MG260" s="54"/>
      <c r="MH260" s="54"/>
      <c r="MI260" s="54"/>
      <c r="MJ260" s="54"/>
      <c r="MK260" s="54"/>
      <c r="ML260" s="54"/>
      <c r="MM260" s="54"/>
      <c r="MN260" s="54"/>
      <c r="MO260" s="54"/>
      <c r="MP260" s="54"/>
      <c r="MQ260" s="54"/>
      <c r="MR260" s="54"/>
      <c r="MS260" s="54"/>
      <c r="MT260" s="54"/>
      <c r="MU260" s="54"/>
      <c r="MV260" s="54"/>
      <c r="MW260" s="54"/>
      <c r="MX260" s="54"/>
      <c r="MY260" s="54"/>
      <c r="MZ260" s="54"/>
      <c r="NA260" s="54"/>
      <c r="NB260" s="54"/>
      <c r="NC260" s="54"/>
      <c r="ND260" s="54"/>
      <c r="NE260" s="54"/>
      <c r="NF260" s="54"/>
      <c r="NG260" s="54"/>
      <c r="NH260" s="54"/>
      <c r="NI260" s="54"/>
      <c r="NJ260" s="54"/>
      <c r="NK260" s="54"/>
      <c r="NL260" s="54"/>
      <c r="NM260" s="54"/>
      <c r="NN260" s="54"/>
      <c r="NO260" s="54"/>
      <c r="NP260" s="54"/>
      <c r="NQ260" s="54"/>
      <c r="NR260" s="54"/>
      <c r="NS260" s="54"/>
      <c r="NT260" s="54"/>
      <c r="NU260" s="54"/>
      <c r="NV260" s="54"/>
      <c r="NW260" s="54"/>
      <c r="NX260" s="54"/>
      <c r="NY260" s="54"/>
      <c r="NZ260" s="54"/>
      <c r="OA260" s="54"/>
      <c r="OB260" s="54"/>
      <c r="OC260" s="54"/>
      <c r="OD260" s="54"/>
      <c r="OE260" s="54"/>
      <c r="OF260" s="54"/>
      <c r="OG260" s="54"/>
      <c r="OH260" s="54"/>
      <c r="OI260" s="54"/>
      <c r="OJ260" s="54"/>
      <c r="OK260" s="54"/>
      <c r="OL260" s="54"/>
      <c r="OM260" s="54"/>
      <c r="ON260" s="54"/>
      <c r="OO260" s="54"/>
      <c r="OP260" s="54"/>
      <c r="OQ260" s="54"/>
      <c r="OR260" s="54"/>
      <c r="OS260" s="54"/>
      <c r="OT260" s="54"/>
      <c r="OU260" s="54"/>
      <c r="OV260" s="54"/>
      <c r="OW260" s="54"/>
      <c r="OX260" s="54"/>
      <c r="OY260" s="54"/>
      <c r="OZ260" s="54"/>
      <c r="PA260" s="54"/>
      <c r="PB260" s="54"/>
      <c r="PC260" s="54"/>
      <c r="PD260" s="54"/>
      <c r="PE260" s="54"/>
      <c r="PF260" s="54"/>
      <c r="PG260" s="54"/>
      <c r="PH260" s="54"/>
      <c r="PI260" s="54"/>
      <c r="PJ260" s="54"/>
      <c r="PK260" s="54"/>
      <c r="PL260" s="54"/>
      <c r="PM260" s="54"/>
      <c r="PN260" s="54"/>
      <c r="PO260" s="54"/>
      <c r="PP260" s="54"/>
      <c r="PQ260" s="54"/>
      <c r="PR260" s="54"/>
      <c r="PS260" s="54"/>
      <c r="PT260" s="54"/>
      <c r="PU260" s="54"/>
      <c r="PV260" s="54"/>
      <c r="PW260" s="54"/>
      <c r="PX260" s="54"/>
      <c r="PY260" s="54"/>
      <c r="PZ260" s="54"/>
      <c r="QA260" s="54"/>
      <c r="QB260" s="54"/>
      <c r="QC260" s="54"/>
      <c r="QD260" s="54"/>
      <c r="QE260" s="54"/>
      <c r="QF260" s="54"/>
      <c r="QG260" s="54"/>
      <c r="QH260" s="54"/>
      <c r="QI260" s="54"/>
      <c r="QJ260" s="54"/>
      <c r="QK260" s="54"/>
      <c r="QL260" s="54"/>
      <c r="QM260" s="54"/>
      <c r="QN260" s="54"/>
      <c r="QO260" s="54"/>
      <c r="QP260" s="54"/>
      <c r="QQ260" s="54"/>
      <c r="QR260" s="54"/>
      <c r="QS260" s="54"/>
      <c r="QT260" s="54"/>
      <c r="QU260" s="54"/>
      <c r="QV260" s="54"/>
      <c r="QW260" s="54"/>
      <c r="QX260" s="54"/>
      <c r="QY260" s="54"/>
      <c r="QZ260" s="54"/>
      <c r="RA260" s="54"/>
      <c r="RB260" s="54"/>
      <c r="RC260" s="54"/>
      <c r="RD260" s="54"/>
      <c r="RE260" s="54"/>
      <c r="RF260" s="54"/>
      <c r="RG260" s="54"/>
      <c r="RH260" s="54"/>
      <c r="RI260" s="54"/>
      <c r="RJ260" s="54"/>
      <c r="RK260" s="54"/>
      <c r="RL260" s="54"/>
      <c r="RM260" s="54"/>
      <c r="RN260" s="54"/>
      <c r="RO260" s="54"/>
      <c r="RP260" s="54"/>
      <c r="RQ260" s="54"/>
      <c r="RR260" s="54"/>
      <c r="RS260" s="54"/>
      <c r="RT260" s="54"/>
      <c r="RU260" s="54"/>
      <c r="RV260" s="54"/>
      <c r="RW260" s="54"/>
      <c r="RX260" s="54"/>
      <c r="RY260" s="54"/>
      <c r="RZ260" s="54"/>
      <c r="SA260" s="54"/>
      <c r="SB260" s="54"/>
      <c r="SC260" s="54"/>
      <c r="SD260" s="54"/>
      <c r="SE260" s="54"/>
      <c r="SF260" s="54"/>
      <c r="SG260" s="54"/>
      <c r="SH260" s="54"/>
      <c r="SI260" s="54"/>
      <c r="SJ260" s="54"/>
      <c r="SK260" s="54"/>
      <c r="SL260" s="54"/>
      <c r="SM260" s="54"/>
      <c r="SN260" s="54"/>
      <c r="SO260" s="54"/>
      <c r="SP260" s="54"/>
      <c r="SQ260" s="54"/>
      <c r="SR260" s="54"/>
    </row>
    <row r="261" spans="1:512" ht="15" customHeight="1" x14ac:dyDescent="0.7">
      <c r="A261" s="172"/>
      <c r="B261" s="172"/>
      <c r="C261" s="172"/>
      <c r="D261" s="172"/>
      <c r="E261" s="172"/>
      <c r="F261" s="172"/>
      <c r="G261" s="172"/>
      <c r="I261" s="72" t="s">
        <v>344</v>
      </c>
      <c r="J261" s="73" t="s">
        <v>344</v>
      </c>
      <c r="K261" s="190"/>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54"/>
      <c r="CE261" s="54"/>
      <c r="CF261" s="54"/>
      <c r="CG261" s="54"/>
      <c r="CH261" s="54"/>
      <c r="CI261" s="54"/>
      <c r="CJ261" s="54"/>
      <c r="CK261" s="54"/>
      <c r="CL261" s="54"/>
      <c r="CM261" s="54"/>
      <c r="CN261" s="54"/>
      <c r="CO261" s="54"/>
      <c r="CP261" s="54"/>
      <c r="CQ261" s="54"/>
      <c r="CR261" s="54"/>
      <c r="CS261" s="54"/>
      <c r="CT261" s="54"/>
      <c r="CU261" s="54"/>
      <c r="CV261" s="54"/>
      <c r="CW261" s="54"/>
      <c r="CX261" s="54"/>
      <c r="CY261" s="54"/>
      <c r="CZ261" s="54"/>
      <c r="DA261" s="54"/>
      <c r="DB261" s="54"/>
      <c r="DC261" s="54"/>
      <c r="DD261" s="54"/>
      <c r="DE261" s="54"/>
      <c r="DF261" s="54"/>
      <c r="DG261" s="54"/>
      <c r="DH261" s="54"/>
      <c r="DI261" s="54"/>
      <c r="DJ261" s="54"/>
      <c r="DK261" s="54"/>
      <c r="DL261" s="54"/>
      <c r="DM261" s="54"/>
      <c r="DN261" s="54"/>
      <c r="DO261" s="54"/>
      <c r="DP261" s="54"/>
      <c r="DQ261" s="54"/>
      <c r="DR261" s="54"/>
      <c r="DS261" s="54"/>
      <c r="DT261" s="54"/>
      <c r="DU261" s="54"/>
      <c r="DV261" s="54"/>
      <c r="DW261" s="54"/>
      <c r="DX261" s="54"/>
      <c r="DY261" s="54"/>
      <c r="DZ261" s="54"/>
      <c r="EA261" s="54"/>
      <c r="EB261" s="54"/>
      <c r="EC261" s="54"/>
      <c r="ED261" s="54"/>
      <c r="EE261" s="54"/>
      <c r="EF261" s="54"/>
      <c r="EG261" s="54"/>
      <c r="EH261" s="54"/>
      <c r="EI261" s="54"/>
      <c r="EJ261" s="54"/>
      <c r="EK261" s="54"/>
      <c r="EL261" s="54"/>
      <c r="EM261" s="54"/>
      <c r="EN261" s="54"/>
      <c r="EO261" s="54"/>
      <c r="EP261" s="54"/>
      <c r="EQ261" s="54"/>
      <c r="ER261" s="54"/>
      <c r="ES261" s="54"/>
      <c r="ET261" s="54"/>
      <c r="EU261" s="54"/>
      <c r="EV261" s="54"/>
      <c r="EW261" s="54"/>
      <c r="EX261" s="54"/>
      <c r="EY261" s="54"/>
      <c r="EZ261" s="54"/>
      <c r="FA261" s="54"/>
      <c r="FB261" s="54"/>
      <c r="FC261" s="54"/>
      <c r="FD261" s="54"/>
      <c r="FE261" s="54"/>
      <c r="FF261" s="54"/>
      <c r="FG261" s="54"/>
      <c r="FH261" s="54"/>
      <c r="FI261" s="54"/>
      <c r="FJ261" s="54"/>
      <c r="FK261" s="54"/>
      <c r="FL261" s="54"/>
      <c r="FM261" s="54"/>
      <c r="FN261" s="54"/>
      <c r="FO261" s="54"/>
      <c r="FP261" s="54"/>
      <c r="FQ261" s="54"/>
      <c r="FR261" s="54"/>
      <c r="FS261" s="54"/>
      <c r="FT261" s="54"/>
      <c r="FU261" s="54"/>
      <c r="FV261" s="54"/>
      <c r="FW261" s="54"/>
      <c r="FX261" s="54"/>
      <c r="FY261" s="54"/>
      <c r="FZ261" s="54"/>
      <c r="GA261" s="54"/>
      <c r="GB261" s="54"/>
      <c r="GC261" s="54"/>
      <c r="GD261" s="54"/>
      <c r="GE261" s="54"/>
      <c r="GF261" s="54"/>
      <c r="GG261" s="54"/>
      <c r="GH261" s="54"/>
      <c r="GI261" s="54"/>
      <c r="GJ261" s="54"/>
      <c r="GK261" s="54"/>
      <c r="GL261" s="54"/>
      <c r="GM261" s="54"/>
      <c r="GN261" s="54"/>
      <c r="GO261" s="54"/>
      <c r="GP261" s="54"/>
      <c r="GQ261" s="54"/>
      <c r="GR261" s="54"/>
      <c r="GS261" s="54"/>
      <c r="GT261" s="54"/>
      <c r="GU261" s="54"/>
      <c r="GV261" s="54"/>
      <c r="GW261" s="54"/>
      <c r="GX261" s="54"/>
      <c r="GY261" s="54"/>
      <c r="GZ261" s="54"/>
      <c r="HA261" s="54"/>
      <c r="HB261" s="54"/>
      <c r="HC261" s="54"/>
      <c r="HD261" s="54"/>
      <c r="HE261" s="54"/>
      <c r="HF261" s="54"/>
      <c r="HG261" s="54"/>
      <c r="HH261" s="54"/>
      <c r="HI261" s="54"/>
      <c r="HJ261" s="54"/>
      <c r="HK261" s="54"/>
      <c r="HL261" s="54"/>
      <c r="HM261" s="54"/>
      <c r="HN261" s="54"/>
      <c r="HO261" s="54"/>
      <c r="HP261" s="54"/>
      <c r="HQ261" s="54"/>
      <c r="HR261" s="54"/>
      <c r="HS261" s="54"/>
      <c r="HT261" s="54"/>
      <c r="HU261" s="54"/>
      <c r="HV261" s="54"/>
      <c r="HW261" s="54"/>
      <c r="HX261" s="54"/>
      <c r="HY261" s="54"/>
      <c r="HZ261" s="54"/>
      <c r="IA261" s="54"/>
      <c r="IB261" s="54"/>
      <c r="IC261" s="54"/>
      <c r="ID261" s="54"/>
      <c r="IE261" s="54"/>
      <c r="IF261" s="54"/>
      <c r="IG261" s="54"/>
      <c r="IH261" s="54"/>
      <c r="II261" s="54"/>
      <c r="IJ261" s="54"/>
      <c r="IK261" s="54"/>
      <c r="IL261" s="54"/>
      <c r="IM261" s="54"/>
      <c r="IN261" s="54"/>
      <c r="IO261" s="54"/>
      <c r="IP261" s="54"/>
      <c r="IQ261" s="54"/>
      <c r="IR261" s="54"/>
      <c r="IS261" s="54"/>
      <c r="IT261" s="54"/>
      <c r="IU261" s="54"/>
      <c r="IV261" s="54"/>
      <c r="IW261" s="54"/>
      <c r="IX261" s="54"/>
      <c r="IY261" s="54"/>
      <c r="IZ261" s="54"/>
      <c r="JA261" s="54"/>
      <c r="JB261" s="54"/>
      <c r="JC261" s="54"/>
      <c r="JD261" s="54"/>
      <c r="JE261" s="54"/>
      <c r="JF261" s="54"/>
      <c r="JG261" s="54"/>
      <c r="JH261" s="54"/>
      <c r="JI261" s="54"/>
      <c r="JJ261" s="54"/>
      <c r="JK261" s="54"/>
      <c r="JL261" s="54"/>
      <c r="JM261" s="54"/>
      <c r="JN261" s="54"/>
      <c r="JO261" s="54"/>
      <c r="JP261" s="54"/>
      <c r="JQ261" s="54"/>
      <c r="JR261" s="54"/>
      <c r="JS261" s="54"/>
      <c r="JT261" s="54"/>
      <c r="JU261" s="54"/>
      <c r="JV261" s="54"/>
      <c r="JW261" s="54"/>
      <c r="JX261" s="54"/>
      <c r="JY261" s="54"/>
      <c r="JZ261" s="54"/>
      <c r="KA261" s="54"/>
      <c r="KB261" s="54"/>
      <c r="KC261" s="54"/>
      <c r="KD261" s="54"/>
      <c r="KE261" s="54"/>
      <c r="KF261" s="54"/>
      <c r="KG261" s="54"/>
      <c r="KH261" s="54"/>
      <c r="KI261" s="54"/>
      <c r="KJ261" s="54"/>
      <c r="KK261" s="54"/>
      <c r="KL261" s="54"/>
      <c r="KM261" s="54"/>
      <c r="KN261" s="54"/>
      <c r="KO261" s="54"/>
      <c r="KP261" s="54"/>
      <c r="KQ261" s="54"/>
      <c r="KR261" s="54"/>
      <c r="KS261" s="54"/>
      <c r="KT261" s="54"/>
      <c r="KU261" s="54"/>
      <c r="KV261" s="54"/>
      <c r="KW261" s="54"/>
      <c r="KX261" s="54"/>
      <c r="KY261" s="54"/>
      <c r="KZ261" s="54"/>
      <c r="LA261" s="54"/>
      <c r="LB261" s="54"/>
      <c r="LC261" s="54"/>
      <c r="LD261" s="54"/>
      <c r="LE261" s="54"/>
      <c r="LF261" s="54"/>
      <c r="LG261" s="54"/>
      <c r="LH261" s="54"/>
      <c r="LI261" s="54"/>
      <c r="LJ261" s="54"/>
      <c r="LK261" s="54"/>
      <c r="LL261" s="54"/>
      <c r="LM261" s="54"/>
      <c r="LN261" s="54"/>
      <c r="LO261" s="54"/>
      <c r="LP261" s="54"/>
      <c r="LQ261" s="54"/>
      <c r="LR261" s="54"/>
      <c r="LS261" s="54"/>
      <c r="LT261" s="54"/>
      <c r="LU261" s="54"/>
      <c r="LV261" s="54"/>
      <c r="LW261" s="54"/>
      <c r="LX261" s="54"/>
      <c r="LY261" s="54"/>
      <c r="LZ261" s="54"/>
      <c r="MA261" s="54"/>
      <c r="MB261" s="54"/>
      <c r="MC261" s="54"/>
      <c r="MD261" s="54"/>
      <c r="ME261" s="54"/>
      <c r="MF261" s="54"/>
      <c r="MG261" s="54"/>
      <c r="MH261" s="54"/>
      <c r="MI261" s="54"/>
      <c r="MJ261" s="54"/>
      <c r="MK261" s="54"/>
      <c r="ML261" s="54"/>
      <c r="MM261" s="54"/>
      <c r="MN261" s="54"/>
      <c r="MO261" s="54"/>
      <c r="MP261" s="54"/>
      <c r="MQ261" s="54"/>
      <c r="MR261" s="54"/>
      <c r="MS261" s="54"/>
      <c r="MT261" s="54"/>
      <c r="MU261" s="54"/>
      <c r="MV261" s="54"/>
      <c r="MW261" s="54"/>
      <c r="MX261" s="54"/>
      <c r="MY261" s="54"/>
      <c r="MZ261" s="54"/>
      <c r="NA261" s="54"/>
      <c r="NB261" s="54"/>
      <c r="NC261" s="54"/>
      <c r="ND261" s="54"/>
      <c r="NE261" s="54"/>
      <c r="NF261" s="54"/>
      <c r="NG261" s="54"/>
      <c r="NH261" s="54"/>
      <c r="NI261" s="54"/>
      <c r="NJ261" s="54"/>
      <c r="NK261" s="54"/>
      <c r="NL261" s="54"/>
      <c r="NM261" s="54"/>
      <c r="NN261" s="54"/>
      <c r="NO261" s="54"/>
      <c r="NP261" s="54"/>
      <c r="NQ261" s="54"/>
      <c r="NR261" s="54"/>
      <c r="NS261" s="54"/>
      <c r="NT261" s="54"/>
      <c r="NU261" s="54"/>
      <c r="NV261" s="54"/>
      <c r="NW261" s="54"/>
      <c r="NX261" s="54"/>
      <c r="NY261" s="54"/>
      <c r="NZ261" s="54"/>
      <c r="OA261" s="54"/>
      <c r="OB261" s="54"/>
      <c r="OC261" s="54"/>
      <c r="OD261" s="54"/>
      <c r="OE261" s="54"/>
      <c r="OF261" s="54"/>
      <c r="OG261" s="54"/>
      <c r="OH261" s="54"/>
      <c r="OI261" s="54"/>
      <c r="OJ261" s="54"/>
      <c r="OK261" s="54"/>
      <c r="OL261" s="54"/>
      <c r="OM261" s="54"/>
      <c r="ON261" s="54"/>
      <c r="OO261" s="54"/>
      <c r="OP261" s="54"/>
      <c r="OQ261" s="54"/>
      <c r="OR261" s="54"/>
      <c r="OS261" s="54"/>
      <c r="OT261" s="54"/>
      <c r="OU261" s="54"/>
      <c r="OV261" s="54"/>
      <c r="OW261" s="54"/>
      <c r="OX261" s="54"/>
      <c r="OY261" s="54"/>
      <c r="OZ261" s="54"/>
      <c r="PA261" s="54"/>
      <c r="PB261" s="54"/>
      <c r="PC261" s="54"/>
      <c r="PD261" s="54"/>
      <c r="PE261" s="54"/>
      <c r="PF261" s="54"/>
      <c r="PG261" s="54"/>
      <c r="PH261" s="54"/>
      <c r="PI261" s="54"/>
      <c r="PJ261" s="54"/>
      <c r="PK261" s="54"/>
      <c r="PL261" s="54"/>
      <c r="PM261" s="54"/>
      <c r="PN261" s="54"/>
      <c r="PO261" s="54"/>
      <c r="PP261" s="54"/>
      <c r="PQ261" s="54"/>
      <c r="PR261" s="54"/>
      <c r="PS261" s="54"/>
      <c r="PT261" s="54"/>
      <c r="PU261" s="54"/>
      <c r="PV261" s="54"/>
      <c r="PW261" s="54"/>
      <c r="PX261" s="54"/>
      <c r="PY261" s="54"/>
      <c r="PZ261" s="54"/>
      <c r="QA261" s="54"/>
      <c r="QB261" s="54"/>
      <c r="QC261" s="54"/>
      <c r="QD261" s="54"/>
      <c r="QE261" s="54"/>
      <c r="QF261" s="54"/>
      <c r="QG261" s="54"/>
      <c r="QH261" s="54"/>
      <c r="QI261" s="54"/>
      <c r="QJ261" s="54"/>
      <c r="QK261" s="54"/>
      <c r="QL261" s="54"/>
      <c r="QM261" s="54"/>
      <c r="QN261" s="54"/>
      <c r="QO261" s="54"/>
      <c r="QP261" s="54"/>
      <c r="QQ261" s="54"/>
      <c r="QR261" s="54"/>
      <c r="QS261" s="54"/>
      <c r="QT261" s="54"/>
      <c r="QU261" s="54"/>
      <c r="QV261" s="54"/>
      <c r="QW261" s="54"/>
      <c r="QX261" s="54"/>
      <c r="QY261" s="54"/>
      <c r="QZ261" s="54"/>
      <c r="RA261" s="54"/>
      <c r="RB261" s="54"/>
      <c r="RC261" s="54"/>
      <c r="RD261" s="54"/>
      <c r="RE261" s="54"/>
      <c r="RF261" s="54"/>
      <c r="RG261" s="54"/>
      <c r="RH261" s="54"/>
      <c r="RI261" s="54"/>
      <c r="RJ261" s="54"/>
      <c r="RK261" s="54"/>
      <c r="RL261" s="54"/>
      <c r="RM261" s="54"/>
      <c r="RN261" s="54"/>
      <c r="RO261" s="54"/>
      <c r="RP261" s="54"/>
      <c r="RQ261" s="54"/>
      <c r="RR261" s="54"/>
      <c r="RS261" s="54"/>
      <c r="RT261" s="54"/>
      <c r="RU261" s="54"/>
      <c r="RV261" s="54"/>
      <c r="RW261" s="54"/>
      <c r="RX261" s="54"/>
      <c r="RY261" s="54"/>
      <c r="RZ261" s="54"/>
      <c r="SA261" s="54"/>
      <c r="SB261" s="54"/>
      <c r="SC261" s="54"/>
      <c r="SD261" s="54"/>
      <c r="SE261" s="54"/>
      <c r="SF261" s="54"/>
      <c r="SG261" s="54"/>
      <c r="SH261" s="54"/>
      <c r="SI261" s="54"/>
      <c r="SJ261" s="54"/>
      <c r="SK261" s="54"/>
      <c r="SL261" s="54"/>
      <c r="SM261" s="54"/>
      <c r="SN261" s="54"/>
      <c r="SO261" s="54"/>
      <c r="SP261" s="54"/>
      <c r="SQ261" s="54"/>
      <c r="SR261" s="54"/>
    </row>
    <row r="262" spans="1:512" s="55" customFormat="1" ht="15" customHeight="1" x14ac:dyDescent="0.7">
      <c r="A262" s="173"/>
      <c r="B262" s="173"/>
      <c r="C262" s="173"/>
      <c r="D262" s="173"/>
      <c r="E262" s="173"/>
      <c r="F262" s="173"/>
      <c r="G262" s="173"/>
      <c r="H262" s="74"/>
      <c r="I262" s="75"/>
      <c r="J262" s="76"/>
      <c r="K262" s="191"/>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c r="IX262" s="56"/>
      <c r="IY262" s="56"/>
      <c r="IZ262" s="56"/>
      <c r="JA262" s="56"/>
      <c r="JB262" s="56"/>
      <c r="JC262" s="56"/>
      <c r="JD262" s="56"/>
      <c r="JE262" s="56"/>
      <c r="JF262" s="56"/>
      <c r="JG262" s="56"/>
      <c r="JH262" s="56"/>
      <c r="JI262" s="56"/>
      <c r="JJ262" s="56"/>
      <c r="JK262" s="56"/>
      <c r="JL262" s="56"/>
      <c r="JM262" s="56"/>
      <c r="JN262" s="56"/>
      <c r="JO262" s="56"/>
      <c r="JP262" s="56"/>
      <c r="JQ262" s="56"/>
      <c r="JR262" s="56"/>
      <c r="JS262" s="56"/>
      <c r="JT262" s="56"/>
      <c r="JU262" s="56"/>
      <c r="JV262" s="56"/>
      <c r="JW262" s="56"/>
      <c r="JX262" s="56"/>
      <c r="JY262" s="56"/>
      <c r="JZ262" s="56"/>
      <c r="KA262" s="56"/>
      <c r="KB262" s="56"/>
      <c r="KC262" s="56"/>
      <c r="KD262" s="56"/>
      <c r="KE262" s="56"/>
      <c r="KF262" s="56"/>
      <c r="KG262" s="56"/>
      <c r="KH262" s="56"/>
      <c r="KI262" s="56"/>
      <c r="KJ262" s="56"/>
      <c r="KK262" s="56"/>
      <c r="KL262" s="56"/>
      <c r="KM262" s="56"/>
      <c r="KN262" s="56"/>
      <c r="KO262" s="56"/>
      <c r="KP262" s="56"/>
      <c r="KQ262" s="56"/>
      <c r="KR262" s="56"/>
      <c r="KS262" s="56"/>
      <c r="KT262" s="56"/>
      <c r="KU262" s="56"/>
      <c r="KV262" s="56"/>
      <c r="KW262" s="56"/>
      <c r="KX262" s="56"/>
      <c r="KY262" s="56"/>
      <c r="KZ262" s="56"/>
      <c r="LA262" s="56"/>
      <c r="LB262" s="56"/>
      <c r="LC262" s="56"/>
      <c r="LD262" s="56"/>
      <c r="LE262" s="56"/>
      <c r="LF262" s="56"/>
      <c r="LG262" s="56"/>
      <c r="LH262" s="56"/>
      <c r="LI262" s="56"/>
      <c r="LJ262" s="56"/>
      <c r="LK262" s="56"/>
      <c r="LL262" s="56"/>
      <c r="LM262" s="56"/>
      <c r="LN262" s="56"/>
      <c r="LO262" s="56"/>
      <c r="LP262" s="56"/>
      <c r="LQ262" s="56"/>
      <c r="LR262" s="56"/>
      <c r="LS262" s="56"/>
      <c r="LT262" s="56"/>
      <c r="LU262" s="56"/>
      <c r="LV262" s="56"/>
      <c r="LW262" s="56"/>
      <c r="LX262" s="56"/>
      <c r="LY262" s="56"/>
      <c r="LZ262" s="56"/>
      <c r="MA262" s="56"/>
      <c r="MB262" s="56"/>
      <c r="MC262" s="56"/>
      <c r="MD262" s="56"/>
      <c r="ME262" s="56"/>
      <c r="MF262" s="56"/>
      <c r="MG262" s="56"/>
      <c r="MH262" s="56"/>
      <c r="MI262" s="56"/>
      <c r="MJ262" s="56"/>
      <c r="MK262" s="56"/>
      <c r="ML262" s="56"/>
      <c r="MM262" s="56"/>
      <c r="MN262" s="56"/>
      <c r="MO262" s="56"/>
      <c r="MP262" s="56"/>
      <c r="MQ262" s="56"/>
      <c r="MR262" s="56"/>
      <c r="MS262" s="56"/>
      <c r="MT262" s="56"/>
      <c r="MU262" s="56"/>
      <c r="MV262" s="56"/>
      <c r="MW262" s="56"/>
      <c r="MX262" s="56"/>
      <c r="MY262" s="56"/>
      <c r="MZ262" s="56"/>
      <c r="NA262" s="56"/>
      <c r="NB262" s="56"/>
      <c r="NC262" s="56"/>
      <c r="ND262" s="56"/>
      <c r="NE262" s="56"/>
      <c r="NF262" s="56"/>
      <c r="NG262" s="56"/>
      <c r="NH262" s="56"/>
      <c r="NI262" s="56"/>
      <c r="NJ262" s="56"/>
      <c r="NK262" s="56"/>
      <c r="NL262" s="56"/>
      <c r="NM262" s="56"/>
      <c r="NN262" s="56"/>
      <c r="NO262" s="56"/>
      <c r="NP262" s="56"/>
      <c r="NQ262" s="56"/>
      <c r="NR262" s="56"/>
      <c r="NS262" s="56"/>
      <c r="NT262" s="56"/>
      <c r="NU262" s="56"/>
      <c r="NV262" s="56"/>
      <c r="NW262" s="56"/>
      <c r="NX262" s="56"/>
      <c r="NY262" s="56"/>
      <c r="NZ262" s="56"/>
      <c r="OA262" s="56"/>
      <c r="OB262" s="56"/>
      <c r="OC262" s="56"/>
      <c r="OD262" s="56"/>
      <c r="OE262" s="56"/>
      <c r="OF262" s="56"/>
      <c r="OG262" s="56"/>
      <c r="OH262" s="56"/>
      <c r="OI262" s="56"/>
      <c r="OJ262" s="56"/>
      <c r="OK262" s="56"/>
      <c r="OL262" s="56"/>
      <c r="OM262" s="56"/>
      <c r="ON262" s="56"/>
      <c r="OO262" s="56"/>
      <c r="OP262" s="56"/>
      <c r="OQ262" s="56"/>
      <c r="OR262" s="56"/>
      <c r="OS262" s="56"/>
      <c r="OT262" s="56"/>
      <c r="OU262" s="56"/>
      <c r="OV262" s="56"/>
      <c r="OW262" s="56"/>
      <c r="OX262" s="56"/>
      <c r="OY262" s="56"/>
      <c r="OZ262" s="56"/>
      <c r="PA262" s="56"/>
      <c r="PB262" s="56"/>
      <c r="PC262" s="56"/>
      <c r="PD262" s="56"/>
      <c r="PE262" s="56"/>
      <c r="PF262" s="56"/>
      <c r="PG262" s="56"/>
      <c r="PH262" s="56"/>
      <c r="PI262" s="56"/>
      <c r="PJ262" s="56"/>
      <c r="PK262" s="56"/>
      <c r="PL262" s="56"/>
      <c r="PM262" s="56"/>
      <c r="PN262" s="56"/>
      <c r="PO262" s="56"/>
      <c r="PP262" s="56"/>
      <c r="PQ262" s="56"/>
      <c r="PR262" s="56"/>
      <c r="PS262" s="56"/>
      <c r="PT262" s="56"/>
      <c r="PU262" s="56"/>
      <c r="PV262" s="56"/>
      <c r="PW262" s="56"/>
      <c r="PX262" s="56"/>
      <c r="PY262" s="56"/>
      <c r="PZ262" s="56"/>
      <c r="QA262" s="56"/>
      <c r="QB262" s="56"/>
      <c r="QC262" s="56"/>
      <c r="QD262" s="56"/>
      <c r="QE262" s="56"/>
      <c r="QF262" s="56"/>
      <c r="QG262" s="56"/>
      <c r="QH262" s="56"/>
      <c r="QI262" s="56"/>
      <c r="QJ262" s="56"/>
      <c r="QK262" s="56"/>
      <c r="QL262" s="56"/>
      <c r="QM262" s="56"/>
      <c r="QN262" s="56"/>
      <c r="QO262" s="56"/>
      <c r="QP262" s="56"/>
      <c r="QQ262" s="56"/>
      <c r="QR262" s="56"/>
      <c r="QS262" s="56"/>
      <c r="QT262" s="56"/>
      <c r="QU262" s="56"/>
      <c r="QV262" s="56"/>
      <c r="QW262" s="56"/>
      <c r="QX262" s="56"/>
      <c r="QY262" s="56"/>
      <c r="QZ262" s="56"/>
      <c r="RA262" s="56"/>
      <c r="RB262" s="56"/>
      <c r="RC262" s="56"/>
      <c r="RD262" s="56"/>
      <c r="RE262" s="56"/>
      <c r="RF262" s="56"/>
      <c r="RG262" s="56"/>
      <c r="RH262" s="56"/>
      <c r="RI262" s="56"/>
      <c r="RJ262" s="56"/>
      <c r="RK262" s="56"/>
      <c r="RL262" s="56"/>
      <c r="RM262" s="56"/>
      <c r="RN262" s="56"/>
      <c r="RO262" s="56"/>
      <c r="RP262" s="56"/>
      <c r="RQ262" s="56"/>
      <c r="RR262" s="56"/>
      <c r="RS262" s="56"/>
      <c r="RT262" s="56"/>
      <c r="RU262" s="56"/>
      <c r="RV262" s="56"/>
      <c r="RW262" s="56"/>
      <c r="RX262" s="56"/>
      <c r="RY262" s="56"/>
      <c r="RZ262" s="56"/>
      <c r="SA262" s="56"/>
      <c r="SB262" s="56"/>
      <c r="SC262" s="56"/>
      <c r="SD262" s="56"/>
      <c r="SE262" s="56"/>
      <c r="SF262" s="56"/>
      <c r="SG262" s="56"/>
      <c r="SH262" s="56"/>
      <c r="SI262" s="56"/>
      <c r="SJ262" s="56"/>
      <c r="SK262" s="56"/>
      <c r="SL262" s="56"/>
      <c r="SM262" s="56"/>
      <c r="SN262" s="56"/>
      <c r="SO262" s="56"/>
      <c r="SP262" s="56"/>
      <c r="SQ262" s="56"/>
      <c r="SR262" s="56"/>
    </row>
    <row r="263" spans="1:512" ht="15" customHeight="1" x14ac:dyDescent="0.7">
      <c r="A263" s="171" t="s">
        <v>344</v>
      </c>
      <c r="B263" s="171" t="s">
        <v>344</v>
      </c>
      <c r="C263" s="171" t="s">
        <v>344</v>
      </c>
      <c r="D263" s="171"/>
      <c r="E263" s="171" t="s">
        <v>344</v>
      </c>
      <c r="F263" s="171"/>
      <c r="G263" s="188" t="s">
        <v>344</v>
      </c>
      <c r="H263" s="71" t="s">
        <v>344</v>
      </c>
      <c r="I263" s="72" t="s">
        <v>344</v>
      </c>
      <c r="J263" s="73" t="s">
        <v>344</v>
      </c>
      <c r="K263" s="189" t="s">
        <v>344</v>
      </c>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c r="BU263" s="54"/>
      <c r="BV263" s="54"/>
      <c r="BW263" s="54"/>
      <c r="BX263" s="54"/>
      <c r="BY263" s="54"/>
      <c r="BZ263" s="54"/>
      <c r="CA263" s="54"/>
      <c r="CB263" s="54"/>
      <c r="CC263" s="54"/>
      <c r="CD263" s="54"/>
      <c r="CE263" s="54"/>
      <c r="CF263" s="54"/>
      <c r="CG263" s="54"/>
      <c r="CH263" s="54"/>
      <c r="CI263" s="54"/>
      <c r="CJ263" s="54"/>
      <c r="CK263" s="54"/>
      <c r="CL263" s="54"/>
      <c r="CM263" s="54"/>
      <c r="CN263" s="54"/>
      <c r="CO263" s="54"/>
      <c r="CP263" s="54"/>
      <c r="CQ263" s="54"/>
      <c r="CR263" s="54"/>
      <c r="CS263" s="54"/>
      <c r="CT263" s="54"/>
      <c r="CU263" s="54"/>
      <c r="CV263" s="54"/>
      <c r="CW263" s="54"/>
      <c r="CX263" s="54"/>
      <c r="CY263" s="54"/>
      <c r="CZ263" s="54"/>
      <c r="DA263" s="54"/>
      <c r="DB263" s="54"/>
      <c r="DC263" s="54"/>
      <c r="DD263" s="54"/>
      <c r="DE263" s="54"/>
      <c r="DF263" s="54"/>
      <c r="DG263" s="54"/>
      <c r="DH263" s="54"/>
      <c r="DI263" s="54"/>
      <c r="DJ263" s="54"/>
      <c r="DK263" s="54"/>
      <c r="DL263" s="54"/>
      <c r="DM263" s="54"/>
      <c r="DN263" s="54"/>
      <c r="DO263" s="54"/>
      <c r="DP263" s="54"/>
      <c r="DQ263" s="54"/>
      <c r="DR263" s="54"/>
      <c r="DS263" s="54"/>
      <c r="DT263" s="54"/>
      <c r="DU263" s="54"/>
      <c r="DV263" s="54"/>
      <c r="DW263" s="54"/>
      <c r="DX263" s="54"/>
      <c r="DY263" s="54"/>
      <c r="DZ263" s="54"/>
      <c r="EA263" s="54"/>
      <c r="EB263" s="54"/>
      <c r="EC263" s="54"/>
      <c r="ED263" s="54"/>
      <c r="EE263" s="54"/>
      <c r="EF263" s="54"/>
      <c r="EG263" s="54"/>
      <c r="EH263" s="54"/>
      <c r="EI263" s="54"/>
      <c r="EJ263" s="54"/>
      <c r="EK263" s="54"/>
      <c r="EL263" s="54"/>
      <c r="EM263" s="54"/>
      <c r="EN263" s="54"/>
      <c r="EO263" s="54"/>
      <c r="EP263" s="54"/>
      <c r="EQ263" s="54"/>
      <c r="ER263" s="54"/>
      <c r="ES263" s="54"/>
      <c r="ET263" s="54"/>
      <c r="EU263" s="54"/>
      <c r="EV263" s="54"/>
      <c r="EW263" s="54"/>
      <c r="EX263" s="54"/>
      <c r="EY263" s="54"/>
      <c r="EZ263" s="54"/>
      <c r="FA263" s="54"/>
      <c r="FB263" s="54"/>
      <c r="FC263" s="54"/>
      <c r="FD263" s="54"/>
      <c r="FE263" s="54"/>
      <c r="FF263" s="54"/>
      <c r="FG263" s="54"/>
      <c r="FH263" s="54"/>
      <c r="FI263" s="54"/>
      <c r="FJ263" s="54"/>
      <c r="FK263" s="54"/>
      <c r="FL263" s="54"/>
      <c r="FM263" s="54"/>
      <c r="FN263" s="54"/>
      <c r="FO263" s="54"/>
      <c r="FP263" s="54"/>
      <c r="FQ263" s="54"/>
      <c r="FR263" s="54"/>
      <c r="FS263" s="54"/>
      <c r="FT263" s="54"/>
      <c r="FU263" s="54"/>
      <c r="FV263" s="54"/>
      <c r="FW263" s="54"/>
      <c r="FX263" s="54"/>
      <c r="FY263" s="54"/>
      <c r="FZ263" s="54"/>
      <c r="GA263" s="54"/>
      <c r="GB263" s="54"/>
      <c r="GC263" s="54"/>
      <c r="GD263" s="54"/>
      <c r="GE263" s="54"/>
      <c r="GF263" s="54"/>
      <c r="GG263" s="54"/>
      <c r="GH263" s="54"/>
      <c r="GI263" s="54"/>
      <c r="GJ263" s="54"/>
      <c r="GK263" s="54"/>
      <c r="GL263" s="54"/>
      <c r="GM263" s="54"/>
      <c r="GN263" s="54"/>
      <c r="GO263" s="54"/>
      <c r="GP263" s="54"/>
      <c r="GQ263" s="54"/>
      <c r="GR263" s="54"/>
      <c r="GS263" s="54"/>
      <c r="GT263" s="54"/>
      <c r="GU263" s="54"/>
      <c r="GV263" s="54"/>
      <c r="GW263" s="54"/>
      <c r="GX263" s="54"/>
      <c r="GY263" s="54"/>
      <c r="GZ263" s="54"/>
      <c r="HA263" s="54"/>
      <c r="HB263" s="54"/>
      <c r="HC263" s="54"/>
      <c r="HD263" s="54"/>
      <c r="HE263" s="54"/>
      <c r="HF263" s="54"/>
      <c r="HG263" s="54"/>
      <c r="HH263" s="54"/>
      <c r="HI263" s="54"/>
      <c r="HJ263" s="54"/>
      <c r="HK263" s="54"/>
      <c r="HL263" s="54"/>
      <c r="HM263" s="54"/>
      <c r="HN263" s="54"/>
      <c r="HO263" s="54"/>
      <c r="HP263" s="54"/>
      <c r="HQ263" s="54"/>
      <c r="HR263" s="54"/>
      <c r="HS263" s="54"/>
      <c r="HT263" s="54"/>
      <c r="HU263" s="54"/>
      <c r="HV263" s="54"/>
      <c r="HW263" s="54"/>
      <c r="HX263" s="54"/>
      <c r="HY263" s="54"/>
      <c r="HZ263" s="54"/>
      <c r="IA263" s="54"/>
      <c r="IB263" s="54"/>
      <c r="IC263" s="54"/>
      <c r="ID263" s="54"/>
      <c r="IE263" s="54"/>
      <c r="IF263" s="54"/>
      <c r="IG263" s="54"/>
      <c r="IH263" s="54"/>
      <c r="II263" s="54"/>
      <c r="IJ263" s="54"/>
      <c r="IK263" s="54"/>
      <c r="IL263" s="54"/>
      <c r="IM263" s="54"/>
      <c r="IN263" s="54"/>
      <c r="IO263" s="54"/>
      <c r="IP263" s="54"/>
      <c r="IQ263" s="54"/>
      <c r="IR263" s="54"/>
      <c r="IS263" s="54"/>
      <c r="IT263" s="54"/>
      <c r="IU263" s="54"/>
      <c r="IV263" s="54"/>
      <c r="IW263" s="54"/>
      <c r="IX263" s="54"/>
      <c r="IY263" s="54"/>
      <c r="IZ263" s="54"/>
      <c r="JA263" s="54"/>
      <c r="JB263" s="54"/>
      <c r="JC263" s="54"/>
      <c r="JD263" s="54"/>
      <c r="JE263" s="54"/>
      <c r="JF263" s="54"/>
      <c r="JG263" s="54"/>
      <c r="JH263" s="54"/>
      <c r="JI263" s="54"/>
      <c r="JJ263" s="54"/>
      <c r="JK263" s="54"/>
      <c r="JL263" s="54"/>
      <c r="JM263" s="54"/>
      <c r="JN263" s="54"/>
      <c r="JO263" s="54"/>
      <c r="JP263" s="54"/>
      <c r="JQ263" s="54"/>
      <c r="JR263" s="54"/>
      <c r="JS263" s="54"/>
      <c r="JT263" s="54"/>
      <c r="JU263" s="54"/>
      <c r="JV263" s="54"/>
      <c r="JW263" s="54"/>
      <c r="JX263" s="54"/>
      <c r="JY263" s="54"/>
      <c r="JZ263" s="54"/>
      <c r="KA263" s="54"/>
      <c r="KB263" s="54"/>
      <c r="KC263" s="54"/>
      <c r="KD263" s="54"/>
      <c r="KE263" s="54"/>
      <c r="KF263" s="54"/>
      <c r="KG263" s="54"/>
      <c r="KH263" s="54"/>
      <c r="KI263" s="54"/>
      <c r="KJ263" s="54"/>
      <c r="KK263" s="54"/>
      <c r="KL263" s="54"/>
      <c r="KM263" s="54"/>
      <c r="KN263" s="54"/>
      <c r="KO263" s="54"/>
      <c r="KP263" s="54"/>
      <c r="KQ263" s="54"/>
      <c r="KR263" s="54"/>
      <c r="KS263" s="54"/>
      <c r="KT263" s="54"/>
      <c r="KU263" s="54"/>
      <c r="KV263" s="54"/>
      <c r="KW263" s="54"/>
      <c r="KX263" s="54"/>
      <c r="KY263" s="54"/>
      <c r="KZ263" s="54"/>
      <c r="LA263" s="54"/>
      <c r="LB263" s="54"/>
      <c r="LC263" s="54"/>
      <c r="LD263" s="54"/>
      <c r="LE263" s="54"/>
      <c r="LF263" s="54"/>
      <c r="LG263" s="54"/>
      <c r="LH263" s="54"/>
      <c r="LI263" s="54"/>
      <c r="LJ263" s="54"/>
      <c r="LK263" s="54"/>
      <c r="LL263" s="54"/>
      <c r="LM263" s="54"/>
      <c r="LN263" s="54"/>
      <c r="LO263" s="54"/>
      <c r="LP263" s="54"/>
      <c r="LQ263" s="54"/>
      <c r="LR263" s="54"/>
      <c r="LS263" s="54"/>
      <c r="LT263" s="54"/>
      <c r="LU263" s="54"/>
      <c r="LV263" s="54"/>
      <c r="LW263" s="54"/>
      <c r="LX263" s="54"/>
      <c r="LY263" s="54"/>
      <c r="LZ263" s="54"/>
      <c r="MA263" s="54"/>
      <c r="MB263" s="54"/>
      <c r="MC263" s="54"/>
      <c r="MD263" s="54"/>
      <c r="ME263" s="54"/>
      <c r="MF263" s="54"/>
      <c r="MG263" s="54"/>
      <c r="MH263" s="54"/>
      <c r="MI263" s="54"/>
      <c r="MJ263" s="54"/>
      <c r="MK263" s="54"/>
      <c r="ML263" s="54"/>
      <c r="MM263" s="54"/>
      <c r="MN263" s="54"/>
      <c r="MO263" s="54"/>
      <c r="MP263" s="54"/>
      <c r="MQ263" s="54"/>
      <c r="MR263" s="54"/>
      <c r="MS263" s="54"/>
      <c r="MT263" s="54"/>
      <c r="MU263" s="54"/>
      <c r="MV263" s="54"/>
      <c r="MW263" s="54"/>
      <c r="MX263" s="54"/>
      <c r="MY263" s="54"/>
      <c r="MZ263" s="54"/>
      <c r="NA263" s="54"/>
      <c r="NB263" s="54"/>
      <c r="NC263" s="54"/>
      <c r="ND263" s="54"/>
      <c r="NE263" s="54"/>
      <c r="NF263" s="54"/>
      <c r="NG263" s="54"/>
      <c r="NH263" s="54"/>
      <c r="NI263" s="54"/>
      <c r="NJ263" s="54"/>
      <c r="NK263" s="54"/>
      <c r="NL263" s="54"/>
      <c r="NM263" s="54"/>
      <c r="NN263" s="54"/>
      <c r="NO263" s="54"/>
      <c r="NP263" s="54"/>
      <c r="NQ263" s="54"/>
      <c r="NR263" s="54"/>
      <c r="NS263" s="54"/>
      <c r="NT263" s="54"/>
      <c r="NU263" s="54"/>
      <c r="NV263" s="54"/>
      <c r="NW263" s="54"/>
      <c r="NX263" s="54"/>
      <c r="NY263" s="54"/>
      <c r="NZ263" s="54"/>
      <c r="OA263" s="54"/>
      <c r="OB263" s="54"/>
      <c r="OC263" s="54"/>
      <c r="OD263" s="54"/>
      <c r="OE263" s="54"/>
      <c r="OF263" s="54"/>
      <c r="OG263" s="54"/>
      <c r="OH263" s="54"/>
      <c r="OI263" s="54"/>
      <c r="OJ263" s="54"/>
      <c r="OK263" s="54"/>
      <c r="OL263" s="54"/>
      <c r="OM263" s="54"/>
      <c r="ON263" s="54"/>
      <c r="OO263" s="54"/>
      <c r="OP263" s="54"/>
      <c r="OQ263" s="54"/>
      <c r="OR263" s="54"/>
      <c r="OS263" s="54"/>
      <c r="OT263" s="54"/>
      <c r="OU263" s="54"/>
      <c r="OV263" s="54"/>
      <c r="OW263" s="54"/>
      <c r="OX263" s="54"/>
      <c r="OY263" s="54"/>
      <c r="OZ263" s="54"/>
      <c r="PA263" s="54"/>
      <c r="PB263" s="54"/>
      <c r="PC263" s="54"/>
      <c r="PD263" s="54"/>
      <c r="PE263" s="54"/>
      <c r="PF263" s="54"/>
      <c r="PG263" s="54"/>
      <c r="PH263" s="54"/>
      <c r="PI263" s="54"/>
      <c r="PJ263" s="54"/>
      <c r="PK263" s="54"/>
      <c r="PL263" s="54"/>
      <c r="PM263" s="54"/>
      <c r="PN263" s="54"/>
      <c r="PO263" s="54"/>
      <c r="PP263" s="54"/>
      <c r="PQ263" s="54"/>
      <c r="PR263" s="54"/>
      <c r="PS263" s="54"/>
      <c r="PT263" s="54"/>
      <c r="PU263" s="54"/>
      <c r="PV263" s="54"/>
      <c r="PW263" s="54"/>
      <c r="PX263" s="54"/>
      <c r="PY263" s="54"/>
      <c r="PZ263" s="54"/>
      <c r="QA263" s="54"/>
      <c r="QB263" s="54"/>
      <c r="QC263" s="54"/>
      <c r="QD263" s="54"/>
      <c r="QE263" s="54"/>
      <c r="QF263" s="54"/>
      <c r="QG263" s="54"/>
      <c r="QH263" s="54"/>
      <c r="QI263" s="54"/>
      <c r="QJ263" s="54"/>
      <c r="QK263" s="54"/>
      <c r="QL263" s="54"/>
      <c r="QM263" s="54"/>
      <c r="QN263" s="54"/>
      <c r="QO263" s="54"/>
      <c r="QP263" s="54"/>
      <c r="QQ263" s="54"/>
      <c r="QR263" s="54"/>
      <c r="QS263" s="54"/>
      <c r="QT263" s="54"/>
      <c r="QU263" s="54"/>
      <c r="QV263" s="54"/>
      <c r="QW263" s="54"/>
      <c r="QX263" s="54"/>
      <c r="QY263" s="54"/>
      <c r="QZ263" s="54"/>
      <c r="RA263" s="54"/>
      <c r="RB263" s="54"/>
      <c r="RC263" s="54"/>
      <c r="RD263" s="54"/>
      <c r="RE263" s="54"/>
      <c r="RF263" s="54"/>
      <c r="RG263" s="54"/>
      <c r="RH263" s="54"/>
      <c r="RI263" s="54"/>
      <c r="RJ263" s="54"/>
      <c r="RK263" s="54"/>
      <c r="RL263" s="54"/>
      <c r="RM263" s="54"/>
      <c r="RN263" s="54"/>
      <c r="RO263" s="54"/>
      <c r="RP263" s="54"/>
      <c r="RQ263" s="54"/>
      <c r="RR263" s="54"/>
      <c r="RS263" s="54"/>
      <c r="RT263" s="54"/>
      <c r="RU263" s="54"/>
      <c r="RV263" s="54"/>
      <c r="RW263" s="54"/>
      <c r="RX263" s="54"/>
      <c r="RY263" s="54"/>
      <c r="RZ263" s="54"/>
      <c r="SA263" s="54"/>
      <c r="SB263" s="54"/>
      <c r="SC263" s="54"/>
      <c r="SD263" s="54"/>
      <c r="SE263" s="54"/>
      <c r="SF263" s="54"/>
      <c r="SG263" s="54"/>
      <c r="SH263" s="54"/>
      <c r="SI263" s="54"/>
      <c r="SJ263" s="54"/>
      <c r="SK263" s="54"/>
      <c r="SL263" s="54"/>
      <c r="SM263" s="54"/>
      <c r="SN263" s="54"/>
      <c r="SO263" s="54"/>
      <c r="SP263" s="54"/>
      <c r="SQ263" s="54"/>
      <c r="SR263" s="54"/>
    </row>
    <row r="264" spans="1:512" ht="15" customHeight="1" x14ac:dyDescent="0.7">
      <c r="A264" s="172"/>
      <c r="B264" s="172"/>
      <c r="C264" s="172"/>
      <c r="D264" s="172"/>
      <c r="E264" s="172"/>
      <c r="F264" s="172"/>
      <c r="G264" s="172"/>
      <c r="I264" s="72" t="s">
        <v>344</v>
      </c>
      <c r="J264" s="73" t="s">
        <v>344</v>
      </c>
      <c r="K264" s="190"/>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c r="BU264" s="54"/>
      <c r="BV264" s="54"/>
      <c r="BW264" s="54"/>
      <c r="BX264" s="54"/>
      <c r="BY264" s="54"/>
      <c r="BZ264" s="54"/>
      <c r="CA264" s="54"/>
      <c r="CB264" s="54"/>
      <c r="CC264" s="54"/>
      <c r="CD264" s="54"/>
      <c r="CE264" s="54"/>
      <c r="CF264" s="54"/>
      <c r="CG264" s="54"/>
      <c r="CH264" s="54"/>
      <c r="CI264" s="54"/>
      <c r="CJ264" s="54"/>
      <c r="CK264" s="54"/>
      <c r="CL264" s="54"/>
      <c r="CM264" s="54"/>
      <c r="CN264" s="54"/>
      <c r="CO264" s="54"/>
      <c r="CP264" s="54"/>
      <c r="CQ264" s="54"/>
      <c r="CR264" s="54"/>
      <c r="CS264" s="54"/>
      <c r="CT264" s="54"/>
      <c r="CU264" s="54"/>
      <c r="CV264" s="54"/>
      <c r="CW264" s="54"/>
      <c r="CX264" s="54"/>
      <c r="CY264" s="54"/>
      <c r="CZ264" s="54"/>
      <c r="DA264" s="54"/>
      <c r="DB264" s="54"/>
      <c r="DC264" s="54"/>
      <c r="DD264" s="54"/>
      <c r="DE264" s="54"/>
      <c r="DF264" s="54"/>
      <c r="DG264" s="54"/>
      <c r="DH264" s="54"/>
      <c r="DI264" s="54"/>
      <c r="DJ264" s="54"/>
      <c r="DK264" s="54"/>
      <c r="DL264" s="54"/>
      <c r="DM264" s="54"/>
      <c r="DN264" s="54"/>
      <c r="DO264" s="54"/>
      <c r="DP264" s="54"/>
      <c r="DQ264" s="54"/>
      <c r="DR264" s="54"/>
      <c r="DS264" s="54"/>
      <c r="DT264" s="54"/>
      <c r="DU264" s="54"/>
      <c r="DV264" s="54"/>
      <c r="DW264" s="54"/>
      <c r="DX264" s="54"/>
      <c r="DY264" s="54"/>
      <c r="DZ264" s="54"/>
      <c r="EA264" s="54"/>
      <c r="EB264" s="54"/>
      <c r="EC264" s="54"/>
      <c r="ED264" s="54"/>
      <c r="EE264" s="54"/>
      <c r="EF264" s="54"/>
      <c r="EG264" s="54"/>
      <c r="EH264" s="54"/>
      <c r="EI264" s="54"/>
      <c r="EJ264" s="54"/>
      <c r="EK264" s="54"/>
      <c r="EL264" s="54"/>
      <c r="EM264" s="54"/>
      <c r="EN264" s="54"/>
      <c r="EO264" s="54"/>
      <c r="EP264" s="54"/>
      <c r="EQ264" s="54"/>
      <c r="ER264" s="54"/>
      <c r="ES264" s="54"/>
      <c r="ET264" s="54"/>
      <c r="EU264" s="54"/>
      <c r="EV264" s="54"/>
      <c r="EW264" s="54"/>
      <c r="EX264" s="54"/>
      <c r="EY264" s="54"/>
      <c r="EZ264" s="54"/>
      <c r="FA264" s="54"/>
      <c r="FB264" s="54"/>
      <c r="FC264" s="54"/>
      <c r="FD264" s="54"/>
      <c r="FE264" s="54"/>
      <c r="FF264" s="54"/>
      <c r="FG264" s="54"/>
      <c r="FH264" s="54"/>
      <c r="FI264" s="54"/>
      <c r="FJ264" s="54"/>
      <c r="FK264" s="54"/>
      <c r="FL264" s="54"/>
      <c r="FM264" s="54"/>
      <c r="FN264" s="54"/>
      <c r="FO264" s="54"/>
      <c r="FP264" s="54"/>
      <c r="FQ264" s="54"/>
      <c r="FR264" s="54"/>
      <c r="FS264" s="54"/>
      <c r="FT264" s="54"/>
      <c r="FU264" s="54"/>
      <c r="FV264" s="54"/>
      <c r="FW264" s="54"/>
      <c r="FX264" s="54"/>
      <c r="FY264" s="54"/>
      <c r="FZ264" s="54"/>
      <c r="GA264" s="54"/>
      <c r="GB264" s="54"/>
      <c r="GC264" s="54"/>
      <c r="GD264" s="54"/>
      <c r="GE264" s="54"/>
      <c r="GF264" s="54"/>
      <c r="GG264" s="54"/>
      <c r="GH264" s="54"/>
      <c r="GI264" s="54"/>
      <c r="GJ264" s="54"/>
      <c r="GK264" s="54"/>
      <c r="GL264" s="54"/>
      <c r="GM264" s="54"/>
      <c r="GN264" s="54"/>
      <c r="GO264" s="54"/>
      <c r="GP264" s="54"/>
      <c r="GQ264" s="54"/>
      <c r="GR264" s="54"/>
      <c r="GS264" s="54"/>
      <c r="GT264" s="54"/>
      <c r="GU264" s="54"/>
      <c r="GV264" s="54"/>
      <c r="GW264" s="54"/>
      <c r="GX264" s="54"/>
      <c r="GY264" s="54"/>
      <c r="GZ264" s="54"/>
      <c r="HA264" s="54"/>
      <c r="HB264" s="54"/>
      <c r="HC264" s="54"/>
      <c r="HD264" s="54"/>
      <c r="HE264" s="54"/>
      <c r="HF264" s="54"/>
      <c r="HG264" s="54"/>
      <c r="HH264" s="54"/>
      <c r="HI264" s="54"/>
      <c r="HJ264" s="54"/>
      <c r="HK264" s="54"/>
      <c r="HL264" s="54"/>
      <c r="HM264" s="54"/>
      <c r="HN264" s="54"/>
      <c r="HO264" s="54"/>
      <c r="HP264" s="54"/>
      <c r="HQ264" s="54"/>
      <c r="HR264" s="54"/>
      <c r="HS264" s="54"/>
      <c r="HT264" s="54"/>
      <c r="HU264" s="54"/>
      <c r="HV264" s="54"/>
      <c r="HW264" s="54"/>
      <c r="HX264" s="54"/>
      <c r="HY264" s="54"/>
      <c r="HZ264" s="54"/>
      <c r="IA264" s="54"/>
      <c r="IB264" s="54"/>
      <c r="IC264" s="54"/>
      <c r="ID264" s="54"/>
      <c r="IE264" s="54"/>
      <c r="IF264" s="54"/>
      <c r="IG264" s="54"/>
      <c r="IH264" s="54"/>
      <c r="II264" s="54"/>
      <c r="IJ264" s="54"/>
      <c r="IK264" s="54"/>
      <c r="IL264" s="54"/>
      <c r="IM264" s="54"/>
      <c r="IN264" s="54"/>
      <c r="IO264" s="54"/>
      <c r="IP264" s="54"/>
      <c r="IQ264" s="54"/>
      <c r="IR264" s="54"/>
      <c r="IS264" s="54"/>
      <c r="IT264" s="54"/>
      <c r="IU264" s="54"/>
      <c r="IV264" s="54"/>
      <c r="IW264" s="54"/>
      <c r="IX264" s="54"/>
      <c r="IY264" s="54"/>
      <c r="IZ264" s="54"/>
      <c r="JA264" s="54"/>
      <c r="JB264" s="54"/>
      <c r="JC264" s="54"/>
      <c r="JD264" s="54"/>
      <c r="JE264" s="54"/>
      <c r="JF264" s="54"/>
      <c r="JG264" s="54"/>
      <c r="JH264" s="54"/>
      <c r="JI264" s="54"/>
      <c r="JJ264" s="54"/>
      <c r="JK264" s="54"/>
      <c r="JL264" s="54"/>
      <c r="JM264" s="54"/>
      <c r="JN264" s="54"/>
      <c r="JO264" s="54"/>
      <c r="JP264" s="54"/>
      <c r="JQ264" s="54"/>
      <c r="JR264" s="54"/>
      <c r="JS264" s="54"/>
      <c r="JT264" s="54"/>
      <c r="JU264" s="54"/>
      <c r="JV264" s="54"/>
      <c r="JW264" s="54"/>
      <c r="JX264" s="54"/>
      <c r="JY264" s="54"/>
      <c r="JZ264" s="54"/>
      <c r="KA264" s="54"/>
      <c r="KB264" s="54"/>
      <c r="KC264" s="54"/>
      <c r="KD264" s="54"/>
      <c r="KE264" s="54"/>
      <c r="KF264" s="54"/>
      <c r="KG264" s="54"/>
      <c r="KH264" s="54"/>
      <c r="KI264" s="54"/>
      <c r="KJ264" s="54"/>
      <c r="KK264" s="54"/>
      <c r="KL264" s="54"/>
      <c r="KM264" s="54"/>
      <c r="KN264" s="54"/>
      <c r="KO264" s="54"/>
      <c r="KP264" s="54"/>
      <c r="KQ264" s="54"/>
      <c r="KR264" s="54"/>
      <c r="KS264" s="54"/>
      <c r="KT264" s="54"/>
      <c r="KU264" s="54"/>
      <c r="KV264" s="54"/>
      <c r="KW264" s="54"/>
      <c r="KX264" s="54"/>
      <c r="KY264" s="54"/>
      <c r="KZ264" s="54"/>
      <c r="LA264" s="54"/>
      <c r="LB264" s="54"/>
      <c r="LC264" s="54"/>
      <c r="LD264" s="54"/>
      <c r="LE264" s="54"/>
      <c r="LF264" s="54"/>
      <c r="LG264" s="54"/>
      <c r="LH264" s="54"/>
      <c r="LI264" s="54"/>
      <c r="LJ264" s="54"/>
      <c r="LK264" s="54"/>
      <c r="LL264" s="54"/>
      <c r="LM264" s="54"/>
      <c r="LN264" s="54"/>
      <c r="LO264" s="54"/>
      <c r="LP264" s="54"/>
      <c r="LQ264" s="54"/>
      <c r="LR264" s="54"/>
      <c r="LS264" s="54"/>
      <c r="LT264" s="54"/>
      <c r="LU264" s="54"/>
      <c r="LV264" s="54"/>
      <c r="LW264" s="54"/>
      <c r="LX264" s="54"/>
      <c r="LY264" s="54"/>
      <c r="LZ264" s="54"/>
      <c r="MA264" s="54"/>
      <c r="MB264" s="54"/>
      <c r="MC264" s="54"/>
      <c r="MD264" s="54"/>
      <c r="ME264" s="54"/>
      <c r="MF264" s="54"/>
      <c r="MG264" s="54"/>
      <c r="MH264" s="54"/>
      <c r="MI264" s="54"/>
      <c r="MJ264" s="54"/>
      <c r="MK264" s="54"/>
      <c r="ML264" s="54"/>
      <c r="MM264" s="54"/>
      <c r="MN264" s="54"/>
      <c r="MO264" s="54"/>
      <c r="MP264" s="54"/>
      <c r="MQ264" s="54"/>
      <c r="MR264" s="54"/>
      <c r="MS264" s="54"/>
      <c r="MT264" s="54"/>
      <c r="MU264" s="54"/>
      <c r="MV264" s="54"/>
      <c r="MW264" s="54"/>
      <c r="MX264" s="54"/>
      <c r="MY264" s="54"/>
      <c r="MZ264" s="54"/>
      <c r="NA264" s="54"/>
      <c r="NB264" s="54"/>
      <c r="NC264" s="54"/>
      <c r="ND264" s="54"/>
      <c r="NE264" s="54"/>
      <c r="NF264" s="54"/>
      <c r="NG264" s="54"/>
      <c r="NH264" s="54"/>
      <c r="NI264" s="54"/>
      <c r="NJ264" s="54"/>
      <c r="NK264" s="54"/>
      <c r="NL264" s="54"/>
      <c r="NM264" s="54"/>
      <c r="NN264" s="54"/>
      <c r="NO264" s="54"/>
      <c r="NP264" s="54"/>
      <c r="NQ264" s="54"/>
      <c r="NR264" s="54"/>
      <c r="NS264" s="54"/>
      <c r="NT264" s="54"/>
      <c r="NU264" s="54"/>
      <c r="NV264" s="54"/>
      <c r="NW264" s="54"/>
      <c r="NX264" s="54"/>
      <c r="NY264" s="54"/>
      <c r="NZ264" s="54"/>
      <c r="OA264" s="54"/>
      <c r="OB264" s="54"/>
      <c r="OC264" s="54"/>
      <c r="OD264" s="54"/>
      <c r="OE264" s="54"/>
      <c r="OF264" s="54"/>
      <c r="OG264" s="54"/>
      <c r="OH264" s="54"/>
      <c r="OI264" s="54"/>
      <c r="OJ264" s="54"/>
      <c r="OK264" s="54"/>
      <c r="OL264" s="54"/>
      <c r="OM264" s="54"/>
      <c r="ON264" s="54"/>
      <c r="OO264" s="54"/>
      <c r="OP264" s="54"/>
      <c r="OQ264" s="54"/>
      <c r="OR264" s="54"/>
      <c r="OS264" s="54"/>
      <c r="OT264" s="54"/>
      <c r="OU264" s="54"/>
      <c r="OV264" s="54"/>
      <c r="OW264" s="54"/>
      <c r="OX264" s="54"/>
      <c r="OY264" s="54"/>
      <c r="OZ264" s="54"/>
      <c r="PA264" s="54"/>
      <c r="PB264" s="54"/>
      <c r="PC264" s="54"/>
      <c r="PD264" s="54"/>
      <c r="PE264" s="54"/>
      <c r="PF264" s="54"/>
      <c r="PG264" s="54"/>
      <c r="PH264" s="54"/>
      <c r="PI264" s="54"/>
      <c r="PJ264" s="54"/>
      <c r="PK264" s="54"/>
      <c r="PL264" s="54"/>
      <c r="PM264" s="54"/>
      <c r="PN264" s="54"/>
      <c r="PO264" s="54"/>
      <c r="PP264" s="54"/>
      <c r="PQ264" s="54"/>
      <c r="PR264" s="54"/>
      <c r="PS264" s="54"/>
      <c r="PT264" s="54"/>
      <c r="PU264" s="54"/>
      <c r="PV264" s="54"/>
      <c r="PW264" s="54"/>
      <c r="PX264" s="54"/>
      <c r="PY264" s="54"/>
      <c r="PZ264" s="54"/>
      <c r="QA264" s="54"/>
      <c r="QB264" s="54"/>
      <c r="QC264" s="54"/>
      <c r="QD264" s="54"/>
      <c r="QE264" s="54"/>
      <c r="QF264" s="54"/>
      <c r="QG264" s="54"/>
      <c r="QH264" s="54"/>
      <c r="QI264" s="54"/>
      <c r="QJ264" s="54"/>
      <c r="QK264" s="54"/>
      <c r="QL264" s="54"/>
      <c r="QM264" s="54"/>
      <c r="QN264" s="54"/>
      <c r="QO264" s="54"/>
      <c r="QP264" s="54"/>
      <c r="QQ264" s="54"/>
      <c r="QR264" s="54"/>
      <c r="QS264" s="54"/>
      <c r="QT264" s="54"/>
      <c r="QU264" s="54"/>
      <c r="QV264" s="54"/>
      <c r="QW264" s="54"/>
      <c r="QX264" s="54"/>
      <c r="QY264" s="54"/>
      <c r="QZ264" s="54"/>
      <c r="RA264" s="54"/>
      <c r="RB264" s="54"/>
      <c r="RC264" s="54"/>
      <c r="RD264" s="54"/>
      <c r="RE264" s="54"/>
      <c r="RF264" s="54"/>
      <c r="RG264" s="54"/>
      <c r="RH264" s="54"/>
      <c r="RI264" s="54"/>
      <c r="RJ264" s="54"/>
      <c r="RK264" s="54"/>
      <c r="RL264" s="54"/>
      <c r="RM264" s="54"/>
      <c r="RN264" s="54"/>
      <c r="RO264" s="54"/>
      <c r="RP264" s="54"/>
      <c r="RQ264" s="54"/>
      <c r="RR264" s="54"/>
      <c r="RS264" s="54"/>
      <c r="RT264" s="54"/>
      <c r="RU264" s="54"/>
      <c r="RV264" s="54"/>
      <c r="RW264" s="54"/>
      <c r="RX264" s="54"/>
      <c r="RY264" s="54"/>
      <c r="RZ264" s="54"/>
      <c r="SA264" s="54"/>
      <c r="SB264" s="54"/>
      <c r="SC264" s="54"/>
      <c r="SD264" s="54"/>
      <c r="SE264" s="54"/>
      <c r="SF264" s="54"/>
      <c r="SG264" s="54"/>
      <c r="SH264" s="54"/>
      <c r="SI264" s="54"/>
      <c r="SJ264" s="54"/>
      <c r="SK264" s="54"/>
      <c r="SL264" s="54"/>
      <c r="SM264" s="54"/>
      <c r="SN264" s="54"/>
      <c r="SO264" s="54"/>
      <c r="SP264" s="54"/>
      <c r="SQ264" s="54"/>
      <c r="SR264" s="54"/>
    </row>
    <row r="265" spans="1:512" s="55" customFormat="1" ht="15" customHeight="1" x14ac:dyDescent="0.7">
      <c r="A265" s="173"/>
      <c r="B265" s="173"/>
      <c r="C265" s="173"/>
      <c r="D265" s="173"/>
      <c r="E265" s="173"/>
      <c r="F265" s="173"/>
      <c r="G265" s="173"/>
      <c r="H265" s="74"/>
      <c r="I265" s="75"/>
      <c r="J265" s="76"/>
      <c r="K265" s="191"/>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c r="IX265" s="56"/>
      <c r="IY265" s="56"/>
      <c r="IZ265" s="56"/>
      <c r="JA265" s="56"/>
      <c r="JB265" s="56"/>
      <c r="JC265" s="56"/>
      <c r="JD265" s="56"/>
      <c r="JE265" s="56"/>
      <c r="JF265" s="56"/>
      <c r="JG265" s="56"/>
      <c r="JH265" s="56"/>
      <c r="JI265" s="56"/>
      <c r="JJ265" s="56"/>
      <c r="JK265" s="56"/>
      <c r="JL265" s="56"/>
      <c r="JM265" s="56"/>
      <c r="JN265" s="56"/>
      <c r="JO265" s="56"/>
      <c r="JP265" s="56"/>
      <c r="JQ265" s="56"/>
      <c r="JR265" s="56"/>
      <c r="JS265" s="56"/>
      <c r="JT265" s="56"/>
      <c r="JU265" s="56"/>
      <c r="JV265" s="56"/>
      <c r="JW265" s="56"/>
      <c r="JX265" s="56"/>
      <c r="JY265" s="56"/>
      <c r="JZ265" s="56"/>
      <c r="KA265" s="56"/>
      <c r="KB265" s="56"/>
      <c r="KC265" s="56"/>
      <c r="KD265" s="56"/>
      <c r="KE265" s="56"/>
      <c r="KF265" s="56"/>
      <c r="KG265" s="56"/>
      <c r="KH265" s="56"/>
      <c r="KI265" s="56"/>
      <c r="KJ265" s="56"/>
      <c r="KK265" s="56"/>
      <c r="KL265" s="56"/>
      <c r="KM265" s="56"/>
      <c r="KN265" s="56"/>
      <c r="KO265" s="56"/>
      <c r="KP265" s="56"/>
      <c r="KQ265" s="56"/>
      <c r="KR265" s="56"/>
      <c r="KS265" s="56"/>
      <c r="KT265" s="56"/>
      <c r="KU265" s="56"/>
      <c r="KV265" s="56"/>
      <c r="KW265" s="56"/>
      <c r="KX265" s="56"/>
      <c r="KY265" s="56"/>
      <c r="KZ265" s="56"/>
      <c r="LA265" s="56"/>
      <c r="LB265" s="56"/>
      <c r="LC265" s="56"/>
      <c r="LD265" s="56"/>
      <c r="LE265" s="56"/>
      <c r="LF265" s="56"/>
      <c r="LG265" s="56"/>
      <c r="LH265" s="56"/>
      <c r="LI265" s="56"/>
      <c r="LJ265" s="56"/>
      <c r="LK265" s="56"/>
      <c r="LL265" s="56"/>
      <c r="LM265" s="56"/>
      <c r="LN265" s="56"/>
      <c r="LO265" s="56"/>
      <c r="LP265" s="56"/>
      <c r="LQ265" s="56"/>
      <c r="LR265" s="56"/>
      <c r="LS265" s="56"/>
      <c r="LT265" s="56"/>
      <c r="LU265" s="56"/>
      <c r="LV265" s="56"/>
      <c r="LW265" s="56"/>
      <c r="LX265" s="56"/>
      <c r="LY265" s="56"/>
      <c r="LZ265" s="56"/>
      <c r="MA265" s="56"/>
      <c r="MB265" s="56"/>
      <c r="MC265" s="56"/>
      <c r="MD265" s="56"/>
      <c r="ME265" s="56"/>
      <c r="MF265" s="56"/>
      <c r="MG265" s="56"/>
      <c r="MH265" s="56"/>
      <c r="MI265" s="56"/>
      <c r="MJ265" s="56"/>
      <c r="MK265" s="56"/>
      <c r="ML265" s="56"/>
      <c r="MM265" s="56"/>
      <c r="MN265" s="56"/>
      <c r="MO265" s="56"/>
      <c r="MP265" s="56"/>
      <c r="MQ265" s="56"/>
      <c r="MR265" s="56"/>
      <c r="MS265" s="56"/>
      <c r="MT265" s="56"/>
      <c r="MU265" s="56"/>
      <c r="MV265" s="56"/>
      <c r="MW265" s="56"/>
      <c r="MX265" s="56"/>
      <c r="MY265" s="56"/>
      <c r="MZ265" s="56"/>
      <c r="NA265" s="56"/>
      <c r="NB265" s="56"/>
      <c r="NC265" s="56"/>
      <c r="ND265" s="56"/>
      <c r="NE265" s="56"/>
      <c r="NF265" s="56"/>
      <c r="NG265" s="56"/>
      <c r="NH265" s="56"/>
      <c r="NI265" s="56"/>
      <c r="NJ265" s="56"/>
      <c r="NK265" s="56"/>
      <c r="NL265" s="56"/>
      <c r="NM265" s="56"/>
      <c r="NN265" s="56"/>
      <c r="NO265" s="56"/>
      <c r="NP265" s="56"/>
      <c r="NQ265" s="56"/>
      <c r="NR265" s="56"/>
      <c r="NS265" s="56"/>
      <c r="NT265" s="56"/>
      <c r="NU265" s="56"/>
      <c r="NV265" s="56"/>
      <c r="NW265" s="56"/>
      <c r="NX265" s="56"/>
      <c r="NY265" s="56"/>
      <c r="NZ265" s="56"/>
      <c r="OA265" s="56"/>
      <c r="OB265" s="56"/>
      <c r="OC265" s="56"/>
      <c r="OD265" s="56"/>
      <c r="OE265" s="56"/>
      <c r="OF265" s="56"/>
      <c r="OG265" s="56"/>
      <c r="OH265" s="56"/>
      <c r="OI265" s="56"/>
      <c r="OJ265" s="56"/>
      <c r="OK265" s="56"/>
      <c r="OL265" s="56"/>
      <c r="OM265" s="56"/>
      <c r="ON265" s="56"/>
      <c r="OO265" s="56"/>
      <c r="OP265" s="56"/>
      <c r="OQ265" s="56"/>
      <c r="OR265" s="56"/>
      <c r="OS265" s="56"/>
      <c r="OT265" s="56"/>
      <c r="OU265" s="56"/>
      <c r="OV265" s="56"/>
      <c r="OW265" s="56"/>
      <c r="OX265" s="56"/>
      <c r="OY265" s="56"/>
      <c r="OZ265" s="56"/>
      <c r="PA265" s="56"/>
      <c r="PB265" s="56"/>
      <c r="PC265" s="56"/>
      <c r="PD265" s="56"/>
      <c r="PE265" s="56"/>
      <c r="PF265" s="56"/>
      <c r="PG265" s="56"/>
      <c r="PH265" s="56"/>
      <c r="PI265" s="56"/>
      <c r="PJ265" s="56"/>
      <c r="PK265" s="56"/>
      <c r="PL265" s="56"/>
      <c r="PM265" s="56"/>
      <c r="PN265" s="56"/>
      <c r="PO265" s="56"/>
      <c r="PP265" s="56"/>
      <c r="PQ265" s="56"/>
      <c r="PR265" s="56"/>
      <c r="PS265" s="56"/>
      <c r="PT265" s="56"/>
      <c r="PU265" s="56"/>
      <c r="PV265" s="56"/>
      <c r="PW265" s="56"/>
      <c r="PX265" s="56"/>
      <c r="PY265" s="56"/>
      <c r="PZ265" s="56"/>
      <c r="QA265" s="56"/>
      <c r="QB265" s="56"/>
      <c r="QC265" s="56"/>
      <c r="QD265" s="56"/>
      <c r="QE265" s="56"/>
      <c r="QF265" s="56"/>
      <c r="QG265" s="56"/>
      <c r="QH265" s="56"/>
      <c r="QI265" s="56"/>
      <c r="QJ265" s="56"/>
      <c r="QK265" s="56"/>
      <c r="QL265" s="56"/>
      <c r="QM265" s="56"/>
      <c r="QN265" s="56"/>
      <c r="QO265" s="56"/>
      <c r="QP265" s="56"/>
      <c r="QQ265" s="56"/>
      <c r="QR265" s="56"/>
      <c r="QS265" s="56"/>
      <c r="QT265" s="56"/>
      <c r="QU265" s="56"/>
      <c r="QV265" s="56"/>
      <c r="QW265" s="56"/>
      <c r="QX265" s="56"/>
      <c r="QY265" s="56"/>
      <c r="QZ265" s="56"/>
      <c r="RA265" s="56"/>
      <c r="RB265" s="56"/>
      <c r="RC265" s="56"/>
      <c r="RD265" s="56"/>
      <c r="RE265" s="56"/>
      <c r="RF265" s="56"/>
      <c r="RG265" s="56"/>
      <c r="RH265" s="56"/>
      <c r="RI265" s="56"/>
      <c r="RJ265" s="56"/>
      <c r="RK265" s="56"/>
      <c r="RL265" s="56"/>
      <c r="RM265" s="56"/>
      <c r="RN265" s="56"/>
      <c r="RO265" s="56"/>
      <c r="RP265" s="56"/>
      <c r="RQ265" s="56"/>
      <c r="RR265" s="56"/>
      <c r="RS265" s="56"/>
      <c r="RT265" s="56"/>
      <c r="RU265" s="56"/>
      <c r="RV265" s="56"/>
      <c r="RW265" s="56"/>
      <c r="RX265" s="56"/>
      <c r="RY265" s="56"/>
      <c r="RZ265" s="56"/>
      <c r="SA265" s="56"/>
      <c r="SB265" s="56"/>
      <c r="SC265" s="56"/>
      <c r="SD265" s="56"/>
      <c r="SE265" s="56"/>
      <c r="SF265" s="56"/>
      <c r="SG265" s="56"/>
      <c r="SH265" s="56"/>
      <c r="SI265" s="56"/>
      <c r="SJ265" s="56"/>
      <c r="SK265" s="56"/>
      <c r="SL265" s="56"/>
      <c r="SM265" s="56"/>
      <c r="SN265" s="56"/>
      <c r="SO265" s="56"/>
      <c r="SP265" s="56"/>
      <c r="SQ265" s="56"/>
      <c r="SR265" s="56"/>
    </row>
    <row r="266" spans="1:512" ht="15" customHeight="1" x14ac:dyDescent="0.7">
      <c r="A266" s="171" t="s">
        <v>344</v>
      </c>
      <c r="B266" s="171" t="s">
        <v>344</v>
      </c>
      <c r="C266" s="171" t="s">
        <v>344</v>
      </c>
      <c r="D266" s="171"/>
      <c r="E266" s="171" t="s">
        <v>344</v>
      </c>
      <c r="F266" s="171"/>
      <c r="G266" s="188" t="s">
        <v>344</v>
      </c>
      <c r="H266" s="71" t="s">
        <v>344</v>
      </c>
      <c r="I266" s="72" t="s">
        <v>344</v>
      </c>
      <c r="J266" s="73" t="s">
        <v>344</v>
      </c>
      <c r="K266" s="189" t="s">
        <v>344</v>
      </c>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4"/>
      <c r="CB266" s="54"/>
      <c r="CC266" s="54"/>
      <c r="CD266" s="54"/>
      <c r="CE266" s="54"/>
      <c r="CF266" s="54"/>
      <c r="CG266" s="54"/>
      <c r="CH266" s="54"/>
      <c r="CI266" s="54"/>
      <c r="CJ266" s="54"/>
      <c r="CK266" s="54"/>
      <c r="CL266" s="54"/>
      <c r="CM266" s="54"/>
      <c r="CN266" s="54"/>
      <c r="CO266" s="54"/>
      <c r="CP266" s="54"/>
      <c r="CQ266" s="54"/>
      <c r="CR266" s="54"/>
      <c r="CS266" s="54"/>
      <c r="CT266" s="54"/>
      <c r="CU266" s="54"/>
      <c r="CV266" s="54"/>
      <c r="CW266" s="54"/>
      <c r="CX266" s="54"/>
      <c r="CY266" s="54"/>
      <c r="CZ266" s="54"/>
      <c r="DA266" s="54"/>
      <c r="DB266" s="54"/>
      <c r="DC266" s="54"/>
      <c r="DD266" s="54"/>
      <c r="DE266" s="54"/>
      <c r="DF266" s="54"/>
      <c r="DG266" s="54"/>
      <c r="DH266" s="54"/>
      <c r="DI266" s="54"/>
      <c r="DJ266" s="54"/>
      <c r="DK266" s="54"/>
      <c r="DL266" s="54"/>
      <c r="DM266" s="54"/>
      <c r="DN266" s="54"/>
      <c r="DO266" s="54"/>
      <c r="DP266" s="54"/>
      <c r="DQ266" s="54"/>
      <c r="DR266" s="54"/>
      <c r="DS266" s="54"/>
      <c r="DT266" s="54"/>
      <c r="DU266" s="54"/>
      <c r="DV266" s="54"/>
      <c r="DW266" s="54"/>
      <c r="DX266" s="54"/>
      <c r="DY266" s="54"/>
      <c r="DZ266" s="54"/>
      <c r="EA266" s="54"/>
      <c r="EB266" s="54"/>
      <c r="EC266" s="54"/>
      <c r="ED266" s="54"/>
      <c r="EE266" s="54"/>
      <c r="EF266" s="54"/>
      <c r="EG266" s="54"/>
      <c r="EH266" s="54"/>
      <c r="EI266" s="54"/>
      <c r="EJ266" s="54"/>
      <c r="EK266" s="54"/>
      <c r="EL266" s="54"/>
      <c r="EM266" s="54"/>
      <c r="EN266" s="54"/>
      <c r="EO266" s="54"/>
      <c r="EP266" s="54"/>
      <c r="EQ266" s="54"/>
      <c r="ER266" s="54"/>
      <c r="ES266" s="54"/>
      <c r="ET266" s="54"/>
      <c r="EU266" s="54"/>
      <c r="EV266" s="54"/>
      <c r="EW266" s="54"/>
      <c r="EX266" s="54"/>
      <c r="EY266" s="54"/>
      <c r="EZ266" s="54"/>
      <c r="FA266" s="54"/>
      <c r="FB266" s="54"/>
      <c r="FC266" s="54"/>
      <c r="FD266" s="54"/>
      <c r="FE266" s="54"/>
      <c r="FF266" s="54"/>
      <c r="FG266" s="54"/>
      <c r="FH266" s="54"/>
      <c r="FI266" s="54"/>
      <c r="FJ266" s="54"/>
      <c r="FK266" s="54"/>
      <c r="FL266" s="54"/>
      <c r="FM266" s="54"/>
      <c r="FN266" s="54"/>
      <c r="FO266" s="54"/>
      <c r="FP266" s="54"/>
      <c r="FQ266" s="54"/>
      <c r="FR266" s="54"/>
      <c r="FS266" s="54"/>
      <c r="FT266" s="54"/>
      <c r="FU266" s="54"/>
      <c r="FV266" s="54"/>
      <c r="FW266" s="54"/>
      <c r="FX266" s="54"/>
      <c r="FY266" s="54"/>
      <c r="FZ266" s="54"/>
      <c r="GA266" s="54"/>
      <c r="GB266" s="54"/>
      <c r="GC266" s="54"/>
      <c r="GD266" s="54"/>
      <c r="GE266" s="54"/>
      <c r="GF266" s="54"/>
      <c r="GG266" s="54"/>
      <c r="GH266" s="54"/>
      <c r="GI266" s="54"/>
      <c r="GJ266" s="54"/>
      <c r="GK266" s="54"/>
      <c r="GL266" s="54"/>
      <c r="GM266" s="54"/>
      <c r="GN266" s="54"/>
      <c r="GO266" s="54"/>
      <c r="GP266" s="54"/>
      <c r="GQ266" s="54"/>
      <c r="GR266" s="54"/>
      <c r="GS266" s="54"/>
      <c r="GT266" s="54"/>
      <c r="GU266" s="54"/>
      <c r="GV266" s="54"/>
      <c r="GW266" s="54"/>
      <c r="GX266" s="54"/>
      <c r="GY266" s="54"/>
      <c r="GZ266" s="54"/>
      <c r="HA266" s="54"/>
      <c r="HB266" s="54"/>
      <c r="HC266" s="54"/>
      <c r="HD266" s="54"/>
      <c r="HE266" s="54"/>
      <c r="HF266" s="54"/>
      <c r="HG266" s="54"/>
      <c r="HH266" s="54"/>
      <c r="HI266" s="54"/>
      <c r="HJ266" s="54"/>
      <c r="HK266" s="54"/>
      <c r="HL266" s="54"/>
      <c r="HM266" s="54"/>
      <c r="HN266" s="54"/>
      <c r="HO266" s="54"/>
      <c r="HP266" s="54"/>
      <c r="HQ266" s="54"/>
      <c r="HR266" s="54"/>
      <c r="HS266" s="54"/>
      <c r="HT266" s="54"/>
      <c r="HU266" s="54"/>
      <c r="HV266" s="54"/>
      <c r="HW266" s="54"/>
      <c r="HX266" s="54"/>
      <c r="HY266" s="54"/>
      <c r="HZ266" s="54"/>
      <c r="IA266" s="54"/>
      <c r="IB266" s="54"/>
      <c r="IC266" s="54"/>
      <c r="ID266" s="54"/>
      <c r="IE266" s="54"/>
      <c r="IF266" s="54"/>
      <c r="IG266" s="54"/>
      <c r="IH266" s="54"/>
      <c r="II266" s="54"/>
      <c r="IJ266" s="54"/>
      <c r="IK266" s="54"/>
      <c r="IL266" s="54"/>
      <c r="IM266" s="54"/>
      <c r="IN266" s="54"/>
      <c r="IO266" s="54"/>
      <c r="IP266" s="54"/>
      <c r="IQ266" s="54"/>
      <c r="IR266" s="54"/>
      <c r="IS266" s="54"/>
      <c r="IT266" s="54"/>
      <c r="IU266" s="54"/>
      <c r="IV266" s="54"/>
      <c r="IW266" s="54"/>
      <c r="IX266" s="54"/>
      <c r="IY266" s="54"/>
      <c r="IZ266" s="54"/>
      <c r="JA266" s="54"/>
      <c r="JB266" s="54"/>
      <c r="JC266" s="54"/>
      <c r="JD266" s="54"/>
      <c r="JE266" s="54"/>
      <c r="JF266" s="54"/>
      <c r="JG266" s="54"/>
      <c r="JH266" s="54"/>
      <c r="JI266" s="54"/>
      <c r="JJ266" s="54"/>
      <c r="JK266" s="54"/>
      <c r="JL266" s="54"/>
      <c r="JM266" s="54"/>
      <c r="JN266" s="54"/>
      <c r="JO266" s="54"/>
      <c r="JP266" s="54"/>
      <c r="JQ266" s="54"/>
      <c r="JR266" s="54"/>
      <c r="JS266" s="54"/>
      <c r="JT266" s="54"/>
      <c r="JU266" s="54"/>
      <c r="JV266" s="54"/>
      <c r="JW266" s="54"/>
      <c r="JX266" s="54"/>
      <c r="JY266" s="54"/>
      <c r="JZ266" s="54"/>
      <c r="KA266" s="54"/>
      <c r="KB266" s="54"/>
      <c r="KC266" s="54"/>
      <c r="KD266" s="54"/>
      <c r="KE266" s="54"/>
      <c r="KF266" s="54"/>
      <c r="KG266" s="54"/>
      <c r="KH266" s="54"/>
      <c r="KI266" s="54"/>
      <c r="KJ266" s="54"/>
      <c r="KK266" s="54"/>
      <c r="KL266" s="54"/>
      <c r="KM266" s="54"/>
      <c r="KN266" s="54"/>
      <c r="KO266" s="54"/>
      <c r="KP266" s="54"/>
      <c r="KQ266" s="54"/>
      <c r="KR266" s="54"/>
      <c r="KS266" s="54"/>
      <c r="KT266" s="54"/>
      <c r="KU266" s="54"/>
      <c r="KV266" s="54"/>
      <c r="KW266" s="54"/>
      <c r="KX266" s="54"/>
      <c r="KY266" s="54"/>
      <c r="KZ266" s="54"/>
      <c r="LA266" s="54"/>
      <c r="LB266" s="54"/>
      <c r="LC266" s="54"/>
      <c r="LD266" s="54"/>
      <c r="LE266" s="54"/>
      <c r="LF266" s="54"/>
      <c r="LG266" s="54"/>
      <c r="LH266" s="54"/>
      <c r="LI266" s="54"/>
      <c r="LJ266" s="54"/>
      <c r="LK266" s="54"/>
      <c r="LL266" s="54"/>
      <c r="LM266" s="54"/>
      <c r="LN266" s="54"/>
      <c r="LO266" s="54"/>
      <c r="LP266" s="54"/>
      <c r="LQ266" s="54"/>
      <c r="LR266" s="54"/>
      <c r="LS266" s="54"/>
      <c r="LT266" s="54"/>
      <c r="LU266" s="54"/>
      <c r="LV266" s="54"/>
      <c r="LW266" s="54"/>
      <c r="LX266" s="54"/>
      <c r="LY266" s="54"/>
      <c r="LZ266" s="54"/>
      <c r="MA266" s="54"/>
      <c r="MB266" s="54"/>
      <c r="MC266" s="54"/>
      <c r="MD266" s="54"/>
      <c r="ME266" s="54"/>
      <c r="MF266" s="54"/>
      <c r="MG266" s="54"/>
      <c r="MH266" s="54"/>
      <c r="MI266" s="54"/>
      <c r="MJ266" s="54"/>
      <c r="MK266" s="54"/>
      <c r="ML266" s="54"/>
      <c r="MM266" s="54"/>
      <c r="MN266" s="54"/>
      <c r="MO266" s="54"/>
      <c r="MP266" s="54"/>
      <c r="MQ266" s="54"/>
      <c r="MR266" s="54"/>
      <c r="MS266" s="54"/>
      <c r="MT266" s="54"/>
      <c r="MU266" s="54"/>
      <c r="MV266" s="54"/>
      <c r="MW266" s="54"/>
      <c r="MX266" s="54"/>
      <c r="MY266" s="54"/>
      <c r="MZ266" s="54"/>
      <c r="NA266" s="54"/>
      <c r="NB266" s="54"/>
      <c r="NC266" s="54"/>
      <c r="ND266" s="54"/>
      <c r="NE266" s="54"/>
      <c r="NF266" s="54"/>
      <c r="NG266" s="54"/>
      <c r="NH266" s="54"/>
      <c r="NI266" s="54"/>
      <c r="NJ266" s="54"/>
      <c r="NK266" s="54"/>
      <c r="NL266" s="54"/>
      <c r="NM266" s="54"/>
      <c r="NN266" s="54"/>
      <c r="NO266" s="54"/>
      <c r="NP266" s="54"/>
      <c r="NQ266" s="54"/>
      <c r="NR266" s="54"/>
      <c r="NS266" s="54"/>
      <c r="NT266" s="54"/>
      <c r="NU266" s="54"/>
      <c r="NV266" s="54"/>
      <c r="NW266" s="54"/>
      <c r="NX266" s="54"/>
      <c r="NY266" s="54"/>
      <c r="NZ266" s="54"/>
      <c r="OA266" s="54"/>
      <c r="OB266" s="54"/>
      <c r="OC266" s="54"/>
      <c r="OD266" s="54"/>
      <c r="OE266" s="54"/>
      <c r="OF266" s="54"/>
      <c r="OG266" s="54"/>
      <c r="OH266" s="54"/>
      <c r="OI266" s="54"/>
      <c r="OJ266" s="54"/>
      <c r="OK266" s="54"/>
      <c r="OL266" s="54"/>
      <c r="OM266" s="54"/>
      <c r="ON266" s="54"/>
      <c r="OO266" s="54"/>
      <c r="OP266" s="54"/>
      <c r="OQ266" s="54"/>
      <c r="OR266" s="54"/>
      <c r="OS266" s="54"/>
      <c r="OT266" s="54"/>
      <c r="OU266" s="54"/>
      <c r="OV266" s="54"/>
      <c r="OW266" s="54"/>
      <c r="OX266" s="54"/>
      <c r="OY266" s="54"/>
      <c r="OZ266" s="54"/>
      <c r="PA266" s="54"/>
      <c r="PB266" s="54"/>
      <c r="PC266" s="54"/>
      <c r="PD266" s="54"/>
      <c r="PE266" s="54"/>
      <c r="PF266" s="54"/>
      <c r="PG266" s="54"/>
      <c r="PH266" s="54"/>
      <c r="PI266" s="54"/>
      <c r="PJ266" s="54"/>
      <c r="PK266" s="54"/>
      <c r="PL266" s="54"/>
      <c r="PM266" s="54"/>
      <c r="PN266" s="54"/>
      <c r="PO266" s="54"/>
      <c r="PP266" s="54"/>
      <c r="PQ266" s="54"/>
      <c r="PR266" s="54"/>
      <c r="PS266" s="54"/>
      <c r="PT266" s="54"/>
      <c r="PU266" s="54"/>
      <c r="PV266" s="54"/>
      <c r="PW266" s="54"/>
      <c r="PX266" s="54"/>
      <c r="PY266" s="54"/>
      <c r="PZ266" s="54"/>
      <c r="QA266" s="54"/>
      <c r="QB266" s="54"/>
      <c r="QC266" s="54"/>
      <c r="QD266" s="54"/>
      <c r="QE266" s="54"/>
      <c r="QF266" s="54"/>
      <c r="QG266" s="54"/>
      <c r="QH266" s="54"/>
      <c r="QI266" s="54"/>
      <c r="QJ266" s="54"/>
      <c r="QK266" s="54"/>
      <c r="QL266" s="54"/>
      <c r="QM266" s="54"/>
      <c r="QN266" s="54"/>
      <c r="QO266" s="54"/>
      <c r="QP266" s="54"/>
      <c r="QQ266" s="54"/>
      <c r="QR266" s="54"/>
      <c r="QS266" s="54"/>
      <c r="QT266" s="54"/>
      <c r="QU266" s="54"/>
      <c r="QV266" s="54"/>
      <c r="QW266" s="54"/>
      <c r="QX266" s="54"/>
      <c r="QY266" s="54"/>
      <c r="QZ266" s="54"/>
      <c r="RA266" s="54"/>
      <c r="RB266" s="54"/>
      <c r="RC266" s="54"/>
      <c r="RD266" s="54"/>
      <c r="RE266" s="54"/>
      <c r="RF266" s="54"/>
      <c r="RG266" s="54"/>
      <c r="RH266" s="54"/>
      <c r="RI266" s="54"/>
      <c r="RJ266" s="54"/>
      <c r="RK266" s="54"/>
      <c r="RL266" s="54"/>
      <c r="RM266" s="54"/>
      <c r="RN266" s="54"/>
      <c r="RO266" s="54"/>
      <c r="RP266" s="54"/>
      <c r="RQ266" s="54"/>
      <c r="RR266" s="54"/>
      <c r="RS266" s="54"/>
      <c r="RT266" s="54"/>
      <c r="RU266" s="54"/>
      <c r="RV266" s="54"/>
      <c r="RW266" s="54"/>
      <c r="RX266" s="54"/>
      <c r="RY266" s="54"/>
      <c r="RZ266" s="54"/>
      <c r="SA266" s="54"/>
      <c r="SB266" s="54"/>
      <c r="SC266" s="54"/>
      <c r="SD266" s="54"/>
      <c r="SE266" s="54"/>
      <c r="SF266" s="54"/>
      <c r="SG266" s="54"/>
      <c r="SH266" s="54"/>
      <c r="SI266" s="54"/>
      <c r="SJ266" s="54"/>
      <c r="SK266" s="54"/>
      <c r="SL266" s="54"/>
      <c r="SM266" s="54"/>
      <c r="SN266" s="54"/>
      <c r="SO266" s="54"/>
      <c r="SP266" s="54"/>
      <c r="SQ266" s="54"/>
      <c r="SR266" s="54"/>
    </row>
    <row r="267" spans="1:512" ht="15" customHeight="1" x14ac:dyDescent="0.7">
      <c r="A267" s="172"/>
      <c r="B267" s="172"/>
      <c r="C267" s="172"/>
      <c r="D267" s="172"/>
      <c r="E267" s="172"/>
      <c r="F267" s="172"/>
      <c r="G267" s="172"/>
      <c r="I267" s="72" t="s">
        <v>344</v>
      </c>
      <c r="J267" s="73" t="s">
        <v>344</v>
      </c>
      <c r="K267" s="190"/>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c r="BU267" s="54"/>
      <c r="BV267" s="54"/>
      <c r="BW267" s="54"/>
      <c r="BX267" s="54"/>
      <c r="BY267" s="54"/>
      <c r="BZ267" s="54"/>
      <c r="CA267" s="54"/>
      <c r="CB267" s="54"/>
      <c r="CC267" s="54"/>
      <c r="CD267" s="54"/>
      <c r="CE267" s="54"/>
      <c r="CF267" s="54"/>
      <c r="CG267" s="54"/>
      <c r="CH267" s="54"/>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4"/>
      <c r="DI267" s="54"/>
      <c r="DJ267" s="54"/>
      <c r="DK267" s="54"/>
      <c r="DL267" s="54"/>
      <c r="DM267" s="54"/>
      <c r="DN267" s="54"/>
      <c r="DO267" s="54"/>
      <c r="DP267" s="54"/>
      <c r="DQ267" s="54"/>
      <c r="DR267" s="54"/>
      <c r="DS267" s="54"/>
      <c r="DT267" s="54"/>
      <c r="DU267" s="54"/>
      <c r="DV267" s="54"/>
      <c r="DW267" s="54"/>
      <c r="DX267" s="54"/>
      <c r="DY267" s="54"/>
      <c r="DZ267" s="54"/>
      <c r="EA267" s="54"/>
      <c r="EB267" s="54"/>
      <c r="EC267" s="54"/>
      <c r="ED267" s="54"/>
      <c r="EE267" s="54"/>
      <c r="EF267" s="54"/>
      <c r="EG267" s="54"/>
      <c r="EH267" s="54"/>
      <c r="EI267" s="54"/>
      <c r="EJ267" s="54"/>
      <c r="EK267" s="54"/>
      <c r="EL267" s="54"/>
      <c r="EM267" s="54"/>
      <c r="EN267" s="54"/>
      <c r="EO267" s="54"/>
      <c r="EP267" s="54"/>
      <c r="EQ267" s="54"/>
      <c r="ER267" s="54"/>
      <c r="ES267" s="54"/>
      <c r="ET267" s="54"/>
      <c r="EU267" s="54"/>
      <c r="EV267" s="54"/>
      <c r="EW267" s="54"/>
      <c r="EX267" s="54"/>
      <c r="EY267" s="54"/>
      <c r="EZ267" s="54"/>
      <c r="FA267" s="54"/>
      <c r="FB267" s="54"/>
      <c r="FC267" s="54"/>
      <c r="FD267" s="54"/>
      <c r="FE267" s="54"/>
      <c r="FF267" s="54"/>
      <c r="FG267" s="54"/>
      <c r="FH267" s="54"/>
      <c r="FI267" s="54"/>
      <c r="FJ267" s="54"/>
      <c r="FK267" s="54"/>
      <c r="FL267" s="54"/>
      <c r="FM267" s="54"/>
      <c r="FN267" s="54"/>
      <c r="FO267" s="54"/>
      <c r="FP267" s="54"/>
      <c r="FQ267" s="54"/>
      <c r="FR267" s="54"/>
      <c r="FS267" s="54"/>
      <c r="FT267" s="54"/>
      <c r="FU267" s="54"/>
      <c r="FV267" s="54"/>
      <c r="FW267" s="54"/>
      <c r="FX267" s="54"/>
      <c r="FY267" s="54"/>
      <c r="FZ267" s="54"/>
      <c r="GA267" s="54"/>
      <c r="GB267" s="54"/>
      <c r="GC267" s="54"/>
      <c r="GD267" s="54"/>
      <c r="GE267" s="54"/>
      <c r="GF267" s="54"/>
      <c r="GG267" s="54"/>
      <c r="GH267" s="54"/>
      <c r="GI267" s="54"/>
      <c r="GJ267" s="54"/>
      <c r="GK267" s="54"/>
      <c r="GL267" s="54"/>
      <c r="GM267" s="54"/>
      <c r="GN267" s="54"/>
      <c r="GO267" s="54"/>
      <c r="GP267" s="54"/>
      <c r="GQ267" s="54"/>
      <c r="GR267" s="54"/>
      <c r="GS267" s="54"/>
      <c r="GT267" s="54"/>
      <c r="GU267" s="54"/>
      <c r="GV267" s="54"/>
      <c r="GW267" s="54"/>
      <c r="GX267" s="54"/>
      <c r="GY267" s="54"/>
      <c r="GZ267" s="54"/>
      <c r="HA267" s="54"/>
      <c r="HB267" s="54"/>
      <c r="HC267" s="54"/>
      <c r="HD267" s="54"/>
      <c r="HE267" s="54"/>
      <c r="HF267" s="54"/>
      <c r="HG267" s="54"/>
      <c r="HH267" s="54"/>
      <c r="HI267" s="54"/>
      <c r="HJ267" s="54"/>
      <c r="HK267" s="54"/>
      <c r="HL267" s="54"/>
      <c r="HM267" s="54"/>
      <c r="HN267" s="54"/>
      <c r="HO267" s="54"/>
      <c r="HP267" s="54"/>
      <c r="HQ267" s="54"/>
      <c r="HR267" s="54"/>
      <c r="HS267" s="54"/>
      <c r="HT267" s="54"/>
      <c r="HU267" s="54"/>
      <c r="HV267" s="54"/>
      <c r="HW267" s="54"/>
      <c r="HX267" s="54"/>
      <c r="HY267" s="54"/>
      <c r="HZ267" s="54"/>
      <c r="IA267" s="54"/>
      <c r="IB267" s="54"/>
      <c r="IC267" s="54"/>
      <c r="ID267" s="54"/>
      <c r="IE267" s="54"/>
      <c r="IF267" s="54"/>
      <c r="IG267" s="54"/>
      <c r="IH267" s="54"/>
      <c r="II267" s="54"/>
      <c r="IJ267" s="54"/>
      <c r="IK267" s="54"/>
      <c r="IL267" s="54"/>
      <c r="IM267" s="54"/>
      <c r="IN267" s="54"/>
      <c r="IO267" s="54"/>
      <c r="IP267" s="54"/>
      <c r="IQ267" s="54"/>
      <c r="IR267" s="54"/>
      <c r="IS267" s="54"/>
      <c r="IT267" s="54"/>
      <c r="IU267" s="54"/>
      <c r="IV267" s="54"/>
      <c r="IW267" s="54"/>
      <c r="IX267" s="54"/>
      <c r="IY267" s="54"/>
      <c r="IZ267" s="54"/>
      <c r="JA267" s="54"/>
      <c r="JB267" s="54"/>
      <c r="JC267" s="54"/>
      <c r="JD267" s="54"/>
      <c r="JE267" s="54"/>
      <c r="JF267" s="54"/>
      <c r="JG267" s="54"/>
      <c r="JH267" s="54"/>
      <c r="JI267" s="54"/>
      <c r="JJ267" s="54"/>
      <c r="JK267" s="54"/>
      <c r="JL267" s="54"/>
      <c r="JM267" s="54"/>
      <c r="JN267" s="54"/>
      <c r="JO267" s="54"/>
      <c r="JP267" s="54"/>
      <c r="JQ267" s="54"/>
      <c r="JR267" s="54"/>
      <c r="JS267" s="54"/>
      <c r="JT267" s="54"/>
      <c r="JU267" s="54"/>
      <c r="JV267" s="54"/>
      <c r="JW267" s="54"/>
      <c r="JX267" s="54"/>
      <c r="JY267" s="54"/>
      <c r="JZ267" s="54"/>
      <c r="KA267" s="54"/>
      <c r="KB267" s="54"/>
      <c r="KC267" s="54"/>
      <c r="KD267" s="54"/>
      <c r="KE267" s="54"/>
      <c r="KF267" s="54"/>
      <c r="KG267" s="54"/>
      <c r="KH267" s="54"/>
      <c r="KI267" s="54"/>
      <c r="KJ267" s="54"/>
      <c r="KK267" s="54"/>
      <c r="KL267" s="54"/>
      <c r="KM267" s="54"/>
      <c r="KN267" s="54"/>
      <c r="KO267" s="54"/>
      <c r="KP267" s="54"/>
      <c r="KQ267" s="54"/>
      <c r="KR267" s="54"/>
      <c r="KS267" s="54"/>
      <c r="KT267" s="54"/>
      <c r="KU267" s="54"/>
      <c r="KV267" s="54"/>
      <c r="KW267" s="54"/>
      <c r="KX267" s="54"/>
      <c r="KY267" s="54"/>
      <c r="KZ267" s="54"/>
      <c r="LA267" s="54"/>
      <c r="LB267" s="54"/>
      <c r="LC267" s="54"/>
      <c r="LD267" s="54"/>
      <c r="LE267" s="54"/>
      <c r="LF267" s="54"/>
      <c r="LG267" s="54"/>
      <c r="LH267" s="54"/>
      <c r="LI267" s="54"/>
      <c r="LJ267" s="54"/>
      <c r="LK267" s="54"/>
      <c r="LL267" s="54"/>
      <c r="LM267" s="54"/>
      <c r="LN267" s="54"/>
      <c r="LO267" s="54"/>
      <c r="LP267" s="54"/>
      <c r="LQ267" s="54"/>
      <c r="LR267" s="54"/>
      <c r="LS267" s="54"/>
      <c r="LT267" s="54"/>
      <c r="LU267" s="54"/>
      <c r="LV267" s="54"/>
      <c r="LW267" s="54"/>
      <c r="LX267" s="54"/>
      <c r="LY267" s="54"/>
      <c r="LZ267" s="54"/>
      <c r="MA267" s="54"/>
      <c r="MB267" s="54"/>
      <c r="MC267" s="54"/>
      <c r="MD267" s="54"/>
      <c r="ME267" s="54"/>
      <c r="MF267" s="54"/>
      <c r="MG267" s="54"/>
      <c r="MH267" s="54"/>
      <c r="MI267" s="54"/>
      <c r="MJ267" s="54"/>
      <c r="MK267" s="54"/>
      <c r="ML267" s="54"/>
      <c r="MM267" s="54"/>
      <c r="MN267" s="54"/>
      <c r="MO267" s="54"/>
      <c r="MP267" s="54"/>
      <c r="MQ267" s="54"/>
      <c r="MR267" s="54"/>
      <c r="MS267" s="54"/>
      <c r="MT267" s="54"/>
      <c r="MU267" s="54"/>
      <c r="MV267" s="54"/>
      <c r="MW267" s="54"/>
      <c r="MX267" s="54"/>
      <c r="MY267" s="54"/>
      <c r="MZ267" s="54"/>
      <c r="NA267" s="54"/>
      <c r="NB267" s="54"/>
      <c r="NC267" s="54"/>
      <c r="ND267" s="54"/>
      <c r="NE267" s="54"/>
      <c r="NF267" s="54"/>
      <c r="NG267" s="54"/>
      <c r="NH267" s="54"/>
      <c r="NI267" s="54"/>
      <c r="NJ267" s="54"/>
      <c r="NK267" s="54"/>
      <c r="NL267" s="54"/>
      <c r="NM267" s="54"/>
      <c r="NN267" s="54"/>
      <c r="NO267" s="54"/>
      <c r="NP267" s="54"/>
      <c r="NQ267" s="54"/>
      <c r="NR267" s="54"/>
      <c r="NS267" s="54"/>
      <c r="NT267" s="54"/>
      <c r="NU267" s="54"/>
      <c r="NV267" s="54"/>
      <c r="NW267" s="54"/>
      <c r="NX267" s="54"/>
      <c r="NY267" s="54"/>
      <c r="NZ267" s="54"/>
      <c r="OA267" s="54"/>
      <c r="OB267" s="54"/>
      <c r="OC267" s="54"/>
      <c r="OD267" s="54"/>
      <c r="OE267" s="54"/>
      <c r="OF267" s="54"/>
      <c r="OG267" s="54"/>
      <c r="OH267" s="54"/>
      <c r="OI267" s="54"/>
      <c r="OJ267" s="54"/>
      <c r="OK267" s="54"/>
      <c r="OL267" s="54"/>
      <c r="OM267" s="54"/>
      <c r="ON267" s="54"/>
      <c r="OO267" s="54"/>
      <c r="OP267" s="54"/>
      <c r="OQ267" s="54"/>
      <c r="OR267" s="54"/>
      <c r="OS267" s="54"/>
      <c r="OT267" s="54"/>
      <c r="OU267" s="54"/>
      <c r="OV267" s="54"/>
      <c r="OW267" s="54"/>
      <c r="OX267" s="54"/>
      <c r="OY267" s="54"/>
      <c r="OZ267" s="54"/>
      <c r="PA267" s="54"/>
      <c r="PB267" s="54"/>
      <c r="PC267" s="54"/>
      <c r="PD267" s="54"/>
      <c r="PE267" s="54"/>
      <c r="PF267" s="54"/>
      <c r="PG267" s="54"/>
      <c r="PH267" s="54"/>
      <c r="PI267" s="54"/>
      <c r="PJ267" s="54"/>
      <c r="PK267" s="54"/>
      <c r="PL267" s="54"/>
      <c r="PM267" s="54"/>
      <c r="PN267" s="54"/>
      <c r="PO267" s="54"/>
      <c r="PP267" s="54"/>
      <c r="PQ267" s="54"/>
      <c r="PR267" s="54"/>
      <c r="PS267" s="54"/>
      <c r="PT267" s="54"/>
      <c r="PU267" s="54"/>
      <c r="PV267" s="54"/>
      <c r="PW267" s="54"/>
      <c r="PX267" s="54"/>
      <c r="PY267" s="54"/>
      <c r="PZ267" s="54"/>
      <c r="QA267" s="54"/>
      <c r="QB267" s="54"/>
      <c r="QC267" s="54"/>
      <c r="QD267" s="54"/>
      <c r="QE267" s="54"/>
      <c r="QF267" s="54"/>
      <c r="QG267" s="54"/>
      <c r="QH267" s="54"/>
      <c r="QI267" s="54"/>
      <c r="QJ267" s="54"/>
      <c r="QK267" s="54"/>
      <c r="QL267" s="54"/>
      <c r="QM267" s="54"/>
      <c r="QN267" s="54"/>
      <c r="QO267" s="54"/>
      <c r="QP267" s="54"/>
      <c r="QQ267" s="54"/>
      <c r="QR267" s="54"/>
      <c r="QS267" s="54"/>
      <c r="QT267" s="54"/>
      <c r="QU267" s="54"/>
      <c r="QV267" s="54"/>
      <c r="QW267" s="54"/>
      <c r="QX267" s="54"/>
      <c r="QY267" s="54"/>
      <c r="QZ267" s="54"/>
      <c r="RA267" s="54"/>
      <c r="RB267" s="54"/>
      <c r="RC267" s="54"/>
      <c r="RD267" s="54"/>
      <c r="RE267" s="54"/>
      <c r="RF267" s="54"/>
      <c r="RG267" s="54"/>
      <c r="RH267" s="54"/>
      <c r="RI267" s="54"/>
      <c r="RJ267" s="54"/>
      <c r="RK267" s="54"/>
      <c r="RL267" s="54"/>
      <c r="RM267" s="54"/>
      <c r="RN267" s="54"/>
      <c r="RO267" s="54"/>
      <c r="RP267" s="54"/>
      <c r="RQ267" s="54"/>
      <c r="RR267" s="54"/>
      <c r="RS267" s="54"/>
      <c r="RT267" s="54"/>
      <c r="RU267" s="54"/>
      <c r="RV267" s="54"/>
      <c r="RW267" s="54"/>
      <c r="RX267" s="54"/>
      <c r="RY267" s="54"/>
      <c r="RZ267" s="54"/>
      <c r="SA267" s="54"/>
      <c r="SB267" s="54"/>
      <c r="SC267" s="54"/>
      <c r="SD267" s="54"/>
      <c r="SE267" s="54"/>
      <c r="SF267" s="54"/>
      <c r="SG267" s="54"/>
      <c r="SH267" s="54"/>
      <c r="SI267" s="54"/>
      <c r="SJ267" s="54"/>
      <c r="SK267" s="54"/>
      <c r="SL267" s="54"/>
      <c r="SM267" s="54"/>
      <c r="SN267" s="54"/>
      <c r="SO267" s="54"/>
      <c r="SP267" s="54"/>
      <c r="SQ267" s="54"/>
      <c r="SR267" s="54"/>
    </row>
    <row r="268" spans="1:512" s="55" customFormat="1" ht="15" customHeight="1" x14ac:dyDescent="0.7">
      <c r="A268" s="173"/>
      <c r="B268" s="173"/>
      <c r="C268" s="173"/>
      <c r="D268" s="173"/>
      <c r="E268" s="173"/>
      <c r="F268" s="173"/>
      <c r="G268" s="173"/>
      <c r="H268" s="74"/>
      <c r="I268" s="75"/>
      <c r="J268" s="76"/>
      <c r="K268" s="191"/>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c r="IX268" s="56"/>
      <c r="IY268" s="56"/>
      <c r="IZ268" s="56"/>
      <c r="JA268" s="56"/>
      <c r="JB268" s="56"/>
      <c r="JC268" s="56"/>
      <c r="JD268" s="56"/>
      <c r="JE268" s="56"/>
      <c r="JF268" s="56"/>
      <c r="JG268" s="56"/>
      <c r="JH268" s="56"/>
      <c r="JI268" s="56"/>
      <c r="JJ268" s="56"/>
      <c r="JK268" s="56"/>
      <c r="JL268" s="56"/>
      <c r="JM268" s="56"/>
      <c r="JN268" s="56"/>
      <c r="JO268" s="56"/>
      <c r="JP268" s="56"/>
      <c r="JQ268" s="56"/>
      <c r="JR268" s="56"/>
      <c r="JS268" s="56"/>
      <c r="JT268" s="56"/>
      <c r="JU268" s="56"/>
      <c r="JV268" s="56"/>
      <c r="JW268" s="56"/>
      <c r="JX268" s="56"/>
      <c r="JY268" s="56"/>
      <c r="JZ268" s="56"/>
      <c r="KA268" s="56"/>
      <c r="KB268" s="56"/>
      <c r="KC268" s="56"/>
      <c r="KD268" s="56"/>
      <c r="KE268" s="56"/>
      <c r="KF268" s="56"/>
      <c r="KG268" s="56"/>
      <c r="KH268" s="56"/>
      <c r="KI268" s="56"/>
      <c r="KJ268" s="56"/>
      <c r="KK268" s="56"/>
      <c r="KL268" s="56"/>
      <c r="KM268" s="56"/>
      <c r="KN268" s="56"/>
      <c r="KO268" s="56"/>
      <c r="KP268" s="56"/>
      <c r="KQ268" s="56"/>
      <c r="KR268" s="56"/>
      <c r="KS268" s="56"/>
      <c r="KT268" s="56"/>
      <c r="KU268" s="56"/>
      <c r="KV268" s="56"/>
      <c r="KW268" s="56"/>
      <c r="KX268" s="56"/>
      <c r="KY268" s="56"/>
      <c r="KZ268" s="56"/>
      <c r="LA268" s="56"/>
      <c r="LB268" s="56"/>
      <c r="LC268" s="56"/>
      <c r="LD268" s="56"/>
      <c r="LE268" s="56"/>
      <c r="LF268" s="56"/>
      <c r="LG268" s="56"/>
      <c r="LH268" s="56"/>
      <c r="LI268" s="56"/>
      <c r="LJ268" s="56"/>
      <c r="LK268" s="56"/>
      <c r="LL268" s="56"/>
      <c r="LM268" s="56"/>
      <c r="LN268" s="56"/>
      <c r="LO268" s="56"/>
      <c r="LP268" s="56"/>
      <c r="LQ268" s="56"/>
      <c r="LR268" s="56"/>
      <c r="LS268" s="56"/>
      <c r="LT268" s="56"/>
      <c r="LU268" s="56"/>
      <c r="LV268" s="56"/>
      <c r="LW268" s="56"/>
      <c r="LX268" s="56"/>
      <c r="LY268" s="56"/>
      <c r="LZ268" s="56"/>
      <c r="MA268" s="56"/>
      <c r="MB268" s="56"/>
      <c r="MC268" s="56"/>
      <c r="MD268" s="56"/>
      <c r="ME268" s="56"/>
      <c r="MF268" s="56"/>
      <c r="MG268" s="56"/>
      <c r="MH268" s="56"/>
      <c r="MI268" s="56"/>
      <c r="MJ268" s="56"/>
      <c r="MK268" s="56"/>
      <c r="ML268" s="56"/>
      <c r="MM268" s="56"/>
      <c r="MN268" s="56"/>
      <c r="MO268" s="56"/>
      <c r="MP268" s="56"/>
      <c r="MQ268" s="56"/>
      <c r="MR268" s="56"/>
      <c r="MS268" s="56"/>
      <c r="MT268" s="56"/>
      <c r="MU268" s="56"/>
      <c r="MV268" s="56"/>
      <c r="MW268" s="56"/>
      <c r="MX268" s="56"/>
      <c r="MY268" s="56"/>
      <c r="MZ268" s="56"/>
      <c r="NA268" s="56"/>
      <c r="NB268" s="56"/>
      <c r="NC268" s="56"/>
      <c r="ND268" s="56"/>
      <c r="NE268" s="56"/>
      <c r="NF268" s="56"/>
      <c r="NG268" s="56"/>
      <c r="NH268" s="56"/>
      <c r="NI268" s="56"/>
      <c r="NJ268" s="56"/>
      <c r="NK268" s="56"/>
      <c r="NL268" s="56"/>
      <c r="NM268" s="56"/>
      <c r="NN268" s="56"/>
      <c r="NO268" s="56"/>
      <c r="NP268" s="56"/>
      <c r="NQ268" s="56"/>
      <c r="NR268" s="56"/>
      <c r="NS268" s="56"/>
      <c r="NT268" s="56"/>
      <c r="NU268" s="56"/>
      <c r="NV268" s="56"/>
      <c r="NW268" s="56"/>
      <c r="NX268" s="56"/>
      <c r="NY268" s="56"/>
      <c r="NZ268" s="56"/>
      <c r="OA268" s="56"/>
      <c r="OB268" s="56"/>
      <c r="OC268" s="56"/>
      <c r="OD268" s="56"/>
      <c r="OE268" s="56"/>
      <c r="OF268" s="56"/>
      <c r="OG268" s="56"/>
      <c r="OH268" s="56"/>
      <c r="OI268" s="56"/>
      <c r="OJ268" s="56"/>
      <c r="OK268" s="56"/>
      <c r="OL268" s="56"/>
      <c r="OM268" s="56"/>
      <c r="ON268" s="56"/>
      <c r="OO268" s="56"/>
      <c r="OP268" s="56"/>
      <c r="OQ268" s="56"/>
      <c r="OR268" s="56"/>
      <c r="OS268" s="56"/>
      <c r="OT268" s="56"/>
      <c r="OU268" s="56"/>
      <c r="OV268" s="56"/>
      <c r="OW268" s="56"/>
      <c r="OX268" s="56"/>
      <c r="OY268" s="56"/>
      <c r="OZ268" s="56"/>
      <c r="PA268" s="56"/>
      <c r="PB268" s="56"/>
      <c r="PC268" s="56"/>
      <c r="PD268" s="56"/>
      <c r="PE268" s="56"/>
      <c r="PF268" s="56"/>
      <c r="PG268" s="56"/>
      <c r="PH268" s="56"/>
      <c r="PI268" s="56"/>
      <c r="PJ268" s="56"/>
      <c r="PK268" s="56"/>
      <c r="PL268" s="56"/>
      <c r="PM268" s="56"/>
      <c r="PN268" s="56"/>
      <c r="PO268" s="56"/>
      <c r="PP268" s="56"/>
      <c r="PQ268" s="56"/>
      <c r="PR268" s="56"/>
      <c r="PS268" s="56"/>
      <c r="PT268" s="56"/>
      <c r="PU268" s="56"/>
      <c r="PV268" s="56"/>
      <c r="PW268" s="56"/>
      <c r="PX268" s="56"/>
      <c r="PY268" s="56"/>
      <c r="PZ268" s="56"/>
      <c r="QA268" s="56"/>
      <c r="QB268" s="56"/>
      <c r="QC268" s="56"/>
      <c r="QD268" s="56"/>
      <c r="QE268" s="56"/>
      <c r="QF268" s="56"/>
      <c r="QG268" s="56"/>
      <c r="QH268" s="56"/>
      <c r="QI268" s="56"/>
      <c r="QJ268" s="56"/>
      <c r="QK268" s="56"/>
      <c r="QL268" s="56"/>
      <c r="QM268" s="56"/>
      <c r="QN268" s="56"/>
      <c r="QO268" s="56"/>
      <c r="QP268" s="56"/>
      <c r="QQ268" s="56"/>
      <c r="QR268" s="56"/>
      <c r="QS268" s="56"/>
      <c r="QT268" s="56"/>
      <c r="QU268" s="56"/>
      <c r="QV268" s="56"/>
      <c r="QW268" s="56"/>
      <c r="QX268" s="56"/>
      <c r="QY268" s="56"/>
      <c r="QZ268" s="56"/>
      <c r="RA268" s="56"/>
      <c r="RB268" s="56"/>
      <c r="RC268" s="56"/>
      <c r="RD268" s="56"/>
      <c r="RE268" s="56"/>
      <c r="RF268" s="56"/>
      <c r="RG268" s="56"/>
      <c r="RH268" s="56"/>
      <c r="RI268" s="56"/>
      <c r="RJ268" s="56"/>
      <c r="RK268" s="56"/>
      <c r="RL268" s="56"/>
      <c r="RM268" s="56"/>
      <c r="RN268" s="56"/>
      <c r="RO268" s="56"/>
      <c r="RP268" s="56"/>
      <c r="RQ268" s="56"/>
      <c r="RR268" s="56"/>
      <c r="RS268" s="56"/>
      <c r="RT268" s="56"/>
      <c r="RU268" s="56"/>
      <c r="RV268" s="56"/>
      <c r="RW268" s="56"/>
      <c r="RX268" s="56"/>
      <c r="RY268" s="56"/>
      <c r="RZ268" s="56"/>
      <c r="SA268" s="56"/>
      <c r="SB268" s="56"/>
      <c r="SC268" s="56"/>
      <c r="SD268" s="56"/>
      <c r="SE268" s="56"/>
      <c r="SF268" s="56"/>
      <c r="SG268" s="56"/>
      <c r="SH268" s="56"/>
      <c r="SI268" s="56"/>
      <c r="SJ268" s="56"/>
      <c r="SK268" s="56"/>
      <c r="SL268" s="56"/>
      <c r="SM268" s="56"/>
      <c r="SN268" s="56"/>
      <c r="SO268" s="56"/>
      <c r="SP268" s="56"/>
      <c r="SQ268" s="56"/>
      <c r="SR268" s="56"/>
    </row>
    <row r="269" spans="1:512" ht="15" customHeight="1" x14ac:dyDescent="0.7">
      <c r="A269" s="171" t="s">
        <v>344</v>
      </c>
      <c r="B269" s="171" t="s">
        <v>344</v>
      </c>
      <c r="C269" s="171" t="s">
        <v>344</v>
      </c>
      <c r="D269" s="171"/>
      <c r="E269" s="171" t="s">
        <v>344</v>
      </c>
      <c r="F269" s="171"/>
      <c r="G269" s="188" t="s">
        <v>344</v>
      </c>
      <c r="H269" s="71" t="s">
        <v>344</v>
      </c>
      <c r="I269" s="72" t="s">
        <v>344</v>
      </c>
      <c r="J269" s="73" t="s">
        <v>344</v>
      </c>
      <c r="K269" s="189" t="s">
        <v>344</v>
      </c>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c r="BU269" s="54"/>
      <c r="BV269" s="54"/>
      <c r="BW269" s="54"/>
      <c r="BX269" s="54"/>
      <c r="BY269" s="54"/>
      <c r="BZ269" s="54"/>
      <c r="CA269" s="54"/>
      <c r="CB269" s="54"/>
      <c r="CC269" s="54"/>
      <c r="CD269" s="54"/>
      <c r="CE269" s="54"/>
      <c r="CF269" s="54"/>
      <c r="CG269" s="54"/>
      <c r="CH269" s="54"/>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4"/>
      <c r="DI269" s="54"/>
      <c r="DJ269" s="54"/>
      <c r="DK269" s="54"/>
      <c r="DL269" s="54"/>
      <c r="DM269" s="54"/>
      <c r="DN269" s="54"/>
      <c r="DO269" s="54"/>
      <c r="DP269" s="54"/>
      <c r="DQ269" s="54"/>
      <c r="DR269" s="54"/>
      <c r="DS269" s="54"/>
      <c r="DT269" s="54"/>
      <c r="DU269" s="54"/>
      <c r="DV269" s="54"/>
      <c r="DW269" s="54"/>
      <c r="DX269" s="54"/>
      <c r="DY269" s="54"/>
      <c r="DZ269" s="54"/>
      <c r="EA269" s="54"/>
      <c r="EB269" s="54"/>
      <c r="EC269" s="54"/>
      <c r="ED269" s="54"/>
      <c r="EE269" s="54"/>
      <c r="EF269" s="54"/>
      <c r="EG269" s="54"/>
      <c r="EH269" s="54"/>
      <c r="EI269" s="54"/>
      <c r="EJ269" s="54"/>
      <c r="EK269" s="54"/>
      <c r="EL269" s="54"/>
      <c r="EM269" s="54"/>
      <c r="EN269" s="54"/>
      <c r="EO269" s="54"/>
      <c r="EP269" s="54"/>
      <c r="EQ269" s="54"/>
      <c r="ER269" s="54"/>
      <c r="ES269" s="54"/>
      <c r="ET269" s="54"/>
      <c r="EU269" s="54"/>
      <c r="EV269" s="54"/>
      <c r="EW269" s="54"/>
      <c r="EX269" s="54"/>
      <c r="EY269" s="54"/>
      <c r="EZ269" s="54"/>
      <c r="FA269" s="54"/>
      <c r="FB269" s="54"/>
      <c r="FC269" s="54"/>
      <c r="FD269" s="54"/>
      <c r="FE269" s="54"/>
      <c r="FF269" s="54"/>
      <c r="FG269" s="54"/>
      <c r="FH269" s="54"/>
      <c r="FI269" s="54"/>
      <c r="FJ269" s="54"/>
      <c r="FK269" s="54"/>
      <c r="FL269" s="54"/>
      <c r="FM269" s="54"/>
      <c r="FN269" s="54"/>
      <c r="FO269" s="54"/>
      <c r="FP269" s="54"/>
      <c r="FQ269" s="54"/>
      <c r="FR269" s="54"/>
      <c r="FS269" s="54"/>
      <c r="FT269" s="54"/>
      <c r="FU269" s="54"/>
      <c r="FV269" s="54"/>
      <c r="FW269" s="54"/>
      <c r="FX269" s="54"/>
      <c r="FY269" s="54"/>
      <c r="FZ269" s="54"/>
      <c r="GA269" s="54"/>
      <c r="GB269" s="54"/>
      <c r="GC269" s="54"/>
      <c r="GD269" s="54"/>
      <c r="GE269" s="54"/>
      <c r="GF269" s="54"/>
      <c r="GG269" s="54"/>
      <c r="GH269" s="54"/>
      <c r="GI269" s="54"/>
      <c r="GJ269" s="54"/>
      <c r="GK269" s="54"/>
      <c r="GL269" s="54"/>
      <c r="GM269" s="54"/>
      <c r="GN269" s="54"/>
      <c r="GO269" s="54"/>
      <c r="GP269" s="54"/>
      <c r="GQ269" s="54"/>
      <c r="GR269" s="54"/>
      <c r="GS269" s="54"/>
      <c r="GT269" s="54"/>
      <c r="GU269" s="54"/>
      <c r="GV269" s="54"/>
      <c r="GW269" s="54"/>
      <c r="GX269" s="54"/>
      <c r="GY269" s="54"/>
      <c r="GZ269" s="54"/>
      <c r="HA269" s="54"/>
      <c r="HB269" s="54"/>
      <c r="HC269" s="54"/>
      <c r="HD269" s="54"/>
      <c r="HE269" s="54"/>
      <c r="HF269" s="54"/>
      <c r="HG269" s="54"/>
      <c r="HH269" s="54"/>
      <c r="HI269" s="54"/>
      <c r="HJ269" s="54"/>
      <c r="HK269" s="54"/>
      <c r="HL269" s="54"/>
      <c r="HM269" s="54"/>
      <c r="HN269" s="54"/>
      <c r="HO269" s="54"/>
      <c r="HP269" s="54"/>
      <c r="HQ269" s="54"/>
      <c r="HR269" s="54"/>
      <c r="HS269" s="54"/>
      <c r="HT269" s="54"/>
      <c r="HU269" s="54"/>
      <c r="HV269" s="54"/>
      <c r="HW269" s="54"/>
      <c r="HX269" s="54"/>
      <c r="HY269" s="54"/>
      <c r="HZ269" s="54"/>
      <c r="IA269" s="54"/>
      <c r="IB269" s="54"/>
      <c r="IC269" s="54"/>
      <c r="ID269" s="54"/>
      <c r="IE269" s="54"/>
      <c r="IF269" s="54"/>
      <c r="IG269" s="54"/>
      <c r="IH269" s="54"/>
      <c r="II269" s="54"/>
      <c r="IJ269" s="54"/>
      <c r="IK269" s="54"/>
      <c r="IL269" s="54"/>
      <c r="IM269" s="54"/>
      <c r="IN269" s="54"/>
      <c r="IO269" s="54"/>
      <c r="IP269" s="54"/>
      <c r="IQ269" s="54"/>
      <c r="IR269" s="54"/>
      <c r="IS269" s="54"/>
      <c r="IT269" s="54"/>
      <c r="IU269" s="54"/>
      <c r="IV269" s="54"/>
      <c r="IW269" s="54"/>
      <c r="IX269" s="54"/>
      <c r="IY269" s="54"/>
      <c r="IZ269" s="54"/>
      <c r="JA269" s="54"/>
      <c r="JB269" s="54"/>
      <c r="JC269" s="54"/>
      <c r="JD269" s="54"/>
      <c r="JE269" s="54"/>
      <c r="JF269" s="54"/>
      <c r="JG269" s="54"/>
      <c r="JH269" s="54"/>
      <c r="JI269" s="54"/>
      <c r="JJ269" s="54"/>
      <c r="JK269" s="54"/>
      <c r="JL269" s="54"/>
      <c r="JM269" s="54"/>
      <c r="JN269" s="54"/>
      <c r="JO269" s="54"/>
      <c r="JP269" s="54"/>
      <c r="JQ269" s="54"/>
      <c r="JR269" s="54"/>
      <c r="JS269" s="54"/>
      <c r="JT269" s="54"/>
      <c r="JU269" s="54"/>
      <c r="JV269" s="54"/>
      <c r="JW269" s="54"/>
      <c r="JX269" s="54"/>
      <c r="JY269" s="54"/>
      <c r="JZ269" s="54"/>
      <c r="KA269" s="54"/>
      <c r="KB269" s="54"/>
      <c r="KC269" s="54"/>
      <c r="KD269" s="54"/>
      <c r="KE269" s="54"/>
      <c r="KF269" s="54"/>
      <c r="KG269" s="54"/>
      <c r="KH269" s="54"/>
      <c r="KI269" s="54"/>
      <c r="KJ269" s="54"/>
      <c r="KK269" s="54"/>
      <c r="KL269" s="54"/>
      <c r="KM269" s="54"/>
      <c r="KN269" s="54"/>
      <c r="KO269" s="54"/>
      <c r="KP269" s="54"/>
      <c r="KQ269" s="54"/>
      <c r="KR269" s="54"/>
      <c r="KS269" s="54"/>
      <c r="KT269" s="54"/>
      <c r="KU269" s="54"/>
      <c r="KV269" s="54"/>
      <c r="KW269" s="54"/>
      <c r="KX269" s="54"/>
      <c r="KY269" s="54"/>
      <c r="KZ269" s="54"/>
      <c r="LA269" s="54"/>
      <c r="LB269" s="54"/>
      <c r="LC269" s="54"/>
      <c r="LD269" s="54"/>
      <c r="LE269" s="54"/>
      <c r="LF269" s="54"/>
      <c r="LG269" s="54"/>
      <c r="LH269" s="54"/>
      <c r="LI269" s="54"/>
      <c r="LJ269" s="54"/>
      <c r="LK269" s="54"/>
      <c r="LL269" s="54"/>
      <c r="LM269" s="54"/>
      <c r="LN269" s="54"/>
      <c r="LO269" s="54"/>
      <c r="LP269" s="54"/>
      <c r="LQ269" s="54"/>
      <c r="LR269" s="54"/>
      <c r="LS269" s="54"/>
      <c r="LT269" s="54"/>
      <c r="LU269" s="54"/>
      <c r="LV269" s="54"/>
      <c r="LW269" s="54"/>
      <c r="LX269" s="54"/>
      <c r="LY269" s="54"/>
      <c r="LZ269" s="54"/>
      <c r="MA269" s="54"/>
      <c r="MB269" s="54"/>
      <c r="MC269" s="54"/>
      <c r="MD269" s="54"/>
      <c r="ME269" s="54"/>
      <c r="MF269" s="54"/>
      <c r="MG269" s="54"/>
      <c r="MH269" s="54"/>
      <c r="MI269" s="54"/>
      <c r="MJ269" s="54"/>
      <c r="MK269" s="54"/>
      <c r="ML269" s="54"/>
      <c r="MM269" s="54"/>
      <c r="MN269" s="54"/>
      <c r="MO269" s="54"/>
      <c r="MP269" s="54"/>
      <c r="MQ269" s="54"/>
      <c r="MR269" s="54"/>
      <c r="MS269" s="54"/>
      <c r="MT269" s="54"/>
      <c r="MU269" s="54"/>
      <c r="MV269" s="54"/>
      <c r="MW269" s="54"/>
      <c r="MX269" s="54"/>
      <c r="MY269" s="54"/>
      <c r="MZ269" s="54"/>
      <c r="NA269" s="54"/>
      <c r="NB269" s="54"/>
      <c r="NC269" s="54"/>
      <c r="ND269" s="54"/>
      <c r="NE269" s="54"/>
      <c r="NF269" s="54"/>
      <c r="NG269" s="54"/>
      <c r="NH269" s="54"/>
      <c r="NI269" s="54"/>
      <c r="NJ269" s="54"/>
      <c r="NK269" s="54"/>
      <c r="NL269" s="54"/>
      <c r="NM269" s="54"/>
      <c r="NN269" s="54"/>
      <c r="NO269" s="54"/>
      <c r="NP269" s="54"/>
      <c r="NQ269" s="54"/>
      <c r="NR269" s="54"/>
      <c r="NS269" s="54"/>
      <c r="NT269" s="54"/>
      <c r="NU269" s="54"/>
      <c r="NV269" s="54"/>
      <c r="NW269" s="54"/>
      <c r="NX269" s="54"/>
      <c r="NY269" s="54"/>
      <c r="NZ269" s="54"/>
      <c r="OA269" s="54"/>
      <c r="OB269" s="54"/>
      <c r="OC269" s="54"/>
      <c r="OD269" s="54"/>
      <c r="OE269" s="54"/>
      <c r="OF269" s="54"/>
      <c r="OG269" s="54"/>
      <c r="OH269" s="54"/>
      <c r="OI269" s="54"/>
      <c r="OJ269" s="54"/>
      <c r="OK269" s="54"/>
      <c r="OL269" s="54"/>
      <c r="OM269" s="54"/>
      <c r="ON269" s="54"/>
      <c r="OO269" s="54"/>
      <c r="OP269" s="54"/>
      <c r="OQ269" s="54"/>
      <c r="OR269" s="54"/>
      <c r="OS269" s="54"/>
      <c r="OT269" s="54"/>
      <c r="OU269" s="54"/>
      <c r="OV269" s="54"/>
      <c r="OW269" s="54"/>
      <c r="OX269" s="54"/>
      <c r="OY269" s="54"/>
      <c r="OZ269" s="54"/>
      <c r="PA269" s="54"/>
      <c r="PB269" s="54"/>
      <c r="PC269" s="54"/>
      <c r="PD269" s="54"/>
      <c r="PE269" s="54"/>
      <c r="PF269" s="54"/>
      <c r="PG269" s="54"/>
      <c r="PH269" s="54"/>
      <c r="PI269" s="54"/>
      <c r="PJ269" s="54"/>
      <c r="PK269" s="54"/>
      <c r="PL269" s="54"/>
      <c r="PM269" s="54"/>
      <c r="PN269" s="54"/>
      <c r="PO269" s="54"/>
      <c r="PP269" s="54"/>
      <c r="PQ269" s="54"/>
      <c r="PR269" s="54"/>
      <c r="PS269" s="54"/>
      <c r="PT269" s="54"/>
      <c r="PU269" s="54"/>
      <c r="PV269" s="54"/>
      <c r="PW269" s="54"/>
      <c r="PX269" s="54"/>
      <c r="PY269" s="54"/>
      <c r="PZ269" s="54"/>
      <c r="QA269" s="54"/>
      <c r="QB269" s="54"/>
      <c r="QC269" s="54"/>
      <c r="QD269" s="54"/>
      <c r="QE269" s="54"/>
      <c r="QF269" s="54"/>
      <c r="QG269" s="54"/>
      <c r="QH269" s="54"/>
      <c r="QI269" s="54"/>
      <c r="QJ269" s="54"/>
      <c r="QK269" s="54"/>
      <c r="QL269" s="54"/>
      <c r="QM269" s="54"/>
      <c r="QN269" s="54"/>
      <c r="QO269" s="54"/>
      <c r="QP269" s="54"/>
      <c r="QQ269" s="54"/>
      <c r="QR269" s="54"/>
      <c r="QS269" s="54"/>
      <c r="QT269" s="54"/>
      <c r="QU269" s="54"/>
      <c r="QV269" s="54"/>
      <c r="QW269" s="54"/>
      <c r="QX269" s="54"/>
      <c r="QY269" s="54"/>
      <c r="QZ269" s="54"/>
      <c r="RA269" s="54"/>
      <c r="RB269" s="54"/>
      <c r="RC269" s="54"/>
      <c r="RD269" s="54"/>
      <c r="RE269" s="54"/>
      <c r="RF269" s="54"/>
      <c r="RG269" s="54"/>
      <c r="RH269" s="54"/>
      <c r="RI269" s="54"/>
      <c r="RJ269" s="54"/>
      <c r="RK269" s="54"/>
      <c r="RL269" s="54"/>
      <c r="RM269" s="54"/>
      <c r="RN269" s="54"/>
      <c r="RO269" s="54"/>
      <c r="RP269" s="54"/>
      <c r="RQ269" s="54"/>
      <c r="RR269" s="54"/>
      <c r="RS269" s="54"/>
      <c r="RT269" s="54"/>
      <c r="RU269" s="54"/>
      <c r="RV269" s="54"/>
      <c r="RW269" s="54"/>
      <c r="RX269" s="54"/>
      <c r="RY269" s="54"/>
      <c r="RZ269" s="54"/>
      <c r="SA269" s="54"/>
      <c r="SB269" s="54"/>
      <c r="SC269" s="54"/>
      <c r="SD269" s="54"/>
      <c r="SE269" s="54"/>
      <c r="SF269" s="54"/>
      <c r="SG269" s="54"/>
      <c r="SH269" s="54"/>
      <c r="SI269" s="54"/>
      <c r="SJ269" s="54"/>
      <c r="SK269" s="54"/>
      <c r="SL269" s="54"/>
      <c r="SM269" s="54"/>
      <c r="SN269" s="54"/>
      <c r="SO269" s="54"/>
      <c r="SP269" s="54"/>
      <c r="SQ269" s="54"/>
      <c r="SR269" s="54"/>
    </row>
    <row r="270" spans="1:512" ht="15" customHeight="1" x14ac:dyDescent="0.7">
      <c r="A270" s="172"/>
      <c r="B270" s="172"/>
      <c r="C270" s="172"/>
      <c r="D270" s="172"/>
      <c r="E270" s="172"/>
      <c r="F270" s="172"/>
      <c r="G270" s="172"/>
      <c r="I270" s="72" t="s">
        <v>344</v>
      </c>
      <c r="J270" s="73" t="s">
        <v>344</v>
      </c>
      <c r="K270" s="190"/>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c r="BU270" s="54"/>
      <c r="BV270" s="54"/>
      <c r="BW270" s="54"/>
      <c r="BX270" s="54"/>
      <c r="BY270" s="54"/>
      <c r="BZ270" s="54"/>
      <c r="CA270" s="54"/>
      <c r="CB270" s="54"/>
      <c r="CC270" s="54"/>
      <c r="CD270" s="54"/>
      <c r="CE270" s="54"/>
      <c r="CF270" s="54"/>
      <c r="CG270" s="54"/>
      <c r="CH270" s="54"/>
      <c r="CI270" s="54"/>
      <c r="CJ270" s="54"/>
      <c r="CK270" s="54"/>
      <c r="CL270" s="54"/>
      <c r="CM270" s="54"/>
      <c r="CN270" s="54"/>
      <c r="CO270" s="54"/>
      <c r="CP270" s="54"/>
      <c r="CQ270" s="54"/>
      <c r="CR270" s="54"/>
      <c r="CS270" s="54"/>
      <c r="CT270" s="54"/>
      <c r="CU270" s="54"/>
      <c r="CV270" s="54"/>
      <c r="CW270" s="54"/>
      <c r="CX270" s="54"/>
      <c r="CY270" s="54"/>
      <c r="CZ270" s="54"/>
      <c r="DA270" s="54"/>
      <c r="DB270" s="54"/>
      <c r="DC270" s="54"/>
      <c r="DD270" s="54"/>
      <c r="DE270" s="54"/>
      <c r="DF270" s="54"/>
      <c r="DG270" s="54"/>
      <c r="DH270" s="54"/>
      <c r="DI270" s="54"/>
      <c r="DJ270" s="54"/>
      <c r="DK270" s="54"/>
      <c r="DL270" s="54"/>
      <c r="DM270" s="54"/>
      <c r="DN270" s="54"/>
      <c r="DO270" s="54"/>
      <c r="DP270" s="54"/>
      <c r="DQ270" s="54"/>
      <c r="DR270" s="54"/>
      <c r="DS270" s="54"/>
      <c r="DT270" s="54"/>
      <c r="DU270" s="54"/>
      <c r="DV270" s="54"/>
      <c r="DW270" s="54"/>
      <c r="DX270" s="54"/>
      <c r="DY270" s="54"/>
      <c r="DZ270" s="54"/>
      <c r="EA270" s="54"/>
      <c r="EB270" s="54"/>
      <c r="EC270" s="54"/>
      <c r="ED270" s="54"/>
      <c r="EE270" s="54"/>
      <c r="EF270" s="54"/>
      <c r="EG270" s="54"/>
      <c r="EH270" s="54"/>
      <c r="EI270" s="54"/>
      <c r="EJ270" s="54"/>
      <c r="EK270" s="54"/>
      <c r="EL270" s="54"/>
      <c r="EM270" s="54"/>
      <c r="EN270" s="54"/>
      <c r="EO270" s="54"/>
      <c r="EP270" s="54"/>
      <c r="EQ270" s="54"/>
      <c r="ER270" s="54"/>
      <c r="ES270" s="54"/>
      <c r="ET270" s="54"/>
      <c r="EU270" s="54"/>
      <c r="EV270" s="54"/>
      <c r="EW270" s="54"/>
      <c r="EX270" s="54"/>
      <c r="EY270" s="54"/>
      <c r="EZ270" s="54"/>
      <c r="FA270" s="54"/>
      <c r="FB270" s="54"/>
      <c r="FC270" s="54"/>
      <c r="FD270" s="54"/>
      <c r="FE270" s="54"/>
      <c r="FF270" s="54"/>
      <c r="FG270" s="54"/>
      <c r="FH270" s="54"/>
      <c r="FI270" s="54"/>
      <c r="FJ270" s="54"/>
      <c r="FK270" s="54"/>
      <c r="FL270" s="54"/>
      <c r="FM270" s="54"/>
      <c r="FN270" s="54"/>
      <c r="FO270" s="54"/>
      <c r="FP270" s="54"/>
      <c r="FQ270" s="54"/>
      <c r="FR270" s="54"/>
      <c r="FS270" s="54"/>
      <c r="FT270" s="54"/>
      <c r="FU270" s="54"/>
      <c r="FV270" s="54"/>
      <c r="FW270" s="54"/>
      <c r="FX270" s="54"/>
      <c r="FY270" s="54"/>
      <c r="FZ270" s="54"/>
      <c r="GA270" s="54"/>
      <c r="GB270" s="54"/>
      <c r="GC270" s="54"/>
      <c r="GD270" s="54"/>
      <c r="GE270" s="54"/>
      <c r="GF270" s="54"/>
      <c r="GG270" s="54"/>
      <c r="GH270" s="54"/>
      <c r="GI270" s="54"/>
      <c r="GJ270" s="54"/>
      <c r="GK270" s="54"/>
      <c r="GL270" s="54"/>
      <c r="GM270" s="54"/>
      <c r="GN270" s="54"/>
      <c r="GO270" s="54"/>
      <c r="GP270" s="54"/>
      <c r="GQ270" s="54"/>
      <c r="GR270" s="54"/>
      <c r="GS270" s="54"/>
      <c r="GT270" s="54"/>
      <c r="GU270" s="54"/>
      <c r="GV270" s="54"/>
      <c r="GW270" s="54"/>
      <c r="GX270" s="54"/>
      <c r="GY270" s="54"/>
      <c r="GZ270" s="54"/>
      <c r="HA270" s="54"/>
      <c r="HB270" s="54"/>
      <c r="HC270" s="54"/>
      <c r="HD270" s="54"/>
      <c r="HE270" s="54"/>
      <c r="HF270" s="54"/>
      <c r="HG270" s="54"/>
      <c r="HH270" s="54"/>
      <c r="HI270" s="54"/>
      <c r="HJ270" s="54"/>
      <c r="HK270" s="54"/>
      <c r="HL270" s="54"/>
      <c r="HM270" s="54"/>
      <c r="HN270" s="54"/>
      <c r="HO270" s="54"/>
      <c r="HP270" s="54"/>
      <c r="HQ270" s="54"/>
      <c r="HR270" s="54"/>
      <c r="HS270" s="54"/>
      <c r="HT270" s="54"/>
      <c r="HU270" s="54"/>
      <c r="HV270" s="54"/>
      <c r="HW270" s="54"/>
      <c r="HX270" s="54"/>
      <c r="HY270" s="54"/>
      <c r="HZ270" s="54"/>
      <c r="IA270" s="54"/>
      <c r="IB270" s="54"/>
      <c r="IC270" s="54"/>
      <c r="ID270" s="54"/>
      <c r="IE270" s="54"/>
      <c r="IF270" s="54"/>
      <c r="IG270" s="54"/>
      <c r="IH270" s="54"/>
      <c r="II270" s="54"/>
      <c r="IJ270" s="54"/>
      <c r="IK270" s="54"/>
      <c r="IL270" s="54"/>
      <c r="IM270" s="54"/>
      <c r="IN270" s="54"/>
      <c r="IO270" s="54"/>
      <c r="IP270" s="54"/>
      <c r="IQ270" s="54"/>
      <c r="IR270" s="54"/>
      <c r="IS270" s="54"/>
      <c r="IT270" s="54"/>
      <c r="IU270" s="54"/>
      <c r="IV270" s="54"/>
      <c r="IW270" s="54"/>
      <c r="IX270" s="54"/>
      <c r="IY270" s="54"/>
      <c r="IZ270" s="54"/>
      <c r="JA270" s="54"/>
      <c r="JB270" s="54"/>
      <c r="JC270" s="54"/>
      <c r="JD270" s="54"/>
      <c r="JE270" s="54"/>
      <c r="JF270" s="54"/>
      <c r="JG270" s="54"/>
      <c r="JH270" s="54"/>
      <c r="JI270" s="54"/>
      <c r="JJ270" s="54"/>
      <c r="JK270" s="54"/>
      <c r="JL270" s="54"/>
      <c r="JM270" s="54"/>
      <c r="JN270" s="54"/>
      <c r="JO270" s="54"/>
      <c r="JP270" s="54"/>
      <c r="JQ270" s="54"/>
      <c r="JR270" s="54"/>
      <c r="JS270" s="54"/>
      <c r="JT270" s="54"/>
      <c r="JU270" s="54"/>
      <c r="JV270" s="54"/>
      <c r="JW270" s="54"/>
      <c r="JX270" s="54"/>
      <c r="JY270" s="54"/>
      <c r="JZ270" s="54"/>
      <c r="KA270" s="54"/>
      <c r="KB270" s="54"/>
      <c r="KC270" s="54"/>
      <c r="KD270" s="54"/>
      <c r="KE270" s="54"/>
      <c r="KF270" s="54"/>
      <c r="KG270" s="54"/>
      <c r="KH270" s="54"/>
      <c r="KI270" s="54"/>
      <c r="KJ270" s="54"/>
      <c r="KK270" s="54"/>
      <c r="KL270" s="54"/>
      <c r="KM270" s="54"/>
      <c r="KN270" s="54"/>
      <c r="KO270" s="54"/>
      <c r="KP270" s="54"/>
      <c r="KQ270" s="54"/>
      <c r="KR270" s="54"/>
      <c r="KS270" s="54"/>
      <c r="KT270" s="54"/>
      <c r="KU270" s="54"/>
      <c r="KV270" s="54"/>
      <c r="KW270" s="54"/>
      <c r="KX270" s="54"/>
      <c r="KY270" s="54"/>
      <c r="KZ270" s="54"/>
      <c r="LA270" s="54"/>
      <c r="LB270" s="54"/>
      <c r="LC270" s="54"/>
      <c r="LD270" s="54"/>
      <c r="LE270" s="54"/>
      <c r="LF270" s="54"/>
      <c r="LG270" s="54"/>
      <c r="LH270" s="54"/>
      <c r="LI270" s="54"/>
      <c r="LJ270" s="54"/>
      <c r="LK270" s="54"/>
      <c r="LL270" s="54"/>
      <c r="LM270" s="54"/>
      <c r="LN270" s="54"/>
      <c r="LO270" s="54"/>
      <c r="LP270" s="54"/>
      <c r="LQ270" s="54"/>
      <c r="LR270" s="54"/>
      <c r="LS270" s="54"/>
      <c r="LT270" s="54"/>
      <c r="LU270" s="54"/>
      <c r="LV270" s="54"/>
      <c r="LW270" s="54"/>
      <c r="LX270" s="54"/>
      <c r="LY270" s="54"/>
      <c r="LZ270" s="54"/>
      <c r="MA270" s="54"/>
      <c r="MB270" s="54"/>
      <c r="MC270" s="54"/>
      <c r="MD270" s="54"/>
      <c r="ME270" s="54"/>
      <c r="MF270" s="54"/>
      <c r="MG270" s="54"/>
      <c r="MH270" s="54"/>
      <c r="MI270" s="54"/>
      <c r="MJ270" s="54"/>
      <c r="MK270" s="54"/>
      <c r="ML270" s="54"/>
      <c r="MM270" s="54"/>
      <c r="MN270" s="54"/>
      <c r="MO270" s="54"/>
      <c r="MP270" s="54"/>
      <c r="MQ270" s="54"/>
      <c r="MR270" s="54"/>
      <c r="MS270" s="54"/>
      <c r="MT270" s="54"/>
      <c r="MU270" s="54"/>
      <c r="MV270" s="54"/>
      <c r="MW270" s="54"/>
      <c r="MX270" s="54"/>
      <c r="MY270" s="54"/>
      <c r="MZ270" s="54"/>
      <c r="NA270" s="54"/>
      <c r="NB270" s="54"/>
      <c r="NC270" s="54"/>
      <c r="ND270" s="54"/>
      <c r="NE270" s="54"/>
      <c r="NF270" s="54"/>
      <c r="NG270" s="54"/>
      <c r="NH270" s="54"/>
      <c r="NI270" s="54"/>
      <c r="NJ270" s="54"/>
      <c r="NK270" s="54"/>
      <c r="NL270" s="54"/>
      <c r="NM270" s="54"/>
      <c r="NN270" s="54"/>
      <c r="NO270" s="54"/>
      <c r="NP270" s="54"/>
      <c r="NQ270" s="54"/>
      <c r="NR270" s="54"/>
      <c r="NS270" s="54"/>
      <c r="NT270" s="54"/>
      <c r="NU270" s="54"/>
      <c r="NV270" s="54"/>
      <c r="NW270" s="54"/>
      <c r="NX270" s="54"/>
      <c r="NY270" s="54"/>
      <c r="NZ270" s="54"/>
      <c r="OA270" s="54"/>
      <c r="OB270" s="54"/>
      <c r="OC270" s="54"/>
      <c r="OD270" s="54"/>
      <c r="OE270" s="54"/>
      <c r="OF270" s="54"/>
      <c r="OG270" s="54"/>
      <c r="OH270" s="54"/>
      <c r="OI270" s="54"/>
      <c r="OJ270" s="54"/>
      <c r="OK270" s="54"/>
      <c r="OL270" s="54"/>
      <c r="OM270" s="54"/>
      <c r="ON270" s="54"/>
      <c r="OO270" s="54"/>
      <c r="OP270" s="54"/>
      <c r="OQ270" s="54"/>
      <c r="OR270" s="54"/>
      <c r="OS270" s="54"/>
      <c r="OT270" s="54"/>
      <c r="OU270" s="54"/>
      <c r="OV270" s="54"/>
      <c r="OW270" s="54"/>
      <c r="OX270" s="54"/>
      <c r="OY270" s="54"/>
      <c r="OZ270" s="54"/>
      <c r="PA270" s="54"/>
      <c r="PB270" s="54"/>
      <c r="PC270" s="54"/>
      <c r="PD270" s="54"/>
      <c r="PE270" s="54"/>
      <c r="PF270" s="54"/>
      <c r="PG270" s="54"/>
      <c r="PH270" s="54"/>
      <c r="PI270" s="54"/>
      <c r="PJ270" s="54"/>
      <c r="PK270" s="54"/>
      <c r="PL270" s="54"/>
      <c r="PM270" s="54"/>
      <c r="PN270" s="54"/>
      <c r="PO270" s="54"/>
      <c r="PP270" s="54"/>
      <c r="PQ270" s="54"/>
      <c r="PR270" s="54"/>
      <c r="PS270" s="54"/>
      <c r="PT270" s="54"/>
      <c r="PU270" s="54"/>
      <c r="PV270" s="54"/>
      <c r="PW270" s="54"/>
      <c r="PX270" s="54"/>
      <c r="PY270" s="54"/>
      <c r="PZ270" s="54"/>
      <c r="QA270" s="54"/>
      <c r="QB270" s="54"/>
      <c r="QC270" s="54"/>
      <c r="QD270" s="54"/>
      <c r="QE270" s="54"/>
      <c r="QF270" s="54"/>
      <c r="QG270" s="54"/>
      <c r="QH270" s="54"/>
      <c r="QI270" s="54"/>
      <c r="QJ270" s="54"/>
      <c r="QK270" s="54"/>
      <c r="QL270" s="54"/>
      <c r="QM270" s="54"/>
      <c r="QN270" s="54"/>
      <c r="QO270" s="54"/>
      <c r="QP270" s="54"/>
      <c r="QQ270" s="54"/>
      <c r="QR270" s="54"/>
      <c r="QS270" s="54"/>
      <c r="QT270" s="54"/>
      <c r="QU270" s="54"/>
      <c r="QV270" s="54"/>
      <c r="QW270" s="54"/>
      <c r="QX270" s="54"/>
      <c r="QY270" s="54"/>
      <c r="QZ270" s="54"/>
      <c r="RA270" s="54"/>
      <c r="RB270" s="54"/>
      <c r="RC270" s="54"/>
      <c r="RD270" s="54"/>
      <c r="RE270" s="54"/>
      <c r="RF270" s="54"/>
      <c r="RG270" s="54"/>
      <c r="RH270" s="54"/>
      <c r="RI270" s="54"/>
      <c r="RJ270" s="54"/>
      <c r="RK270" s="54"/>
      <c r="RL270" s="54"/>
      <c r="RM270" s="54"/>
      <c r="RN270" s="54"/>
      <c r="RO270" s="54"/>
      <c r="RP270" s="54"/>
      <c r="RQ270" s="54"/>
      <c r="RR270" s="54"/>
      <c r="RS270" s="54"/>
      <c r="RT270" s="54"/>
      <c r="RU270" s="54"/>
      <c r="RV270" s="54"/>
      <c r="RW270" s="54"/>
      <c r="RX270" s="54"/>
      <c r="RY270" s="54"/>
      <c r="RZ270" s="54"/>
      <c r="SA270" s="54"/>
      <c r="SB270" s="54"/>
      <c r="SC270" s="54"/>
      <c r="SD270" s="54"/>
      <c r="SE270" s="54"/>
      <c r="SF270" s="54"/>
      <c r="SG270" s="54"/>
      <c r="SH270" s="54"/>
      <c r="SI270" s="54"/>
      <c r="SJ270" s="54"/>
      <c r="SK270" s="54"/>
      <c r="SL270" s="54"/>
      <c r="SM270" s="54"/>
      <c r="SN270" s="54"/>
      <c r="SO270" s="54"/>
      <c r="SP270" s="54"/>
      <c r="SQ270" s="54"/>
      <c r="SR270" s="54"/>
    </row>
    <row r="271" spans="1:512" s="55" customFormat="1" ht="15" customHeight="1" x14ac:dyDescent="0.7">
      <c r="A271" s="173"/>
      <c r="B271" s="173"/>
      <c r="C271" s="173"/>
      <c r="D271" s="173"/>
      <c r="E271" s="173"/>
      <c r="F271" s="173"/>
      <c r="G271" s="173"/>
      <c r="H271" s="74"/>
      <c r="I271" s="75"/>
      <c r="J271" s="76"/>
      <c r="K271" s="191"/>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c r="IX271" s="56"/>
      <c r="IY271" s="56"/>
      <c r="IZ271" s="56"/>
      <c r="JA271" s="56"/>
      <c r="JB271" s="56"/>
      <c r="JC271" s="56"/>
      <c r="JD271" s="56"/>
      <c r="JE271" s="56"/>
      <c r="JF271" s="56"/>
      <c r="JG271" s="56"/>
      <c r="JH271" s="56"/>
      <c r="JI271" s="56"/>
      <c r="JJ271" s="56"/>
      <c r="JK271" s="56"/>
      <c r="JL271" s="56"/>
      <c r="JM271" s="56"/>
      <c r="JN271" s="56"/>
      <c r="JO271" s="56"/>
      <c r="JP271" s="56"/>
      <c r="JQ271" s="56"/>
      <c r="JR271" s="56"/>
      <c r="JS271" s="56"/>
      <c r="JT271" s="56"/>
      <c r="JU271" s="56"/>
      <c r="JV271" s="56"/>
      <c r="JW271" s="56"/>
      <c r="JX271" s="56"/>
      <c r="JY271" s="56"/>
      <c r="JZ271" s="56"/>
      <c r="KA271" s="56"/>
      <c r="KB271" s="56"/>
      <c r="KC271" s="56"/>
      <c r="KD271" s="56"/>
      <c r="KE271" s="56"/>
      <c r="KF271" s="56"/>
      <c r="KG271" s="56"/>
      <c r="KH271" s="56"/>
      <c r="KI271" s="56"/>
      <c r="KJ271" s="56"/>
      <c r="KK271" s="56"/>
      <c r="KL271" s="56"/>
      <c r="KM271" s="56"/>
      <c r="KN271" s="56"/>
      <c r="KO271" s="56"/>
      <c r="KP271" s="56"/>
      <c r="KQ271" s="56"/>
      <c r="KR271" s="56"/>
      <c r="KS271" s="56"/>
      <c r="KT271" s="56"/>
      <c r="KU271" s="56"/>
      <c r="KV271" s="56"/>
      <c r="KW271" s="56"/>
      <c r="KX271" s="56"/>
      <c r="KY271" s="56"/>
      <c r="KZ271" s="56"/>
      <c r="LA271" s="56"/>
      <c r="LB271" s="56"/>
      <c r="LC271" s="56"/>
      <c r="LD271" s="56"/>
      <c r="LE271" s="56"/>
      <c r="LF271" s="56"/>
      <c r="LG271" s="56"/>
      <c r="LH271" s="56"/>
      <c r="LI271" s="56"/>
      <c r="LJ271" s="56"/>
      <c r="LK271" s="56"/>
      <c r="LL271" s="56"/>
      <c r="LM271" s="56"/>
      <c r="LN271" s="56"/>
      <c r="LO271" s="56"/>
      <c r="LP271" s="56"/>
      <c r="LQ271" s="56"/>
      <c r="LR271" s="56"/>
      <c r="LS271" s="56"/>
      <c r="LT271" s="56"/>
      <c r="LU271" s="56"/>
      <c r="LV271" s="56"/>
      <c r="LW271" s="56"/>
      <c r="LX271" s="56"/>
      <c r="LY271" s="56"/>
      <c r="LZ271" s="56"/>
      <c r="MA271" s="56"/>
      <c r="MB271" s="56"/>
      <c r="MC271" s="56"/>
      <c r="MD271" s="56"/>
      <c r="ME271" s="56"/>
      <c r="MF271" s="56"/>
      <c r="MG271" s="56"/>
      <c r="MH271" s="56"/>
      <c r="MI271" s="56"/>
      <c r="MJ271" s="56"/>
      <c r="MK271" s="56"/>
      <c r="ML271" s="56"/>
      <c r="MM271" s="56"/>
      <c r="MN271" s="56"/>
      <c r="MO271" s="56"/>
      <c r="MP271" s="56"/>
      <c r="MQ271" s="56"/>
      <c r="MR271" s="56"/>
      <c r="MS271" s="56"/>
      <c r="MT271" s="56"/>
      <c r="MU271" s="56"/>
      <c r="MV271" s="56"/>
      <c r="MW271" s="56"/>
      <c r="MX271" s="56"/>
      <c r="MY271" s="56"/>
      <c r="MZ271" s="56"/>
      <c r="NA271" s="56"/>
      <c r="NB271" s="56"/>
      <c r="NC271" s="56"/>
      <c r="ND271" s="56"/>
      <c r="NE271" s="56"/>
      <c r="NF271" s="56"/>
      <c r="NG271" s="56"/>
      <c r="NH271" s="56"/>
      <c r="NI271" s="56"/>
      <c r="NJ271" s="56"/>
      <c r="NK271" s="56"/>
      <c r="NL271" s="56"/>
      <c r="NM271" s="56"/>
      <c r="NN271" s="56"/>
      <c r="NO271" s="56"/>
      <c r="NP271" s="56"/>
      <c r="NQ271" s="56"/>
      <c r="NR271" s="56"/>
      <c r="NS271" s="56"/>
      <c r="NT271" s="56"/>
      <c r="NU271" s="56"/>
      <c r="NV271" s="56"/>
      <c r="NW271" s="56"/>
      <c r="NX271" s="56"/>
      <c r="NY271" s="56"/>
      <c r="NZ271" s="56"/>
      <c r="OA271" s="56"/>
      <c r="OB271" s="56"/>
      <c r="OC271" s="56"/>
      <c r="OD271" s="56"/>
      <c r="OE271" s="56"/>
      <c r="OF271" s="56"/>
      <c r="OG271" s="56"/>
      <c r="OH271" s="56"/>
      <c r="OI271" s="56"/>
      <c r="OJ271" s="56"/>
      <c r="OK271" s="56"/>
      <c r="OL271" s="56"/>
      <c r="OM271" s="56"/>
      <c r="ON271" s="56"/>
      <c r="OO271" s="56"/>
      <c r="OP271" s="56"/>
      <c r="OQ271" s="56"/>
      <c r="OR271" s="56"/>
      <c r="OS271" s="56"/>
      <c r="OT271" s="56"/>
      <c r="OU271" s="56"/>
      <c r="OV271" s="56"/>
      <c r="OW271" s="56"/>
      <c r="OX271" s="56"/>
      <c r="OY271" s="56"/>
      <c r="OZ271" s="56"/>
      <c r="PA271" s="56"/>
      <c r="PB271" s="56"/>
      <c r="PC271" s="56"/>
      <c r="PD271" s="56"/>
      <c r="PE271" s="56"/>
      <c r="PF271" s="56"/>
      <c r="PG271" s="56"/>
      <c r="PH271" s="56"/>
      <c r="PI271" s="56"/>
      <c r="PJ271" s="56"/>
      <c r="PK271" s="56"/>
      <c r="PL271" s="56"/>
      <c r="PM271" s="56"/>
      <c r="PN271" s="56"/>
      <c r="PO271" s="56"/>
      <c r="PP271" s="56"/>
      <c r="PQ271" s="56"/>
      <c r="PR271" s="56"/>
      <c r="PS271" s="56"/>
      <c r="PT271" s="56"/>
      <c r="PU271" s="56"/>
      <c r="PV271" s="56"/>
      <c r="PW271" s="56"/>
      <c r="PX271" s="56"/>
      <c r="PY271" s="56"/>
      <c r="PZ271" s="56"/>
      <c r="QA271" s="56"/>
      <c r="QB271" s="56"/>
      <c r="QC271" s="56"/>
      <c r="QD271" s="56"/>
      <c r="QE271" s="56"/>
      <c r="QF271" s="56"/>
      <c r="QG271" s="56"/>
      <c r="QH271" s="56"/>
      <c r="QI271" s="56"/>
      <c r="QJ271" s="56"/>
      <c r="QK271" s="56"/>
      <c r="QL271" s="56"/>
      <c r="QM271" s="56"/>
      <c r="QN271" s="56"/>
      <c r="QO271" s="56"/>
      <c r="QP271" s="56"/>
      <c r="QQ271" s="56"/>
      <c r="QR271" s="56"/>
      <c r="QS271" s="56"/>
      <c r="QT271" s="56"/>
      <c r="QU271" s="56"/>
      <c r="QV271" s="56"/>
      <c r="QW271" s="56"/>
      <c r="QX271" s="56"/>
      <c r="QY271" s="56"/>
      <c r="QZ271" s="56"/>
      <c r="RA271" s="56"/>
      <c r="RB271" s="56"/>
      <c r="RC271" s="56"/>
      <c r="RD271" s="56"/>
      <c r="RE271" s="56"/>
      <c r="RF271" s="56"/>
      <c r="RG271" s="56"/>
      <c r="RH271" s="56"/>
      <c r="RI271" s="56"/>
      <c r="RJ271" s="56"/>
      <c r="RK271" s="56"/>
      <c r="RL271" s="56"/>
      <c r="RM271" s="56"/>
      <c r="RN271" s="56"/>
      <c r="RO271" s="56"/>
      <c r="RP271" s="56"/>
      <c r="RQ271" s="56"/>
      <c r="RR271" s="56"/>
      <c r="RS271" s="56"/>
      <c r="RT271" s="56"/>
      <c r="RU271" s="56"/>
      <c r="RV271" s="56"/>
      <c r="RW271" s="56"/>
      <c r="RX271" s="56"/>
      <c r="RY271" s="56"/>
      <c r="RZ271" s="56"/>
      <c r="SA271" s="56"/>
      <c r="SB271" s="56"/>
      <c r="SC271" s="56"/>
      <c r="SD271" s="56"/>
      <c r="SE271" s="56"/>
      <c r="SF271" s="56"/>
      <c r="SG271" s="56"/>
      <c r="SH271" s="56"/>
      <c r="SI271" s="56"/>
      <c r="SJ271" s="56"/>
      <c r="SK271" s="56"/>
      <c r="SL271" s="56"/>
      <c r="SM271" s="56"/>
      <c r="SN271" s="56"/>
      <c r="SO271" s="56"/>
      <c r="SP271" s="56"/>
      <c r="SQ271" s="56"/>
      <c r="SR271" s="56"/>
    </row>
    <row r="272" spans="1:512" ht="15" customHeight="1" x14ac:dyDescent="0.7">
      <c r="A272" s="171" t="s">
        <v>344</v>
      </c>
      <c r="B272" s="171" t="s">
        <v>344</v>
      </c>
      <c r="C272" s="171" t="s">
        <v>344</v>
      </c>
      <c r="D272" s="171"/>
      <c r="E272" s="171" t="s">
        <v>344</v>
      </c>
      <c r="F272" s="171"/>
      <c r="G272" s="188" t="s">
        <v>344</v>
      </c>
      <c r="H272" s="71" t="s">
        <v>344</v>
      </c>
      <c r="I272" s="72" t="s">
        <v>344</v>
      </c>
      <c r="J272" s="73" t="s">
        <v>344</v>
      </c>
      <c r="K272" s="189" t="s">
        <v>344</v>
      </c>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4"/>
      <c r="CK272" s="54"/>
      <c r="CL272" s="54"/>
      <c r="CM272" s="54"/>
      <c r="CN272" s="54"/>
      <c r="CO272" s="54"/>
      <c r="CP272" s="54"/>
      <c r="CQ272" s="54"/>
      <c r="CR272" s="54"/>
      <c r="CS272" s="54"/>
      <c r="CT272" s="54"/>
      <c r="CU272" s="54"/>
      <c r="CV272" s="54"/>
      <c r="CW272" s="54"/>
      <c r="CX272" s="54"/>
      <c r="CY272" s="54"/>
      <c r="CZ272" s="54"/>
      <c r="DA272" s="54"/>
      <c r="DB272" s="54"/>
      <c r="DC272" s="54"/>
      <c r="DD272" s="54"/>
      <c r="DE272" s="54"/>
      <c r="DF272" s="54"/>
      <c r="DG272" s="54"/>
      <c r="DH272" s="54"/>
      <c r="DI272" s="54"/>
      <c r="DJ272" s="54"/>
      <c r="DK272" s="54"/>
      <c r="DL272" s="54"/>
      <c r="DM272" s="54"/>
      <c r="DN272" s="54"/>
      <c r="DO272" s="54"/>
      <c r="DP272" s="54"/>
      <c r="DQ272" s="54"/>
      <c r="DR272" s="54"/>
      <c r="DS272" s="54"/>
      <c r="DT272" s="54"/>
      <c r="DU272" s="54"/>
      <c r="DV272" s="54"/>
      <c r="DW272" s="54"/>
      <c r="DX272" s="54"/>
      <c r="DY272" s="54"/>
      <c r="DZ272" s="54"/>
      <c r="EA272" s="54"/>
      <c r="EB272" s="54"/>
      <c r="EC272" s="54"/>
      <c r="ED272" s="54"/>
      <c r="EE272" s="54"/>
      <c r="EF272" s="54"/>
      <c r="EG272" s="54"/>
      <c r="EH272" s="54"/>
      <c r="EI272" s="54"/>
      <c r="EJ272" s="54"/>
      <c r="EK272" s="54"/>
      <c r="EL272" s="54"/>
      <c r="EM272" s="54"/>
      <c r="EN272" s="54"/>
      <c r="EO272" s="54"/>
      <c r="EP272" s="54"/>
      <c r="EQ272" s="54"/>
      <c r="ER272" s="54"/>
      <c r="ES272" s="54"/>
      <c r="ET272" s="54"/>
      <c r="EU272" s="54"/>
      <c r="EV272" s="54"/>
      <c r="EW272" s="54"/>
      <c r="EX272" s="54"/>
      <c r="EY272" s="54"/>
      <c r="EZ272" s="54"/>
      <c r="FA272" s="54"/>
      <c r="FB272" s="54"/>
      <c r="FC272" s="54"/>
      <c r="FD272" s="54"/>
      <c r="FE272" s="54"/>
      <c r="FF272" s="54"/>
      <c r="FG272" s="54"/>
      <c r="FH272" s="54"/>
      <c r="FI272" s="54"/>
      <c r="FJ272" s="54"/>
      <c r="FK272" s="54"/>
      <c r="FL272" s="54"/>
      <c r="FM272" s="54"/>
      <c r="FN272" s="54"/>
      <c r="FO272" s="54"/>
      <c r="FP272" s="54"/>
      <c r="FQ272" s="54"/>
      <c r="FR272" s="54"/>
      <c r="FS272" s="54"/>
      <c r="FT272" s="54"/>
      <c r="FU272" s="54"/>
      <c r="FV272" s="54"/>
      <c r="FW272" s="54"/>
      <c r="FX272" s="54"/>
      <c r="FY272" s="54"/>
      <c r="FZ272" s="54"/>
      <c r="GA272" s="54"/>
      <c r="GB272" s="54"/>
      <c r="GC272" s="54"/>
      <c r="GD272" s="54"/>
      <c r="GE272" s="54"/>
      <c r="GF272" s="54"/>
      <c r="GG272" s="54"/>
      <c r="GH272" s="54"/>
      <c r="GI272" s="54"/>
      <c r="GJ272" s="54"/>
      <c r="GK272" s="54"/>
      <c r="GL272" s="54"/>
      <c r="GM272" s="54"/>
      <c r="GN272" s="54"/>
      <c r="GO272" s="54"/>
      <c r="GP272" s="54"/>
      <c r="GQ272" s="54"/>
      <c r="GR272" s="54"/>
      <c r="GS272" s="54"/>
      <c r="GT272" s="54"/>
      <c r="GU272" s="54"/>
      <c r="GV272" s="54"/>
      <c r="GW272" s="54"/>
      <c r="GX272" s="54"/>
      <c r="GY272" s="54"/>
      <c r="GZ272" s="54"/>
      <c r="HA272" s="54"/>
      <c r="HB272" s="54"/>
      <c r="HC272" s="54"/>
      <c r="HD272" s="54"/>
      <c r="HE272" s="54"/>
      <c r="HF272" s="54"/>
      <c r="HG272" s="54"/>
      <c r="HH272" s="54"/>
      <c r="HI272" s="54"/>
      <c r="HJ272" s="54"/>
      <c r="HK272" s="54"/>
      <c r="HL272" s="54"/>
      <c r="HM272" s="54"/>
      <c r="HN272" s="54"/>
      <c r="HO272" s="54"/>
      <c r="HP272" s="54"/>
      <c r="HQ272" s="54"/>
      <c r="HR272" s="54"/>
      <c r="HS272" s="54"/>
      <c r="HT272" s="54"/>
      <c r="HU272" s="54"/>
      <c r="HV272" s="54"/>
      <c r="HW272" s="54"/>
      <c r="HX272" s="54"/>
      <c r="HY272" s="54"/>
      <c r="HZ272" s="54"/>
      <c r="IA272" s="54"/>
      <c r="IB272" s="54"/>
      <c r="IC272" s="54"/>
      <c r="ID272" s="54"/>
      <c r="IE272" s="54"/>
      <c r="IF272" s="54"/>
      <c r="IG272" s="54"/>
      <c r="IH272" s="54"/>
      <c r="II272" s="54"/>
      <c r="IJ272" s="54"/>
      <c r="IK272" s="54"/>
      <c r="IL272" s="54"/>
      <c r="IM272" s="54"/>
      <c r="IN272" s="54"/>
      <c r="IO272" s="54"/>
      <c r="IP272" s="54"/>
      <c r="IQ272" s="54"/>
      <c r="IR272" s="54"/>
      <c r="IS272" s="54"/>
      <c r="IT272" s="54"/>
      <c r="IU272" s="54"/>
      <c r="IV272" s="54"/>
      <c r="IW272" s="54"/>
      <c r="IX272" s="54"/>
      <c r="IY272" s="54"/>
      <c r="IZ272" s="54"/>
      <c r="JA272" s="54"/>
      <c r="JB272" s="54"/>
      <c r="JC272" s="54"/>
      <c r="JD272" s="54"/>
      <c r="JE272" s="54"/>
      <c r="JF272" s="54"/>
      <c r="JG272" s="54"/>
      <c r="JH272" s="54"/>
      <c r="JI272" s="54"/>
      <c r="JJ272" s="54"/>
      <c r="JK272" s="54"/>
      <c r="JL272" s="54"/>
      <c r="JM272" s="54"/>
      <c r="JN272" s="54"/>
      <c r="JO272" s="54"/>
      <c r="JP272" s="54"/>
      <c r="JQ272" s="54"/>
      <c r="JR272" s="54"/>
      <c r="JS272" s="54"/>
      <c r="JT272" s="54"/>
      <c r="JU272" s="54"/>
      <c r="JV272" s="54"/>
      <c r="JW272" s="54"/>
      <c r="JX272" s="54"/>
      <c r="JY272" s="54"/>
      <c r="JZ272" s="54"/>
      <c r="KA272" s="54"/>
      <c r="KB272" s="54"/>
      <c r="KC272" s="54"/>
      <c r="KD272" s="54"/>
      <c r="KE272" s="54"/>
      <c r="KF272" s="54"/>
      <c r="KG272" s="54"/>
      <c r="KH272" s="54"/>
      <c r="KI272" s="54"/>
      <c r="KJ272" s="54"/>
      <c r="KK272" s="54"/>
      <c r="KL272" s="54"/>
      <c r="KM272" s="54"/>
      <c r="KN272" s="54"/>
      <c r="KO272" s="54"/>
      <c r="KP272" s="54"/>
      <c r="KQ272" s="54"/>
      <c r="KR272" s="54"/>
      <c r="KS272" s="54"/>
      <c r="KT272" s="54"/>
      <c r="KU272" s="54"/>
      <c r="KV272" s="54"/>
      <c r="KW272" s="54"/>
      <c r="KX272" s="54"/>
      <c r="KY272" s="54"/>
      <c r="KZ272" s="54"/>
      <c r="LA272" s="54"/>
      <c r="LB272" s="54"/>
      <c r="LC272" s="54"/>
      <c r="LD272" s="54"/>
      <c r="LE272" s="54"/>
      <c r="LF272" s="54"/>
      <c r="LG272" s="54"/>
      <c r="LH272" s="54"/>
      <c r="LI272" s="54"/>
      <c r="LJ272" s="54"/>
      <c r="LK272" s="54"/>
      <c r="LL272" s="54"/>
      <c r="LM272" s="54"/>
      <c r="LN272" s="54"/>
      <c r="LO272" s="54"/>
      <c r="LP272" s="54"/>
      <c r="LQ272" s="54"/>
      <c r="LR272" s="54"/>
      <c r="LS272" s="54"/>
      <c r="LT272" s="54"/>
      <c r="LU272" s="54"/>
      <c r="LV272" s="54"/>
      <c r="LW272" s="54"/>
      <c r="LX272" s="54"/>
      <c r="LY272" s="54"/>
      <c r="LZ272" s="54"/>
      <c r="MA272" s="54"/>
      <c r="MB272" s="54"/>
      <c r="MC272" s="54"/>
      <c r="MD272" s="54"/>
      <c r="ME272" s="54"/>
      <c r="MF272" s="54"/>
      <c r="MG272" s="54"/>
      <c r="MH272" s="54"/>
      <c r="MI272" s="54"/>
      <c r="MJ272" s="54"/>
      <c r="MK272" s="54"/>
      <c r="ML272" s="54"/>
      <c r="MM272" s="54"/>
      <c r="MN272" s="54"/>
      <c r="MO272" s="54"/>
      <c r="MP272" s="54"/>
      <c r="MQ272" s="54"/>
      <c r="MR272" s="54"/>
      <c r="MS272" s="54"/>
      <c r="MT272" s="54"/>
      <c r="MU272" s="54"/>
      <c r="MV272" s="54"/>
      <c r="MW272" s="54"/>
      <c r="MX272" s="54"/>
      <c r="MY272" s="54"/>
      <c r="MZ272" s="54"/>
      <c r="NA272" s="54"/>
      <c r="NB272" s="54"/>
      <c r="NC272" s="54"/>
      <c r="ND272" s="54"/>
      <c r="NE272" s="54"/>
      <c r="NF272" s="54"/>
      <c r="NG272" s="54"/>
      <c r="NH272" s="54"/>
      <c r="NI272" s="54"/>
      <c r="NJ272" s="54"/>
      <c r="NK272" s="54"/>
      <c r="NL272" s="54"/>
      <c r="NM272" s="54"/>
      <c r="NN272" s="54"/>
      <c r="NO272" s="54"/>
      <c r="NP272" s="54"/>
      <c r="NQ272" s="54"/>
      <c r="NR272" s="54"/>
      <c r="NS272" s="54"/>
      <c r="NT272" s="54"/>
      <c r="NU272" s="54"/>
      <c r="NV272" s="54"/>
      <c r="NW272" s="54"/>
      <c r="NX272" s="54"/>
      <c r="NY272" s="54"/>
      <c r="NZ272" s="54"/>
      <c r="OA272" s="54"/>
      <c r="OB272" s="54"/>
      <c r="OC272" s="54"/>
      <c r="OD272" s="54"/>
      <c r="OE272" s="54"/>
      <c r="OF272" s="54"/>
      <c r="OG272" s="54"/>
      <c r="OH272" s="54"/>
      <c r="OI272" s="54"/>
      <c r="OJ272" s="54"/>
      <c r="OK272" s="54"/>
      <c r="OL272" s="54"/>
      <c r="OM272" s="54"/>
      <c r="ON272" s="54"/>
      <c r="OO272" s="54"/>
      <c r="OP272" s="54"/>
      <c r="OQ272" s="54"/>
      <c r="OR272" s="54"/>
      <c r="OS272" s="54"/>
      <c r="OT272" s="54"/>
      <c r="OU272" s="54"/>
      <c r="OV272" s="54"/>
      <c r="OW272" s="54"/>
      <c r="OX272" s="54"/>
      <c r="OY272" s="54"/>
      <c r="OZ272" s="54"/>
      <c r="PA272" s="54"/>
      <c r="PB272" s="54"/>
      <c r="PC272" s="54"/>
      <c r="PD272" s="54"/>
      <c r="PE272" s="54"/>
      <c r="PF272" s="54"/>
      <c r="PG272" s="54"/>
      <c r="PH272" s="54"/>
      <c r="PI272" s="54"/>
      <c r="PJ272" s="54"/>
      <c r="PK272" s="54"/>
      <c r="PL272" s="54"/>
      <c r="PM272" s="54"/>
      <c r="PN272" s="54"/>
      <c r="PO272" s="54"/>
      <c r="PP272" s="54"/>
      <c r="PQ272" s="54"/>
      <c r="PR272" s="54"/>
      <c r="PS272" s="54"/>
      <c r="PT272" s="54"/>
      <c r="PU272" s="54"/>
      <c r="PV272" s="54"/>
      <c r="PW272" s="54"/>
      <c r="PX272" s="54"/>
      <c r="PY272" s="54"/>
      <c r="PZ272" s="54"/>
      <c r="QA272" s="54"/>
      <c r="QB272" s="54"/>
      <c r="QC272" s="54"/>
      <c r="QD272" s="54"/>
      <c r="QE272" s="54"/>
      <c r="QF272" s="54"/>
      <c r="QG272" s="54"/>
      <c r="QH272" s="54"/>
      <c r="QI272" s="54"/>
      <c r="QJ272" s="54"/>
      <c r="QK272" s="54"/>
      <c r="QL272" s="54"/>
      <c r="QM272" s="54"/>
      <c r="QN272" s="54"/>
      <c r="QO272" s="54"/>
      <c r="QP272" s="54"/>
      <c r="QQ272" s="54"/>
      <c r="QR272" s="54"/>
      <c r="QS272" s="54"/>
      <c r="QT272" s="54"/>
      <c r="QU272" s="54"/>
      <c r="QV272" s="54"/>
      <c r="QW272" s="54"/>
      <c r="QX272" s="54"/>
      <c r="QY272" s="54"/>
      <c r="QZ272" s="54"/>
      <c r="RA272" s="54"/>
      <c r="RB272" s="54"/>
      <c r="RC272" s="54"/>
      <c r="RD272" s="54"/>
      <c r="RE272" s="54"/>
      <c r="RF272" s="54"/>
      <c r="RG272" s="54"/>
      <c r="RH272" s="54"/>
      <c r="RI272" s="54"/>
      <c r="RJ272" s="54"/>
      <c r="RK272" s="54"/>
      <c r="RL272" s="54"/>
      <c r="RM272" s="54"/>
      <c r="RN272" s="54"/>
      <c r="RO272" s="54"/>
      <c r="RP272" s="54"/>
      <c r="RQ272" s="54"/>
      <c r="RR272" s="54"/>
      <c r="RS272" s="54"/>
      <c r="RT272" s="54"/>
      <c r="RU272" s="54"/>
      <c r="RV272" s="54"/>
      <c r="RW272" s="54"/>
      <c r="RX272" s="54"/>
      <c r="RY272" s="54"/>
      <c r="RZ272" s="54"/>
      <c r="SA272" s="54"/>
      <c r="SB272" s="54"/>
      <c r="SC272" s="54"/>
      <c r="SD272" s="54"/>
      <c r="SE272" s="54"/>
      <c r="SF272" s="54"/>
      <c r="SG272" s="54"/>
      <c r="SH272" s="54"/>
      <c r="SI272" s="54"/>
      <c r="SJ272" s="54"/>
      <c r="SK272" s="54"/>
      <c r="SL272" s="54"/>
      <c r="SM272" s="54"/>
      <c r="SN272" s="54"/>
      <c r="SO272" s="54"/>
      <c r="SP272" s="54"/>
      <c r="SQ272" s="54"/>
      <c r="SR272" s="54"/>
    </row>
    <row r="273" spans="1:512" ht="15" customHeight="1" x14ac:dyDescent="0.7">
      <c r="A273" s="172"/>
      <c r="B273" s="172"/>
      <c r="C273" s="172"/>
      <c r="D273" s="172"/>
      <c r="E273" s="172"/>
      <c r="F273" s="172"/>
      <c r="G273" s="172"/>
      <c r="I273" s="72" t="s">
        <v>344</v>
      </c>
      <c r="J273" s="73" t="s">
        <v>344</v>
      </c>
      <c r="K273" s="190"/>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c r="BU273" s="54"/>
      <c r="BV273" s="54"/>
      <c r="BW273" s="54"/>
      <c r="BX273" s="54"/>
      <c r="BY273" s="54"/>
      <c r="BZ273" s="54"/>
      <c r="CA273" s="54"/>
      <c r="CB273" s="54"/>
      <c r="CC273" s="54"/>
      <c r="CD273" s="54"/>
      <c r="CE273" s="54"/>
      <c r="CF273" s="54"/>
      <c r="CG273" s="54"/>
      <c r="CH273" s="54"/>
      <c r="CI273" s="54"/>
      <c r="CJ273" s="54"/>
      <c r="CK273" s="54"/>
      <c r="CL273" s="54"/>
      <c r="CM273" s="54"/>
      <c r="CN273" s="54"/>
      <c r="CO273" s="54"/>
      <c r="CP273" s="54"/>
      <c r="CQ273" s="54"/>
      <c r="CR273" s="54"/>
      <c r="CS273" s="54"/>
      <c r="CT273" s="54"/>
      <c r="CU273" s="54"/>
      <c r="CV273" s="54"/>
      <c r="CW273" s="54"/>
      <c r="CX273" s="54"/>
      <c r="CY273" s="54"/>
      <c r="CZ273" s="54"/>
      <c r="DA273" s="54"/>
      <c r="DB273" s="54"/>
      <c r="DC273" s="54"/>
      <c r="DD273" s="54"/>
      <c r="DE273" s="54"/>
      <c r="DF273" s="54"/>
      <c r="DG273" s="54"/>
      <c r="DH273" s="54"/>
      <c r="DI273" s="54"/>
      <c r="DJ273" s="54"/>
      <c r="DK273" s="54"/>
      <c r="DL273" s="54"/>
      <c r="DM273" s="54"/>
      <c r="DN273" s="54"/>
      <c r="DO273" s="54"/>
      <c r="DP273" s="54"/>
      <c r="DQ273" s="54"/>
      <c r="DR273" s="54"/>
      <c r="DS273" s="54"/>
      <c r="DT273" s="54"/>
      <c r="DU273" s="54"/>
      <c r="DV273" s="54"/>
      <c r="DW273" s="54"/>
      <c r="DX273" s="54"/>
      <c r="DY273" s="54"/>
      <c r="DZ273" s="54"/>
      <c r="EA273" s="54"/>
      <c r="EB273" s="54"/>
      <c r="EC273" s="54"/>
      <c r="ED273" s="54"/>
      <c r="EE273" s="54"/>
      <c r="EF273" s="54"/>
      <c r="EG273" s="54"/>
      <c r="EH273" s="54"/>
      <c r="EI273" s="54"/>
      <c r="EJ273" s="54"/>
      <c r="EK273" s="54"/>
      <c r="EL273" s="54"/>
      <c r="EM273" s="54"/>
      <c r="EN273" s="54"/>
      <c r="EO273" s="54"/>
      <c r="EP273" s="54"/>
      <c r="EQ273" s="54"/>
      <c r="ER273" s="54"/>
      <c r="ES273" s="54"/>
      <c r="ET273" s="54"/>
      <c r="EU273" s="54"/>
      <c r="EV273" s="54"/>
      <c r="EW273" s="54"/>
      <c r="EX273" s="54"/>
      <c r="EY273" s="54"/>
      <c r="EZ273" s="54"/>
      <c r="FA273" s="54"/>
      <c r="FB273" s="54"/>
      <c r="FC273" s="54"/>
      <c r="FD273" s="54"/>
      <c r="FE273" s="54"/>
      <c r="FF273" s="54"/>
      <c r="FG273" s="54"/>
      <c r="FH273" s="54"/>
      <c r="FI273" s="54"/>
      <c r="FJ273" s="54"/>
      <c r="FK273" s="54"/>
      <c r="FL273" s="54"/>
      <c r="FM273" s="54"/>
      <c r="FN273" s="54"/>
      <c r="FO273" s="54"/>
      <c r="FP273" s="54"/>
      <c r="FQ273" s="54"/>
      <c r="FR273" s="54"/>
      <c r="FS273" s="54"/>
      <c r="FT273" s="54"/>
      <c r="FU273" s="54"/>
      <c r="FV273" s="54"/>
      <c r="FW273" s="54"/>
      <c r="FX273" s="54"/>
      <c r="FY273" s="54"/>
      <c r="FZ273" s="54"/>
      <c r="GA273" s="54"/>
      <c r="GB273" s="54"/>
      <c r="GC273" s="54"/>
      <c r="GD273" s="54"/>
      <c r="GE273" s="54"/>
      <c r="GF273" s="54"/>
      <c r="GG273" s="54"/>
      <c r="GH273" s="54"/>
      <c r="GI273" s="54"/>
      <c r="GJ273" s="54"/>
      <c r="GK273" s="54"/>
      <c r="GL273" s="54"/>
      <c r="GM273" s="54"/>
      <c r="GN273" s="54"/>
      <c r="GO273" s="54"/>
      <c r="GP273" s="54"/>
      <c r="GQ273" s="54"/>
      <c r="GR273" s="54"/>
      <c r="GS273" s="54"/>
      <c r="GT273" s="54"/>
      <c r="GU273" s="54"/>
      <c r="GV273" s="54"/>
      <c r="GW273" s="54"/>
      <c r="GX273" s="54"/>
      <c r="GY273" s="54"/>
      <c r="GZ273" s="54"/>
      <c r="HA273" s="54"/>
      <c r="HB273" s="54"/>
      <c r="HC273" s="54"/>
      <c r="HD273" s="54"/>
      <c r="HE273" s="54"/>
      <c r="HF273" s="54"/>
      <c r="HG273" s="54"/>
      <c r="HH273" s="54"/>
      <c r="HI273" s="54"/>
      <c r="HJ273" s="54"/>
      <c r="HK273" s="54"/>
      <c r="HL273" s="54"/>
      <c r="HM273" s="54"/>
      <c r="HN273" s="54"/>
      <c r="HO273" s="54"/>
      <c r="HP273" s="54"/>
      <c r="HQ273" s="54"/>
      <c r="HR273" s="54"/>
      <c r="HS273" s="54"/>
      <c r="HT273" s="54"/>
      <c r="HU273" s="54"/>
      <c r="HV273" s="54"/>
      <c r="HW273" s="54"/>
      <c r="HX273" s="54"/>
      <c r="HY273" s="54"/>
      <c r="HZ273" s="54"/>
      <c r="IA273" s="54"/>
      <c r="IB273" s="54"/>
      <c r="IC273" s="54"/>
      <c r="ID273" s="54"/>
      <c r="IE273" s="54"/>
      <c r="IF273" s="54"/>
      <c r="IG273" s="54"/>
      <c r="IH273" s="54"/>
      <c r="II273" s="54"/>
      <c r="IJ273" s="54"/>
      <c r="IK273" s="54"/>
      <c r="IL273" s="54"/>
      <c r="IM273" s="54"/>
      <c r="IN273" s="54"/>
      <c r="IO273" s="54"/>
      <c r="IP273" s="54"/>
      <c r="IQ273" s="54"/>
      <c r="IR273" s="54"/>
      <c r="IS273" s="54"/>
      <c r="IT273" s="54"/>
      <c r="IU273" s="54"/>
      <c r="IV273" s="54"/>
      <c r="IW273" s="54"/>
      <c r="IX273" s="54"/>
      <c r="IY273" s="54"/>
      <c r="IZ273" s="54"/>
      <c r="JA273" s="54"/>
      <c r="JB273" s="54"/>
      <c r="JC273" s="54"/>
      <c r="JD273" s="54"/>
      <c r="JE273" s="54"/>
      <c r="JF273" s="54"/>
      <c r="JG273" s="54"/>
      <c r="JH273" s="54"/>
      <c r="JI273" s="54"/>
      <c r="JJ273" s="54"/>
      <c r="JK273" s="54"/>
      <c r="JL273" s="54"/>
      <c r="JM273" s="54"/>
      <c r="JN273" s="54"/>
      <c r="JO273" s="54"/>
      <c r="JP273" s="54"/>
      <c r="JQ273" s="54"/>
      <c r="JR273" s="54"/>
      <c r="JS273" s="54"/>
      <c r="JT273" s="54"/>
      <c r="JU273" s="54"/>
      <c r="JV273" s="54"/>
      <c r="JW273" s="54"/>
      <c r="JX273" s="54"/>
      <c r="JY273" s="54"/>
      <c r="JZ273" s="54"/>
      <c r="KA273" s="54"/>
      <c r="KB273" s="54"/>
      <c r="KC273" s="54"/>
      <c r="KD273" s="54"/>
      <c r="KE273" s="54"/>
      <c r="KF273" s="54"/>
      <c r="KG273" s="54"/>
      <c r="KH273" s="54"/>
      <c r="KI273" s="54"/>
      <c r="KJ273" s="54"/>
      <c r="KK273" s="54"/>
      <c r="KL273" s="54"/>
      <c r="KM273" s="54"/>
      <c r="KN273" s="54"/>
      <c r="KO273" s="54"/>
      <c r="KP273" s="54"/>
      <c r="KQ273" s="54"/>
      <c r="KR273" s="54"/>
      <c r="KS273" s="54"/>
      <c r="KT273" s="54"/>
      <c r="KU273" s="54"/>
      <c r="KV273" s="54"/>
      <c r="KW273" s="54"/>
      <c r="KX273" s="54"/>
      <c r="KY273" s="54"/>
      <c r="KZ273" s="54"/>
      <c r="LA273" s="54"/>
      <c r="LB273" s="54"/>
      <c r="LC273" s="54"/>
      <c r="LD273" s="54"/>
      <c r="LE273" s="54"/>
      <c r="LF273" s="54"/>
      <c r="LG273" s="54"/>
      <c r="LH273" s="54"/>
      <c r="LI273" s="54"/>
      <c r="LJ273" s="54"/>
      <c r="LK273" s="54"/>
      <c r="LL273" s="54"/>
      <c r="LM273" s="54"/>
      <c r="LN273" s="54"/>
      <c r="LO273" s="54"/>
      <c r="LP273" s="54"/>
      <c r="LQ273" s="54"/>
      <c r="LR273" s="54"/>
      <c r="LS273" s="54"/>
      <c r="LT273" s="54"/>
      <c r="LU273" s="54"/>
      <c r="LV273" s="54"/>
      <c r="LW273" s="54"/>
      <c r="LX273" s="54"/>
      <c r="LY273" s="54"/>
      <c r="LZ273" s="54"/>
      <c r="MA273" s="54"/>
      <c r="MB273" s="54"/>
      <c r="MC273" s="54"/>
      <c r="MD273" s="54"/>
      <c r="ME273" s="54"/>
      <c r="MF273" s="54"/>
      <c r="MG273" s="54"/>
      <c r="MH273" s="54"/>
      <c r="MI273" s="54"/>
      <c r="MJ273" s="54"/>
      <c r="MK273" s="54"/>
      <c r="ML273" s="54"/>
      <c r="MM273" s="54"/>
      <c r="MN273" s="54"/>
      <c r="MO273" s="54"/>
      <c r="MP273" s="54"/>
      <c r="MQ273" s="54"/>
      <c r="MR273" s="54"/>
      <c r="MS273" s="54"/>
      <c r="MT273" s="54"/>
      <c r="MU273" s="54"/>
      <c r="MV273" s="54"/>
      <c r="MW273" s="54"/>
      <c r="MX273" s="54"/>
      <c r="MY273" s="54"/>
      <c r="MZ273" s="54"/>
      <c r="NA273" s="54"/>
      <c r="NB273" s="54"/>
      <c r="NC273" s="54"/>
      <c r="ND273" s="54"/>
      <c r="NE273" s="54"/>
      <c r="NF273" s="54"/>
      <c r="NG273" s="54"/>
      <c r="NH273" s="54"/>
      <c r="NI273" s="54"/>
      <c r="NJ273" s="54"/>
      <c r="NK273" s="54"/>
      <c r="NL273" s="54"/>
      <c r="NM273" s="54"/>
      <c r="NN273" s="54"/>
      <c r="NO273" s="54"/>
      <c r="NP273" s="54"/>
      <c r="NQ273" s="54"/>
      <c r="NR273" s="54"/>
      <c r="NS273" s="54"/>
      <c r="NT273" s="54"/>
      <c r="NU273" s="54"/>
      <c r="NV273" s="54"/>
      <c r="NW273" s="54"/>
      <c r="NX273" s="54"/>
      <c r="NY273" s="54"/>
      <c r="NZ273" s="54"/>
      <c r="OA273" s="54"/>
      <c r="OB273" s="54"/>
      <c r="OC273" s="54"/>
      <c r="OD273" s="54"/>
      <c r="OE273" s="54"/>
      <c r="OF273" s="54"/>
      <c r="OG273" s="54"/>
      <c r="OH273" s="54"/>
      <c r="OI273" s="54"/>
      <c r="OJ273" s="54"/>
      <c r="OK273" s="54"/>
      <c r="OL273" s="54"/>
      <c r="OM273" s="54"/>
      <c r="ON273" s="54"/>
      <c r="OO273" s="54"/>
      <c r="OP273" s="54"/>
      <c r="OQ273" s="54"/>
      <c r="OR273" s="54"/>
      <c r="OS273" s="54"/>
      <c r="OT273" s="54"/>
      <c r="OU273" s="54"/>
      <c r="OV273" s="54"/>
      <c r="OW273" s="54"/>
      <c r="OX273" s="54"/>
      <c r="OY273" s="54"/>
      <c r="OZ273" s="54"/>
      <c r="PA273" s="54"/>
      <c r="PB273" s="54"/>
      <c r="PC273" s="54"/>
      <c r="PD273" s="54"/>
      <c r="PE273" s="54"/>
      <c r="PF273" s="54"/>
      <c r="PG273" s="54"/>
      <c r="PH273" s="54"/>
      <c r="PI273" s="54"/>
      <c r="PJ273" s="54"/>
      <c r="PK273" s="54"/>
      <c r="PL273" s="54"/>
      <c r="PM273" s="54"/>
      <c r="PN273" s="54"/>
      <c r="PO273" s="54"/>
      <c r="PP273" s="54"/>
      <c r="PQ273" s="54"/>
      <c r="PR273" s="54"/>
      <c r="PS273" s="54"/>
      <c r="PT273" s="54"/>
      <c r="PU273" s="54"/>
      <c r="PV273" s="54"/>
      <c r="PW273" s="54"/>
      <c r="PX273" s="54"/>
      <c r="PY273" s="54"/>
      <c r="PZ273" s="54"/>
      <c r="QA273" s="54"/>
      <c r="QB273" s="54"/>
      <c r="QC273" s="54"/>
      <c r="QD273" s="54"/>
      <c r="QE273" s="54"/>
      <c r="QF273" s="54"/>
      <c r="QG273" s="54"/>
      <c r="QH273" s="54"/>
      <c r="QI273" s="54"/>
      <c r="QJ273" s="54"/>
      <c r="QK273" s="54"/>
      <c r="QL273" s="54"/>
      <c r="QM273" s="54"/>
      <c r="QN273" s="54"/>
      <c r="QO273" s="54"/>
      <c r="QP273" s="54"/>
      <c r="QQ273" s="54"/>
      <c r="QR273" s="54"/>
      <c r="QS273" s="54"/>
      <c r="QT273" s="54"/>
      <c r="QU273" s="54"/>
      <c r="QV273" s="54"/>
      <c r="QW273" s="54"/>
      <c r="QX273" s="54"/>
      <c r="QY273" s="54"/>
      <c r="QZ273" s="54"/>
      <c r="RA273" s="54"/>
      <c r="RB273" s="54"/>
      <c r="RC273" s="54"/>
      <c r="RD273" s="54"/>
      <c r="RE273" s="54"/>
      <c r="RF273" s="54"/>
      <c r="RG273" s="54"/>
      <c r="RH273" s="54"/>
      <c r="RI273" s="54"/>
      <c r="RJ273" s="54"/>
      <c r="RK273" s="54"/>
      <c r="RL273" s="54"/>
      <c r="RM273" s="54"/>
      <c r="RN273" s="54"/>
      <c r="RO273" s="54"/>
      <c r="RP273" s="54"/>
      <c r="RQ273" s="54"/>
      <c r="RR273" s="54"/>
      <c r="RS273" s="54"/>
      <c r="RT273" s="54"/>
      <c r="RU273" s="54"/>
      <c r="RV273" s="54"/>
      <c r="RW273" s="54"/>
      <c r="RX273" s="54"/>
      <c r="RY273" s="54"/>
      <c r="RZ273" s="54"/>
      <c r="SA273" s="54"/>
      <c r="SB273" s="54"/>
      <c r="SC273" s="54"/>
      <c r="SD273" s="54"/>
      <c r="SE273" s="54"/>
      <c r="SF273" s="54"/>
      <c r="SG273" s="54"/>
      <c r="SH273" s="54"/>
      <c r="SI273" s="54"/>
      <c r="SJ273" s="54"/>
      <c r="SK273" s="54"/>
      <c r="SL273" s="54"/>
      <c r="SM273" s="54"/>
      <c r="SN273" s="54"/>
      <c r="SO273" s="54"/>
      <c r="SP273" s="54"/>
      <c r="SQ273" s="54"/>
      <c r="SR273" s="54"/>
    </row>
    <row r="274" spans="1:512" s="55" customFormat="1" ht="15" customHeight="1" x14ac:dyDescent="0.7">
      <c r="A274" s="173"/>
      <c r="B274" s="173"/>
      <c r="C274" s="173"/>
      <c r="D274" s="173"/>
      <c r="E274" s="173"/>
      <c r="F274" s="173"/>
      <c r="G274" s="173"/>
      <c r="H274" s="74"/>
      <c r="I274" s="75"/>
      <c r="J274" s="76"/>
      <c r="K274" s="191"/>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c r="IX274" s="56"/>
      <c r="IY274" s="56"/>
      <c r="IZ274" s="56"/>
      <c r="JA274" s="56"/>
      <c r="JB274" s="56"/>
      <c r="JC274" s="56"/>
      <c r="JD274" s="56"/>
      <c r="JE274" s="56"/>
      <c r="JF274" s="56"/>
      <c r="JG274" s="56"/>
      <c r="JH274" s="56"/>
      <c r="JI274" s="56"/>
      <c r="JJ274" s="56"/>
      <c r="JK274" s="56"/>
      <c r="JL274" s="56"/>
      <c r="JM274" s="56"/>
      <c r="JN274" s="56"/>
      <c r="JO274" s="56"/>
      <c r="JP274" s="56"/>
      <c r="JQ274" s="56"/>
      <c r="JR274" s="56"/>
      <c r="JS274" s="56"/>
      <c r="JT274" s="56"/>
      <c r="JU274" s="56"/>
      <c r="JV274" s="56"/>
      <c r="JW274" s="56"/>
      <c r="JX274" s="56"/>
      <c r="JY274" s="56"/>
      <c r="JZ274" s="56"/>
      <c r="KA274" s="56"/>
      <c r="KB274" s="56"/>
      <c r="KC274" s="56"/>
      <c r="KD274" s="56"/>
      <c r="KE274" s="56"/>
      <c r="KF274" s="56"/>
      <c r="KG274" s="56"/>
      <c r="KH274" s="56"/>
      <c r="KI274" s="56"/>
      <c r="KJ274" s="56"/>
      <c r="KK274" s="56"/>
      <c r="KL274" s="56"/>
      <c r="KM274" s="56"/>
      <c r="KN274" s="56"/>
      <c r="KO274" s="56"/>
      <c r="KP274" s="56"/>
      <c r="KQ274" s="56"/>
      <c r="KR274" s="56"/>
      <c r="KS274" s="56"/>
      <c r="KT274" s="56"/>
      <c r="KU274" s="56"/>
      <c r="KV274" s="56"/>
      <c r="KW274" s="56"/>
      <c r="KX274" s="56"/>
      <c r="KY274" s="56"/>
      <c r="KZ274" s="56"/>
      <c r="LA274" s="56"/>
      <c r="LB274" s="56"/>
      <c r="LC274" s="56"/>
      <c r="LD274" s="56"/>
      <c r="LE274" s="56"/>
      <c r="LF274" s="56"/>
      <c r="LG274" s="56"/>
      <c r="LH274" s="56"/>
      <c r="LI274" s="56"/>
      <c r="LJ274" s="56"/>
      <c r="LK274" s="56"/>
      <c r="LL274" s="56"/>
      <c r="LM274" s="56"/>
      <c r="LN274" s="56"/>
      <c r="LO274" s="56"/>
      <c r="LP274" s="56"/>
      <c r="LQ274" s="56"/>
      <c r="LR274" s="56"/>
      <c r="LS274" s="56"/>
      <c r="LT274" s="56"/>
      <c r="LU274" s="56"/>
      <c r="LV274" s="56"/>
      <c r="LW274" s="56"/>
      <c r="LX274" s="56"/>
      <c r="LY274" s="56"/>
      <c r="LZ274" s="56"/>
      <c r="MA274" s="56"/>
      <c r="MB274" s="56"/>
      <c r="MC274" s="56"/>
      <c r="MD274" s="56"/>
      <c r="ME274" s="56"/>
      <c r="MF274" s="56"/>
      <c r="MG274" s="56"/>
      <c r="MH274" s="56"/>
      <c r="MI274" s="56"/>
      <c r="MJ274" s="56"/>
      <c r="MK274" s="56"/>
      <c r="ML274" s="56"/>
      <c r="MM274" s="56"/>
      <c r="MN274" s="56"/>
      <c r="MO274" s="56"/>
      <c r="MP274" s="56"/>
      <c r="MQ274" s="56"/>
      <c r="MR274" s="56"/>
      <c r="MS274" s="56"/>
      <c r="MT274" s="56"/>
      <c r="MU274" s="56"/>
      <c r="MV274" s="56"/>
      <c r="MW274" s="56"/>
      <c r="MX274" s="56"/>
      <c r="MY274" s="56"/>
      <c r="MZ274" s="56"/>
      <c r="NA274" s="56"/>
      <c r="NB274" s="56"/>
      <c r="NC274" s="56"/>
      <c r="ND274" s="56"/>
      <c r="NE274" s="56"/>
      <c r="NF274" s="56"/>
      <c r="NG274" s="56"/>
      <c r="NH274" s="56"/>
      <c r="NI274" s="56"/>
      <c r="NJ274" s="56"/>
      <c r="NK274" s="56"/>
      <c r="NL274" s="56"/>
      <c r="NM274" s="56"/>
      <c r="NN274" s="56"/>
      <c r="NO274" s="56"/>
      <c r="NP274" s="56"/>
      <c r="NQ274" s="56"/>
      <c r="NR274" s="56"/>
      <c r="NS274" s="56"/>
      <c r="NT274" s="56"/>
      <c r="NU274" s="56"/>
      <c r="NV274" s="56"/>
      <c r="NW274" s="56"/>
      <c r="NX274" s="56"/>
      <c r="NY274" s="56"/>
      <c r="NZ274" s="56"/>
      <c r="OA274" s="56"/>
      <c r="OB274" s="56"/>
      <c r="OC274" s="56"/>
      <c r="OD274" s="56"/>
      <c r="OE274" s="56"/>
      <c r="OF274" s="56"/>
      <c r="OG274" s="56"/>
      <c r="OH274" s="56"/>
      <c r="OI274" s="56"/>
      <c r="OJ274" s="56"/>
      <c r="OK274" s="56"/>
      <c r="OL274" s="56"/>
      <c r="OM274" s="56"/>
      <c r="ON274" s="56"/>
      <c r="OO274" s="56"/>
      <c r="OP274" s="56"/>
      <c r="OQ274" s="56"/>
      <c r="OR274" s="56"/>
      <c r="OS274" s="56"/>
      <c r="OT274" s="56"/>
      <c r="OU274" s="56"/>
      <c r="OV274" s="56"/>
      <c r="OW274" s="56"/>
      <c r="OX274" s="56"/>
      <c r="OY274" s="56"/>
      <c r="OZ274" s="56"/>
      <c r="PA274" s="56"/>
      <c r="PB274" s="56"/>
      <c r="PC274" s="56"/>
      <c r="PD274" s="56"/>
      <c r="PE274" s="56"/>
      <c r="PF274" s="56"/>
      <c r="PG274" s="56"/>
      <c r="PH274" s="56"/>
      <c r="PI274" s="56"/>
      <c r="PJ274" s="56"/>
      <c r="PK274" s="56"/>
      <c r="PL274" s="56"/>
      <c r="PM274" s="56"/>
      <c r="PN274" s="56"/>
      <c r="PO274" s="56"/>
      <c r="PP274" s="56"/>
      <c r="PQ274" s="56"/>
      <c r="PR274" s="56"/>
      <c r="PS274" s="56"/>
      <c r="PT274" s="56"/>
      <c r="PU274" s="56"/>
      <c r="PV274" s="56"/>
      <c r="PW274" s="56"/>
      <c r="PX274" s="56"/>
      <c r="PY274" s="56"/>
      <c r="PZ274" s="56"/>
      <c r="QA274" s="56"/>
      <c r="QB274" s="56"/>
      <c r="QC274" s="56"/>
      <c r="QD274" s="56"/>
      <c r="QE274" s="56"/>
      <c r="QF274" s="56"/>
      <c r="QG274" s="56"/>
      <c r="QH274" s="56"/>
      <c r="QI274" s="56"/>
      <c r="QJ274" s="56"/>
      <c r="QK274" s="56"/>
      <c r="QL274" s="56"/>
      <c r="QM274" s="56"/>
      <c r="QN274" s="56"/>
      <c r="QO274" s="56"/>
      <c r="QP274" s="56"/>
      <c r="QQ274" s="56"/>
      <c r="QR274" s="56"/>
      <c r="QS274" s="56"/>
      <c r="QT274" s="56"/>
      <c r="QU274" s="56"/>
      <c r="QV274" s="56"/>
      <c r="QW274" s="56"/>
      <c r="QX274" s="56"/>
      <c r="QY274" s="56"/>
      <c r="QZ274" s="56"/>
      <c r="RA274" s="56"/>
      <c r="RB274" s="56"/>
      <c r="RC274" s="56"/>
      <c r="RD274" s="56"/>
      <c r="RE274" s="56"/>
      <c r="RF274" s="56"/>
      <c r="RG274" s="56"/>
      <c r="RH274" s="56"/>
      <c r="RI274" s="56"/>
      <c r="RJ274" s="56"/>
      <c r="RK274" s="56"/>
      <c r="RL274" s="56"/>
      <c r="RM274" s="56"/>
      <c r="RN274" s="56"/>
      <c r="RO274" s="56"/>
      <c r="RP274" s="56"/>
      <c r="RQ274" s="56"/>
      <c r="RR274" s="56"/>
      <c r="RS274" s="56"/>
      <c r="RT274" s="56"/>
      <c r="RU274" s="56"/>
      <c r="RV274" s="56"/>
      <c r="RW274" s="56"/>
      <c r="RX274" s="56"/>
      <c r="RY274" s="56"/>
      <c r="RZ274" s="56"/>
      <c r="SA274" s="56"/>
      <c r="SB274" s="56"/>
      <c r="SC274" s="56"/>
      <c r="SD274" s="56"/>
      <c r="SE274" s="56"/>
      <c r="SF274" s="56"/>
      <c r="SG274" s="56"/>
      <c r="SH274" s="56"/>
      <c r="SI274" s="56"/>
      <c r="SJ274" s="56"/>
      <c r="SK274" s="56"/>
      <c r="SL274" s="56"/>
      <c r="SM274" s="56"/>
      <c r="SN274" s="56"/>
      <c r="SO274" s="56"/>
      <c r="SP274" s="56"/>
      <c r="SQ274" s="56"/>
      <c r="SR274" s="56"/>
    </row>
    <row r="275" spans="1:512" ht="15" customHeight="1" x14ac:dyDescent="0.7">
      <c r="A275" s="171" t="s">
        <v>344</v>
      </c>
      <c r="B275" s="171" t="s">
        <v>344</v>
      </c>
      <c r="C275" s="171" t="s">
        <v>344</v>
      </c>
      <c r="D275" s="171"/>
      <c r="E275" s="171" t="s">
        <v>344</v>
      </c>
      <c r="F275" s="171"/>
      <c r="G275" s="188" t="s">
        <v>344</v>
      </c>
      <c r="H275" s="71" t="s">
        <v>344</v>
      </c>
      <c r="I275" s="72" t="s">
        <v>344</v>
      </c>
      <c r="J275" s="73" t="s">
        <v>344</v>
      </c>
      <c r="K275" s="189" t="s">
        <v>344</v>
      </c>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4"/>
      <c r="BY275" s="54"/>
      <c r="BZ275" s="54"/>
      <c r="CA275" s="54"/>
      <c r="CB275" s="54"/>
      <c r="CC275" s="54"/>
      <c r="CD275" s="54"/>
      <c r="CE275" s="54"/>
      <c r="CF275" s="54"/>
      <c r="CG275" s="54"/>
      <c r="CH275" s="54"/>
      <c r="CI275" s="54"/>
      <c r="CJ275" s="54"/>
      <c r="CK275" s="54"/>
      <c r="CL275" s="54"/>
      <c r="CM275" s="54"/>
      <c r="CN275" s="54"/>
      <c r="CO275" s="54"/>
      <c r="CP275" s="54"/>
      <c r="CQ275" s="54"/>
      <c r="CR275" s="54"/>
      <c r="CS275" s="54"/>
      <c r="CT275" s="54"/>
      <c r="CU275" s="54"/>
      <c r="CV275" s="54"/>
      <c r="CW275" s="54"/>
      <c r="CX275" s="54"/>
      <c r="CY275" s="54"/>
      <c r="CZ275" s="54"/>
      <c r="DA275" s="54"/>
      <c r="DB275" s="54"/>
      <c r="DC275" s="54"/>
      <c r="DD275" s="54"/>
      <c r="DE275" s="54"/>
      <c r="DF275" s="54"/>
      <c r="DG275" s="54"/>
      <c r="DH275" s="54"/>
      <c r="DI275" s="54"/>
      <c r="DJ275" s="54"/>
      <c r="DK275" s="54"/>
      <c r="DL275" s="54"/>
      <c r="DM275" s="54"/>
      <c r="DN275" s="54"/>
      <c r="DO275" s="54"/>
      <c r="DP275" s="54"/>
      <c r="DQ275" s="54"/>
      <c r="DR275" s="54"/>
      <c r="DS275" s="54"/>
      <c r="DT275" s="54"/>
      <c r="DU275" s="54"/>
      <c r="DV275" s="54"/>
      <c r="DW275" s="54"/>
      <c r="DX275" s="54"/>
      <c r="DY275" s="54"/>
      <c r="DZ275" s="54"/>
      <c r="EA275" s="54"/>
      <c r="EB275" s="54"/>
      <c r="EC275" s="54"/>
      <c r="ED275" s="54"/>
      <c r="EE275" s="54"/>
      <c r="EF275" s="54"/>
      <c r="EG275" s="54"/>
      <c r="EH275" s="54"/>
      <c r="EI275" s="54"/>
      <c r="EJ275" s="54"/>
      <c r="EK275" s="54"/>
      <c r="EL275" s="54"/>
      <c r="EM275" s="54"/>
      <c r="EN275" s="54"/>
      <c r="EO275" s="54"/>
      <c r="EP275" s="54"/>
      <c r="EQ275" s="54"/>
      <c r="ER275" s="54"/>
      <c r="ES275" s="54"/>
      <c r="ET275" s="54"/>
      <c r="EU275" s="54"/>
      <c r="EV275" s="54"/>
      <c r="EW275" s="54"/>
      <c r="EX275" s="54"/>
      <c r="EY275" s="54"/>
      <c r="EZ275" s="54"/>
      <c r="FA275" s="54"/>
      <c r="FB275" s="54"/>
      <c r="FC275" s="54"/>
      <c r="FD275" s="54"/>
      <c r="FE275" s="54"/>
      <c r="FF275" s="54"/>
      <c r="FG275" s="54"/>
      <c r="FH275" s="54"/>
      <c r="FI275" s="54"/>
      <c r="FJ275" s="54"/>
      <c r="FK275" s="54"/>
      <c r="FL275" s="54"/>
      <c r="FM275" s="54"/>
      <c r="FN275" s="54"/>
      <c r="FO275" s="54"/>
      <c r="FP275" s="54"/>
      <c r="FQ275" s="54"/>
      <c r="FR275" s="54"/>
      <c r="FS275" s="54"/>
      <c r="FT275" s="54"/>
      <c r="FU275" s="54"/>
      <c r="FV275" s="54"/>
      <c r="FW275" s="54"/>
      <c r="FX275" s="54"/>
      <c r="FY275" s="54"/>
      <c r="FZ275" s="54"/>
      <c r="GA275" s="54"/>
      <c r="GB275" s="54"/>
      <c r="GC275" s="54"/>
      <c r="GD275" s="54"/>
      <c r="GE275" s="54"/>
      <c r="GF275" s="54"/>
      <c r="GG275" s="54"/>
      <c r="GH275" s="54"/>
      <c r="GI275" s="54"/>
      <c r="GJ275" s="54"/>
      <c r="GK275" s="54"/>
      <c r="GL275" s="54"/>
      <c r="GM275" s="54"/>
      <c r="GN275" s="54"/>
      <c r="GO275" s="54"/>
      <c r="GP275" s="54"/>
      <c r="GQ275" s="54"/>
      <c r="GR275" s="54"/>
      <c r="GS275" s="54"/>
      <c r="GT275" s="54"/>
      <c r="GU275" s="54"/>
      <c r="GV275" s="54"/>
      <c r="GW275" s="54"/>
      <c r="GX275" s="54"/>
      <c r="GY275" s="54"/>
      <c r="GZ275" s="54"/>
      <c r="HA275" s="54"/>
      <c r="HB275" s="54"/>
      <c r="HC275" s="54"/>
      <c r="HD275" s="54"/>
      <c r="HE275" s="54"/>
      <c r="HF275" s="54"/>
      <c r="HG275" s="54"/>
      <c r="HH275" s="54"/>
      <c r="HI275" s="54"/>
      <c r="HJ275" s="54"/>
      <c r="HK275" s="54"/>
      <c r="HL275" s="54"/>
      <c r="HM275" s="54"/>
      <c r="HN275" s="54"/>
      <c r="HO275" s="54"/>
      <c r="HP275" s="54"/>
      <c r="HQ275" s="54"/>
      <c r="HR275" s="54"/>
      <c r="HS275" s="54"/>
      <c r="HT275" s="54"/>
      <c r="HU275" s="54"/>
      <c r="HV275" s="54"/>
      <c r="HW275" s="54"/>
      <c r="HX275" s="54"/>
      <c r="HY275" s="54"/>
      <c r="HZ275" s="54"/>
      <c r="IA275" s="54"/>
      <c r="IB275" s="54"/>
      <c r="IC275" s="54"/>
      <c r="ID275" s="54"/>
      <c r="IE275" s="54"/>
      <c r="IF275" s="54"/>
      <c r="IG275" s="54"/>
      <c r="IH275" s="54"/>
      <c r="II275" s="54"/>
      <c r="IJ275" s="54"/>
      <c r="IK275" s="54"/>
      <c r="IL275" s="54"/>
      <c r="IM275" s="54"/>
      <c r="IN275" s="54"/>
      <c r="IO275" s="54"/>
      <c r="IP275" s="54"/>
      <c r="IQ275" s="54"/>
      <c r="IR275" s="54"/>
      <c r="IS275" s="54"/>
      <c r="IT275" s="54"/>
      <c r="IU275" s="54"/>
      <c r="IV275" s="54"/>
      <c r="IW275" s="54"/>
      <c r="IX275" s="54"/>
      <c r="IY275" s="54"/>
      <c r="IZ275" s="54"/>
      <c r="JA275" s="54"/>
      <c r="JB275" s="54"/>
      <c r="JC275" s="54"/>
      <c r="JD275" s="54"/>
      <c r="JE275" s="54"/>
      <c r="JF275" s="54"/>
      <c r="JG275" s="54"/>
      <c r="JH275" s="54"/>
      <c r="JI275" s="54"/>
      <c r="JJ275" s="54"/>
      <c r="JK275" s="54"/>
      <c r="JL275" s="54"/>
      <c r="JM275" s="54"/>
      <c r="JN275" s="54"/>
      <c r="JO275" s="54"/>
      <c r="JP275" s="54"/>
      <c r="JQ275" s="54"/>
      <c r="JR275" s="54"/>
      <c r="JS275" s="54"/>
      <c r="JT275" s="54"/>
      <c r="JU275" s="54"/>
      <c r="JV275" s="54"/>
      <c r="JW275" s="54"/>
      <c r="JX275" s="54"/>
      <c r="JY275" s="54"/>
      <c r="JZ275" s="54"/>
      <c r="KA275" s="54"/>
      <c r="KB275" s="54"/>
      <c r="KC275" s="54"/>
      <c r="KD275" s="54"/>
      <c r="KE275" s="54"/>
      <c r="KF275" s="54"/>
      <c r="KG275" s="54"/>
      <c r="KH275" s="54"/>
      <c r="KI275" s="54"/>
      <c r="KJ275" s="54"/>
      <c r="KK275" s="54"/>
      <c r="KL275" s="54"/>
      <c r="KM275" s="54"/>
      <c r="KN275" s="54"/>
      <c r="KO275" s="54"/>
      <c r="KP275" s="54"/>
      <c r="KQ275" s="54"/>
      <c r="KR275" s="54"/>
      <c r="KS275" s="54"/>
      <c r="KT275" s="54"/>
      <c r="KU275" s="54"/>
      <c r="KV275" s="54"/>
      <c r="KW275" s="54"/>
      <c r="KX275" s="54"/>
      <c r="KY275" s="54"/>
      <c r="KZ275" s="54"/>
      <c r="LA275" s="54"/>
      <c r="LB275" s="54"/>
      <c r="LC275" s="54"/>
      <c r="LD275" s="54"/>
      <c r="LE275" s="54"/>
      <c r="LF275" s="54"/>
      <c r="LG275" s="54"/>
      <c r="LH275" s="54"/>
      <c r="LI275" s="54"/>
      <c r="LJ275" s="54"/>
      <c r="LK275" s="54"/>
      <c r="LL275" s="54"/>
      <c r="LM275" s="54"/>
      <c r="LN275" s="54"/>
      <c r="LO275" s="54"/>
      <c r="LP275" s="54"/>
      <c r="LQ275" s="54"/>
      <c r="LR275" s="54"/>
      <c r="LS275" s="54"/>
      <c r="LT275" s="54"/>
      <c r="LU275" s="54"/>
      <c r="LV275" s="54"/>
      <c r="LW275" s="54"/>
      <c r="LX275" s="54"/>
      <c r="LY275" s="54"/>
      <c r="LZ275" s="54"/>
      <c r="MA275" s="54"/>
      <c r="MB275" s="54"/>
      <c r="MC275" s="54"/>
      <c r="MD275" s="54"/>
      <c r="ME275" s="54"/>
      <c r="MF275" s="54"/>
      <c r="MG275" s="54"/>
      <c r="MH275" s="54"/>
      <c r="MI275" s="54"/>
      <c r="MJ275" s="54"/>
      <c r="MK275" s="54"/>
      <c r="ML275" s="54"/>
      <c r="MM275" s="54"/>
      <c r="MN275" s="54"/>
      <c r="MO275" s="54"/>
      <c r="MP275" s="54"/>
      <c r="MQ275" s="54"/>
      <c r="MR275" s="54"/>
      <c r="MS275" s="54"/>
      <c r="MT275" s="54"/>
      <c r="MU275" s="54"/>
      <c r="MV275" s="54"/>
      <c r="MW275" s="54"/>
      <c r="MX275" s="54"/>
      <c r="MY275" s="54"/>
      <c r="MZ275" s="54"/>
      <c r="NA275" s="54"/>
      <c r="NB275" s="54"/>
      <c r="NC275" s="54"/>
      <c r="ND275" s="54"/>
      <c r="NE275" s="54"/>
      <c r="NF275" s="54"/>
      <c r="NG275" s="54"/>
      <c r="NH275" s="54"/>
      <c r="NI275" s="54"/>
      <c r="NJ275" s="54"/>
      <c r="NK275" s="54"/>
      <c r="NL275" s="54"/>
      <c r="NM275" s="54"/>
      <c r="NN275" s="54"/>
      <c r="NO275" s="54"/>
      <c r="NP275" s="54"/>
      <c r="NQ275" s="54"/>
      <c r="NR275" s="54"/>
      <c r="NS275" s="54"/>
      <c r="NT275" s="54"/>
      <c r="NU275" s="54"/>
      <c r="NV275" s="54"/>
      <c r="NW275" s="54"/>
      <c r="NX275" s="54"/>
      <c r="NY275" s="54"/>
      <c r="NZ275" s="54"/>
      <c r="OA275" s="54"/>
      <c r="OB275" s="54"/>
      <c r="OC275" s="54"/>
      <c r="OD275" s="54"/>
      <c r="OE275" s="54"/>
      <c r="OF275" s="54"/>
      <c r="OG275" s="54"/>
      <c r="OH275" s="54"/>
      <c r="OI275" s="54"/>
      <c r="OJ275" s="54"/>
      <c r="OK275" s="54"/>
      <c r="OL275" s="54"/>
      <c r="OM275" s="54"/>
      <c r="ON275" s="54"/>
      <c r="OO275" s="54"/>
      <c r="OP275" s="54"/>
      <c r="OQ275" s="54"/>
      <c r="OR275" s="54"/>
      <c r="OS275" s="54"/>
      <c r="OT275" s="54"/>
      <c r="OU275" s="54"/>
      <c r="OV275" s="54"/>
      <c r="OW275" s="54"/>
      <c r="OX275" s="54"/>
      <c r="OY275" s="54"/>
      <c r="OZ275" s="54"/>
      <c r="PA275" s="54"/>
      <c r="PB275" s="54"/>
      <c r="PC275" s="54"/>
      <c r="PD275" s="54"/>
      <c r="PE275" s="54"/>
      <c r="PF275" s="54"/>
      <c r="PG275" s="54"/>
      <c r="PH275" s="54"/>
      <c r="PI275" s="54"/>
      <c r="PJ275" s="54"/>
      <c r="PK275" s="54"/>
      <c r="PL275" s="54"/>
      <c r="PM275" s="54"/>
      <c r="PN275" s="54"/>
      <c r="PO275" s="54"/>
      <c r="PP275" s="54"/>
      <c r="PQ275" s="54"/>
      <c r="PR275" s="54"/>
      <c r="PS275" s="54"/>
      <c r="PT275" s="54"/>
      <c r="PU275" s="54"/>
      <c r="PV275" s="54"/>
      <c r="PW275" s="54"/>
      <c r="PX275" s="54"/>
      <c r="PY275" s="54"/>
      <c r="PZ275" s="54"/>
      <c r="QA275" s="54"/>
      <c r="QB275" s="54"/>
      <c r="QC275" s="54"/>
      <c r="QD275" s="54"/>
      <c r="QE275" s="54"/>
      <c r="QF275" s="54"/>
      <c r="QG275" s="54"/>
      <c r="QH275" s="54"/>
      <c r="QI275" s="54"/>
      <c r="QJ275" s="54"/>
      <c r="QK275" s="54"/>
      <c r="QL275" s="54"/>
      <c r="QM275" s="54"/>
      <c r="QN275" s="54"/>
      <c r="QO275" s="54"/>
      <c r="QP275" s="54"/>
      <c r="QQ275" s="54"/>
      <c r="QR275" s="54"/>
      <c r="QS275" s="54"/>
      <c r="QT275" s="54"/>
      <c r="QU275" s="54"/>
      <c r="QV275" s="54"/>
      <c r="QW275" s="54"/>
      <c r="QX275" s="54"/>
      <c r="QY275" s="54"/>
      <c r="QZ275" s="54"/>
      <c r="RA275" s="54"/>
      <c r="RB275" s="54"/>
      <c r="RC275" s="54"/>
      <c r="RD275" s="54"/>
      <c r="RE275" s="54"/>
      <c r="RF275" s="54"/>
      <c r="RG275" s="54"/>
      <c r="RH275" s="54"/>
      <c r="RI275" s="54"/>
      <c r="RJ275" s="54"/>
      <c r="RK275" s="54"/>
      <c r="RL275" s="54"/>
      <c r="RM275" s="54"/>
      <c r="RN275" s="54"/>
      <c r="RO275" s="54"/>
      <c r="RP275" s="54"/>
      <c r="RQ275" s="54"/>
      <c r="RR275" s="54"/>
      <c r="RS275" s="54"/>
      <c r="RT275" s="54"/>
      <c r="RU275" s="54"/>
      <c r="RV275" s="54"/>
      <c r="RW275" s="54"/>
      <c r="RX275" s="54"/>
      <c r="RY275" s="54"/>
      <c r="RZ275" s="54"/>
      <c r="SA275" s="54"/>
      <c r="SB275" s="54"/>
      <c r="SC275" s="54"/>
      <c r="SD275" s="54"/>
      <c r="SE275" s="54"/>
      <c r="SF275" s="54"/>
      <c r="SG275" s="54"/>
      <c r="SH275" s="54"/>
      <c r="SI275" s="54"/>
      <c r="SJ275" s="54"/>
      <c r="SK275" s="54"/>
      <c r="SL275" s="54"/>
      <c r="SM275" s="54"/>
      <c r="SN275" s="54"/>
      <c r="SO275" s="54"/>
      <c r="SP275" s="54"/>
      <c r="SQ275" s="54"/>
      <c r="SR275" s="54"/>
    </row>
    <row r="276" spans="1:512" ht="15" customHeight="1" x14ac:dyDescent="0.7">
      <c r="A276" s="172"/>
      <c r="B276" s="172"/>
      <c r="C276" s="172"/>
      <c r="D276" s="172"/>
      <c r="E276" s="172"/>
      <c r="F276" s="172"/>
      <c r="G276" s="172"/>
      <c r="I276" s="72" t="s">
        <v>344</v>
      </c>
      <c r="J276" s="73" t="s">
        <v>344</v>
      </c>
      <c r="K276" s="190"/>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c r="BU276" s="54"/>
      <c r="BV276" s="54"/>
      <c r="BW276" s="54"/>
      <c r="BX276" s="54"/>
      <c r="BY276" s="54"/>
      <c r="BZ276" s="54"/>
      <c r="CA276" s="54"/>
      <c r="CB276" s="54"/>
      <c r="CC276" s="54"/>
      <c r="CD276" s="54"/>
      <c r="CE276" s="54"/>
      <c r="CF276" s="54"/>
      <c r="CG276" s="54"/>
      <c r="CH276" s="54"/>
      <c r="CI276" s="54"/>
      <c r="CJ276" s="54"/>
      <c r="CK276" s="54"/>
      <c r="CL276" s="54"/>
      <c r="CM276" s="54"/>
      <c r="CN276" s="54"/>
      <c r="CO276" s="54"/>
      <c r="CP276" s="54"/>
      <c r="CQ276" s="54"/>
      <c r="CR276" s="54"/>
      <c r="CS276" s="54"/>
      <c r="CT276" s="54"/>
      <c r="CU276" s="54"/>
      <c r="CV276" s="54"/>
      <c r="CW276" s="54"/>
      <c r="CX276" s="54"/>
      <c r="CY276" s="54"/>
      <c r="CZ276" s="54"/>
      <c r="DA276" s="54"/>
      <c r="DB276" s="54"/>
      <c r="DC276" s="54"/>
      <c r="DD276" s="54"/>
      <c r="DE276" s="54"/>
      <c r="DF276" s="54"/>
      <c r="DG276" s="54"/>
      <c r="DH276" s="54"/>
      <c r="DI276" s="54"/>
      <c r="DJ276" s="54"/>
      <c r="DK276" s="54"/>
      <c r="DL276" s="54"/>
      <c r="DM276" s="54"/>
      <c r="DN276" s="54"/>
      <c r="DO276" s="54"/>
      <c r="DP276" s="54"/>
      <c r="DQ276" s="54"/>
      <c r="DR276" s="54"/>
      <c r="DS276" s="54"/>
      <c r="DT276" s="54"/>
      <c r="DU276" s="54"/>
      <c r="DV276" s="54"/>
      <c r="DW276" s="54"/>
      <c r="DX276" s="54"/>
      <c r="DY276" s="54"/>
      <c r="DZ276" s="54"/>
      <c r="EA276" s="54"/>
      <c r="EB276" s="54"/>
      <c r="EC276" s="54"/>
      <c r="ED276" s="54"/>
      <c r="EE276" s="54"/>
      <c r="EF276" s="54"/>
      <c r="EG276" s="54"/>
      <c r="EH276" s="54"/>
      <c r="EI276" s="54"/>
      <c r="EJ276" s="54"/>
      <c r="EK276" s="54"/>
      <c r="EL276" s="54"/>
      <c r="EM276" s="54"/>
      <c r="EN276" s="54"/>
      <c r="EO276" s="54"/>
      <c r="EP276" s="54"/>
      <c r="EQ276" s="54"/>
      <c r="ER276" s="54"/>
      <c r="ES276" s="54"/>
      <c r="ET276" s="54"/>
      <c r="EU276" s="54"/>
      <c r="EV276" s="54"/>
      <c r="EW276" s="54"/>
      <c r="EX276" s="54"/>
      <c r="EY276" s="54"/>
      <c r="EZ276" s="54"/>
      <c r="FA276" s="54"/>
      <c r="FB276" s="54"/>
      <c r="FC276" s="54"/>
      <c r="FD276" s="54"/>
      <c r="FE276" s="54"/>
      <c r="FF276" s="54"/>
      <c r="FG276" s="54"/>
      <c r="FH276" s="54"/>
      <c r="FI276" s="54"/>
      <c r="FJ276" s="54"/>
      <c r="FK276" s="54"/>
      <c r="FL276" s="54"/>
      <c r="FM276" s="54"/>
      <c r="FN276" s="54"/>
      <c r="FO276" s="54"/>
      <c r="FP276" s="54"/>
      <c r="FQ276" s="54"/>
      <c r="FR276" s="54"/>
      <c r="FS276" s="54"/>
      <c r="FT276" s="54"/>
      <c r="FU276" s="54"/>
      <c r="FV276" s="54"/>
      <c r="FW276" s="54"/>
      <c r="FX276" s="54"/>
      <c r="FY276" s="54"/>
      <c r="FZ276" s="54"/>
      <c r="GA276" s="54"/>
      <c r="GB276" s="54"/>
      <c r="GC276" s="54"/>
      <c r="GD276" s="54"/>
      <c r="GE276" s="54"/>
      <c r="GF276" s="54"/>
      <c r="GG276" s="54"/>
      <c r="GH276" s="54"/>
      <c r="GI276" s="54"/>
      <c r="GJ276" s="54"/>
      <c r="GK276" s="54"/>
      <c r="GL276" s="54"/>
      <c r="GM276" s="54"/>
      <c r="GN276" s="54"/>
      <c r="GO276" s="54"/>
      <c r="GP276" s="54"/>
      <c r="GQ276" s="54"/>
      <c r="GR276" s="54"/>
      <c r="GS276" s="54"/>
      <c r="GT276" s="54"/>
      <c r="GU276" s="54"/>
      <c r="GV276" s="54"/>
      <c r="GW276" s="54"/>
      <c r="GX276" s="54"/>
      <c r="GY276" s="54"/>
      <c r="GZ276" s="54"/>
      <c r="HA276" s="54"/>
      <c r="HB276" s="54"/>
      <c r="HC276" s="54"/>
      <c r="HD276" s="54"/>
      <c r="HE276" s="54"/>
      <c r="HF276" s="54"/>
      <c r="HG276" s="54"/>
      <c r="HH276" s="54"/>
      <c r="HI276" s="54"/>
      <c r="HJ276" s="54"/>
      <c r="HK276" s="54"/>
      <c r="HL276" s="54"/>
      <c r="HM276" s="54"/>
      <c r="HN276" s="54"/>
      <c r="HO276" s="54"/>
      <c r="HP276" s="54"/>
      <c r="HQ276" s="54"/>
      <c r="HR276" s="54"/>
      <c r="HS276" s="54"/>
      <c r="HT276" s="54"/>
      <c r="HU276" s="54"/>
      <c r="HV276" s="54"/>
      <c r="HW276" s="54"/>
      <c r="HX276" s="54"/>
      <c r="HY276" s="54"/>
      <c r="HZ276" s="54"/>
      <c r="IA276" s="54"/>
      <c r="IB276" s="54"/>
      <c r="IC276" s="54"/>
      <c r="ID276" s="54"/>
      <c r="IE276" s="54"/>
      <c r="IF276" s="54"/>
      <c r="IG276" s="54"/>
      <c r="IH276" s="54"/>
      <c r="II276" s="54"/>
      <c r="IJ276" s="54"/>
      <c r="IK276" s="54"/>
      <c r="IL276" s="54"/>
      <c r="IM276" s="54"/>
      <c r="IN276" s="54"/>
      <c r="IO276" s="54"/>
      <c r="IP276" s="54"/>
      <c r="IQ276" s="54"/>
      <c r="IR276" s="54"/>
      <c r="IS276" s="54"/>
      <c r="IT276" s="54"/>
      <c r="IU276" s="54"/>
      <c r="IV276" s="54"/>
      <c r="IW276" s="54"/>
      <c r="IX276" s="54"/>
      <c r="IY276" s="54"/>
      <c r="IZ276" s="54"/>
      <c r="JA276" s="54"/>
      <c r="JB276" s="54"/>
      <c r="JC276" s="54"/>
      <c r="JD276" s="54"/>
      <c r="JE276" s="54"/>
      <c r="JF276" s="54"/>
      <c r="JG276" s="54"/>
      <c r="JH276" s="54"/>
      <c r="JI276" s="54"/>
      <c r="JJ276" s="54"/>
      <c r="JK276" s="54"/>
      <c r="JL276" s="54"/>
      <c r="JM276" s="54"/>
      <c r="JN276" s="54"/>
      <c r="JO276" s="54"/>
      <c r="JP276" s="54"/>
      <c r="JQ276" s="54"/>
      <c r="JR276" s="54"/>
      <c r="JS276" s="54"/>
      <c r="JT276" s="54"/>
      <c r="JU276" s="54"/>
      <c r="JV276" s="54"/>
      <c r="JW276" s="54"/>
      <c r="JX276" s="54"/>
      <c r="JY276" s="54"/>
      <c r="JZ276" s="54"/>
      <c r="KA276" s="54"/>
      <c r="KB276" s="54"/>
      <c r="KC276" s="54"/>
      <c r="KD276" s="54"/>
      <c r="KE276" s="54"/>
      <c r="KF276" s="54"/>
      <c r="KG276" s="54"/>
      <c r="KH276" s="54"/>
      <c r="KI276" s="54"/>
      <c r="KJ276" s="54"/>
      <c r="KK276" s="54"/>
      <c r="KL276" s="54"/>
      <c r="KM276" s="54"/>
      <c r="KN276" s="54"/>
      <c r="KO276" s="54"/>
      <c r="KP276" s="54"/>
      <c r="KQ276" s="54"/>
      <c r="KR276" s="54"/>
      <c r="KS276" s="54"/>
      <c r="KT276" s="54"/>
      <c r="KU276" s="54"/>
      <c r="KV276" s="54"/>
      <c r="KW276" s="54"/>
      <c r="KX276" s="54"/>
      <c r="KY276" s="54"/>
      <c r="KZ276" s="54"/>
      <c r="LA276" s="54"/>
      <c r="LB276" s="54"/>
      <c r="LC276" s="54"/>
      <c r="LD276" s="54"/>
      <c r="LE276" s="54"/>
      <c r="LF276" s="54"/>
      <c r="LG276" s="54"/>
      <c r="LH276" s="54"/>
      <c r="LI276" s="54"/>
      <c r="LJ276" s="54"/>
      <c r="LK276" s="54"/>
      <c r="LL276" s="54"/>
      <c r="LM276" s="54"/>
      <c r="LN276" s="54"/>
      <c r="LO276" s="54"/>
      <c r="LP276" s="54"/>
      <c r="LQ276" s="54"/>
      <c r="LR276" s="54"/>
      <c r="LS276" s="54"/>
      <c r="LT276" s="54"/>
      <c r="LU276" s="54"/>
      <c r="LV276" s="54"/>
      <c r="LW276" s="54"/>
      <c r="LX276" s="54"/>
      <c r="LY276" s="54"/>
      <c r="LZ276" s="54"/>
      <c r="MA276" s="54"/>
      <c r="MB276" s="54"/>
      <c r="MC276" s="54"/>
      <c r="MD276" s="54"/>
      <c r="ME276" s="54"/>
      <c r="MF276" s="54"/>
      <c r="MG276" s="54"/>
      <c r="MH276" s="54"/>
      <c r="MI276" s="54"/>
      <c r="MJ276" s="54"/>
      <c r="MK276" s="54"/>
      <c r="ML276" s="54"/>
      <c r="MM276" s="54"/>
      <c r="MN276" s="54"/>
      <c r="MO276" s="54"/>
      <c r="MP276" s="54"/>
      <c r="MQ276" s="54"/>
      <c r="MR276" s="54"/>
      <c r="MS276" s="54"/>
      <c r="MT276" s="54"/>
      <c r="MU276" s="54"/>
      <c r="MV276" s="54"/>
      <c r="MW276" s="54"/>
      <c r="MX276" s="54"/>
      <c r="MY276" s="54"/>
      <c r="MZ276" s="54"/>
      <c r="NA276" s="54"/>
      <c r="NB276" s="54"/>
      <c r="NC276" s="54"/>
      <c r="ND276" s="54"/>
      <c r="NE276" s="54"/>
      <c r="NF276" s="54"/>
      <c r="NG276" s="54"/>
      <c r="NH276" s="54"/>
      <c r="NI276" s="54"/>
      <c r="NJ276" s="54"/>
      <c r="NK276" s="54"/>
      <c r="NL276" s="54"/>
      <c r="NM276" s="54"/>
      <c r="NN276" s="54"/>
      <c r="NO276" s="54"/>
      <c r="NP276" s="54"/>
      <c r="NQ276" s="54"/>
      <c r="NR276" s="54"/>
      <c r="NS276" s="54"/>
      <c r="NT276" s="54"/>
      <c r="NU276" s="54"/>
      <c r="NV276" s="54"/>
      <c r="NW276" s="54"/>
      <c r="NX276" s="54"/>
      <c r="NY276" s="54"/>
      <c r="NZ276" s="54"/>
      <c r="OA276" s="54"/>
      <c r="OB276" s="54"/>
      <c r="OC276" s="54"/>
      <c r="OD276" s="54"/>
      <c r="OE276" s="54"/>
      <c r="OF276" s="54"/>
      <c r="OG276" s="54"/>
      <c r="OH276" s="54"/>
      <c r="OI276" s="54"/>
      <c r="OJ276" s="54"/>
      <c r="OK276" s="54"/>
      <c r="OL276" s="54"/>
      <c r="OM276" s="54"/>
      <c r="ON276" s="54"/>
      <c r="OO276" s="54"/>
      <c r="OP276" s="54"/>
      <c r="OQ276" s="54"/>
      <c r="OR276" s="54"/>
      <c r="OS276" s="54"/>
      <c r="OT276" s="54"/>
      <c r="OU276" s="54"/>
      <c r="OV276" s="54"/>
      <c r="OW276" s="54"/>
      <c r="OX276" s="54"/>
      <c r="OY276" s="54"/>
      <c r="OZ276" s="54"/>
      <c r="PA276" s="54"/>
      <c r="PB276" s="54"/>
      <c r="PC276" s="54"/>
      <c r="PD276" s="54"/>
      <c r="PE276" s="54"/>
      <c r="PF276" s="54"/>
      <c r="PG276" s="54"/>
      <c r="PH276" s="54"/>
      <c r="PI276" s="54"/>
      <c r="PJ276" s="54"/>
      <c r="PK276" s="54"/>
      <c r="PL276" s="54"/>
      <c r="PM276" s="54"/>
      <c r="PN276" s="54"/>
      <c r="PO276" s="54"/>
      <c r="PP276" s="54"/>
      <c r="PQ276" s="54"/>
      <c r="PR276" s="54"/>
      <c r="PS276" s="54"/>
      <c r="PT276" s="54"/>
      <c r="PU276" s="54"/>
      <c r="PV276" s="54"/>
      <c r="PW276" s="54"/>
      <c r="PX276" s="54"/>
      <c r="PY276" s="54"/>
      <c r="PZ276" s="54"/>
      <c r="QA276" s="54"/>
      <c r="QB276" s="54"/>
      <c r="QC276" s="54"/>
      <c r="QD276" s="54"/>
      <c r="QE276" s="54"/>
      <c r="QF276" s="54"/>
      <c r="QG276" s="54"/>
      <c r="QH276" s="54"/>
      <c r="QI276" s="54"/>
      <c r="QJ276" s="54"/>
      <c r="QK276" s="54"/>
      <c r="QL276" s="54"/>
      <c r="QM276" s="54"/>
      <c r="QN276" s="54"/>
      <c r="QO276" s="54"/>
      <c r="QP276" s="54"/>
      <c r="QQ276" s="54"/>
      <c r="QR276" s="54"/>
      <c r="QS276" s="54"/>
      <c r="QT276" s="54"/>
      <c r="QU276" s="54"/>
      <c r="QV276" s="54"/>
      <c r="QW276" s="54"/>
      <c r="QX276" s="54"/>
      <c r="QY276" s="54"/>
      <c r="QZ276" s="54"/>
      <c r="RA276" s="54"/>
      <c r="RB276" s="54"/>
      <c r="RC276" s="54"/>
      <c r="RD276" s="54"/>
      <c r="RE276" s="54"/>
      <c r="RF276" s="54"/>
      <c r="RG276" s="54"/>
      <c r="RH276" s="54"/>
      <c r="RI276" s="54"/>
      <c r="RJ276" s="54"/>
      <c r="RK276" s="54"/>
      <c r="RL276" s="54"/>
      <c r="RM276" s="54"/>
      <c r="RN276" s="54"/>
      <c r="RO276" s="54"/>
      <c r="RP276" s="54"/>
      <c r="RQ276" s="54"/>
      <c r="RR276" s="54"/>
      <c r="RS276" s="54"/>
      <c r="RT276" s="54"/>
      <c r="RU276" s="54"/>
      <c r="RV276" s="54"/>
      <c r="RW276" s="54"/>
      <c r="RX276" s="54"/>
      <c r="RY276" s="54"/>
      <c r="RZ276" s="54"/>
      <c r="SA276" s="54"/>
      <c r="SB276" s="54"/>
      <c r="SC276" s="54"/>
      <c r="SD276" s="54"/>
      <c r="SE276" s="54"/>
      <c r="SF276" s="54"/>
      <c r="SG276" s="54"/>
      <c r="SH276" s="54"/>
      <c r="SI276" s="54"/>
      <c r="SJ276" s="54"/>
      <c r="SK276" s="54"/>
      <c r="SL276" s="54"/>
      <c r="SM276" s="54"/>
      <c r="SN276" s="54"/>
      <c r="SO276" s="54"/>
      <c r="SP276" s="54"/>
      <c r="SQ276" s="54"/>
      <c r="SR276" s="54"/>
    </row>
    <row r="277" spans="1:512" s="55" customFormat="1" ht="15" customHeight="1" x14ac:dyDescent="0.7">
      <c r="A277" s="173"/>
      <c r="B277" s="173"/>
      <c r="C277" s="173"/>
      <c r="D277" s="173"/>
      <c r="E277" s="173"/>
      <c r="F277" s="173"/>
      <c r="G277" s="173"/>
      <c r="H277" s="74"/>
      <c r="I277" s="75"/>
      <c r="J277" s="76"/>
      <c r="K277" s="191"/>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c r="IX277" s="56"/>
      <c r="IY277" s="56"/>
      <c r="IZ277" s="56"/>
      <c r="JA277" s="56"/>
      <c r="JB277" s="56"/>
      <c r="JC277" s="56"/>
      <c r="JD277" s="56"/>
      <c r="JE277" s="56"/>
      <c r="JF277" s="56"/>
      <c r="JG277" s="56"/>
      <c r="JH277" s="56"/>
      <c r="JI277" s="56"/>
      <c r="JJ277" s="56"/>
      <c r="JK277" s="56"/>
      <c r="JL277" s="56"/>
      <c r="JM277" s="56"/>
      <c r="JN277" s="56"/>
      <c r="JO277" s="56"/>
      <c r="JP277" s="56"/>
      <c r="JQ277" s="56"/>
      <c r="JR277" s="56"/>
      <c r="JS277" s="56"/>
      <c r="JT277" s="56"/>
      <c r="JU277" s="56"/>
      <c r="JV277" s="56"/>
      <c r="JW277" s="56"/>
      <c r="JX277" s="56"/>
      <c r="JY277" s="56"/>
      <c r="JZ277" s="56"/>
      <c r="KA277" s="56"/>
      <c r="KB277" s="56"/>
      <c r="KC277" s="56"/>
      <c r="KD277" s="56"/>
      <c r="KE277" s="56"/>
      <c r="KF277" s="56"/>
      <c r="KG277" s="56"/>
      <c r="KH277" s="56"/>
      <c r="KI277" s="56"/>
      <c r="KJ277" s="56"/>
      <c r="KK277" s="56"/>
      <c r="KL277" s="56"/>
      <c r="KM277" s="56"/>
      <c r="KN277" s="56"/>
      <c r="KO277" s="56"/>
      <c r="KP277" s="56"/>
      <c r="KQ277" s="56"/>
      <c r="KR277" s="56"/>
      <c r="KS277" s="56"/>
      <c r="KT277" s="56"/>
      <c r="KU277" s="56"/>
      <c r="KV277" s="56"/>
      <c r="KW277" s="56"/>
      <c r="KX277" s="56"/>
      <c r="KY277" s="56"/>
      <c r="KZ277" s="56"/>
      <c r="LA277" s="56"/>
      <c r="LB277" s="56"/>
      <c r="LC277" s="56"/>
      <c r="LD277" s="56"/>
      <c r="LE277" s="56"/>
      <c r="LF277" s="56"/>
      <c r="LG277" s="56"/>
      <c r="LH277" s="56"/>
      <c r="LI277" s="56"/>
      <c r="LJ277" s="56"/>
      <c r="LK277" s="56"/>
      <c r="LL277" s="56"/>
      <c r="LM277" s="56"/>
      <c r="LN277" s="56"/>
      <c r="LO277" s="56"/>
      <c r="LP277" s="56"/>
      <c r="LQ277" s="56"/>
      <c r="LR277" s="56"/>
      <c r="LS277" s="56"/>
      <c r="LT277" s="56"/>
      <c r="LU277" s="56"/>
      <c r="LV277" s="56"/>
      <c r="LW277" s="56"/>
      <c r="LX277" s="56"/>
      <c r="LY277" s="56"/>
      <c r="LZ277" s="56"/>
      <c r="MA277" s="56"/>
      <c r="MB277" s="56"/>
      <c r="MC277" s="56"/>
      <c r="MD277" s="56"/>
      <c r="ME277" s="56"/>
      <c r="MF277" s="56"/>
      <c r="MG277" s="56"/>
      <c r="MH277" s="56"/>
      <c r="MI277" s="56"/>
      <c r="MJ277" s="56"/>
      <c r="MK277" s="56"/>
      <c r="ML277" s="56"/>
      <c r="MM277" s="56"/>
      <c r="MN277" s="56"/>
      <c r="MO277" s="56"/>
      <c r="MP277" s="56"/>
      <c r="MQ277" s="56"/>
      <c r="MR277" s="56"/>
      <c r="MS277" s="56"/>
      <c r="MT277" s="56"/>
      <c r="MU277" s="56"/>
      <c r="MV277" s="56"/>
      <c r="MW277" s="56"/>
      <c r="MX277" s="56"/>
      <c r="MY277" s="56"/>
      <c r="MZ277" s="56"/>
      <c r="NA277" s="56"/>
      <c r="NB277" s="56"/>
      <c r="NC277" s="56"/>
      <c r="ND277" s="56"/>
      <c r="NE277" s="56"/>
      <c r="NF277" s="56"/>
      <c r="NG277" s="56"/>
      <c r="NH277" s="56"/>
      <c r="NI277" s="56"/>
      <c r="NJ277" s="56"/>
      <c r="NK277" s="56"/>
      <c r="NL277" s="56"/>
      <c r="NM277" s="56"/>
      <c r="NN277" s="56"/>
      <c r="NO277" s="56"/>
      <c r="NP277" s="56"/>
      <c r="NQ277" s="56"/>
      <c r="NR277" s="56"/>
      <c r="NS277" s="56"/>
      <c r="NT277" s="56"/>
      <c r="NU277" s="56"/>
      <c r="NV277" s="56"/>
      <c r="NW277" s="56"/>
      <c r="NX277" s="56"/>
      <c r="NY277" s="56"/>
      <c r="NZ277" s="56"/>
      <c r="OA277" s="56"/>
      <c r="OB277" s="56"/>
      <c r="OC277" s="56"/>
      <c r="OD277" s="56"/>
      <c r="OE277" s="56"/>
      <c r="OF277" s="56"/>
      <c r="OG277" s="56"/>
      <c r="OH277" s="56"/>
      <c r="OI277" s="56"/>
      <c r="OJ277" s="56"/>
      <c r="OK277" s="56"/>
      <c r="OL277" s="56"/>
      <c r="OM277" s="56"/>
      <c r="ON277" s="56"/>
      <c r="OO277" s="56"/>
      <c r="OP277" s="56"/>
      <c r="OQ277" s="56"/>
      <c r="OR277" s="56"/>
      <c r="OS277" s="56"/>
      <c r="OT277" s="56"/>
      <c r="OU277" s="56"/>
      <c r="OV277" s="56"/>
      <c r="OW277" s="56"/>
      <c r="OX277" s="56"/>
      <c r="OY277" s="56"/>
      <c r="OZ277" s="56"/>
      <c r="PA277" s="56"/>
      <c r="PB277" s="56"/>
      <c r="PC277" s="56"/>
      <c r="PD277" s="56"/>
      <c r="PE277" s="56"/>
      <c r="PF277" s="56"/>
      <c r="PG277" s="56"/>
      <c r="PH277" s="56"/>
      <c r="PI277" s="56"/>
      <c r="PJ277" s="56"/>
      <c r="PK277" s="56"/>
      <c r="PL277" s="56"/>
      <c r="PM277" s="56"/>
      <c r="PN277" s="56"/>
      <c r="PO277" s="56"/>
      <c r="PP277" s="56"/>
      <c r="PQ277" s="56"/>
      <c r="PR277" s="56"/>
      <c r="PS277" s="56"/>
      <c r="PT277" s="56"/>
      <c r="PU277" s="56"/>
      <c r="PV277" s="56"/>
      <c r="PW277" s="56"/>
      <c r="PX277" s="56"/>
      <c r="PY277" s="56"/>
      <c r="PZ277" s="56"/>
      <c r="QA277" s="56"/>
      <c r="QB277" s="56"/>
      <c r="QC277" s="56"/>
      <c r="QD277" s="56"/>
      <c r="QE277" s="56"/>
      <c r="QF277" s="56"/>
      <c r="QG277" s="56"/>
      <c r="QH277" s="56"/>
      <c r="QI277" s="56"/>
      <c r="QJ277" s="56"/>
      <c r="QK277" s="56"/>
      <c r="QL277" s="56"/>
      <c r="QM277" s="56"/>
      <c r="QN277" s="56"/>
      <c r="QO277" s="56"/>
      <c r="QP277" s="56"/>
      <c r="QQ277" s="56"/>
      <c r="QR277" s="56"/>
      <c r="QS277" s="56"/>
      <c r="QT277" s="56"/>
      <c r="QU277" s="56"/>
      <c r="QV277" s="56"/>
      <c r="QW277" s="56"/>
      <c r="QX277" s="56"/>
      <c r="QY277" s="56"/>
      <c r="QZ277" s="56"/>
      <c r="RA277" s="56"/>
      <c r="RB277" s="56"/>
      <c r="RC277" s="56"/>
      <c r="RD277" s="56"/>
      <c r="RE277" s="56"/>
      <c r="RF277" s="56"/>
      <c r="RG277" s="56"/>
      <c r="RH277" s="56"/>
      <c r="RI277" s="56"/>
      <c r="RJ277" s="56"/>
      <c r="RK277" s="56"/>
      <c r="RL277" s="56"/>
      <c r="RM277" s="56"/>
      <c r="RN277" s="56"/>
      <c r="RO277" s="56"/>
      <c r="RP277" s="56"/>
      <c r="RQ277" s="56"/>
      <c r="RR277" s="56"/>
      <c r="RS277" s="56"/>
      <c r="RT277" s="56"/>
      <c r="RU277" s="56"/>
      <c r="RV277" s="56"/>
      <c r="RW277" s="56"/>
      <c r="RX277" s="56"/>
      <c r="RY277" s="56"/>
      <c r="RZ277" s="56"/>
      <c r="SA277" s="56"/>
      <c r="SB277" s="56"/>
      <c r="SC277" s="56"/>
      <c r="SD277" s="56"/>
      <c r="SE277" s="56"/>
      <c r="SF277" s="56"/>
      <c r="SG277" s="56"/>
      <c r="SH277" s="56"/>
      <c r="SI277" s="56"/>
      <c r="SJ277" s="56"/>
      <c r="SK277" s="56"/>
      <c r="SL277" s="56"/>
      <c r="SM277" s="56"/>
      <c r="SN277" s="56"/>
      <c r="SO277" s="56"/>
      <c r="SP277" s="56"/>
      <c r="SQ277" s="56"/>
      <c r="SR277" s="56"/>
    </row>
    <row r="278" spans="1:512" ht="15" customHeight="1" x14ac:dyDescent="0.7">
      <c r="A278" s="171" t="s">
        <v>344</v>
      </c>
      <c r="B278" s="171" t="s">
        <v>344</v>
      </c>
      <c r="C278" s="171" t="s">
        <v>344</v>
      </c>
      <c r="D278" s="171"/>
      <c r="E278" s="171" t="s">
        <v>344</v>
      </c>
      <c r="F278" s="171"/>
      <c r="G278" s="188" t="s">
        <v>344</v>
      </c>
      <c r="H278" s="71" t="s">
        <v>344</v>
      </c>
      <c r="I278" s="72" t="s">
        <v>344</v>
      </c>
      <c r="J278" s="73" t="s">
        <v>344</v>
      </c>
      <c r="K278" s="189" t="s">
        <v>344</v>
      </c>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4"/>
      <c r="BY278" s="54"/>
      <c r="BZ278" s="54"/>
      <c r="CA278" s="54"/>
      <c r="CB278" s="54"/>
      <c r="CC278" s="54"/>
      <c r="CD278" s="54"/>
      <c r="CE278" s="54"/>
      <c r="CF278" s="54"/>
      <c r="CG278" s="54"/>
      <c r="CH278" s="54"/>
      <c r="CI278" s="54"/>
      <c r="CJ278" s="54"/>
      <c r="CK278" s="54"/>
      <c r="CL278" s="54"/>
      <c r="CM278" s="54"/>
      <c r="CN278" s="54"/>
      <c r="CO278" s="54"/>
      <c r="CP278" s="54"/>
      <c r="CQ278" s="54"/>
      <c r="CR278" s="54"/>
      <c r="CS278" s="54"/>
      <c r="CT278" s="54"/>
      <c r="CU278" s="54"/>
      <c r="CV278" s="54"/>
      <c r="CW278" s="54"/>
      <c r="CX278" s="54"/>
      <c r="CY278" s="54"/>
      <c r="CZ278" s="54"/>
      <c r="DA278" s="54"/>
      <c r="DB278" s="54"/>
      <c r="DC278" s="54"/>
      <c r="DD278" s="54"/>
      <c r="DE278" s="54"/>
      <c r="DF278" s="54"/>
      <c r="DG278" s="54"/>
      <c r="DH278" s="54"/>
      <c r="DI278" s="54"/>
      <c r="DJ278" s="54"/>
      <c r="DK278" s="54"/>
      <c r="DL278" s="54"/>
      <c r="DM278" s="54"/>
      <c r="DN278" s="54"/>
      <c r="DO278" s="54"/>
      <c r="DP278" s="54"/>
      <c r="DQ278" s="54"/>
      <c r="DR278" s="54"/>
      <c r="DS278" s="54"/>
      <c r="DT278" s="54"/>
      <c r="DU278" s="54"/>
      <c r="DV278" s="54"/>
      <c r="DW278" s="54"/>
      <c r="DX278" s="54"/>
      <c r="DY278" s="54"/>
      <c r="DZ278" s="54"/>
      <c r="EA278" s="54"/>
      <c r="EB278" s="54"/>
      <c r="EC278" s="54"/>
      <c r="ED278" s="54"/>
      <c r="EE278" s="54"/>
      <c r="EF278" s="54"/>
      <c r="EG278" s="54"/>
      <c r="EH278" s="54"/>
      <c r="EI278" s="54"/>
      <c r="EJ278" s="54"/>
      <c r="EK278" s="54"/>
      <c r="EL278" s="54"/>
      <c r="EM278" s="54"/>
      <c r="EN278" s="54"/>
      <c r="EO278" s="54"/>
      <c r="EP278" s="54"/>
      <c r="EQ278" s="54"/>
      <c r="ER278" s="54"/>
      <c r="ES278" s="54"/>
      <c r="ET278" s="54"/>
      <c r="EU278" s="54"/>
      <c r="EV278" s="54"/>
      <c r="EW278" s="54"/>
      <c r="EX278" s="54"/>
      <c r="EY278" s="54"/>
      <c r="EZ278" s="54"/>
      <c r="FA278" s="54"/>
      <c r="FB278" s="54"/>
      <c r="FC278" s="54"/>
      <c r="FD278" s="54"/>
      <c r="FE278" s="54"/>
      <c r="FF278" s="54"/>
      <c r="FG278" s="54"/>
      <c r="FH278" s="54"/>
      <c r="FI278" s="54"/>
      <c r="FJ278" s="54"/>
      <c r="FK278" s="54"/>
      <c r="FL278" s="54"/>
      <c r="FM278" s="54"/>
      <c r="FN278" s="54"/>
      <c r="FO278" s="54"/>
      <c r="FP278" s="54"/>
      <c r="FQ278" s="54"/>
      <c r="FR278" s="54"/>
      <c r="FS278" s="54"/>
      <c r="FT278" s="54"/>
      <c r="FU278" s="54"/>
      <c r="FV278" s="54"/>
      <c r="FW278" s="54"/>
      <c r="FX278" s="54"/>
      <c r="FY278" s="54"/>
      <c r="FZ278" s="54"/>
      <c r="GA278" s="54"/>
      <c r="GB278" s="54"/>
      <c r="GC278" s="54"/>
      <c r="GD278" s="54"/>
      <c r="GE278" s="54"/>
      <c r="GF278" s="54"/>
      <c r="GG278" s="54"/>
      <c r="GH278" s="54"/>
      <c r="GI278" s="54"/>
      <c r="GJ278" s="54"/>
      <c r="GK278" s="54"/>
      <c r="GL278" s="54"/>
      <c r="GM278" s="54"/>
      <c r="GN278" s="54"/>
      <c r="GO278" s="54"/>
      <c r="GP278" s="54"/>
      <c r="GQ278" s="54"/>
      <c r="GR278" s="54"/>
      <c r="GS278" s="54"/>
      <c r="GT278" s="54"/>
      <c r="GU278" s="54"/>
      <c r="GV278" s="54"/>
      <c r="GW278" s="54"/>
      <c r="GX278" s="54"/>
      <c r="GY278" s="54"/>
      <c r="GZ278" s="54"/>
      <c r="HA278" s="54"/>
      <c r="HB278" s="54"/>
      <c r="HC278" s="54"/>
      <c r="HD278" s="54"/>
      <c r="HE278" s="54"/>
      <c r="HF278" s="54"/>
      <c r="HG278" s="54"/>
      <c r="HH278" s="54"/>
      <c r="HI278" s="54"/>
      <c r="HJ278" s="54"/>
      <c r="HK278" s="54"/>
      <c r="HL278" s="54"/>
      <c r="HM278" s="54"/>
      <c r="HN278" s="54"/>
      <c r="HO278" s="54"/>
      <c r="HP278" s="54"/>
      <c r="HQ278" s="54"/>
      <c r="HR278" s="54"/>
      <c r="HS278" s="54"/>
      <c r="HT278" s="54"/>
      <c r="HU278" s="54"/>
      <c r="HV278" s="54"/>
      <c r="HW278" s="54"/>
      <c r="HX278" s="54"/>
      <c r="HY278" s="54"/>
      <c r="HZ278" s="54"/>
      <c r="IA278" s="54"/>
      <c r="IB278" s="54"/>
      <c r="IC278" s="54"/>
      <c r="ID278" s="54"/>
      <c r="IE278" s="54"/>
      <c r="IF278" s="54"/>
      <c r="IG278" s="54"/>
      <c r="IH278" s="54"/>
      <c r="II278" s="54"/>
      <c r="IJ278" s="54"/>
      <c r="IK278" s="54"/>
      <c r="IL278" s="54"/>
      <c r="IM278" s="54"/>
      <c r="IN278" s="54"/>
      <c r="IO278" s="54"/>
      <c r="IP278" s="54"/>
      <c r="IQ278" s="54"/>
      <c r="IR278" s="54"/>
      <c r="IS278" s="54"/>
      <c r="IT278" s="54"/>
      <c r="IU278" s="54"/>
      <c r="IV278" s="54"/>
      <c r="IW278" s="54"/>
      <c r="IX278" s="54"/>
      <c r="IY278" s="54"/>
      <c r="IZ278" s="54"/>
      <c r="JA278" s="54"/>
      <c r="JB278" s="54"/>
      <c r="JC278" s="54"/>
      <c r="JD278" s="54"/>
      <c r="JE278" s="54"/>
      <c r="JF278" s="54"/>
      <c r="JG278" s="54"/>
      <c r="JH278" s="54"/>
      <c r="JI278" s="54"/>
      <c r="JJ278" s="54"/>
      <c r="JK278" s="54"/>
      <c r="JL278" s="54"/>
      <c r="JM278" s="54"/>
      <c r="JN278" s="54"/>
      <c r="JO278" s="54"/>
      <c r="JP278" s="54"/>
      <c r="JQ278" s="54"/>
      <c r="JR278" s="54"/>
      <c r="JS278" s="54"/>
      <c r="JT278" s="54"/>
      <c r="JU278" s="54"/>
      <c r="JV278" s="54"/>
      <c r="JW278" s="54"/>
      <c r="JX278" s="54"/>
      <c r="JY278" s="54"/>
      <c r="JZ278" s="54"/>
      <c r="KA278" s="54"/>
      <c r="KB278" s="54"/>
      <c r="KC278" s="54"/>
      <c r="KD278" s="54"/>
      <c r="KE278" s="54"/>
      <c r="KF278" s="54"/>
      <c r="KG278" s="54"/>
      <c r="KH278" s="54"/>
      <c r="KI278" s="54"/>
      <c r="KJ278" s="54"/>
      <c r="KK278" s="54"/>
      <c r="KL278" s="54"/>
      <c r="KM278" s="54"/>
      <c r="KN278" s="54"/>
      <c r="KO278" s="54"/>
      <c r="KP278" s="54"/>
      <c r="KQ278" s="54"/>
      <c r="KR278" s="54"/>
      <c r="KS278" s="54"/>
      <c r="KT278" s="54"/>
      <c r="KU278" s="54"/>
      <c r="KV278" s="54"/>
      <c r="KW278" s="54"/>
      <c r="KX278" s="54"/>
      <c r="KY278" s="54"/>
      <c r="KZ278" s="54"/>
      <c r="LA278" s="54"/>
      <c r="LB278" s="54"/>
      <c r="LC278" s="54"/>
      <c r="LD278" s="54"/>
      <c r="LE278" s="54"/>
      <c r="LF278" s="54"/>
      <c r="LG278" s="54"/>
      <c r="LH278" s="54"/>
      <c r="LI278" s="54"/>
      <c r="LJ278" s="54"/>
      <c r="LK278" s="54"/>
      <c r="LL278" s="54"/>
      <c r="LM278" s="54"/>
      <c r="LN278" s="54"/>
      <c r="LO278" s="54"/>
      <c r="LP278" s="54"/>
      <c r="LQ278" s="54"/>
      <c r="LR278" s="54"/>
      <c r="LS278" s="54"/>
      <c r="LT278" s="54"/>
      <c r="LU278" s="54"/>
      <c r="LV278" s="54"/>
      <c r="LW278" s="54"/>
      <c r="LX278" s="54"/>
      <c r="LY278" s="54"/>
      <c r="LZ278" s="54"/>
      <c r="MA278" s="54"/>
      <c r="MB278" s="54"/>
      <c r="MC278" s="54"/>
      <c r="MD278" s="54"/>
      <c r="ME278" s="54"/>
      <c r="MF278" s="54"/>
      <c r="MG278" s="54"/>
      <c r="MH278" s="54"/>
      <c r="MI278" s="54"/>
      <c r="MJ278" s="54"/>
      <c r="MK278" s="54"/>
      <c r="ML278" s="54"/>
      <c r="MM278" s="54"/>
      <c r="MN278" s="54"/>
      <c r="MO278" s="54"/>
      <c r="MP278" s="54"/>
      <c r="MQ278" s="54"/>
      <c r="MR278" s="54"/>
      <c r="MS278" s="54"/>
      <c r="MT278" s="54"/>
      <c r="MU278" s="54"/>
      <c r="MV278" s="54"/>
      <c r="MW278" s="54"/>
      <c r="MX278" s="54"/>
      <c r="MY278" s="54"/>
      <c r="MZ278" s="54"/>
      <c r="NA278" s="54"/>
      <c r="NB278" s="54"/>
      <c r="NC278" s="54"/>
      <c r="ND278" s="54"/>
      <c r="NE278" s="54"/>
      <c r="NF278" s="54"/>
      <c r="NG278" s="54"/>
      <c r="NH278" s="54"/>
      <c r="NI278" s="54"/>
      <c r="NJ278" s="54"/>
      <c r="NK278" s="54"/>
      <c r="NL278" s="54"/>
      <c r="NM278" s="54"/>
      <c r="NN278" s="54"/>
      <c r="NO278" s="54"/>
      <c r="NP278" s="54"/>
      <c r="NQ278" s="54"/>
      <c r="NR278" s="54"/>
      <c r="NS278" s="54"/>
      <c r="NT278" s="54"/>
      <c r="NU278" s="54"/>
      <c r="NV278" s="54"/>
      <c r="NW278" s="54"/>
      <c r="NX278" s="54"/>
      <c r="NY278" s="54"/>
      <c r="NZ278" s="54"/>
      <c r="OA278" s="54"/>
      <c r="OB278" s="54"/>
      <c r="OC278" s="54"/>
      <c r="OD278" s="54"/>
      <c r="OE278" s="54"/>
      <c r="OF278" s="54"/>
      <c r="OG278" s="54"/>
      <c r="OH278" s="54"/>
      <c r="OI278" s="54"/>
      <c r="OJ278" s="54"/>
      <c r="OK278" s="54"/>
      <c r="OL278" s="54"/>
      <c r="OM278" s="54"/>
      <c r="ON278" s="54"/>
      <c r="OO278" s="54"/>
      <c r="OP278" s="54"/>
      <c r="OQ278" s="54"/>
      <c r="OR278" s="54"/>
      <c r="OS278" s="54"/>
      <c r="OT278" s="54"/>
      <c r="OU278" s="54"/>
      <c r="OV278" s="54"/>
      <c r="OW278" s="54"/>
      <c r="OX278" s="54"/>
      <c r="OY278" s="54"/>
      <c r="OZ278" s="54"/>
      <c r="PA278" s="54"/>
      <c r="PB278" s="54"/>
      <c r="PC278" s="54"/>
      <c r="PD278" s="54"/>
      <c r="PE278" s="54"/>
      <c r="PF278" s="54"/>
      <c r="PG278" s="54"/>
      <c r="PH278" s="54"/>
      <c r="PI278" s="54"/>
      <c r="PJ278" s="54"/>
      <c r="PK278" s="54"/>
      <c r="PL278" s="54"/>
      <c r="PM278" s="54"/>
      <c r="PN278" s="54"/>
      <c r="PO278" s="54"/>
      <c r="PP278" s="54"/>
      <c r="PQ278" s="54"/>
      <c r="PR278" s="54"/>
      <c r="PS278" s="54"/>
      <c r="PT278" s="54"/>
      <c r="PU278" s="54"/>
      <c r="PV278" s="54"/>
      <c r="PW278" s="54"/>
      <c r="PX278" s="54"/>
      <c r="PY278" s="54"/>
      <c r="PZ278" s="54"/>
      <c r="QA278" s="54"/>
      <c r="QB278" s="54"/>
      <c r="QC278" s="54"/>
      <c r="QD278" s="54"/>
      <c r="QE278" s="54"/>
      <c r="QF278" s="54"/>
      <c r="QG278" s="54"/>
      <c r="QH278" s="54"/>
      <c r="QI278" s="54"/>
      <c r="QJ278" s="54"/>
      <c r="QK278" s="54"/>
      <c r="QL278" s="54"/>
      <c r="QM278" s="54"/>
      <c r="QN278" s="54"/>
      <c r="QO278" s="54"/>
      <c r="QP278" s="54"/>
      <c r="QQ278" s="54"/>
      <c r="QR278" s="54"/>
      <c r="QS278" s="54"/>
      <c r="QT278" s="54"/>
      <c r="QU278" s="54"/>
      <c r="QV278" s="54"/>
      <c r="QW278" s="54"/>
      <c r="QX278" s="54"/>
      <c r="QY278" s="54"/>
      <c r="QZ278" s="54"/>
      <c r="RA278" s="54"/>
      <c r="RB278" s="54"/>
      <c r="RC278" s="54"/>
      <c r="RD278" s="54"/>
      <c r="RE278" s="54"/>
      <c r="RF278" s="54"/>
      <c r="RG278" s="54"/>
      <c r="RH278" s="54"/>
      <c r="RI278" s="54"/>
      <c r="RJ278" s="54"/>
      <c r="RK278" s="54"/>
      <c r="RL278" s="54"/>
      <c r="RM278" s="54"/>
      <c r="RN278" s="54"/>
      <c r="RO278" s="54"/>
      <c r="RP278" s="54"/>
      <c r="RQ278" s="54"/>
      <c r="RR278" s="54"/>
      <c r="RS278" s="54"/>
      <c r="RT278" s="54"/>
      <c r="RU278" s="54"/>
      <c r="RV278" s="54"/>
      <c r="RW278" s="54"/>
      <c r="RX278" s="54"/>
      <c r="RY278" s="54"/>
      <c r="RZ278" s="54"/>
      <c r="SA278" s="54"/>
      <c r="SB278" s="54"/>
      <c r="SC278" s="54"/>
      <c r="SD278" s="54"/>
      <c r="SE278" s="54"/>
      <c r="SF278" s="54"/>
      <c r="SG278" s="54"/>
      <c r="SH278" s="54"/>
      <c r="SI278" s="54"/>
      <c r="SJ278" s="54"/>
      <c r="SK278" s="54"/>
      <c r="SL278" s="54"/>
      <c r="SM278" s="54"/>
      <c r="SN278" s="54"/>
      <c r="SO278" s="54"/>
      <c r="SP278" s="54"/>
      <c r="SQ278" s="54"/>
      <c r="SR278" s="54"/>
    </row>
    <row r="279" spans="1:512" ht="15" customHeight="1" x14ac:dyDescent="0.7">
      <c r="A279" s="172"/>
      <c r="B279" s="172"/>
      <c r="C279" s="172"/>
      <c r="D279" s="172"/>
      <c r="E279" s="172"/>
      <c r="F279" s="172"/>
      <c r="G279" s="172"/>
      <c r="I279" s="72" t="s">
        <v>344</v>
      </c>
      <c r="J279" s="73" t="s">
        <v>344</v>
      </c>
      <c r="K279" s="190"/>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c r="BU279" s="54"/>
      <c r="BV279" s="54"/>
      <c r="BW279" s="54"/>
      <c r="BX279" s="54"/>
      <c r="BY279" s="54"/>
      <c r="BZ279" s="54"/>
      <c r="CA279" s="54"/>
      <c r="CB279" s="54"/>
      <c r="CC279" s="54"/>
      <c r="CD279" s="54"/>
      <c r="CE279" s="54"/>
      <c r="CF279" s="54"/>
      <c r="CG279" s="54"/>
      <c r="CH279" s="54"/>
      <c r="CI279" s="54"/>
      <c r="CJ279" s="54"/>
      <c r="CK279" s="54"/>
      <c r="CL279" s="54"/>
      <c r="CM279" s="54"/>
      <c r="CN279" s="54"/>
      <c r="CO279" s="54"/>
      <c r="CP279" s="54"/>
      <c r="CQ279" s="54"/>
      <c r="CR279" s="54"/>
      <c r="CS279" s="54"/>
      <c r="CT279" s="54"/>
      <c r="CU279" s="54"/>
      <c r="CV279" s="54"/>
      <c r="CW279" s="54"/>
      <c r="CX279" s="54"/>
      <c r="CY279" s="54"/>
      <c r="CZ279" s="54"/>
      <c r="DA279" s="54"/>
      <c r="DB279" s="54"/>
      <c r="DC279" s="54"/>
      <c r="DD279" s="54"/>
      <c r="DE279" s="54"/>
      <c r="DF279" s="54"/>
      <c r="DG279" s="54"/>
      <c r="DH279" s="54"/>
      <c r="DI279" s="54"/>
      <c r="DJ279" s="54"/>
      <c r="DK279" s="54"/>
      <c r="DL279" s="54"/>
      <c r="DM279" s="54"/>
      <c r="DN279" s="54"/>
      <c r="DO279" s="54"/>
      <c r="DP279" s="54"/>
      <c r="DQ279" s="54"/>
      <c r="DR279" s="54"/>
      <c r="DS279" s="54"/>
      <c r="DT279" s="54"/>
      <c r="DU279" s="54"/>
      <c r="DV279" s="54"/>
      <c r="DW279" s="54"/>
      <c r="DX279" s="54"/>
      <c r="DY279" s="54"/>
      <c r="DZ279" s="54"/>
      <c r="EA279" s="54"/>
      <c r="EB279" s="54"/>
      <c r="EC279" s="54"/>
      <c r="ED279" s="54"/>
      <c r="EE279" s="54"/>
      <c r="EF279" s="54"/>
      <c r="EG279" s="54"/>
      <c r="EH279" s="54"/>
      <c r="EI279" s="54"/>
      <c r="EJ279" s="54"/>
      <c r="EK279" s="54"/>
      <c r="EL279" s="54"/>
      <c r="EM279" s="54"/>
      <c r="EN279" s="54"/>
      <c r="EO279" s="54"/>
      <c r="EP279" s="54"/>
      <c r="EQ279" s="54"/>
      <c r="ER279" s="54"/>
      <c r="ES279" s="54"/>
      <c r="ET279" s="54"/>
      <c r="EU279" s="54"/>
      <c r="EV279" s="54"/>
      <c r="EW279" s="54"/>
      <c r="EX279" s="54"/>
      <c r="EY279" s="54"/>
      <c r="EZ279" s="54"/>
      <c r="FA279" s="54"/>
      <c r="FB279" s="54"/>
      <c r="FC279" s="54"/>
      <c r="FD279" s="54"/>
      <c r="FE279" s="54"/>
      <c r="FF279" s="54"/>
      <c r="FG279" s="54"/>
      <c r="FH279" s="54"/>
      <c r="FI279" s="54"/>
      <c r="FJ279" s="54"/>
      <c r="FK279" s="54"/>
      <c r="FL279" s="54"/>
      <c r="FM279" s="54"/>
      <c r="FN279" s="54"/>
      <c r="FO279" s="54"/>
      <c r="FP279" s="54"/>
      <c r="FQ279" s="54"/>
      <c r="FR279" s="54"/>
      <c r="FS279" s="54"/>
      <c r="FT279" s="54"/>
      <c r="FU279" s="54"/>
      <c r="FV279" s="54"/>
      <c r="FW279" s="54"/>
      <c r="FX279" s="54"/>
      <c r="FY279" s="54"/>
      <c r="FZ279" s="54"/>
      <c r="GA279" s="54"/>
      <c r="GB279" s="54"/>
      <c r="GC279" s="54"/>
      <c r="GD279" s="54"/>
      <c r="GE279" s="54"/>
      <c r="GF279" s="54"/>
      <c r="GG279" s="54"/>
      <c r="GH279" s="54"/>
      <c r="GI279" s="54"/>
      <c r="GJ279" s="54"/>
      <c r="GK279" s="54"/>
      <c r="GL279" s="54"/>
      <c r="GM279" s="54"/>
      <c r="GN279" s="54"/>
      <c r="GO279" s="54"/>
      <c r="GP279" s="54"/>
      <c r="GQ279" s="54"/>
      <c r="GR279" s="54"/>
      <c r="GS279" s="54"/>
      <c r="GT279" s="54"/>
      <c r="GU279" s="54"/>
      <c r="GV279" s="54"/>
      <c r="GW279" s="54"/>
      <c r="GX279" s="54"/>
      <c r="GY279" s="54"/>
      <c r="GZ279" s="54"/>
      <c r="HA279" s="54"/>
      <c r="HB279" s="54"/>
      <c r="HC279" s="54"/>
      <c r="HD279" s="54"/>
      <c r="HE279" s="54"/>
      <c r="HF279" s="54"/>
      <c r="HG279" s="54"/>
      <c r="HH279" s="54"/>
      <c r="HI279" s="54"/>
      <c r="HJ279" s="54"/>
      <c r="HK279" s="54"/>
      <c r="HL279" s="54"/>
      <c r="HM279" s="54"/>
      <c r="HN279" s="54"/>
      <c r="HO279" s="54"/>
      <c r="HP279" s="54"/>
      <c r="HQ279" s="54"/>
      <c r="HR279" s="54"/>
      <c r="HS279" s="54"/>
      <c r="HT279" s="54"/>
      <c r="HU279" s="54"/>
      <c r="HV279" s="54"/>
      <c r="HW279" s="54"/>
      <c r="HX279" s="54"/>
      <c r="HY279" s="54"/>
      <c r="HZ279" s="54"/>
      <c r="IA279" s="54"/>
      <c r="IB279" s="54"/>
      <c r="IC279" s="54"/>
      <c r="ID279" s="54"/>
      <c r="IE279" s="54"/>
      <c r="IF279" s="54"/>
      <c r="IG279" s="54"/>
      <c r="IH279" s="54"/>
      <c r="II279" s="54"/>
      <c r="IJ279" s="54"/>
      <c r="IK279" s="54"/>
      <c r="IL279" s="54"/>
      <c r="IM279" s="54"/>
      <c r="IN279" s="54"/>
      <c r="IO279" s="54"/>
      <c r="IP279" s="54"/>
      <c r="IQ279" s="54"/>
      <c r="IR279" s="54"/>
      <c r="IS279" s="54"/>
      <c r="IT279" s="54"/>
      <c r="IU279" s="54"/>
      <c r="IV279" s="54"/>
      <c r="IW279" s="54"/>
      <c r="IX279" s="54"/>
      <c r="IY279" s="54"/>
      <c r="IZ279" s="54"/>
      <c r="JA279" s="54"/>
      <c r="JB279" s="54"/>
      <c r="JC279" s="54"/>
      <c r="JD279" s="54"/>
      <c r="JE279" s="54"/>
      <c r="JF279" s="54"/>
      <c r="JG279" s="54"/>
      <c r="JH279" s="54"/>
      <c r="JI279" s="54"/>
      <c r="JJ279" s="54"/>
      <c r="JK279" s="54"/>
      <c r="JL279" s="54"/>
      <c r="JM279" s="54"/>
      <c r="JN279" s="54"/>
      <c r="JO279" s="54"/>
      <c r="JP279" s="54"/>
      <c r="JQ279" s="54"/>
      <c r="JR279" s="54"/>
      <c r="JS279" s="54"/>
      <c r="JT279" s="54"/>
      <c r="JU279" s="54"/>
      <c r="JV279" s="54"/>
      <c r="JW279" s="54"/>
      <c r="JX279" s="54"/>
      <c r="JY279" s="54"/>
      <c r="JZ279" s="54"/>
      <c r="KA279" s="54"/>
      <c r="KB279" s="54"/>
      <c r="KC279" s="54"/>
      <c r="KD279" s="54"/>
      <c r="KE279" s="54"/>
      <c r="KF279" s="54"/>
      <c r="KG279" s="54"/>
      <c r="KH279" s="54"/>
      <c r="KI279" s="54"/>
      <c r="KJ279" s="54"/>
      <c r="KK279" s="54"/>
      <c r="KL279" s="54"/>
      <c r="KM279" s="54"/>
      <c r="KN279" s="54"/>
      <c r="KO279" s="54"/>
      <c r="KP279" s="54"/>
      <c r="KQ279" s="54"/>
      <c r="KR279" s="54"/>
      <c r="KS279" s="54"/>
      <c r="KT279" s="54"/>
      <c r="KU279" s="54"/>
      <c r="KV279" s="54"/>
      <c r="KW279" s="54"/>
      <c r="KX279" s="54"/>
      <c r="KY279" s="54"/>
      <c r="KZ279" s="54"/>
      <c r="LA279" s="54"/>
      <c r="LB279" s="54"/>
      <c r="LC279" s="54"/>
      <c r="LD279" s="54"/>
      <c r="LE279" s="54"/>
      <c r="LF279" s="54"/>
      <c r="LG279" s="54"/>
      <c r="LH279" s="54"/>
      <c r="LI279" s="54"/>
      <c r="LJ279" s="54"/>
      <c r="LK279" s="54"/>
      <c r="LL279" s="54"/>
      <c r="LM279" s="54"/>
      <c r="LN279" s="54"/>
      <c r="LO279" s="54"/>
      <c r="LP279" s="54"/>
      <c r="LQ279" s="54"/>
      <c r="LR279" s="54"/>
      <c r="LS279" s="54"/>
      <c r="LT279" s="54"/>
      <c r="LU279" s="54"/>
      <c r="LV279" s="54"/>
      <c r="LW279" s="54"/>
      <c r="LX279" s="54"/>
      <c r="LY279" s="54"/>
      <c r="LZ279" s="54"/>
      <c r="MA279" s="54"/>
      <c r="MB279" s="54"/>
      <c r="MC279" s="54"/>
      <c r="MD279" s="54"/>
      <c r="ME279" s="54"/>
      <c r="MF279" s="54"/>
      <c r="MG279" s="54"/>
      <c r="MH279" s="54"/>
      <c r="MI279" s="54"/>
      <c r="MJ279" s="54"/>
      <c r="MK279" s="54"/>
      <c r="ML279" s="54"/>
      <c r="MM279" s="54"/>
      <c r="MN279" s="54"/>
      <c r="MO279" s="54"/>
      <c r="MP279" s="54"/>
      <c r="MQ279" s="54"/>
      <c r="MR279" s="54"/>
      <c r="MS279" s="54"/>
      <c r="MT279" s="54"/>
      <c r="MU279" s="54"/>
      <c r="MV279" s="54"/>
      <c r="MW279" s="54"/>
      <c r="MX279" s="54"/>
      <c r="MY279" s="54"/>
      <c r="MZ279" s="54"/>
      <c r="NA279" s="54"/>
      <c r="NB279" s="54"/>
      <c r="NC279" s="54"/>
      <c r="ND279" s="54"/>
      <c r="NE279" s="54"/>
      <c r="NF279" s="54"/>
      <c r="NG279" s="54"/>
      <c r="NH279" s="54"/>
      <c r="NI279" s="54"/>
      <c r="NJ279" s="54"/>
      <c r="NK279" s="54"/>
      <c r="NL279" s="54"/>
      <c r="NM279" s="54"/>
      <c r="NN279" s="54"/>
      <c r="NO279" s="54"/>
      <c r="NP279" s="54"/>
      <c r="NQ279" s="54"/>
      <c r="NR279" s="54"/>
      <c r="NS279" s="54"/>
      <c r="NT279" s="54"/>
      <c r="NU279" s="54"/>
      <c r="NV279" s="54"/>
      <c r="NW279" s="54"/>
      <c r="NX279" s="54"/>
      <c r="NY279" s="54"/>
      <c r="NZ279" s="54"/>
      <c r="OA279" s="54"/>
      <c r="OB279" s="54"/>
      <c r="OC279" s="54"/>
      <c r="OD279" s="54"/>
      <c r="OE279" s="54"/>
      <c r="OF279" s="54"/>
      <c r="OG279" s="54"/>
      <c r="OH279" s="54"/>
      <c r="OI279" s="54"/>
      <c r="OJ279" s="54"/>
      <c r="OK279" s="54"/>
      <c r="OL279" s="54"/>
      <c r="OM279" s="54"/>
      <c r="ON279" s="54"/>
      <c r="OO279" s="54"/>
      <c r="OP279" s="54"/>
      <c r="OQ279" s="54"/>
      <c r="OR279" s="54"/>
      <c r="OS279" s="54"/>
      <c r="OT279" s="54"/>
      <c r="OU279" s="54"/>
      <c r="OV279" s="54"/>
      <c r="OW279" s="54"/>
      <c r="OX279" s="54"/>
      <c r="OY279" s="54"/>
      <c r="OZ279" s="54"/>
      <c r="PA279" s="54"/>
      <c r="PB279" s="54"/>
      <c r="PC279" s="54"/>
      <c r="PD279" s="54"/>
      <c r="PE279" s="54"/>
      <c r="PF279" s="54"/>
      <c r="PG279" s="54"/>
      <c r="PH279" s="54"/>
      <c r="PI279" s="54"/>
      <c r="PJ279" s="54"/>
      <c r="PK279" s="54"/>
      <c r="PL279" s="54"/>
      <c r="PM279" s="54"/>
      <c r="PN279" s="54"/>
      <c r="PO279" s="54"/>
      <c r="PP279" s="54"/>
      <c r="PQ279" s="54"/>
      <c r="PR279" s="54"/>
      <c r="PS279" s="54"/>
      <c r="PT279" s="54"/>
      <c r="PU279" s="54"/>
      <c r="PV279" s="54"/>
      <c r="PW279" s="54"/>
      <c r="PX279" s="54"/>
      <c r="PY279" s="54"/>
      <c r="PZ279" s="54"/>
      <c r="QA279" s="54"/>
      <c r="QB279" s="54"/>
      <c r="QC279" s="54"/>
      <c r="QD279" s="54"/>
      <c r="QE279" s="54"/>
      <c r="QF279" s="54"/>
      <c r="QG279" s="54"/>
      <c r="QH279" s="54"/>
      <c r="QI279" s="54"/>
      <c r="QJ279" s="54"/>
      <c r="QK279" s="54"/>
      <c r="QL279" s="54"/>
      <c r="QM279" s="54"/>
      <c r="QN279" s="54"/>
      <c r="QO279" s="54"/>
      <c r="QP279" s="54"/>
      <c r="QQ279" s="54"/>
      <c r="QR279" s="54"/>
      <c r="QS279" s="54"/>
      <c r="QT279" s="54"/>
      <c r="QU279" s="54"/>
      <c r="QV279" s="54"/>
      <c r="QW279" s="54"/>
      <c r="QX279" s="54"/>
      <c r="QY279" s="54"/>
      <c r="QZ279" s="54"/>
      <c r="RA279" s="54"/>
      <c r="RB279" s="54"/>
      <c r="RC279" s="54"/>
      <c r="RD279" s="54"/>
      <c r="RE279" s="54"/>
      <c r="RF279" s="54"/>
      <c r="RG279" s="54"/>
      <c r="RH279" s="54"/>
      <c r="RI279" s="54"/>
      <c r="RJ279" s="54"/>
      <c r="RK279" s="54"/>
      <c r="RL279" s="54"/>
      <c r="RM279" s="54"/>
      <c r="RN279" s="54"/>
      <c r="RO279" s="54"/>
      <c r="RP279" s="54"/>
      <c r="RQ279" s="54"/>
      <c r="RR279" s="54"/>
      <c r="RS279" s="54"/>
      <c r="RT279" s="54"/>
      <c r="RU279" s="54"/>
      <c r="RV279" s="54"/>
      <c r="RW279" s="54"/>
      <c r="RX279" s="54"/>
      <c r="RY279" s="54"/>
      <c r="RZ279" s="54"/>
      <c r="SA279" s="54"/>
      <c r="SB279" s="54"/>
      <c r="SC279" s="54"/>
      <c r="SD279" s="54"/>
      <c r="SE279" s="54"/>
      <c r="SF279" s="54"/>
      <c r="SG279" s="54"/>
      <c r="SH279" s="54"/>
      <c r="SI279" s="54"/>
      <c r="SJ279" s="54"/>
      <c r="SK279" s="54"/>
      <c r="SL279" s="54"/>
      <c r="SM279" s="54"/>
      <c r="SN279" s="54"/>
      <c r="SO279" s="54"/>
      <c r="SP279" s="54"/>
      <c r="SQ279" s="54"/>
      <c r="SR279" s="54"/>
    </row>
    <row r="280" spans="1:512" s="55" customFormat="1" ht="15" customHeight="1" x14ac:dyDescent="0.7">
      <c r="A280" s="173"/>
      <c r="B280" s="173"/>
      <c r="C280" s="173"/>
      <c r="D280" s="173"/>
      <c r="E280" s="173"/>
      <c r="F280" s="173"/>
      <c r="G280" s="173"/>
      <c r="H280" s="74"/>
      <c r="I280" s="75"/>
      <c r="J280" s="76"/>
      <c r="K280" s="191"/>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c r="IX280" s="56"/>
      <c r="IY280" s="56"/>
      <c r="IZ280" s="56"/>
      <c r="JA280" s="56"/>
      <c r="JB280" s="56"/>
      <c r="JC280" s="56"/>
      <c r="JD280" s="56"/>
      <c r="JE280" s="56"/>
      <c r="JF280" s="56"/>
      <c r="JG280" s="56"/>
      <c r="JH280" s="56"/>
      <c r="JI280" s="56"/>
      <c r="JJ280" s="56"/>
      <c r="JK280" s="56"/>
      <c r="JL280" s="56"/>
      <c r="JM280" s="56"/>
      <c r="JN280" s="56"/>
      <c r="JO280" s="56"/>
      <c r="JP280" s="56"/>
      <c r="JQ280" s="56"/>
      <c r="JR280" s="56"/>
      <c r="JS280" s="56"/>
      <c r="JT280" s="56"/>
      <c r="JU280" s="56"/>
      <c r="JV280" s="56"/>
      <c r="JW280" s="56"/>
      <c r="JX280" s="56"/>
      <c r="JY280" s="56"/>
      <c r="JZ280" s="56"/>
      <c r="KA280" s="56"/>
      <c r="KB280" s="56"/>
      <c r="KC280" s="56"/>
      <c r="KD280" s="56"/>
      <c r="KE280" s="56"/>
      <c r="KF280" s="56"/>
      <c r="KG280" s="56"/>
      <c r="KH280" s="56"/>
      <c r="KI280" s="56"/>
      <c r="KJ280" s="56"/>
      <c r="KK280" s="56"/>
      <c r="KL280" s="56"/>
      <c r="KM280" s="56"/>
      <c r="KN280" s="56"/>
      <c r="KO280" s="56"/>
      <c r="KP280" s="56"/>
      <c r="KQ280" s="56"/>
      <c r="KR280" s="56"/>
      <c r="KS280" s="56"/>
      <c r="KT280" s="56"/>
      <c r="KU280" s="56"/>
      <c r="KV280" s="56"/>
      <c r="KW280" s="56"/>
      <c r="KX280" s="56"/>
      <c r="KY280" s="56"/>
      <c r="KZ280" s="56"/>
      <c r="LA280" s="56"/>
      <c r="LB280" s="56"/>
      <c r="LC280" s="56"/>
      <c r="LD280" s="56"/>
      <c r="LE280" s="56"/>
      <c r="LF280" s="56"/>
      <c r="LG280" s="56"/>
      <c r="LH280" s="56"/>
      <c r="LI280" s="56"/>
      <c r="LJ280" s="56"/>
      <c r="LK280" s="56"/>
      <c r="LL280" s="56"/>
      <c r="LM280" s="56"/>
      <c r="LN280" s="56"/>
      <c r="LO280" s="56"/>
      <c r="LP280" s="56"/>
      <c r="LQ280" s="56"/>
      <c r="LR280" s="56"/>
      <c r="LS280" s="56"/>
      <c r="LT280" s="56"/>
      <c r="LU280" s="56"/>
      <c r="LV280" s="56"/>
      <c r="LW280" s="56"/>
      <c r="LX280" s="56"/>
      <c r="LY280" s="56"/>
      <c r="LZ280" s="56"/>
      <c r="MA280" s="56"/>
      <c r="MB280" s="56"/>
      <c r="MC280" s="56"/>
      <c r="MD280" s="56"/>
      <c r="ME280" s="56"/>
      <c r="MF280" s="56"/>
      <c r="MG280" s="56"/>
      <c r="MH280" s="56"/>
      <c r="MI280" s="56"/>
      <c r="MJ280" s="56"/>
      <c r="MK280" s="56"/>
      <c r="ML280" s="56"/>
      <c r="MM280" s="56"/>
      <c r="MN280" s="56"/>
      <c r="MO280" s="56"/>
      <c r="MP280" s="56"/>
      <c r="MQ280" s="56"/>
      <c r="MR280" s="56"/>
      <c r="MS280" s="56"/>
      <c r="MT280" s="56"/>
      <c r="MU280" s="56"/>
      <c r="MV280" s="56"/>
      <c r="MW280" s="56"/>
      <c r="MX280" s="56"/>
      <c r="MY280" s="56"/>
      <c r="MZ280" s="56"/>
      <c r="NA280" s="56"/>
      <c r="NB280" s="56"/>
      <c r="NC280" s="56"/>
      <c r="ND280" s="56"/>
      <c r="NE280" s="56"/>
      <c r="NF280" s="56"/>
      <c r="NG280" s="56"/>
      <c r="NH280" s="56"/>
      <c r="NI280" s="56"/>
      <c r="NJ280" s="56"/>
      <c r="NK280" s="56"/>
      <c r="NL280" s="56"/>
      <c r="NM280" s="56"/>
      <c r="NN280" s="56"/>
      <c r="NO280" s="56"/>
      <c r="NP280" s="56"/>
      <c r="NQ280" s="56"/>
      <c r="NR280" s="56"/>
      <c r="NS280" s="56"/>
      <c r="NT280" s="56"/>
      <c r="NU280" s="56"/>
      <c r="NV280" s="56"/>
      <c r="NW280" s="56"/>
      <c r="NX280" s="56"/>
      <c r="NY280" s="56"/>
      <c r="NZ280" s="56"/>
      <c r="OA280" s="56"/>
      <c r="OB280" s="56"/>
      <c r="OC280" s="56"/>
      <c r="OD280" s="56"/>
      <c r="OE280" s="56"/>
      <c r="OF280" s="56"/>
      <c r="OG280" s="56"/>
      <c r="OH280" s="56"/>
      <c r="OI280" s="56"/>
      <c r="OJ280" s="56"/>
      <c r="OK280" s="56"/>
      <c r="OL280" s="56"/>
      <c r="OM280" s="56"/>
      <c r="ON280" s="56"/>
      <c r="OO280" s="56"/>
      <c r="OP280" s="56"/>
      <c r="OQ280" s="56"/>
      <c r="OR280" s="56"/>
      <c r="OS280" s="56"/>
      <c r="OT280" s="56"/>
      <c r="OU280" s="56"/>
      <c r="OV280" s="56"/>
      <c r="OW280" s="56"/>
      <c r="OX280" s="56"/>
      <c r="OY280" s="56"/>
      <c r="OZ280" s="56"/>
      <c r="PA280" s="56"/>
      <c r="PB280" s="56"/>
      <c r="PC280" s="56"/>
      <c r="PD280" s="56"/>
      <c r="PE280" s="56"/>
      <c r="PF280" s="56"/>
      <c r="PG280" s="56"/>
      <c r="PH280" s="56"/>
      <c r="PI280" s="56"/>
      <c r="PJ280" s="56"/>
      <c r="PK280" s="56"/>
      <c r="PL280" s="56"/>
      <c r="PM280" s="56"/>
      <c r="PN280" s="56"/>
      <c r="PO280" s="56"/>
      <c r="PP280" s="56"/>
      <c r="PQ280" s="56"/>
      <c r="PR280" s="56"/>
      <c r="PS280" s="56"/>
      <c r="PT280" s="56"/>
      <c r="PU280" s="56"/>
      <c r="PV280" s="56"/>
      <c r="PW280" s="56"/>
      <c r="PX280" s="56"/>
      <c r="PY280" s="56"/>
      <c r="PZ280" s="56"/>
      <c r="QA280" s="56"/>
      <c r="QB280" s="56"/>
      <c r="QC280" s="56"/>
      <c r="QD280" s="56"/>
      <c r="QE280" s="56"/>
      <c r="QF280" s="56"/>
      <c r="QG280" s="56"/>
      <c r="QH280" s="56"/>
      <c r="QI280" s="56"/>
      <c r="QJ280" s="56"/>
      <c r="QK280" s="56"/>
      <c r="QL280" s="56"/>
      <c r="QM280" s="56"/>
      <c r="QN280" s="56"/>
      <c r="QO280" s="56"/>
      <c r="QP280" s="56"/>
      <c r="QQ280" s="56"/>
      <c r="QR280" s="56"/>
      <c r="QS280" s="56"/>
      <c r="QT280" s="56"/>
      <c r="QU280" s="56"/>
      <c r="QV280" s="56"/>
      <c r="QW280" s="56"/>
      <c r="QX280" s="56"/>
      <c r="QY280" s="56"/>
      <c r="QZ280" s="56"/>
      <c r="RA280" s="56"/>
      <c r="RB280" s="56"/>
      <c r="RC280" s="56"/>
      <c r="RD280" s="56"/>
      <c r="RE280" s="56"/>
      <c r="RF280" s="56"/>
      <c r="RG280" s="56"/>
      <c r="RH280" s="56"/>
      <c r="RI280" s="56"/>
      <c r="RJ280" s="56"/>
      <c r="RK280" s="56"/>
      <c r="RL280" s="56"/>
      <c r="RM280" s="56"/>
      <c r="RN280" s="56"/>
      <c r="RO280" s="56"/>
      <c r="RP280" s="56"/>
      <c r="RQ280" s="56"/>
      <c r="RR280" s="56"/>
      <c r="RS280" s="56"/>
      <c r="RT280" s="56"/>
      <c r="RU280" s="56"/>
      <c r="RV280" s="56"/>
      <c r="RW280" s="56"/>
      <c r="RX280" s="56"/>
      <c r="RY280" s="56"/>
      <c r="RZ280" s="56"/>
      <c r="SA280" s="56"/>
      <c r="SB280" s="56"/>
      <c r="SC280" s="56"/>
      <c r="SD280" s="56"/>
      <c r="SE280" s="56"/>
      <c r="SF280" s="56"/>
      <c r="SG280" s="56"/>
      <c r="SH280" s="56"/>
      <c r="SI280" s="56"/>
      <c r="SJ280" s="56"/>
      <c r="SK280" s="56"/>
      <c r="SL280" s="56"/>
      <c r="SM280" s="56"/>
      <c r="SN280" s="56"/>
      <c r="SO280" s="56"/>
      <c r="SP280" s="56"/>
      <c r="SQ280" s="56"/>
      <c r="SR280" s="56"/>
    </row>
    <row r="281" spans="1:512" ht="15" customHeight="1" x14ac:dyDescent="0.7">
      <c r="A281" s="171" t="s">
        <v>344</v>
      </c>
      <c r="B281" s="171" t="s">
        <v>344</v>
      </c>
      <c r="C281" s="171" t="s">
        <v>344</v>
      </c>
      <c r="D281" s="171"/>
      <c r="E281" s="171" t="s">
        <v>344</v>
      </c>
      <c r="F281" s="171"/>
      <c r="G281" s="188" t="s">
        <v>344</v>
      </c>
      <c r="H281" s="71" t="s">
        <v>344</v>
      </c>
      <c r="I281" s="72" t="s">
        <v>344</v>
      </c>
      <c r="J281" s="73" t="s">
        <v>344</v>
      </c>
      <c r="K281" s="189" t="s">
        <v>344</v>
      </c>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54"/>
      <c r="CE281" s="54"/>
      <c r="CF281" s="54"/>
      <c r="CG281" s="54"/>
      <c r="CH281" s="54"/>
      <c r="CI281" s="54"/>
      <c r="CJ281" s="54"/>
      <c r="CK281" s="54"/>
      <c r="CL281" s="54"/>
      <c r="CM281" s="54"/>
      <c r="CN281" s="54"/>
      <c r="CO281" s="54"/>
      <c r="CP281" s="54"/>
      <c r="CQ281" s="54"/>
      <c r="CR281" s="54"/>
      <c r="CS281" s="54"/>
      <c r="CT281" s="54"/>
      <c r="CU281" s="54"/>
      <c r="CV281" s="54"/>
      <c r="CW281" s="54"/>
      <c r="CX281" s="54"/>
      <c r="CY281" s="54"/>
      <c r="CZ281" s="54"/>
      <c r="DA281" s="54"/>
      <c r="DB281" s="54"/>
      <c r="DC281" s="54"/>
      <c r="DD281" s="54"/>
      <c r="DE281" s="54"/>
      <c r="DF281" s="54"/>
      <c r="DG281" s="54"/>
      <c r="DH281" s="54"/>
      <c r="DI281" s="54"/>
      <c r="DJ281" s="54"/>
      <c r="DK281" s="54"/>
      <c r="DL281" s="54"/>
      <c r="DM281" s="54"/>
      <c r="DN281" s="54"/>
      <c r="DO281" s="54"/>
      <c r="DP281" s="54"/>
      <c r="DQ281" s="54"/>
      <c r="DR281" s="54"/>
      <c r="DS281" s="54"/>
      <c r="DT281" s="54"/>
      <c r="DU281" s="54"/>
      <c r="DV281" s="54"/>
      <c r="DW281" s="54"/>
      <c r="DX281" s="54"/>
      <c r="DY281" s="54"/>
      <c r="DZ281" s="54"/>
      <c r="EA281" s="54"/>
      <c r="EB281" s="54"/>
      <c r="EC281" s="54"/>
      <c r="ED281" s="54"/>
      <c r="EE281" s="54"/>
      <c r="EF281" s="54"/>
      <c r="EG281" s="54"/>
      <c r="EH281" s="54"/>
      <c r="EI281" s="54"/>
      <c r="EJ281" s="54"/>
      <c r="EK281" s="54"/>
      <c r="EL281" s="54"/>
      <c r="EM281" s="54"/>
      <c r="EN281" s="54"/>
      <c r="EO281" s="54"/>
      <c r="EP281" s="54"/>
      <c r="EQ281" s="54"/>
      <c r="ER281" s="54"/>
      <c r="ES281" s="54"/>
      <c r="ET281" s="54"/>
      <c r="EU281" s="54"/>
      <c r="EV281" s="54"/>
      <c r="EW281" s="54"/>
      <c r="EX281" s="54"/>
      <c r="EY281" s="54"/>
      <c r="EZ281" s="54"/>
      <c r="FA281" s="54"/>
      <c r="FB281" s="54"/>
      <c r="FC281" s="54"/>
      <c r="FD281" s="54"/>
      <c r="FE281" s="54"/>
      <c r="FF281" s="54"/>
      <c r="FG281" s="54"/>
      <c r="FH281" s="54"/>
      <c r="FI281" s="54"/>
      <c r="FJ281" s="54"/>
      <c r="FK281" s="54"/>
      <c r="FL281" s="54"/>
      <c r="FM281" s="54"/>
      <c r="FN281" s="54"/>
      <c r="FO281" s="54"/>
      <c r="FP281" s="54"/>
      <c r="FQ281" s="54"/>
      <c r="FR281" s="54"/>
      <c r="FS281" s="54"/>
      <c r="FT281" s="54"/>
      <c r="FU281" s="54"/>
      <c r="FV281" s="54"/>
      <c r="FW281" s="54"/>
      <c r="FX281" s="54"/>
      <c r="FY281" s="54"/>
      <c r="FZ281" s="54"/>
      <c r="GA281" s="54"/>
      <c r="GB281" s="54"/>
      <c r="GC281" s="54"/>
      <c r="GD281" s="54"/>
      <c r="GE281" s="54"/>
      <c r="GF281" s="54"/>
      <c r="GG281" s="54"/>
      <c r="GH281" s="54"/>
      <c r="GI281" s="54"/>
      <c r="GJ281" s="54"/>
      <c r="GK281" s="54"/>
      <c r="GL281" s="54"/>
      <c r="GM281" s="54"/>
      <c r="GN281" s="54"/>
      <c r="GO281" s="54"/>
      <c r="GP281" s="54"/>
      <c r="GQ281" s="54"/>
      <c r="GR281" s="54"/>
      <c r="GS281" s="54"/>
      <c r="GT281" s="54"/>
      <c r="GU281" s="54"/>
      <c r="GV281" s="54"/>
      <c r="GW281" s="54"/>
      <c r="GX281" s="54"/>
      <c r="GY281" s="54"/>
      <c r="GZ281" s="54"/>
      <c r="HA281" s="54"/>
      <c r="HB281" s="54"/>
      <c r="HC281" s="54"/>
      <c r="HD281" s="54"/>
      <c r="HE281" s="54"/>
      <c r="HF281" s="54"/>
      <c r="HG281" s="54"/>
      <c r="HH281" s="54"/>
      <c r="HI281" s="54"/>
      <c r="HJ281" s="54"/>
      <c r="HK281" s="54"/>
      <c r="HL281" s="54"/>
      <c r="HM281" s="54"/>
      <c r="HN281" s="54"/>
      <c r="HO281" s="54"/>
      <c r="HP281" s="54"/>
      <c r="HQ281" s="54"/>
      <c r="HR281" s="54"/>
      <c r="HS281" s="54"/>
      <c r="HT281" s="54"/>
      <c r="HU281" s="54"/>
      <c r="HV281" s="54"/>
      <c r="HW281" s="54"/>
      <c r="HX281" s="54"/>
      <c r="HY281" s="54"/>
      <c r="HZ281" s="54"/>
      <c r="IA281" s="54"/>
      <c r="IB281" s="54"/>
      <c r="IC281" s="54"/>
      <c r="ID281" s="54"/>
      <c r="IE281" s="54"/>
      <c r="IF281" s="54"/>
      <c r="IG281" s="54"/>
      <c r="IH281" s="54"/>
      <c r="II281" s="54"/>
      <c r="IJ281" s="54"/>
      <c r="IK281" s="54"/>
      <c r="IL281" s="54"/>
      <c r="IM281" s="54"/>
      <c r="IN281" s="54"/>
      <c r="IO281" s="54"/>
      <c r="IP281" s="54"/>
      <c r="IQ281" s="54"/>
      <c r="IR281" s="54"/>
      <c r="IS281" s="54"/>
      <c r="IT281" s="54"/>
      <c r="IU281" s="54"/>
      <c r="IV281" s="54"/>
      <c r="IW281" s="54"/>
      <c r="IX281" s="54"/>
      <c r="IY281" s="54"/>
      <c r="IZ281" s="54"/>
      <c r="JA281" s="54"/>
      <c r="JB281" s="54"/>
      <c r="JC281" s="54"/>
      <c r="JD281" s="54"/>
      <c r="JE281" s="54"/>
      <c r="JF281" s="54"/>
      <c r="JG281" s="54"/>
      <c r="JH281" s="54"/>
      <c r="JI281" s="54"/>
      <c r="JJ281" s="54"/>
      <c r="JK281" s="54"/>
      <c r="JL281" s="54"/>
      <c r="JM281" s="54"/>
      <c r="JN281" s="54"/>
      <c r="JO281" s="54"/>
      <c r="JP281" s="54"/>
      <c r="JQ281" s="54"/>
      <c r="JR281" s="54"/>
      <c r="JS281" s="54"/>
      <c r="JT281" s="54"/>
      <c r="JU281" s="54"/>
      <c r="JV281" s="54"/>
      <c r="JW281" s="54"/>
      <c r="JX281" s="54"/>
      <c r="JY281" s="54"/>
      <c r="JZ281" s="54"/>
      <c r="KA281" s="54"/>
      <c r="KB281" s="54"/>
      <c r="KC281" s="54"/>
      <c r="KD281" s="54"/>
      <c r="KE281" s="54"/>
      <c r="KF281" s="54"/>
      <c r="KG281" s="54"/>
      <c r="KH281" s="54"/>
      <c r="KI281" s="54"/>
      <c r="KJ281" s="54"/>
      <c r="KK281" s="54"/>
      <c r="KL281" s="54"/>
      <c r="KM281" s="54"/>
      <c r="KN281" s="54"/>
      <c r="KO281" s="54"/>
      <c r="KP281" s="54"/>
      <c r="KQ281" s="54"/>
      <c r="KR281" s="54"/>
      <c r="KS281" s="54"/>
      <c r="KT281" s="54"/>
      <c r="KU281" s="54"/>
      <c r="KV281" s="54"/>
      <c r="KW281" s="54"/>
      <c r="KX281" s="54"/>
      <c r="KY281" s="54"/>
      <c r="KZ281" s="54"/>
      <c r="LA281" s="54"/>
      <c r="LB281" s="54"/>
      <c r="LC281" s="54"/>
      <c r="LD281" s="54"/>
      <c r="LE281" s="54"/>
      <c r="LF281" s="54"/>
      <c r="LG281" s="54"/>
      <c r="LH281" s="54"/>
      <c r="LI281" s="54"/>
      <c r="LJ281" s="54"/>
      <c r="LK281" s="54"/>
      <c r="LL281" s="54"/>
      <c r="LM281" s="54"/>
      <c r="LN281" s="54"/>
      <c r="LO281" s="54"/>
      <c r="LP281" s="54"/>
      <c r="LQ281" s="54"/>
      <c r="LR281" s="54"/>
      <c r="LS281" s="54"/>
      <c r="LT281" s="54"/>
      <c r="LU281" s="54"/>
      <c r="LV281" s="54"/>
      <c r="LW281" s="54"/>
      <c r="LX281" s="54"/>
      <c r="LY281" s="54"/>
      <c r="LZ281" s="54"/>
      <c r="MA281" s="54"/>
      <c r="MB281" s="54"/>
      <c r="MC281" s="54"/>
      <c r="MD281" s="54"/>
      <c r="ME281" s="54"/>
      <c r="MF281" s="54"/>
      <c r="MG281" s="54"/>
      <c r="MH281" s="54"/>
      <c r="MI281" s="54"/>
      <c r="MJ281" s="54"/>
      <c r="MK281" s="54"/>
      <c r="ML281" s="54"/>
      <c r="MM281" s="54"/>
      <c r="MN281" s="54"/>
      <c r="MO281" s="54"/>
      <c r="MP281" s="54"/>
      <c r="MQ281" s="54"/>
      <c r="MR281" s="54"/>
      <c r="MS281" s="54"/>
      <c r="MT281" s="54"/>
      <c r="MU281" s="54"/>
      <c r="MV281" s="54"/>
      <c r="MW281" s="54"/>
      <c r="MX281" s="54"/>
      <c r="MY281" s="54"/>
      <c r="MZ281" s="54"/>
      <c r="NA281" s="54"/>
      <c r="NB281" s="54"/>
      <c r="NC281" s="54"/>
      <c r="ND281" s="54"/>
      <c r="NE281" s="54"/>
      <c r="NF281" s="54"/>
      <c r="NG281" s="54"/>
      <c r="NH281" s="54"/>
      <c r="NI281" s="54"/>
      <c r="NJ281" s="54"/>
      <c r="NK281" s="54"/>
      <c r="NL281" s="54"/>
      <c r="NM281" s="54"/>
      <c r="NN281" s="54"/>
      <c r="NO281" s="54"/>
      <c r="NP281" s="54"/>
      <c r="NQ281" s="54"/>
      <c r="NR281" s="54"/>
      <c r="NS281" s="54"/>
      <c r="NT281" s="54"/>
      <c r="NU281" s="54"/>
      <c r="NV281" s="54"/>
      <c r="NW281" s="54"/>
      <c r="NX281" s="54"/>
      <c r="NY281" s="54"/>
      <c r="NZ281" s="54"/>
      <c r="OA281" s="54"/>
      <c r="OB281" s="54"/>
      <c r="OC281" s="54"/>
      <c r="OD281" s="54"/>
      <c r="OE281" s="54"/>
      <c r="OF281" s="54"/>
      <c r="OG281" s="54"/>
      <c r="OH281" s="54"/>
      <c r="OI281" s="54"/>
      <c r="OJ281" s="54"/>
      <c r="OK281" s="54"/>
      <c r="OL281" s="54"/>
      <c r="OM281" s="54"/>
      <c r="ON281" s="54"/>
      <c r="OO281" s="54"/>
      <c r="OP281" s="54"/>
      <c r="OQ281" s="54"/>
      <c r="OR281" s="54"/>
      <c r="OS281" s="54"/>
      <c r="OT281" s="54"/>
      <c r="OU281" s="54"/>
      <c r="OV281" s="54"/>
      <c r="OW281" s="54"/>
      <c r="OX281" s="54"/>
      <c r="OY281" s="54"/>
      <c r="OZ281" s="54"/>
      <c r="PA281" s="54"/>
      <c r="PB281" s="54"/>
      <c r="PC281" s="54"/>
      <c r="PD281" s="54"/>
      <c r="PE281" s="54"/>
      <c r="PF281" s="54"/>
      <c r="PG281" s="54"/>
      <c r="PH281" s="54"/>
      <c r="PI281" s="54"/>
      <c r="PJ281" s="54"/>
      <c r="PK281" s="54"/>
      <c r="PL281" s="54"/>
      <c r="PM281" s="54"/>
      <c r="PN281" s="54"/>
      <c r="PO281" s="54"/>
      <c r="PP281" s="54"/>
      <c r="PQ281" s="54"/>
      <c r="PR281" s="54"/>
      <c r="PS281" s="54"/>
      <c r="PT281" s="54"/>
      <c r="PU281" s="54"/>
      <c r="PV281" s="54"/>
      <c r="PW281" s="54"/>
      <c r="PX281" s="54"/>
      <c r="PY281" s="54"/>
      <c r="PZ281" s="54"/>
      <c r="QA281" s="54"/>
      <c r="QB281" s="54"/>
      <c r="QC281" s="54"/>
      <c r="QD281" s="54"/>
      <c r="QE281" s="54"/>
      <c r="QF281" s="54"/>
      <c r="QG281" s="54"/>
      <c r="QH281" s="54"/>
      <c r="QI281" s="54"/>
      <c r="QJ281" s="54"/>
      <c r="QK281" s="54"/>
      <c r="QL281" s="54"/>
      <c r="QM281" s="54"/>
      <c r="QN281" s="54"/>
      <c r="QO281" s="54"/>
      <c r="QP281" s="54"/>
      <c r="QQ281" s="54"/>
      <c r="QR281" s="54"/>
      <c r="QS281" s="54"/>
      <c r="QT281" s="54"/>
      <c r="QU281" s="54"/>
      <c r="QV281" s="54"/>
      <c r="QW281" s="54"/>
      <c r="QX281" s="54"/>
      <c r="QY281" s="54"/>
      <c r="QZ281" s="54"/>
      <c r="RA281" s="54"/>
      <c r="RB281" s="54"/>
      <c r="RC281" s="54"/>
      <c r="RD281" s="54"/>
      <c r="RE281" s="54"/>
      <c r="RF281" s="54"/>
      <c r="RG281" s="54"/>
      <c r="RH281" s="54"/>
      <c r="RI281" s="54"/>
      <c r="RJ281" s="54"/>
      <c r="RK281" s="54"/>
      <c r="RL281" s="54"/>
      <c r="RM281" s="54"/>
      <c r="RN281" s="54"/>
      <c r="RO281" s="54"/>
      <c r="RP281" s="54"/>
      <c r="RQ281" s="54"/>
      <c r="RR281" s="54"/>
      <c r="RS281" s="54"/>
      <c r="RT281" s="54"/>
      <c r="RU281" s="54"/>
      <c r="RV281" s="54"/>
      <c r="RW281" s="54"/>
      <c r="RX281" s="54"/>
      <c r="RY281" s="54"/>
      <c r="RZ281" s="54"/>
      <c r="SA281" s="54"/>
      <c r="SB281" s="54"/>
      <c r="SC281" s="54"/>
      <c r="SD281" s="54"/>
      <c r="SE281" s="54"/>
      <c r="SF281" s="54"/>
      <c r="SG281" s="54"/>
      <c r="SH281" s="54"/>
      <c r="SI281" s="54"/>
      <c r="SJ281" s="54"/>
      <c r="SK281" s="54"/>
      <c r="SL281" s="54"/>
      <c r="SM281" s="54"/>
      <c r="SN281" s="54"/>
      <c r="SO281" s="54"/>
      <c r="SP281" s="54"/>
      <c r="SQ281" s="54"/>
      <c r="SR281" s="54"/>
    </row>
    <row r="282" spans="1:512" ht="15" customHeight="1" x14ac:dyDescent="0.7">
      <c r="A282" s="172"/>
      <c r="B282" s="172"/>
      <c r="C282" s="172"/>
      <c r="D282" s="172"/>
      <c r="E282" s="172"/>
      <c r="F282" s="172"/>
      <c r="G282" s="172"/>
      <c r="I282" s="72" t="s">
        <v>344</v>
      </c>
      <c r="J282" s="73" t="s">
        <v>344</v>
      </c>
      <c r="K282" s="190"/>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54"/>
      <c r="CE282" s="54"/>
      <c r="CF282" s="54"/>
      <c r="CG282" s="54"/>
      <c r="CH282" s="54"/>
      <c r="CI282" s="54"/>
      <c r="CJ282" s="54"/>
      <c r="CK282" s="54"/>
      <c r="CL282" s="54"/>
      <c r="CM282" s="54"/>
      <c r="CN282" s="54"/>
      <c r="CO282" s="54"/>
      <c r="CP282" s="54"/>
      <c r="CQ282" s="54"/>
      <c r="CR282" s="54"/>
      <c r="CS282" s="54"/>
      <c r="CT282" s="54"/>
      <c r="CU282" s="54"/>
      <c r="CV282" s="54"/>
      <c r="CW282" s="54"/>
      <c r="CX282" s="54"/>
      <c r="CY282" s="54"/>
      <c r="CZ282" s="54"/>
      <c r="DA282" s="54"/>
      <c r="DB282" s="54"/>
      <c r="DC282" s="54"/>
      <c r="DD282" s="54"/>
      <c r="DE282" s="54"/>
      <c r="DF282" s="54"/>
      <c r="DG282" s="54"/>
      <c r="DH282" s="54"/>
      <c r="DI282" s="54"/>
      <c r="DJ282" s="54"/>
      <c r="DK282" s="54"/>
      <c r="DL282" s="54"/>
      <c r="DM282" s="54"/>
      <c r="DN282" s="54"/>
      <c r="DO282" s="54"/>
      <c r="DP282" s="54"/>
      <c r="DQ282" s="54"/>
      <c r="DR282" s="54"/>
      <c r="DS282" s="54"/>
      <c r="DT282" s="54"/>
      <c r="DU282" s="54"/>
      <c r="DV282" s="54"/>
      <c r="DW282" s="54"/>
      <c r="DX282" s="54"/>
      <c r="DY282" s="54"/>
      <c r="DZ282" s="54"/>
      <c r="EA282" s="54"/>
      <c r="EB282" s="54"/>
      <c r="EC282" s="54"/>
      <c r="ED282" s="54"/>
      <c r="EE282" s="54"/>
      <c r="EF282" s="54"/>
      <c r="EG282" s="54"/>
      <c r="EH282" s="54"/>
      <c r="EI282" s="54"/>
      <c r="EJ282" s="54"/>
      <c r="EK282" s="54"/>
      <c r="EL282" s="54"/>
      <c r="EM282" s="54"/>
      <c r="EN282" s="54"/>
      <c r="EO282" s="54"/>
      <c r="EP282" s="54"/>
      <c r="EQ282" s="54"/>
      <c r="ER282" s="54"/>
      <c r="ES282" s="54"/>
      <c r="ET282" s="54"/>
      <c r="EU282" s="54"/>
      <c r="EV282" s="54"/>
      <c r="EW282" s="54"/>
      <c r="EX282" s="54"/>
      <c r="EY282" s="54"/>
      <c r="EZ282" s="54"/>
      <c r="FA282" s="54"/>
      <c r="FB282" s="54"/>
      <c r="FC282" s="54"/>
      <c r="FD282" s="54"/>
      <c r="FE282" s="54"/>
      <c r="FF282" s="54"/>
      <c r="FG282" s="54"/>
      <c r="FH282" s="54"/>
      <c r="FI282" s="54"/>
      <c r="FJ282" s="54"/>
      <c r="FK282" s="54"/>
      <c r="FL282" s="54"/>
      <c r="FM282" s="54"/>
      <c r="FN282" s="54"/>
      <c r="FO282" s="54"/>
      <c r="FP282" s="54"/>
      <c r="FQ282" s="54"/>
      <c r="FR282" s="54"/>
      <c r="FS282" s="54"/>
      <c r="FT282" s="54"/>
      <c r="FU282" s="54"/>
      <c r="FV282" s="54"/>
      <c r="FW282" s="54"/>
      <c r="FX282" s="54"/>
      <c r="FY282" s="54"/>
      <c r="FZ282" s="54"/>
      <c r="GA282" s="54"/>
      <c r="GB282" s="54"/>
      <c r="GC282" s="54"/>
      <c r="GD282" s="54"/>
      <c r="GE282" s="54"/>
      <c r="GF282" s="54"/>
      <c r="GG282" s="54"/>
      <c r="GH282" s="54"/>
      <c r="GI282" s="54"/>
      <c r="GJ282" s="54"/>
      <c r="GK282" s="54"/>
      <c r="GL282" s="54"/>
      <c r="GM282" s="54"/>
      <c r="GN282" s="54"/>
      <c r="GO282" s="54"/>
      <c r="GP282" s="54"/>
      <c r="GQ282" s="54"/>
      <c r="GR282" s="54"/>
      <c r="GS282" s="54"/>
      <c r="GT282" s="54"/>
      <c r="GU282" s="54"/>
      <c r="GV282" s="54"/>
      <c r="GW282" s="54"/>
      <c r="GX282" s="54"/>
      <c r="GY282" s="54"/>
      <c r="GZ282" s="54"/>
      <c r="HA282" s="54"/>
      <c r="HB282" s="54"/>
      <c r="HC282" s="54"/>
      <c r="HD282" s="54"/>
      <c r="HE282" s="54"/>
      <c r="HF282" s="54"/>
      <c r="HG282" s="54"/>
      <c r="HH282" s="54"/>
      <c r="HI282" s="54"/>
      <c r="HJ282" s="54"/>
      <c r="HK282" s="54"/>
      <c r="HL282" s="54"/>
      <c r="HM282" s="54"/>
      <c r="HN282" s="54"/>
      <c r="HO282" s="54"/>
      <c r="HP282" s="54"/>
      <c r="HQ282" s="54"/>
      <c r="HR282" s="54"/>
      <c r="HS282" s="54"/>
      <c r="HT282" s="54"/>
      <c r="HU282" s="54"/>
      <c r="HV282" s="54"/>
      <c r="HW282" s="54"/>
      <c r="HX282" s="54"/>
      <c r="HY282" s="54"/>
      <c r="HZ282" s="54"/>
      <c r="IA282" s="54"/>
      <c r="IB282" s="54"/>
      <c r="IC282" s="54"/>
      <c r="ID282" s="54"/>
      <c r="IE282" s="54"/>
      <c r="IF282" s="54"/>
      <c r="IG282" s="54"/>
      <c r="IH282" s="54"/>
      <c r="II282" s="54"/>
      <c r="IJ282" s="54"/>
      <c r="IK282" s="54"/>
      <c r="IL282" s="54"/>
      <c r="IM282" s="54"/>
      <c r="IN282" s="54"/>
      <c r="IO282" s="54"/>
      <c r="IP282" s="54"/>
      <c r="IQ282" s="54"/>
      <c r="IR282" s="54"/>
      <c r="IS282" s="54"/>
      <c r="IT282" s="54"/>
      <c r="IU282" s="54"/>
      <c r="IV282" s="54"/>
      <c r="IW282" s="54"/>
      <c r="IX282" s="54"/>
      <c r="IY282" s="54"/>
      <c r="IZ282" s="54"/>
      <c r="JA282" s="54"/>
      <c r="JB282" s="54"/>
      <c r="JC282" s="54"/>
      <c r="JD282" s="54"/>
      <c r="JE282" s="54"/>
      <c r="JF282" s="54"/>
      <c r="JG282" s="54"/>
      <c r="JH282" s="54"/>
      <c r="JI282" s="54"/>
      <c r="JJ282" s="54"/>
      <c r="JK282" s="54"/>
      <c r="JL282" s="54"/>
      <c r="JM282" s="54"/>
      <c r="JN282" s="54"/>
      <c r="JO282" s="54"/>
      <c r="JP282" s="54"/>
      <c r="JQ282" s="54"/>
      <c r="JR282" s="54"/>
      <c r="JS282" s="54"/>
      <c r="JT282" s="54"/>
      <c r="JU282" s="54"/>
      <c r="JV282" s="54"/>
      <c r="JW282" s="54"/>
      <c r="JX282" s="54"/>
      <c r="JY282" s="54"/>
      <c r="JZ282" s="54"/>
      <c r="KA282" s="54"/>
      <c r="KB282" s="54"/>
      <c r="KC282" s="54"/>
      <c r="KD282" s="54"/>
      <c r="KE282" s="54"/>
      <c r="KF282" s="54"/>
      <c r="KG282" s="54"/>
      <c r="KH282" s="54"/>
      <c r="KI282" s="54"/>
      <c r="KJ282" s="54"/>
      <c r="KK282" s="54"/>
      <c r="KL282" s="54"/>
      <c r="KM282" s="54"/>
      <c r="KN282" s="54"/>
      <c r="KO282" s="54"/>
      <c r="KP282" s="54"/>
      <c r="KQ282" s="54"/>
      <c r="KR282" s="54"/>
      <c r="KS282" s="54"/>
      <c r="KT282" s="54"/>
      <c r="KU282" s="54"/>
      <c r="KV282" s="54"/>
      <c r="KW282" s="54"/>
      <c r="KX282" s="54"/>
      <c r="KY282" s="54"/>
      <c r="KZ282" s="54"/>
      <c r="LA282" s="54"/>
      <c r="LB282" s="54"/>
      <c r="LC282" s="54"/>
      <c r="LD282" s="54"/>
      <c r="LE282" s="54"/>
      <c r="LF282" s="54"/>
      <c r="LG282" s="54"/>
      <c r="LH282" s="54"/>
      <c r="LI282" s="54"/>
      <c r="LJ282" s="54"/>
      <c r="LK282" s="54"/>
      <c r="LL282" s="54"/>
      <c r="LM282" s="54"/>
      <c r="LN282" s="54"/>
      <c r="LO282" s="54"/>
      <c r="LP282" s="54"/>
      <c r="LQ282" s="54"/>
      <c r="LR282" s="54"/>
      <c r="LS282" s="54"/>
      <c r="LT282" s="54"/>
      <c r="LU282" s="54"/>
      <c r="LV282" s="54"/>
      <c r="LW282" s="54"/>
      <c r="LX282" s="54"/>
      <c r="LY282" s="54"/>
      <c r="LZ282" s="54"/>
      <c r="MA282" s="54"/>
      <c r="MB282" s="54"/>
      <c r="MC282" s="54"/>
      <c r="MD282" s="54"/>
      <c r="ME282" s="54"/>
      <c r="MF282" s="54"/>
      <c r="MG282" s="54"/>
      <c r="MH282" s="54"/>
      <c r="MI282" s="54"/>
      <c r="MJ282" s="54"/>
      <c r="MK282" s="54"/>
      <c r="ML282" s="54"/>
      <c r="MM282" s="54"/>
      <c r="MN282" s="54"/>
      <c r="MO282" s="54"/>
      <c r="MP282" s="54"/>
      <c r="MQ282" s="54"/>
      <c r="MR282" s="54"/>
      <c r="MS282" s="54"/>
      <c r="MT282" s="54"/>
      <c r="MU282" s="54"/>
      <c r="MV282" s="54"/>
      <c r="MW282" s="54"/>
      <c r="MX282" s="54"/>
      <c r="MY282" s="54"/>
      <c r="MZ282" s="54"/>
      <c r="NA282" s="54"/>
      <c r="NB282" s="54"/>
      <c r="NC282" s="54"/>
      <c r="ND282" s="54"/>
      <c r="NE282" s="54"/>
      <c r="NF282" s="54"/>
      <c r="NG282" s="54"/>
      <c r="NH282" s="54"/>
      <c r="NI282" s="54"/>
      <c r="NJ282" s="54"/>
      <c r="NK282" s="54"/>
      <c r="NL282" s="54"/>
      <c r="NM282" s="54"/>
      <c r="NN282" s="54"/>
      <c r="NO282" s="54"/>
      <c r="NP282" s="54"/>
      <c r="NQ282" s="54"/>
      <c r="NR282" s="54"/>
      <c r="NS282" s="54"/>
      <c r="NT282" s="54"/>
      <c r="NU282" s="54"/>
      <c r="NV282" s="54"/>
      <c r="NW282" s="54"/>
      <c r="NX282" s="54"/>
      <c r="NY282" s="54"/>
      <c r="NZ282" s="54"/>
      <c r="OA282" s="54"/>
      <c r="OB282" s="54"/>
      <c r="OC282" s="54"/>
      <c r="OD282" s="54"/>
      <c r="OE282" s="54"/>
      <c r="OF282" s="54"/>
      <c r="OG282" s="54"/>
      <c r="OH282" s="54"/>
      <c r="OI282" s="54"/>
      <c r="OJ282" s="54"/>
      <c r="OK282" s="54"/>
      <c r="OL282" s="54"/>
      <c r="OM282" s="54"/>
      <c r="ON282" s="54"/>
      <c r="OO282" s="54"/>
      <c r="OP282" s="54"/>
      <c r="OQ282" s="54"/>
      <c r="OR282" s="54"/>
      <c r="OS282" s="54"/>
      <c r="OT282" s="54"/>
      <c r="OU282" s="54"/>
      <c r="OV282" s="54"/>
      <c r="OW282" s="54"/>
      <c r="OX282" s="54"/>
      <c r="OY282" s="54"/>
      <c r="OZ282" s="54"/>
      <c r="PA282" s="54"/>
      <c r="PB282" s="54"/>
      <c r="PC282" s="54"/>
      <c r="PD282" s="54"/>
      <c r="PE282" s="54"/>
      <c r="PF282" s="54"/>
      <c r="PG282" s="54"/>
      <c r="PH282" s="54"/>
      <c r="PI282" s="54"/>
      <c r="PJ282" s="54"/>
      <c r="PK282" s="54"/>
      <c r="PL282" s="54"/>
      <c r="PM282" s="54"/>
      <c r="PN282" s="54"/>
      <c r="PO282" s="54"/>
      <c r="PP282" s="54"/>
      <c r="PQ282" s="54"/>
      <c r="PR282" s="54"/>
      <c r="PS282" s="54"/>
      <c r="PT282" s="54"/>
      <c r="PU282" s="54"/>
      <c r="PV282" s="54"/>
      <c r="PW282" s="54"/>
      <c r="PX282" s="54"/>
      <c r="PY282" s="54"/>
      <c r="PZ282" s="54"/>
      <c r="QA282" s="54"/>
      <c r="QB282" s="54"/>
      <c r="QC282" s="54"/>
      <c r="QD282" s="54"/>
      <c r="QE282" s="54"/>
      <c r="QF282" s="54"/>
      <c r="QG282" s="54"/>
      <c r="QH282" s="54"/>
      <c r="QI282" s="54"/>
      <c r="QJ282" s="54"/>
      <c r="QK282" s="54"/>
      <c r="QL282" s="54"/>
      <c r="QM282" s="54"/>
      <c r="QN282" s="54"/>
      <c r="QO282" s="54"/>
      <c r="QP282" s="54"/>
      <c r="QQ282" s="54"/>
      <c r="QR282" s="54"/>
      <c r="QS282" s="54"/>
      <c r="QT282" s="54"/>
      <c r="QU282" s="54"/>
      <c r="QV282" s="54"/>
      <c r="QW282" s="54"/>
      <c r="QX282" s="54"/>
      <c r="QY282" s="54"/>
      <c r="QZ282" s="54"/>
      <c r="RA282" s="54"/>
      <c r="RB282" s="54"/>
      <c r="RC282" s="54"/>
      <c r="RD282" s="54"/>
      <c r="RE282" s="54"/>
      <c r="RF282" s="54"/>
      <c r="RG282" s="54"/>
      <c r="RH282" s="54"/>
      <c r="RI282" s="54"/>
      <c r="RJ282" s="54"/>
      <c r="RK282" s="54"/>
      <c r="RL282" s="54"/>
      <c r="RM282" s="54"/>
      <c r="RN282" s="54"/>
      <c r="RO282" s="54"/>
      <c r="RP282" s="54"/>
      <c r="RQ282" s="54"/>
      <c r="RR282" s="54"/>
      <c r="RS282" s="54"/>
      <c r="RT282" s="54"/>
      <c r="RU282" s="54"/>
      <c r="RV282" s="54"/>
      <c r="RW282" s="54"/>
      <c r="RX282" s="54"/>
      <c r="RY282" s="54"/>
      <c r="RZ282" s="54"/>
      <c r="SA282" s="54"/>
      <c r="SB282" s="54"/>
      <c r="SC282" s="54"/>
      <c r="SD282" s="54"/>
      <c r="SE282" s="54"/>
      <c r="SF282" s="54"/>
      <c r="SG282" s="54"/>
      <c r="SH282" s="54"/>
      <c r="SI282" s="54"/>
      <c r="SJ282" s="54"/>
      <c r="SK282" s="54"/>
      <c r="SL282" s="54"/>
      <c r="SM282" s="54"/>
      <c r="SN282" s="54"/>
      <c r="SO282" s="54"/>
      <c r="SP282" s="54"/>
      <c r="SQ282" s="54"/>
      <c r="SR282" s="54"/>
    </row>
    <row r="283" spans="1:512" s="55" customFormat="1" ht="15" customHeight="1" x14ac:dyDescent="0.7">
      <c r="A283" s="173"/>
      <c r="B283" s="173"/>
      <c r="C283" s="173"/>
      <c r="D283" s="173"/>
      <c r="E283" s="173"/>
      <c r="F283" s="173"/>
      <c r="G283" s="173"/>
      <c r="H283" s="74"/>
      <c r="I283" s="75"/>
      <c r="J283" s="76"/>
      <c r="K283" s="191"/>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c r="IX283" s="56"/>
      <c r="IY283" s="56"/>
      <c r="IZ283" s="56"/>
      <c r="JA283" s="56"/>
      <c r="JB283" s="56"/>
      <c r="JC283" s="56"/>
      <c r="JD283" s="56"/>
      <c r="JE283" s="56"/>
      <c r="JF283" s="56"/>
      <c r="JG283" s="56"/>
      <c r="JH283" s="56"/>
      <c r="JI283" s="56"/>
      <c r="JJ283" s="56"/>
      <c r="JK283" s="56"/>
      <c r="JL283" s="56"/>
      <c r="JM283" s="56"/>
      <c r="JN283" s="56"/>
      <c r="JO283" s="56"/>
      <c r="JP283" s="56"/>
      <c r="JQ283" s="56"/>
      <c r="JR283" s="56"/>
      <c r="JS283" s="56"/>
      <c r="JT283" s="56"/>
      <c r="JU283" s="56"/>
      <c r="JV283" s="56"/>
      <c r="JW283" s="56"/>
      <c r="JX283" s="56"/>
      <c r="JY283" s="56"/>
      <c r="JZ283" s="56"/>
      <c r="KA283" s="56"/>
      <c r="KB283" s="56"/>
      <c r="KC283" s="56"/>
      <c r="KD283" s="56"/>
      <c r="KE283" s="56"/>
      <c r="KF283" s="56"/>
      <c r="KG283" s="56"/>
      <c r="KH283" s="56"/>
      <c r="KI283" s="56"/>
      <c r="KJ283" s="56"/>
      <c r="KK283" s="56"/>
      <c r="KL283" s="56"/>
      <c r="KM283" s="56"/>
      <c r="KN283" s="56"/>
      <c r="KO283" s="56"/>
      <c r="KP283" s="56"/>
      <c r="KQ283" s="56"/>
      <c r="KR283" s="56"/>
      <c r="KS283" s="56"/>
      <c r="KT283" s="56"/>
      <c r="KU283" s="56"/>
      <c r="KV283" s="56"/>
      <c r="KW283" s="56"/>
      <c r="KX283" s="56"/>
      <c r="KY283" s="56"/>
      <c r="KZ283" s="56"/>
      <c r="LA283" s="56"/>
      <c r="LB283" s="56"/>
      <c r="LC283" s="56"/>
      <c r="LD283" s="56"/>
      <c r="LE283" s="56"/>
      <c r="LF283" s="56"/>
      <c r="LG283" s="56"/>
      <c r="LH283" s="56"/>
      <c r="LI283" s="56"/>
      <c r="LJ283" s="56"/>
      <c r="LK283" s="56"/>
      <c r="LL283" s="56"/>
      <c r="LM283" s="56"/>
      <c r="LN283" s="56"/>
      <c r="LO283" s="56"/>
      <c r="LP283" s="56"/>
      <c r="LQ283" s="56"/>
      <c r="LR283" s="56"/>
      <c r="LS283" s="56"/>
      <c r="LT283" s="56"/>
      <c r="LU283" s="56"/>
      <c r="LV283" s="56"/>
      <c r="LW283" s="56"/>
      <c r="LX283" s="56"/>
      <c r="LY283" s="56"/>
      <c r="LZ283" s="56"/>
      <c r="MA283" s="56"/>
      <c r="MB283" s="56"/>
      <c r="MC283" s="56"/>
      <c r="MD283" s="56"/>
      <c r="ME283" s="56"/>
      <c r="MF283" s="56"/>
      <c r="MG283" s="56"/>
      <c r="MH283" s="56"/>
      <c r="MI283" s="56"/>
      <c r="MJ283" s="56"/>
      <c r="MK283" s="56"/>
      <c r="ML283" s="56"/>
      <c r="MM283" s="56"/>
      <c r="MN283" s="56"/>
      <c r="MO283" s="56"/>
      <c r="MP283" s="56"/>
      <c r="MQ283" s="56"/>
      <c r="MR283" s="56"/>
      <c r="MS283" s="56"/>
      <c r="MT283" s="56"/>
      <c r="MU283" s="56"/>
      <c r="MV283" s="56"/>
      <c r="MW283" s="56"/>
      <c r="MX283" s="56"/>
      <c r="MY283" s="56"/>
      <c r="MZ283" s="56"/>
      <c r="NA283" s="56"/>
      <c r="NB283" s="56"/>
      <c r="NC283" s="56"/>
      <c r="ND283" s="56"/>
      <c r="NE283" s="56"/>
      <c r="NF283" s="56"/>
      <c r="NG283" s="56"/>
      <c r="NH283" s="56"/>
      <c r="NI283" s="56"/>
      <c r="NJ283" s="56"/>
      <c r="NK283" s="56"/>
      <c r="NL283" s="56"/>
      <c r="NM283" s="56"/>
      <c r="NN283" s="56"/>
      <c r="NO283" s="56"/>
      <c r="NP283" s="56"/>
      <c r="NQ283" s="56"/>
      <c r="NR283" s="56"/>
      <c r="NS283" s="56"/>
      <c r="NT283" s="56"/>
      <c r="NU283" s="56"/>
      <c r="NV283" s="56"/>
      <c r="NW283" s="56"/>
      <c r="NX283" s="56"/>
      <c r="NY283" s="56"/>
      <c r="NZ283" s="56"/>
      <c r="OA283" s="56"/>
      <c r="OB283" s="56"/>
      <c r="OC283" s="56"/>
      <c r="OD283" s="56"/>
      <c r="OE283" s="56"/>
      <c r="OF283" s="56"/>
      <c r="OG283" s="56"/>
      <c r="OH283" s="56"/>
      <c r="OI283" s="56"/>
      <c r="OJ283" s="56"/>
      <c r="OK283" s="56"/>
      <c r="OL283" s="56"/>
      <c r="OM283" s="56"/>
      <c r="ON283" s="56"/>
      <c r="OO283" s="56"/>
      <c r="OP283" s="56"/>
      <c r="OQ283" s="56"/>
      <c r="OR283" s="56"/>
      <c r="OS283" s="56"/>
      <c r="OT283" s="56"/>
      <c r="OU283" s="56"/>
      <c r="OV283" s="56"/>
      <c r="OW283" s="56"/>
      <c r="OX283" s="56"/>
      <c r="OY283" s="56"/>
      <c r="OZ283" s="56"/>
      <c r="PA283" s="56"/>
      <c r="PB283" s="56"/>
      <c r="PC283" s="56"/>
      <c r="PD283" s="56"/>
      <c r="PE283" s="56"/>
      <c r="PF283" s="56"/>
      <c r="PG283" s="56"/>
      <c r="PH283" s="56"/>
      <c r="PI283" s="56"/>
      <c r="PJ283" s="56"/>
      <c r="PK283" s="56"/>
      <c r="PL283" s="56"/>
      <c r="PM283" s="56"/>
      <c r="PN283" s="56"/>
      <c r="PO283" s="56"/>
      <c r="PP283" s="56"/>
      <c r="PQ283" s="56"/>
      <c r="PR283" s="56"/>
      <c r="PS283" s="56"/>
      <c r="PT283" s="56"/>
      <c r="PU283" s="56"/>
      <c r="PV283" s="56"/>
      <c r="PW283" s="56"/>
      <c r="PX283" s="56"/>
      <c r="PY283" s="56"/>
      <c r="PZ283" s="56"/>
      <c r="QA283" s="56"/>
      <c r="QB283" s="56"/>
      <c r="QC283" s="56"/>
      <c r="QD283" s="56"/>
      <c r="QE283" s="56"/>
      <c r="QF283" s="56"/>
      <c r="QG283" s="56"/>
      <c r="QH283" s="56"/>
      <c r="QI283" s="56"/>
      <c r="QJ283" s="56"/>
      <c r="QK283" s="56"/>
      <c r="QL283" s="56"/>
      <c r="QM283" s="56"/>
      <c r="QN283" s="56"/>
      <c r="QO283" s="56"/>
      <c r="QP283" s="56"/>
      <c r="QQ283" s="56"/>
      <c r="QR283" s="56"/>
      <c r="QS283" s="56"/>
      <c r="QT283" s="56"/>
      <c r="QU283" s="56"/>
      <c r="QV283" s="56"/>
      <c r="QW283" s="56"/>
      <c r="QX283" s="56"/>
      <c r="QY283" s="56"/>
      <c r="QZ283" s="56"/>
      <c r="RA283" s="56"/>
      <c r="RB283" s="56"/>
      <c r="RC283" s="56"/>
      <c r="RD283" s="56"/>
      <c r="RE283" s="56"/>
      <c r="RF283" s="56"/>
      <c r="RG283" s="56"/>
      <c r="RH283" s="56"/>
      <c r="RI283" s="56"/>
      <c r="RJ283" s="56"/>
      <c r="RK283" s="56"/>
      <c r="RL283" s="56"/>
      <c r="RM283" s="56"/>
      <c r="RN283" s="56"/>
      <c r="RO283" s="56"/>
      <c r="RP283" s="56"/>
      <c r="RQ283" s="56"/>
      <c r="RR283" s="56"/>
      <c r="RS283" s="56"/>
      <c r="RT283" s="56"/>
      <c r="RU283" s="56"/>
      <c r="RV283" s="56"/>
      <c r="RW283" s="56"/>
      <c r="RX283" s="56"/>
      <c r="RY283" s="56"/>
      <c r="RZ283" s="56"/>
      <c r="SA283" s="56"/>
      <c r="SB283" s="56"/>
      <c r="SC283" s="56"/>
      <c r="SD283" s="56"/>
      <c r="SE283" s="56"/>
      <c r="SF283" s="56"/>
      <c r="SG283" s="56"/>
      <c r="SH283" s="56"/>
      <c r="SI283" s="56"/>
      <c r="SJ283" s="56"/>
      <c r="SK283" s="56"/>
      <c r="SL283" s="56"/>
      <c r="SM283" s="56"/>
      <c r="SN283" s="56"/>
      <c r="SO283" s="56"/>
      <c r="SP283" s="56"/>
      <c r="SQ283" s="56"/>
      <c r="SR283" s="56"/>
    </row>
    <row r="284" spans="1:512" ht="15" customHeight="1" x14ac:dyDescent="0.7">
      <c r="A284" s="171" t="s">
        <v>344</v>
      </c>
      <c r="B284" s="171" t="s">
        <v>344</v>
      </c>
      <c r="C284" s="171" t="s">
        <v>344</v>
      </c>
      <c r="D284" s="171"/>
      <c r="E284" s="171" t="s">
        <v>344</v>
      </c>
      <c r="F284" s="171"/>
      <c r="G284" s="188" t="s">
        <v>344</v>
      </c>
      <c r="H284" s="71" t="s">
        <v>344</v>
      </c>
      <c r="I284" s="72" t="s">
        <v>344</v>
      </c>
      <c r="J284" s="73" t="s">
        <v>344</v>
      </c>
      <c r="K284" s="189" t="s">
        <v>344</v>
      </c>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c r="BU284" s="54"/>
      <c r="BV284" s="54"/>
      <c r="BW284" s="54"/>
      <c r="BX284" s="54"/>
      <c r="BY284" s="54"/>
      <c r="BZ284" s="54"/>
      <c r="CA284" s="54"/>
      <c r="CB284" s="54"/>
      <c r="CC284" s="54"/>
      <c r="CD284" s="54"/>
      <c r="CE284" s="54"/>
      <c r="CF284" s="54"/>
      <c r="CG284" s="54"/>
      <c r="CH284" s="54"/>
      <c r="CI284" s="54"/>
      <c r="CJ284" s="54"/>
      <c r="CK284" s="54"/>
      <c r="CL284" s="54"/>
      <c r="CM284" s="54"/>
      <c r="CN284" s="54"/>
      <c r="CO284" s="54"/>
      <c r="CP284" s="54"/>
      <c r="CQ284" s="54"/>
      <c r="CR284" s="54"/>
      <c r="CS284" s="54"/>
      <c r="CT284" s="54"/>
      <c r="CU284" s="54"/>
      <c r="CV284" s="54"/>
      <c r="CW284" s="54"/>
      <c r="CX284" s="54"/>
      <c r="CY284" s="54"/>
      <c r="CZ284" s="54"/>
      <c r="DA284" s="54"/>
      <c r="DB284" s="54"/>
      <c r="DC284" s="54"/>
      <c r="DD284" s="54"/>
      <c r="DE284" s="54"/>
      <c r="DF284" s="54"/>
      <c r="DG284" s="54"/>
      <c r="DH284" s="54"/>
      <c r="DI284" s="54"/>
      <c r="DJ284" s="54"/>
      <c r="DK284" s="54"/>
      <c r="DL284" s="54"/>
      <c r="DM284" s="54"/>
      <c r="DN284" s="54"/>
      <c r="DO284" s="54"/>
      <c r="DP284" s="54"/>
      <c r="DQ284" s="54"/>
      <c r="DR284" s="54"/>
      <c r="DS284" s="54"/>
      <c r="DT284" s="54"/>
      <c r="DU284" s="54"/>
      <c r="DV284" s="54"/>
      <c r="DW284" s="54"/>
      <c r="DX284" s="54"/>
      <c r="DY284" s="54"/>
      <c r="DZ284" s="54"/>
      <c r="EA284" s="54"/>
      <c r="EB284" s="54"/>
      <c r="EC284" s="54"/>
      <c r="ED284" s="54"/>
      <c r="EE284" s="54"/>
      <c r="EF284" s="54"/>
      <c r="EG284" s="54"/>
      <c r="EH284" s="54"/>
      <c r="EI284" s="54"/>
      <c r="EJ284" s="54"/>
      <c r="EK284" s="54"/>
      <c r="EL284" s="54"/>
      <c r="EM284" s="54"/>
      <c r="EN284" s="54"/>
      <c r="EO284" s="54"/>
      <c r="EP284" s="54"/>
      <c r="EQ284" s="54"/>
      <c r="ER284" s="54"/>
      <c r="ES284" s="54"/>
      <c r="ET284" s="54"/>
      <c r="EU284" s="54"/>
      <c r="EV284" s="54"/>
      <c r="EW284" s="54"/>
      <c r="EX284" s="54"/>
      <c r="EY284" s="54"/>
      <c r="EZ284" s="54"/>
      <c r="FA284" s="54"/>
      <c r="FB284" s="54"/>
      <c r="FC284" s="54"/>
      <c r="FD284" s="54"/>
      <c r="FE284" s="54"/>
      <c r="FF284" s="54"/>
      <c r="FG284" s="54"/>
      <c r="FH284" s="54"/>
      <c r="FI284" s="54"/>
      <c r="FJ284" s="54"/>
      <c r="FK284" s="54"/>
      <c r="FL284" s="54"/>
      <c r="FM284" s="54"/>
      <c r="FN284" s="54"/>
      <c r="FO284" s="54"/>
      <c r="FP284" s="54"/>
      <c r="FQ284" s="54"/>
      <c r="FR284" s="54"/>
      <c r="FS284" s="54"/>
      <c r="FT284" s="54"/>
      <c r="FU284" s="54"/>
      <c r="FV284" s="54"/>
      <c r="FW284" s="54"/>
      <c r="FX284" s="54"/>
      <c r="FY284" s="54"/>
      <c r="FZ284" s="54"/>
      <c r="GA284" s="54"/>
      <c r="GB284" s="54"/>
      <c r="GC284" s="54"/>
      <c r="GD284" s="54"/>
      <c r="GE284" s="54"/>
      <c r="GF284" s="54"/>
      <c r="GG284" s="54"/>
      <c r="GH284" s="54"/>
      <c r="GI284" s="54"/>
      <c r="GJ284" s="54"/>
      <c r="GK284" s="54"/>
      <c r="GL284" s="54"/>
      <c r="GM284" s="54"/>
      <c r="GN284" s="54"/>
      <c r="GO284" s="54"/>
      <c r="GP284" s="54"/>
      <c r="GQ284" s="54"/>
      <c r="GR284" s="54"/>
      <c r="GS284" s="54"/>
      <c r="GT284" s="54"/>
      <c r="GU284" s="54"/>
      <c r="GV284" s="54"/>
      <c r="GW284" s="54"/>
      <c r="GX284" s="54"/>
      <c r="GY284" s="54"/>
      <c r="GZ284" s="54"/>
      <c r="HA284" s="54"/>
      <c r="HB284" s="54"/>
      <c r="HC284" s="54"/>
      <c r="HD284" s="54"/>
      <c r="HE284" s="54"/>
      <c r="HF284" s="54"/>
      <c r="HG284" s="54"/>
      <c r="HH284" s="54"/>
      <c r="HI284" s="54"/>
      <c r="HJ284" s="54"/>
      <c r="HK284" s="54"/>
      <c r="HL284" s="54"/>
      <c r="HM284" s="54"/>
      <c r="HN284" s="54"/>
      <c r="HO284" s="54"/>
      <c r="HP284" s="54"/>
      <c r="HQ284" s="54"/>
      <c r="HR284" s="54"/>
      <c r="HS284" s="54"/>
      <c r="HT284" s="54"/>
      <c r="HU284" s="54"/>
      <c r="HV284" s="54"/>
      <c r="HW284" s="54"/>
      <c r="HX284" s="54"/>
      <c r="HY284" s="54"/>
      <c r="HZ284" s="54"/>
      <c r="IA284" s="54"/>
      <c r="IB284" s="54"/>
      <c r="IC284" s="54"/>
      <c r="ID284" s="54"/>
      <c r="IE284" s="54"/>
      <c r="IF284" s="54"/>
      <c r="IG284" s="54"/>
      <c r="IH284" s="54"/>
      <c r="II284" s="54"/>
      <c r="IJ284" s="54"/>
      <c r="IK284" s="54"/>
      <c r="IL284" s="54"/>
      <c r="IM284" s="54"/>
      <c r="IN284" s="54"/>
      <c r="IO284" s="54"/>
      <c r="IP284" s="54"/>
      <c r="IQ284" s="54"/>
      <c r="IR284" s="54"/>
      <c r="IS284" s="54"/>
      <c r="IT284" s="54"/>
      <c r="IU284" s="54"/>
      <c r="IV284" s="54"/>
      <c r="IW284" s="54"/>
      <c r="IX284" s="54"/>
      <c r="IY284" s="54"/>
      <c r="IZ284" s="54"/>
      <c r="JA284" s="54"/>
      <c r="JB284" s="54"/>
      <c r="JC284" s="54"/>
      <c r="JD284" s="54"/>
      <c r="JE284" s="54"/>
      <c r="JF284" s="54"/>
      <c r="JG284" s="54"/>
      <c r="JH284" s="54"/>
      <c r="JI284" s="54"/>
      <c r="JJ284" s="54"/>
      <c r="JK284" s="54"/>
      <c r="JL284" s="54"/>
      <c r="JM284" s="54"/>
      <c r="JN284" s="54"/>
      <c r="JO284" s="54"/>
      <c r="JP284" s="54"/>
      <c r="JQ284" s="54"/>
      <c r="JR284" s="54"/>
      <c r="JS284" s="54"/>
      <c r="JT284" s="54"/>
      <c r="JU284" s="54"/>
      <c r="JV284" s="54"/>
      <c r="JW284" s="54"/>
      <c r="JX284" s="54"/>
      <c r="JY284" s="54"/>
      <c r="JZ284" s="54"/>
      <c r="KA284" s="54"/>
      <c r="KB284" s="54"/>
      <c r="KC284" s="54"/>
      <c r="KD284" s="54"/>
      <c r="KE284" s="54"/>
      <c r="KF284" s="54"/>
      <c r="KG284" s="54"/>
      <c r="KH284" s="54"/>
      <c r="KI284" s="54"/>
      <c r="KJ284" s="54"/>
      <c r="KK284" s="54"/>
      <c r="KL284" s="54"/>
      <c r="KM284" s="54"/>
      <c r="KN284" s="54"/>
      <c r="KO284" s="54"/>
      <c r="KP284" s="54"/>
      <c r="KQ284" s="54"/>
      <c r="KR284" s="54"/>
      <c r="KS284" s="54"/>
      <c r="KT284" s="54"/>
      <c r="KU284" s="54"/>
      <c r="KV284" s="54"/>
      <c r="KW284" s="54"/>
      <c r="KX284" s="54"/>
      <c r="KY284" s="54"/>
      <c r="KZ284" s="54"/>
      <c r="LA284" s="54"/>
      <c r="LB284" s="54"/>
      <c r="LC284" s="54"/>
      <c r="LD284" s="54"/>
      <c r="LE284" s="54"/>
      <c r="LF284" s="54"/>
      <c r="LG284" s="54"/>
      <c r="LH284" s="54"/>
      <c r="LI284" s="54"/>
      <c r="LJ284" s="54"/>
      <c r="LK284" s="54"/>
      <c r="LL284" s="54"/>
      <c r="LM284" s="54"/>
      <c r="LN284" s="54"/>
      <c r="LO284" s="54"/>
      <c r="LP284" s="54"/>
      <c r="LQ284" s="54"/>
      <c r="LR284" s="54"/>
      <c r="LS284" s="54"/>
      <c r="LT284" s="54"/>
      <c r="LU284" s="54"/>
      <c r="LV284" s="54"/>
      <c r="LW284" s="54"/>
      <c r="LX284" s="54"/>
      <c r="LY284" s="54"/>
      <c r="LZ284" s="54"/>
      <c r="MA284" s="54"/>
      <c r="MB284" s="54"/>
      <c r="MC284" s="54"/>
      <c r="MD284" s="54"/>
      <c r="ME284" s="54"/>
      <c r="MF284" s="54"/>
      <c r="MG284" s="54"/>
      <c r="MH284" s="54"/>
      <c r="MI284" s="54"/>
      <c r="MJ284" s="54"/>
      <c r="MK284" s="54"/>
      <c r="ML284" s="54"/>
      <c r="MM284" s="54"/>
      <c r="MN284" s="54"/>
      <c r="MO284" s="54"/>
      <c r="MP284" s="54"/>
      <c r="MQ284" s="54"/>
      <c r="MR284" s="54"/>
      <c r="MS284" s="54"/>
      <c r="MT284" s="54"/>
      <c r="MU284" s="54"/>
      <c r="MV284" s="54"/>
      <c r="MW284" s="54"/>
      <c r="MX284" s="54"/>
      <c r="MY284" s="54"/>
      <c r="MZ284" s="54"/>
      <c r="NA284" s="54"/>
      <c r="NB284" s="54"/>
      <c r="NC284" s="54"/>
      <c r="ND284" s="54"/>
      <c r="NE284" s="54"/>
      <c r="NF284" s="54"/>
      <c r="NG284" s="54"/>
      <c r="NH284" s="54"/>
      <c r="NI284" s="54"/>
      <c r="NJ284" s="54"/>
      <c r="NK284" s="54"/>
      <c r="NL284" s="54"/>
      <c r="NM284" s="54"/>
      <c r="NN284" s="54"/>
      <c r="NO284" s="54"/>
      <c r="NP284" s="54"/>
      <c r="NQ284" s="54"/>
      <c r="NR284" s="54"/>
      <c r="NS284" s="54"/>
      <c r="NT284" s="54"/>
      <c r="NU284" s="54"/>
      <c r="NV284" s="54"/>
      <c r="NW284" s="54"/>
      <c r="NX284" s="54"/>
      <c r="NY284" s="54"/>
      <c r="NZ284" s="54"/>
      <c r="OA284" s="54"/>
      <c r="OB284" s="54"/>
      <c r="OC284" s="54"/>
      <c r="OD284" s="54"/>
      <c r="OE284" s="54"/>
      <c r="OF284" s="54"/>
      <c r="OG284" s="54"/>
      <c r="OH284" s="54"/>
      <c r="OI284" s="54"/>
      <c r="OJ284" s="54"/>
      <c r="OK284" s="54"/>
      <c r="OL284" s="54"/>
      <c r="OM284" s="54"/>
      <c r="ON284" s="54"/>
      <c r="OO284" s="54"/>
      <c r="OP284" s="54"/>
      <c r="OQ284" s="54"/>
      <c r="OR284" s="54"/>
      <c r="OS284" s="54"/>
      <c r="OT284" s="54"/>
      <c r="OU284" s="54"/>
      <c r="OV284" s="54"/>
      <c r="OW284" s="54"/>
      <c r="OX284" s="54"/>
      <c r="OY284" s="54"/>
      <c r="OZ284" s="54"/>
      <c r="PA284" s="54"/>
      <c r="PB284" s="54"/>
      <c r="PC284" s="54"/>
      <c r="PD284" s="54"/>
      <c r="PE284" s="54"/>
      <c r="PF284" s="54"/>
      <c r="PG284" s="54"/>
      <c r="PH284" s="54"/>
      <c r="PI284" s="54"/>
      <c r="PJ284" s="54"/>
      <c r="PK284" s="54"/>
      <c r="PL284" s="54"/>
      <c r="PM284" s="54"/>
      <c r="PN284" s="54"/>
      <c r="PO284" s="54"/>
      <c r="PP284" s="54"/>
      <c r="PQ284" s="54"/>
      <c r="PR284" s="54"/>
      <c r="PS284" s="54"/>
      <c r="PT284" s="54"/>
      <c r="PU284" s="54"/>
      <c r="PV284" s="54"/>
      <c r="PW284" s="54"/>
      <c r="PX284" s="54"/>
      <c r="PY284" s="54"/>
      <c r="PZ284" s="54"/>
      <c r="QA284" s="54"/>
      <c r="QB284" s="54"/>
      <c r="QC284" s="54"/>
      <c r="QD284" s="54"/>
      <c r="QE284" s="54"/>
      <c r="QF284" s="54"/>
      <c r="QG284" s="54"/>
      <c r="QH284" s="54"/>
      <c r="QI284" s="54"/>
      <c r="QJ284" s="54"/>
      <c r="QK284" s="54"/>
      <c r="QL284" s="54"/>
      <c r="QM284" s="54"/>
      <c r="QN284" s="54"/>
      <c r="QO284" s="54"/>
      <c r="QP284" s="54"/>
      <c r="QQ284" s="54"/>
      <c r="QR284" s="54"/>
      <c r="QS284" s="54"/>
      <c r="QT284" s="54"/>
      <c r="QU284" s="54"/>
      <c r="QV284" s="54"/>
      <c r="QW284" s="54"/>
      <c r="QX284" s="54"/>
      <c r="QY284" s="54"/>
      <c r="QZ284" s="54"/>
      <c r="RA284" s="54"/>
      <c r="RB284" s="54"/>
      <c r="RC284" s="54"/>
      <c r="RD284" s="54"/>
      <c r="RE284" s="54"/>
      <c r="RF284" s="54"/>
      <c r="RG284" s="54"/>
      <c r="RH284" s="54"/>
      <c r="RI284" s="54"/>
      <c r="RJ284" s="54"/>
      <c r="RK284" s="54"/>
      <c r="RL284" s="54"/>
      <c r="RM284" s="54"/>
      <c r="RN284" s="54"/>
      <c r="RO284" s="54"/>
      <c r="RP284" s="54"/>
      <c r="RQ284" s="54"/>
      <c r="RR284" s="54"/>
      <c r="RS284" s="54"/>
      <c r="RT284" s="54"/>
      <c r="RU284" s="54"/>
      <c r="RV284" s="54"/>
      <c r="RW284" s="54"/>
      <c r="RX284" s="54"/>
      <c r="RY284" s="54"/>
      <c r="RZ284" s="54"/>
      <c r="SA284" s="54"/>
      <c r="SB284" s="54"/>
      <c r="SC284" s="54"/>
      <c r="SD284" s="54"/>
      <c r="SE284" s="54"/>
      <c r="SF284" s="54"/>
      <c r="SG284" s="54"/>
      <c r="SH284" s="54"/>
      <c r="SI284" s="54"/>
      <c r="SJ284" s="54"/>
      <c r="SK284" s="54"/>
      <c r="SL284" s="54"/>
      <c r="SM284" s="54"/>
      <c r="SN284" s="54"/>
      <c r="SO284" s="54"/>
      <c r="SP284" s="54"/>
      <c r="SQ284" s="54"/>
      <c r="SR284" s="54"/>
    </row>
    <row r="285" spans="1:512" ht="15" customHeight="1" x14ac:dyDescent="0.7">
      <c r="A285" s="172"/>
      <c r="B285" s="172"/>
      <c r="C285" s="172"/>
      <c r="D285" s="172"/>
      <c r="E285" s="172"/>
      <c r="F285" s="172"/>
      <c r="G285" s="172"/>
      <c r="I285" s="72" t="s">
        <v>344</v>
      </c>
      <c r="J285" s="73" t="s">
        <v>344</v>
      </c>
      <c r="K285" s="190"/>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c r="BU285" s="54"/>
      <c r="BV285" s="54"/>
      <c r="BW285" s="54"/>
      <c r="BX285" s="54"/>
      <c r="BY285" s="54"/>
      <c r="BZ285" s="54"/>
      <c r="CA285" s="54"/>
      <c r="CB285" s="54"/>
      <c r="CC285" s="54"/>
      <c r="CD285" s="54"/>
      <c r="CE285" s="54"/>
      <c r="CF285" s="54"/>
      <c r="CG285" s="54"/>
      <c r="CH285" s="54"/>
      <c r="CI285" s="54"/>
      <c r="CJ285" s="54"/>
      <c r="CK285" s="54"/>
      <c r="CL285" s="54"/>
      <c r="CM285" s="54"/>
      <c r="CN285" s="54"/>
      <c r="CO285" s="54"/>
      <c r="CP285" s="54"/>
      <c r="CQ285" s="54"/>
      <c r="CR285" s="54"/>
      <c r="CS285" s="54"/>
      <c r="CT285" s="54"/>
      <c r="CU285" s="54"/>
      <c r="CV285" s="54"/>
      <c r="CW285" s="54"/>
      <c r="CX285" s="54"/>
      <c r="CY285" s="54"/>
      <c r="CZ285" s="54"/>
      <c r="DA285" s="54"/>
      <c r="DB285" s="54"/>
      <c r="DC285" s="54"/>
      <c r="DD285" s="54"/>
      <c r="DE285" s="54"/>
      <c r="DF285" s="54"/>
      <c r="DG285" s="54"/>
      <c r="DH285" s="54"/>
      <c r="DI285" s="54"/>
      <c r="DJ285" s="54"/>
      <c r="DK285" s="54"/>
      <c r="DL285" s="54"/>
      <c r="DM285" s="54"/>
      <c r="DN285" s="54"/>
      <c r="DO285" s="54"/>
      <c r="DP285" s="54"/>
      <c r="DQ285" s="54"/>
      <c r="DR285" s="54"/>
      <c r="DS285" s="54"/>
      <c r="DT285" s="54"/>
      <c r="DU285" s="54"/>
      <c r="DV285" s="54"/>
      <c r="DW285" s="54"/>
      <c r="DX285" s="54"/>
      <c r="DY285" s="54"/>
      <c r="DZ285" s="54"/>
      <c r="EA285" s="54"/>
      <c r="EB285" s="54"/>
      <c r="EC285" s="54"/>
      <c r="ED285" s="54"/>
      <c r="EE285" s="54"/>
      <c r="EF285" s="54"/>
      <c r="EG285" s="54"/>
      <c r="EH285" s="54"/>
      <c r="EI285" s="54"/>
      <c r="EJ285" s="54"/>
      <c r="EK285" s="54"/>
      <c r="EL285" s="54"/>
      <c r="EM285" s="54"/>
      <c r="EN285" s="54"/>
      <c r="EO285" s="54"/>
      <c r="EP285" s="54"/>
      <c r="EQ285" s="54"/>
      <c r="ER285" s="54"/>
      <c r="ES285" s="54"/>
      <c r="ET285" s="54"/>
      <c r="EU285" s="54"/>
      <c r="EV285" s="54"/>
      <c r="EW285" s="54"/>
      <c r="EX285" s="54"/>
      <c r="EY285" s="54"/>
      <c r="EZ285" s="54"/>
      <c r="FA285" s="54"/>
      <c r="FB285" s="54"/>
      <c r="FC285" s="54"/>
      <c r="FD285" s="54"/>
      <c r="FE285" s="54"/>
      <c r="FF285" s="54"/>
      <c r="FG285" s="54"/>
      <c r="FH285" s="54"/>
      <c r="FI285" s="54"/>
      <c r="FJ285" s="54"/>
      <c r="FK285" s="54"/>
      <c r="FL285" s="54"/>
      <c r="FM285" s="54"/>
      <c r="FN285" s="54"/>
      <c r="FO285" s="54"/>
      <c r="FP285" s="54"/>
      <c r="FQ285" s="54"/>
      <c r="FR285" s="54"/>
      <c r="FS285" s="54"/>
      <c r="FT285" s="54"/>
      <c r="FU285" s="54"/>
      <c r="FV285" s="54"/>
      <c r="FW285" s="54"/>
      <c r="FX285" s="54"/>
      <c r="FY285" s="54"/>
      <c r="FZ285" s="54"/>
      <c r="GA285" s="54"/>
      <c r="GB285" s="54"/>
      <c r="GC285" s="54"/>
      <c r="GD285" s="54"/>
      <c r="GE285" s="54"/>
      <c r="GF285" s="54"/>
      <c r="GG285" s="54"/>
      <c r="GH285" s="54"/>
      <c r="GI285" s="54"/>
      <c r="GJ285" s="54"/>
      <c r="GK285" s="54"/>
      <c r="GL285" s="54"/>
      <c r="GM285" s="54"/>
      <c r="GN285" s="54"/>
      <c r="GO285" s="54"/>
      <c r="GP285" s="54"/>
      <c r="GQ285" s="54"/>
      <c r="GR285" s="54"/>
      <c r="GS285" s="54"/>
      <c r="GT285" s="54"/>
      <c r="GU285" s="54"/>
      <c r="GV285" s="54"/>
      <c r="GW285" s="54"/>
      <c r="GX285" s="54"/>
      <c r="GY285" s="54"/>
      <c r="GZ285" s="54"/>
      <c r="HA285" s="54"/>
      <c r="HB285" s="54"/>
      <c r="HC285" s="54"/>
      <c r="HD285" s="54"/>
      <c r="HE285" s="54"/>
      <c r="HF285" s="54"/>
      <c r="HG285" s="54"/>
      <c r="HH285" s="54"/>
      <c r="HI285" s="54"/>
      <c r="HJ285" s="54"/>
      <c r="HK285" s="54"/>
      <c r="HL285" s="54"/>
      <c r="HM285" s="54"/>
      <c r="HN285" s="54"/>
      <c r="HO285" s="54"/>
      <c r="HP285" s="54"/>
      <c r="HQ285" s="54"/>
      <c r="HR285" s="54"/>
      <c r="HS285" s="54"/>
      <c r="HT285" s="54"/>
      <c r="HU285" s="54"/>
      <c r="HV285" s="54"/>
      <c r="HW285" s="54"/>
      <c r="HX285" s="54"/>
      <c r="HY285" s="54"/>
      <c r="HZ285" s="54"/>
      <c r="IA285" s="54"/>
      <c r="IB285" s="54"/>
      <c r="IC285" s="54"/>
      <c r="ID285" s="54"/>
      <c r="IE285" s="54"/>
      <c r="IF285" s="54"/>
      <c r="IG285" s="54"/>
      <c r="IH285" s="54"/>
      <c r="II285" s="54"/>
      <c r="IJ285" s="54"/>
      <c r="IK285" s="54"/>
      <c r="IL285" s="54"/>
      <c r="IM285" s="54"/>
      <c r="IN285" s="54"/>
      <c r="IO285" s="54"/>
      <c r="IP285" s="54"/>
      <c r="IQ285" s="54"/>
      <c r="IR285" s="54"/>
      <c r="IS285" s="54"/>
      <c r="IT285" s="54"/>
      <c r="IU285" s="54"/>
      <c r="IV285" s="54"/>
      <c r="IW285" s="54"/>
      <c r="IX285" s="54"/>
      <c r="IY285" s="54"/>
      <c r="IZ285" s="54"/>
      <c r="JA285" s="54"/>
      <c r="JB285" s="54"/>
      <c r="JC285" s="54"/>
      <c r="JD285" s="54"/>
      <c r="JE285" s="54"/>
      <c r="JF285" s="54"/>
      <c r="JG285" s="54"/>
      <c r="JH285" s="54"/>
      <c r="JI285" s="54"/>
      <c r="JJ285" s="54"/>
      <c r="JK285" s="54"/>
      <c r="JL285" s="54"/>
      <c r="JM285" s="54"/>
      <c r="JN285" s="54"/>
      <c r="JO285" s="54"/>
      <c r="JP285" s="54"/>
      <c r="JQ285" s="54"/>
      <c r="JR285" s="54"/>
      <c r="JS285" s="54"/>
      <c r="JT285" s="54"/>
      <c r="JU285" s="54"/>
      <c r="JV285" s="54"/>
      <c r="JW285" s="54"/>
      <c r="JX285" s="54"/>
      <c r="JY285" s="54"/>
      <c r="JZ285" s="54"/>
      <c r="KA285" s="54"/>
      <c r="KB285" s="54"/>
      <c r="KC285" s="54"/>
      <c r="KD285" s="54"/>
      <c r="KE285" s="54"/>
      <c r="KF285" s="54"/>
      <c r="KG285" s="54"/>
      <c r="KH285" s="54"/>
      <c r="KI285" s="54"/>
      <c r="KJ285" s="54"/>
      <c r="KK285" s="54"/>
      <c r="KL285" s="54"/>
      <c r="KM285" s="54"/>
      <c r="KN285" s="54"/>
      <c r="KO285" s="54"/>
      <c r="KP285" s="54"/>
      <c r="KQ285" s="54"/>
      <c r="KR285" s="54"/>
      <c r="KS285" s="54"/>
      <c r="KT285" s="54"/>
      <c r="KU285" s="54"/>
      <c r="KV285" s="54"/>
      <c r="KW285" s="54"/>
      <c r="KX285" s="54"/>
      <c r="KY285" s="54"/>
      <c r="KZ285" s="54"/>
      <c r="LA285" s="54"/>
      <c r="LB285" s="54"/>
      <c r="LC285" s="54"/>
      <c r="LD285" s="54"/>
      <c r="LE285" s="54"/>
      <c r="LF285" s="54"/>
      <c r="LG285" s="54"/>
      <c r="LH285" s="54"/>
      <c r="LI285" s="54"/>
      <c r="LJ285" s="54"/>
      <c r="LK285" s="54"/>
      <c r="LL285" s="54"/>
      <c r="LM285" s="54"/>
      <c r="LN285" s="54"/>
      <c r="LO285" s="54"/>
      <c r="LP285" s="54"/>
      <c r="LQ285" s="54"/>
      <c r="LR285" s="54"/>
      <c r="LS285" s="54"/>
      <c r="LT285" s="54"/>
      <c r="LU285" s="54"/>
      <c r="LV285" s="54"/>
      <c r="LW285" s="54"/>
      <c r="LX285" s="54"/>
      <c r="LY285" s="54"/>
      <c r="LZ285" s="54"/>
      <c r="MA285" s="54"/>
      <c r="MB285" s="54"/>
      <c r="MC285" s="54"/>
      <c r="MD285" s="54"/>
      <c r="ME285" s="54"/>
      <c r="MF285" s="54"/>
      <c r="MG285" s="54"/>
      <c r="MH285" s="54"/>
      <c r="MI285" s="54"/>
      <c r="MJ285" s="54"/>
      <c r="MK285" s="54"/>
      <c r="ML285" s="54"/>
      <c r="MM285" s="54"/>
      <c r="MN285" s="54"/>
      <c r="MO285" s="54"/>
      <c r="MP285" s="54"/>
      <c r="MQ285" s="54"/>
      <c r="MR285" s="54"/>
      <c r="MS285" s="54"/>
      <c r="MT285" s="54"/>
      <c r="MU285" s="54"/>
      <c r="MV285" s="54"/>
      <c r="MW285" s="54"/>
      <c r="MX285" s="54"/>
      <c r="MY285" s="54"/>
      <c r="MZ285" s="54"/>
      <c r="NA285" s="54"/>
      <c r="NB285" s="54"/>
      <c r="NC285" s="54"/>
      <c r="ND285" s="54"/>
      <c r="NE285" s="54"/>
      <c r="NF285" s="54"/>
      <c r="NG285" s="54"/>
      <c r="NH285" s="54"/>
      <c r="NI285" s="54"/>
      <c r="NJ285" s="54"/>
      <c r="NK285" s="54"/>
      <c r="NL285" s="54"/>
      <c r="NM285" s="54"/>
      <c r="NN285" s="54"/>
      <c r="NO285" s="54"/>
      <c r="NP285" s="54"/>
      <c r="NQ285" s="54"/>
      <c r="NR285" s="54"/>
      <c r="NS285" s="54"/>
      <c r="NT285" s="54"/>
      <c r="NU285" s="54"/>
      <c r="NV285" s="54"/>
      <c r="NW285" s="54"/>
      <c r="NX285" s="54"/>
      <c r="NY285" s="54"/>
      <c r="NZ285" s="54"/>
      <c r="OA285" s="54"/>
      <c r="OB285" s="54"/>
      <c r="OC285" s="54"/>
      <c r="OD285" s="54"/>
      <c r="OE285" s="54"/>
      <c r="OF285" s="54"/>
      <c r="OG285" s="54"/>
      <c r="OH285" s="54"/>
      <c r="OI285" s="54"/>
      <c r="OJ285" s="54"/>
      <c r="OK285" s="54"/>
      <c r="OL285" s="54"/>
      <c r="OM285" s="54"/>
      <c r="ON285" s="54"/>
      <c r="OO285" s="54"/>
      <c r="OP285" s="54"/>
      <c r="OQ285" s="54"/>
      <c r="OR285" s="54"/>
      <c r="OS285" s="54"/>
      <c r="OT285" s="54"/>
      <c r="OU285" s="54"/>
      <c r="OV285" s="54"/>
      <c r="OW285" s="54"/>
      <c r="OX285" s="54"/>
      <c r="OY285" s="54"/>
      <c r="OZ285" s="54"/>
      <c r="PA285" s="54"/>
      <c r="PB285" s="54"/>
      <c r="PC285" s="54"/>
      <c r="PD285" s="54"/>
      <c r="PE285" s="54"/>
      <c r="PF285" s="54"/>
      <c r="PG285" s="54"/>
      <c r="PH285" s="54"/>
      <c r="PI285" s="54"/>
      <c r="PJ285" s="54"/>
      <c r="PK285" s="54"/>
      <c r="PL285" s="54"/>
      <c r="PM285" s="54"/>
      <c r="PN285" s="54"/>
      <c r="PO285" s="54"/>
      <c r="PP285" s="54"/>
      <c r="PQ285" s="54"/>
      <c r="PR285" s="54"/>
      <c r="PS285" s="54"/>
      <c r="PT285" s="54"/>
      <c r="PU285" s="54"/>
      <c r="PV285" s="54"/>
      <c r="PW285" s="54"/>
      <c r="PX285" s="54"/>
      <c r="PY285" s="54"/>
      <c r="PZ285" s="54"/>
      <c r="QA285" s="54"/>
      <c r="QB285" s="54"/>
      <c r="QC285" s="54"/>
      <c r="QD285" s="54"/>
      <c r="QE285" s="54"/>
      <c r="QF285" s="54"/>
      <c r="QG285" s="54"/>
      <c r="QH285" s="54"/>
      <c r="QI285" s="54"/>
      <c r="QJ285" s="54"/>
      <c r="QK285" s="54"/>
      <c r="QL285" s="54"/>
      <c r="QM285" s="54"/>
      <c r="QN285" s="54"/>
      <c r="QO285" s="54"/>
      <c r="QP285" s="54"/>
      <c r="QQ285" s="54"/>
      <c r="QR285" s="54"/>
      <c r="QS285" s="54"/>
      <c r="QT285" s="54"/>
      <c r="QU285" s="54"/>
      <c r="QV285" s="54"/>
      <c r="QW285" s="54"/>
      <c r="QX285" s="54"/>
      <c r="QY285" s="54"/>
      <c r="QZ285" s="54"/>
      <c r="RA285" s="54"/>
      <c r="RB285" s="54"/>
      <c r="RC285" s="54"/>
      <c r="RD285" s="54"/>
      <c r="RE285" s="54"/>
      <c r="RF285" s="54"/>
      <c r="RG285" s="54"/>
      <c r="RH285" s="54"/>
      <c r="RI285" s="54"/>
      <c r="RJ285" s="54"/>
      <c r="RK285" s="54"/>
      <c r="RL285" s="54"/>
      <c r="RM285" s="54"/>
      <c r="RN285" s="54"/>
      <c r="RO285" s="54"/>
      <c r="RP285" s="54"/>
      <c r="RQ285" s="54"/>
      <c r="RR285" s="54"/>
      <c r="RS285" s="54"/>
      <c r="RT285" s="54"/>
      <c r="RU285" s="54"/>
      <c r="RV285" s="54"/>
      <c r="RW285" s="54"/>
      <c r="RX285" s="54"/>
      <c r="RY285" s="54"/>
      <c r="RZ285" s="54"/>
      <c r="SA285" s="54"/>
      <c r="SB285" s="54"/>
      <c r="SC285" s="54"/>
      <c r="SD285" s="54"/>
      <c r="SE285" s="54"/>
      <c r="SF285" s="54"/>
      <c r="SG285" s="54"/>
      <c r="SH285" s="54"/>
      <c r="SI285" s="54"/>
      <c r="SJ285" s="54"/>
      <c r="SK285" s="54"/>
      <c r="SL285" s="54"/>
      <c r="SM285" s="54"/>
      <c r="SN285" s="54"/>
      <c r="SO285" s="54"/>
      <c r="SP285" s="54"/>
      <c r="SQ285" s="54"/>
      <c r="SR285" s="54"/>
    </row>
    <row r="286" spans="1:512" s="55" customFormat="1" ht="15" customHeight="1" x14ac:dyDescent="0.7">
      <c r="A286" s="173"/>
      <c r="B286" s="173"/>
      <c r="C286" s="173"/>
      <c r="D286" s="173"/>
      <c r="E286" s="173"/>
      <c r="F286" s="173"/>
      <c r="G286" s="173"/>
      <c r="H286" s="74"/>
      <c r="I286" s="75"/>
      <c r="J286" s="76"/>
      <c r="K286" s="191"/>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c r="IX286" s="56"/>
      <c r="IY286" s="56"/>
      <c r="IZ286" s="56"/>
      <c r="JA286" s="56"/>
      <c r="JB286" s="56"/>
      <c r="JC286" s="56"/>
      <c r="JD286" s="56"/>
      <c r="JE286" s="56"/>
      <c r="JF286" s="56"/>
      <c r="JG286" s="56"/>
      <c r="JH286" s="56"/>
      <c r="JI286" s="56"/>
      <c r="JJ286" s="56"/>
      <c r="JK286" s="56"/>
      <c r="JL286" s="56"/>
      <c r="JM286" s="56"/>
      <c r="JN286" s="56"/>
      <c r="JO286" s="56"/>
      <c r="JP286" s="56"/>
      <c r="JQ286" s="56"/>
      <c r="JR286" s="56"/>
      <c r="JS286" s="56"/>
      <c r="JT286" s="56"/>
      <c r="JU286" s="56"/>
      <c r="JV286" s="56"/>
      <c r="JW286" s="56"/>
      <c r="JX286" s="56"/>
      <c r="JY286" s="56"/>
      <c r="JZ286" s="56"/>
      <c r="KA286" s="56"/>
      <c r="KB286" s="56"/>
      <c r="KC286" s="56"/>
      <c r="KD286" s="56"/>
      <c r="KE286" s="56"/>
      <c r="KF286" s="56"/>
      <c r="KG286" s="56"/>
      <c r="KH286" s="56"/>
      <c r="KI286" s="56"/>
      <c r="KJ286" s="56"/>
      <c r="KK286" s="56"/>
      <c r="KL286" s="56"/>
      <c r="KM286" s="56"/>
      <c r="KN286" s="56"/>
      <c r="KO286" s="56"/>
      <c r="KP286" s="56"/>
      <c r="KQ286" s="56"/>
      <c r="KR286" s="56"/>
      <c r="KS286" s="56"/>
      <c r="KT286" s="56"/>
      <c r="KU286" s="56"/>
      <c r="KV286" s="56"/>
      <c r="KW286" s="56"/>
      <c r="KX286" s="56"/>
      <c r="KY286" s="56"/>
      <c r="KZ286" s="56"/>
      <c r="LA286" s="56"/>
      <c r="LB286" s="56"/>
      <c r="LC286" s="56"/>
      <c r="LD286" s="56"/>
      <c r="LE286" s="56"/>
      <c r="LF286" s="56"/>
      <c r="LG286" s="56"/>
      <c r="LH286" s="56"/>
      <c r="LI286" s="56"/>
      <c r="LJ286" s="56"/>
      <c r="LK286" s="56"/>
      <c r="LL286" s="56"/>
      <c r="LM286" s="56"/>
      <c r="LN286" s="56"/>
      <c r="LO286" s="56"/>
      <c r="LP286" s="56"/>
      <c r="LQ286" s="56"/>
      <c r="LR286" s="56"/>
      <c r="LS286" s="56"/>
      <c r="LT286" s="56"/>
      <c r="LU286" s="56"/>
      <c r="LV286" s="56"/>
      <c r="LW286" s="56"/>
      <c r="LX286" s="56"/>
      <c r="LY286" s="56"/>
      <c r="LZ286" s="56"/>
      <c r="MA286" s="56"/>
      <c r="MB286" s="56"/>
      <c r="MC286" s="56"/>
      <c r="MD286" s="56"/>
      <c r="ME286" s="56"/>
      <c r="MF286" s="56"/>
      <c r="MG286" s="56"/>
      <c r="MH286" s="56"/>
      <c r="MI286" s="56"/>
      <c r="MJ286" s="56"/>
      <c r="MK286" s="56"/>
      <c r="ML286" s="56"/>
      <c r="MM286" s="56"/>
      <c r="MN286" s="56"/>
      <c r="MO286" s="56"/>
      <c r="MP286" s="56"/>
      <c r="MQ286" s="56"/>
      <c r="MR286" s="56"/>
      <c r="MS286" s="56"/>
      <c r="MT286" s="56"/>
      <c r="MU286" s="56"/>
      <c r="MV286" s="56"/>
      <c r="MW286" s="56"/>
      <c r="MX286" s="56"/>
      <c r="MY286" s="56"/>
      <c r="MZ286" s="56"/>
      <c r="NA286" s="56"/>
      <c r="NB286" s="56"/>
      <c r="NC286" s="56"/>
      <c r="ND286" s="56"/>
      <c r="NE286" s="56"/>
      <c r="NF286" s="56"/>
      <c r="NG286" s="56"/>
      <c r="NH286" s="56"/>
      <c r="NI286" s="56"/>
      <c r="NJ286" s="56"/>
      <c r="NK286" s="56"/>
      <c r="NL286" s="56"/>
      <c r="NM286" s="56"/>
      <c r="NN286" s="56"/>
      <c r="NO286" s="56"/>
      <c r="NP286" s="56"/>
      <c r="NQ286" s="56"/>
      <c r="NR286" s="56"/>
      <c r="NS286" s="56"/>
      <c r="NT286" s="56"/>
      <c r="NU286" s="56"/>
      <c r="NV286" s="56"/>
      <c r="NW286" s="56"/>
      <c r="NX286" s="56"/>
      <c r="NY286" s="56"/>
      <c r="NZ286" s="56"/>
      <c r="OA286" s="56"/>
      <c r="OB286" s="56"/>
      <c r="OC286" s="56"/>
      <c r="OD286" s="56"/>
      <c r="OE286" s="56"/>
      <c r="OF286" s="56"/>
      <c r="OG286" s="56"/>
      <c r="OH286" s="56"/>
      <c r="OI286" s="56"/>
      <c r="OJ286" s="56"/>
      <c r="OK286" s="56"/>
      <c r="OL286" s="56"/>
      <c r="OM286" s="56"/>
      <c r="ON286" s="56"/>
      <c r="OO286" s="56"/>
      <c r="OP286" s="56"/>
      <c r="OQ286" s="56"/>
      <c r="OR286" s="56"/>
      <c r="OS286" s="56"/>
      <c r="OT286" s="56"/>
      <c r="OU286" s="56"/>
      <c r="OV286" s="56"/>
      <c r="OW286" s="56"/>
      <c r="OX286" s="56"/>
      <c r="OY286" s="56"/>
      <c r="OZ286" s="56"/>
      <c r="PA286" s="56"/>
      <c r="PB286" s="56"/>
      <c r="PC286" s="56"/>
      <c r="PD286" s="56"/>
      <c r="PE286" s="56"/>
      <c r="PF286" s="56"/>
      <c r="PG286" s="56"/>
      <c r="PH286" s="56"/>
      <c r="PI286" s="56"/>
      <c r="PJ286" s="56"/>
      <c r="PK286" s="56"/>
      <c r="PL286" s="56"/>
      <c r="PM286" s="56"/>
      <c r="PN286" s="56"/>
      <c r="PO286" s="56"/>
      <c r="PP286" s="56"/>
      <c r="PQ286" s="56"/>
      <c r="PR286" s="56"/>
      <c r="PS286" s="56"/>
      <c r="PT286" s="56"/>
      <c r="PU286" s="56"/>
      <c r="PV286" s="56"/>
      <c r="PW286" s="56"/>
      <c r="PX286" s="56"/>
      <c r="PY286" s="56"/>
      <c r="PZ286" s="56"/>
      <c r="QA286" s="56"/>
      <c r="QB286" s="56"/>
      <c r="QC286" s="56"/>
      <c r="QD286" s="56"/>
      <c r="QE286" s="56"/>
      <c r="QF286" s="56"/>
      <c r="QG286" s="56"/>
      <c r="QH286" s="56"/>
      <c r="QI286" s="56"/>
      <c r="QJ286" s="56"/>
      <c r="QK286" s="56"/>
      <c r="QL286" s="56"/>
      <c r="QM286" s="56"/>
      <c r="QN286" s="56"/>
      <c r="QO286" s="56"/>
      <c r="QP286" s="56"/>
      <c r="QQ286" s="56"/>
      <c r="QR286" s="56"/>
      <c r="QS286" s="56"/>
      <c r="QT286" s="56"/>
      <c r="QU286" s="56"/>
      <c r="QV286" s="56"/>
      <c r="QW286" s="56"/>
      <c r="QX286" s="56"/>
      <c r="QY286" s="56"/>
      <c r="QZ286" s="56"/>
      <c r="RA286" s="56"/>
      <c r="RB286" s="56"/>
      <c r="RC286" s="56"/>
      <c r="RD286" s="56"/>
      <c r="RE286" s="56"/>
      <c r="RF286" s="56"/>
      <c r="RG286" s="56"/>
      <c r="RH286" s="56"/>
      <c r="RI286" s="56"/>
      <c r="RJ286" s="56"/>
      <c r="RK286" s="56"/>
      <c r="RL286" s="56"/>
      <c r="RM286" s="56"/>
      <c r="RN286" s="56"/>
      <c r="RO286" s="56"/>
      <c r="RP286" s="56"/>
      <c r="RQ286" s="56"/>
      <c r="RR286" s="56"/>
      <c r="RS286" s="56"/>
      <c r="RT286" s="56"/>
      <c r="RU286" s="56"/>
      <c r="RV286" s="56"/>
      <c r="RW286" s="56"/>
      <c r="RX286" s="56"/>
      <c r="RY286" s="56"/>
      <c r="RZ286" s="56"/>
      <c r="SA286" s="56"/>
      <c r="SB286" s="56"/>
      <c r="SC286" s="56"/>
      <c r="SD286" s="56"/>
      <c r="SE286" s="56"/>
      <c r="SF286" s="56"/>
      <c r="SG286" s="56"/>
      <c r="SH286" s="56"/>
      <c r="SI286" s="56"/>
      <c r="SJ286" s="56"/>
      <c r="SK286" s="56"/>
      <c r="SL286" s="56"/>
      <c r="SM286" s="56"/>
      <c r="SN286" s="56"/>
      <c r="SO286" s="56"/>
      <c r="SP286" s="56"/>
      <c r="SQ286" s="56"/>
      <c r="SR286" s="56"/>
    </row>
    <row r="287" spans="1:512" ht="15" customHeight="1" x14ac:dyDescent="0.7">
      <c r="A287" s="171" t="s">
        <v>344</v>
      </c>
      <c r="B287" s="171" t="s">
        <v>344</v>
      </c>
      <c r="C287" s="171" t="s">
        <v>344</v>
      </c>
      <c r="D287" s="171"/>
      <c r="E287" s="171" t="s">
        <v>344</v>
      </c>
      <c r="F287" s="171"/>
      <c r="G287" s="188" t="s">
        <v>344</v>
      </c>
      <c r="H287" s="71" t="s">
        <v>344</v>
      </c>
      <c r="I287" s="72" t="s">
        <v>344</v>
      </c>
      <c r="J287" s="73" t="s">
        <v>344</v>
      </c>
      <c r="K287" s="189" t="s">
        <v>344</v>
      </c>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c r="BS287" s="54"/>
      <c r="BT287" s="54"/>
      <c r="BU287" s="54"/>
      <c r="BV287" s="54"/>
      <c r="BW287" s="54"/>
      <c r="BX287" s="54"/>
      <c r="BY287" s="54"/>
      <c r="BZ287" s="54"/>
      <c r="CA287" s="54"/>
      <c r="CB287" s="54"/>
      <c r="CC287" s="54"/>
      <c r="CD287" s="54"/>
      <c r="CE287" s="54"/>
      <c r="CF287" s="54"/>
      <c r="CG287" s="54"/>
      <c r="CH287" s="54"/>
      <c r="CI287" s="54"/>
      <c r="CJ287" s="54"/>
      <c r="CK287" s="54"/>
      <c r="CL287" s="54"/>
      <c r="CM287" s="54"/>
      <c r="CN287" s="54"/>
      <c r="CO287" s="54"/>
      <c r="CP287" s="54"/>
      <c r="CQ287" s="54"/>
      <c r="CR287" s="54"/>
      <c r="CS287" s="54"/>
      <c r="CT287" s="54"/>
      <c r="CU287" s="54"/>
      <c r="CV287" s="54"/>
      <c r="CW287" s="54"/>
      <c r="CX287" s="54"/>
      <c r="CY287" s="54"/>
      <c r="CZ287" s="54"/>
      <c r="DA287" s="54"/>
      <c r="DB287" s="54"/>
      <c r="DC287" s="54"/>
      <c r="DD287" s="54"/>
      <c r="DE287" s="54"/>
      <c r="DF287" s="54"/>
      <c r="DG287" s="54"/>
      <c r="DH287" s="54"/>
      <c r="DI287" s="54"/>
      <c r="DJ287" s="54"/>
      <c r="DK287" s="54"/>
      <c r="DL287" s="54"/>
      <c r="DM287" s="54"/>
      <c r="DN287" s="54"/>
      <c r="DO287" s="54"/>
      <c r="DP287" s="54"/>
      <c r="DQ287" s="54"/>
      <c r="DR287" s="54"/>
      <c r="DS287" s="54"/>
      <c r="DT287" s="54"/>
      <c r="DU287" s="54"/>
      <c r="DV287" s="54"/>
      <c r="DW287" s="54"/>
      <c r="DX287" s="54"/>
      <c r="DY287" s="54"/>
      <c r="DZ287" s="54"/>
      <c r="EA287" s="54"/>
      <c r="EB287" s="54"/>
      <c r="EC287" s="54"/>
      <c r="ED287" s="54"/>
      <c r="EE287" s="54"/>
      <c r="EF287" s="54"/>
      <c r="EG287" s="54"/>
      <c r="EH287" s="54"/>
      <c r="EI287" s="54"/>
      <c r="EJ287" s="54"/>
      <c r="EK287" s="54"/>
      <c r="EL287" s="54"/>
      <c r="EM287" s="54"/>
      <c r="EN287" s="54"/>
      <c r="EO287" s="54"/>
      <c r="EP287" s="54"/>
      <c r="EQ287" s="54"/>
      <c r="ER287" s="54"/>
      <c r="ES287" s="54"/>
      <c r="ET287" s="54"/>
      <c r="EU287" s="54"/>
      <c r="EV287" s="54"/>
      <c r="EW287" s="54"/>
      <c r="EX287" s="54"/>
      <c r="EY287" s="54"/>
      <c r="EZ287" s="54"/>
      <c r="FA287" s="54"/>
      <c r="FB287" s="54"/>
      <c r="FC287" s="54"/>
      <c r="FD287" s="54"/>
      <c r="FE287" s="54"/>
      <c r="FF287" s="54"/>
      <c r="FG287" s="54"/>
      <c r="FH287" s="54"/>
      <c r="FI287" s="54"/>
      <c r="FJ287" s="54"/>
      <c r="FK287" s="54"/>
      <c r="FL287" s="54"/>
      <c r="FM287" s="54"/>
      <c r="FN287" s="54"/>
      <c r="FO287" s="54"/>
      <c r="FP287" s="54"/>
      <c r="FQ287" s="54"/>
      <c r="FR287" s="54"/>
      <c r="FS287" s="54"/>
      <c r="FT287" s="54"/>
      <c r="FU287" s="54"/>
      <c r="FV287" s="54"/>
      <c r="FW287" s="54"/>
      <c r="FX287" s="54"/>
      <c r="FY287" s="54"/>
      <c r="FZ287" s="54"/>
      <c r="GA287" s="54"/>
      <c r="GB287" s="54"/>
      <c r="GC287" s="54"/>
      <c r="GD287" s="54"/>
      <c r="GE287" s="54"/>
      <c r="GF287" s="54"/>
      <c r="GG287" s="54"/>
      <c r="GH287" s="54"/>
      <c r="GI287" s="54"/>
      <c r="GJ287" s="54"/>
      <c r="GK287" s="54"/>
      <c r="GL287" s="54"/>
      <c r="GM287" s="54"/>
      <c r="GN287" s="54"/>
      <c r="GO287" s="54"/>
      <c r="GP287" s="54"/>
      <c r="GQ287" s="54"/>
      <c r="GR287" s="54"/>
      <c r="GS287" s="54"/>
      <c r="GT287" s="54"/>
      <c r="GU287" s="54"/>
      <c r="GV287" s="54"/>
      <c r="GW287" s="54"/>
      <c r="GX287" s="54"/>
      <c r="GY287" s="54"/>
      <c r="GZ287" s="54"/>
      <c r="HA287" s="54"/>
      <c r="HB287" s="54"/>
      <c r="HC287" s="54"/>
      <c r="HD287" s="54"/>
      <c r="HE287" s="54"/>
      <c r="HF287" s="54"/>
      <c r="HG287" s="54"/>
      <c r="HH287" s="54"/>
      <c r="HI287" s="54"/>
      <c r="HJ287" s="54"/>
      <c r="HK287" s="54"/>
      <c r="HL287" s="54"/>
      <c r="HM287" s="54"/>
      <c r="HN287" s="54"/>
      <c r="HO287" s="54"/>
      <c r="HP287" s="54"/>
      <c r="HQ287" s="54"/>
      <c r="HR287" s="54"/>
      <c r="HS287" s="54"/>
      <c r="HT287" s="54"/>
      <c r="HU287" s="54"/>
      <c r="HV287" s="54"/>
      <c r="HW287" s="54"/>
      <c r="HX287" s="54"/>
      <c r="HY287" s="54"/>
      <c r="HZ287" s="54"/>
      <c r="IA287" s="54"/>
      <c r="IB287" s="54"/>
      <c r="IC287" s="54"/>
      <c r="ID287" s="54"/>
      <c r="IE287" s="54"/>
      <c r="IF287" s="54"/>
      <c r="IG287" s="54"/>
      <c r="IH287" s="54"/>
      <c r="II287" s="54"/>
      <c r="IJ287" s="54"/>
      <c r="IK287" s="54"/>
      <c r="IL287" s="54"/>
      <c r="IM287" s="54"/>
      <c r="IN287" s="54"/>
      <c r="IO287" s="54"/>
      <c r="IP287" s="54"/>
      <c r="IQ287" s="54"/>
      <c r="IR287" s="54"/>
      <c r="IS287" s="54"/>
      <c r="IT287" s="54"/>
      <c r="IU287" s="54"/>
      <c r="IV287" s="54"/>
      <c r="IW287" s="54"/>
      <c r="IX287" s="54"/>
      <c r="IY287" s="54"/>
      <c r="IZ287" s="54"/>
      <c r="JA287" s="54"/>
      <c r="JB287" s="54"/>
      <c r="JC287" s="54"/>
      <c r="JD287" s="54"/>
      <c r="JE287" s="54"/>
      <c r="JF287" s="54"/>
      <c r="JG287" s="54"/>
      <c r="JH287" s="54"/>
      <c r="JI287" s="54"/>
      <c r="JJ287" s="54"/>
      <c r="JK287" s="54"/>
      <c r="JL287" s="54"/>
      <c r="JM287" s="54"/>
      <c r="JN287" s="54"/>
      <c r="JO287" s="54"/>
      <c r="JP287" s="54"/>
      <c r="JQ287" s="54"/>
      <c r="JR287" s="54"/>
      <c r="JS287" s="54"/>
      <c r="JT287" s="54"/>
      <c r="JU287" s="54"/>
      <c r="JV287" s="54"/>
      <c r="JW287" s="54"/>
      <c r="JX287" s="54"/>
      <c r="JY287" s="54"/>
      <c r="JZ287" s="54"/>
      <c r="KA287" s="54"/>
      <c r="KB287" s="54"/>
      <c r="KC287" s="54"/>
      <c r="KD287" s="54"/>
      <c r="KE287" s="54"/>
      <c r="KF287" s="54"/>
      <c r="KG287" s="54"/>
      <c r="KH287" s="54"/>
      <c r="KI287" s="54"/>
      <c r="KJ287" s="54"/>
      <c r="KK287" s="54"/>
      <c r="KL287" s="54"/>
      <c r="KM287" s="54"/>
      <c r="KN287" s="54"/>
      <c r="KO287" s="54"/>
      <c r="KP287" s="54"/>
      <c r="KQ287" s="54"/>
      <c r="KR287" s="54"/>
      <c r="KS287" s="54"/>
      <c r="KT287" s="54"/>
      <c r="KU287" s="54"/>
      <c r="KV287" s="54"/>
      <c r="KW287" s="54"/>
      <c r="KX287" s="54"/>
      <c r="KY287" s="54"/>
      <c r="KZ287" s="54"/>
      <c r="LA287" s="54"/>
      <c r="LB287" s="54"/>
      <c r="LC287" s="54"/>
      <c r="LD287" s="54"/>
      <c r="LE287" s="54"/>
      <c r="LF287" s="54"/>
      <c r="LG287" s="54"/>
      <c r="LH287" s="54"/>
      <c r="LI287" s="54"/>
      <c r="LJ287" s="54"/>
      <c r="LK287" s="54"/>
      <c r="LL287" s="54"/>
      <c r="LM287" s="54"/>
      <c r="LN287" s="54"/>
      <c r="LO287" s="54"/>
      <c r="LP287" s="54"/>
      <c r="LQ287" s="54"/>
      <c r="LR287" s="54"/>
      <c r="LS287" s="54"/>
      <c r="LT287" s="54"/>
      <c r="LU287" s="54"/>
      <c r="LV287" s="54"/>
      <c r="LW287" s="54"/>
      <c r="LX287" s="54"/>
      <c r="LY287" s="54"/>
      <c r="LZ287" s="54"/>
      <c r="MA287" s="54"/>
      <c r="MB287" s="54"/>
      <c r="MC287" s="54"/>
      <c r="MD287" s="54"/>
      <c r="ME287" s="54"/>
      <c r="MF287" s="54"/>
      <c r="MG287" s="54"/>
      <c r="MH287" s="54"/>
      <c r="MI287" s="54"/>
      <c r="MJ287" s="54"/>
      <c r="MK287" s="54"/>
      <c r="ML287" s="54"/>
      <c r="MM287" s="54"/>
      <c r="MN287" s="54"/>
      <c r="MO287" s="54"/>
      <c r="MP287" s="54"/>
      <c r="MQ287" s="54"/>
      <c r="MR287" s="54"/>
      <c r="MS287" s="54"/>
      <c r="MT287" s="54"/>
      <c r="MU287" s="54"/>
      <c r="MV287" s="54"/>
      <c r="MW287" s="54"/>
      <c r="MX287" s="54"/>
      <c r="MY287" s="54"/>
      <c r="MZ287" s="54"/>
      <c r="NA287" s="54"/>
      <c r="NB287" s="54"/>
      <c r="NC287" s="54"/>
      <c r="ND287" s="54"/>
      <c r="NE287" s="54"/>
      <c r="NF287" s="54"/>
      <c r="NG287" s="54"/>
      <c r="NH287" s="54"/>
      <c r="NI287" s="54"/>
      <c r="NJ287" s="54"/>
      <c r="NK287" s="54"/>
      <c r="NL287" s="54"/>
      <c r="NM287" s="54"/>
      <c r="NN287" s="54"/>
      <c r="NO287" s="54"/>
      <c r="NP287" s="54"/>
      <c r="NQ287" s="54"/>
      <c r="NR287" s="54"/>
      <c r="NS287" s="54"/>
      <c r="NT287" s="54"/>
      <c r="NU287" s="54"/>
      <c r="NV287" s="54"/>
      <c r="NW287" s="54"/>
      <c r="NX287" s="54"/>
      <c r="NY287" s="54"/>
      <c r="NZ287" s="54"/>
      <c r="OA287" s="54"/>
      <c r="OB287" s="54"/>
      <c r="OC287" s="54"/>
      <c r="OD287" s="54"/>
      <c r="OE287" s="54"/>
      <c r="OF287" s="54"/>
      <c r="OG287" s="54"/>
      <c r="OH287" s="54"/>
      <c r="OI287" s="54"/>
      <c r="OJ287" s="54"/>
      <c r="OK287" s="54"/>
      <c r="OL287" s="54"/>
      <c r="OM287" s="54"/>
      <c r="ON287" s="54"/>
      <c r="OO287" s="54"/>
      <c r="OP287" s="54"/>
      <c r="OQ287" s="54"/>
      <c r="OR287" s="54"/>
      <c r="OS287" s="54"/>
      <c r="OT287" s="54"/>
      <c r="OU287" s="54"/>
      <c r="OV287" s="54"/>
      <c r="OW287" s="54"/>
      <c r="OX287" s="54"/>
      <c r="OY287" s="54"/>
      <c r="OZ287" s="54"/>
      <c r="PA287" s="54"/>
      <c r="PB287" s="54"/>
      <c r="PC287" s="54"/>
      <c r="PD287" s="54"/>
      <c r="PE287" s="54"/>
      <c r="PF287" s="54"/>
      <c r="PG287" s="54"/>
      <c r="PH287" s="54"/>
      <c r="PI287" s="54"/>
      <c r="PJ287" s="54"/>
      <c r="PK287" s="54"/>
      <c r="PL287" s="54"/>
      <c r="PM287" s="54"/>
      <c r="PN287" s="54"/>
      <c r="PO287" s="54"/>
      <c r="PP287" s="54"/>
      <c r="PQ287" s="54"/>
      <c r="PR287" s="54"/>
      <c r="PS287" s="54"/>
      <c r="PT287" s="54"/>
      <c r="PU287" s="54"/>
      <c r="PV287" s="54"/>
      <c r="PW287" s="54"/>
      <c r="PX287" s="54"/>
      <c r="PY287" s="54"/>
      <c r="PZ287" s="54"/>
      <c r="QA287" s="54"/>
      <c r="QB287" s="54"/>
      <c r="QC287" s="54"/>
      <c r="QD287" s="54"/>
      <c r="QE287" s="54"/>
      <c r="QF287" s="54"/>
      <c r="QG287" s="54"/>
      <c r="QH287" s="54"/>
      <c r="QI287" s="54"/>
      <c r="QJ287" s="54"/>
      <c r="QK287" s="54"/>
      <c r="QL287" s="54"/>
      <c r="QM287" s="54"/>
      <c r="QN287" s="54"/>
      <c r="QO287" s="54"/>
      <c r="QP287" s="54"/>
      <c r="QQ287" s="54"/>
      <c r="QR287" s="54"/>
      <c r="QS287" s="54"/>
      <c r="QT287" s="54"/>
      <c r="QU287" s="54"/>
      <c r="QV287" s="54"/>
      <c r="QW287" s="54"/>
      <c r="QX287" s="54"/>
      <c r="QY287" s="54"/>
      <c r="QZ287" s="54"/>
      <c r="RA287" s="54"/>
      <c r="RB287" s="54"/>
      <c r="RC287" s="54"/>
      <c r="RD287" s="54"/>
      <c r="RE287" s="54"/>
      <c r="RF287" s="54"/>
      <c r="RG287" s="54"/>
      <c r="RH287" s="54"/>
      <c r="RI287" s="54"/>
      <c r="RJ287" s="54"/>
      <c r="RK287" s="54"/>
      <c r="RL287" s="54"/>
      <c r="RM287" s="54"/>
      <c r="RN287" s="54"/>
      <c r="RO287" s="54"/>
      <c r="RP287" s="54"/>
      <c r="RQ287" s="54"/>
      <c r="RR287" s="54"/>
      <c r="RS287" s="54"/>
      <c r="RT287" s="54"/>
      <c r="RU287" s="54"/>
      <c r="RV287" s="54"/>
      <c r="RW287" s="54"/>
      <c r="RX287" s="54"/>
      <c r="RY287" s="54"/>
      <c r="RZ287" s="54"/>
      <c r="SA287" s="54"/>
      <c r="SB287" s="54"/>
      <c r="SC287" s="54"/>
      <c r="SD287" s="54"/>
      <c r="SE287" s="54"/>
      <c r="SF287" s="54"/>
      <c r="SG287" s="54"/>
      <c r="SH287" s="54"/>
      <c r="SI287" s="54"/>
      <c r="SJ287" s="54"/>
      <c r="SK287" s="54"/>
      <c r="SL287" s="54"/>
      <c r="SM287" s="54"/>
      <c r="SN287" s="54"/>
      <c r="SO287" s="54"/>
      <c r="SP287" s="54"/>
      <c r="SQ287" s="54"/>
      <c r="SR287" s="54"/>
    </row>
    <row r="288" spans="1:512" ht="15" customHeight="1" x14ac:dyDescent="0.7">
      <c r="A288" s="172"/>
      <c r="B288" s="172"/>
      <c r="C288" s="172"/>
      <c r="D288" s="172"/>
      <c r="E288" s="172"/>
      <c r="F288" s="172"/>
      <c r="G288" s="172"/>
      <c r="I288" s="72" t="s">
        <v>344</v>
      </c>
      <c r="J288" s="73" t="s">
        <v>344</v>
      </c>
      <c r="K288" s="190"/>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c r="BS288" s="54"/>
      <c r="BT288" s="54"/>
      <c r="BU288" s="54"/>
      <c r="BV288" s="54"/>
      <c r="BW288" s="54"/>
      <c r="BX288" s="54"/>
      <c r="BY288" s="54"/>
      <c r="BZ288" s="54"/>
      <c r="CA288" s="54"/>
      <c r="CB288" s="54"/>
      <c r="CC288" s="54"/>
      <c r="CD288" s="54"/>
      <c r="CE288" s="54"/>
      <c r="CF288" s="54"/>
      <c r="CG288" s="54"/>
      <c r="CH288" s="54"/>
      <c r="CI288" s="54"/>
      <c r="CJ288" s="54"/>
      <c r="CK288" s="54"/>
      <c r="CL288" s="54"/>
      <c r="CM288" s="54"/>
      <c r="CN288" s="54"/>
      <c r="CO288" s="54"/>
      <c r="CP288" s="54"/>
      <c r="CQ288" s="54"/>
      <c r="CR288" s="54"/>
      <c r="CS288" s="54"/>
      <c r="CT288" s="54"/>
      <c r="CU288" s="54"/>
      <c r="CV288" s="54"/>
      <c r="CW288" s="54"/>
      <c r="CX288" s="54"/>
      <c r="CY288" s="54"/>
      <c r="CZ288" s="54"/>
      <c r="DA288" s="54"/>
      <c r="DB288" s="54"/>
      <c r="DC288" s="54"/>
      <c r="DD288" s="54"/>
      <c r="DE288" s="54"/>
      <c r="DF288" s="54"/>
      <c r="DG288" s="54"/>
      <c r="DH288" s="54"/>
      <c r="DI288" s="54"/>
      <c r="DJ288" s="54"/>
      <c r="DK288" s="54"/>
      <c r="DL288" s="54"/>
      <c r="DM288" s="54"/>
      <c r="DN288" s="54"/>
      <c r="DO288" s="54"/>
      <c r="DP288" s="54"/>
      <c r="DQ288" s="54"/>
      <c r="DR288" s="54"/>
      <c r="DS288" s="54"/>
      <c r="DT288" s="54"/>
      <c r="DU288" s="54"/>
      <c r="DV288" s="54"/>
      <c r="DW288" s="54"/>
      <c r="DX288" s="54"/>
      <c r="DY288" s="54"/>
      <c r="DZ288" s="54"/>
      <c r="EA288" s="54"/>
      <c r="EB288" s="54"/>
      <c r="EC288" s="54"/>
      <c r="ED288" s="54"/>
      <c r="EE288" s="54"/>
      <c r="EF288" s="54"/>
      <c r="EG288" s="54"/>
      <c r="EH288" s="54"/>
      <c r="EI288" s="54"/>
      <c r="EJ288" s="54"/>
      <c r="EK288" s="54"/>
      <c r="EL288" s="54"/>
      <c r="EM288" s="54"/>
      <c r="EN288" s="54"/>
      <c r="EO288" s="54"/>
      <c r="EP288" s="54"/>
      <c r="EQ288" s="54"/>
      <c r="ER288" s="54"/>
      <c r="ES288" s="54"/>
      <c r="ET288" s="54"/>
      <c r="EU288" s="54"/>
      <c r="EV288" s="54"/>
      <c r="EW288" s="54"/>
      <c r="EX288" s="54"/>
      <c r="EY288" s="54"/>
      <c r="EZ288" s="54"/>
      <c r="FA288" s="54"/>
      <c r="FB288" s="54"/>
      <c r="FC288" s="54"/>
      <c r="FD288" s="54"/>
      <c r="FE288" s="54"/>
      <c r="FF288" s="54"/>
      <c r="FG288" s="54"/>
      <c r="FH288" s="54"/>
      <c r="FI288" s="54"/>
      <c r="FJ288" s="54"/>
      <c r="FK288" s="54"/>
      <c r="FL288" s="54"/>
      <c r="FM288" s="54"/>
      <c r="FN288" s="54"/>
      <c r="FO288" s="54"/>
      <c r="FP288" s="54"/>
      <c r="FQ288" s="54"/>
      <c r="FR288" s="54"/>
      <c r="FS288" s="54"/>
      <c r="FT288" s="54"/>
      <c r="FU288" s="54"/>
      <c r="FV288" s="54"/>
      <c r="FW288" s="54"/>
      <c r="FX288" s="54"/>
      <c r="FY288" s="54"/>
      <c r="FZ288" s="54"/>
      <c r="GA288" s="54"/>
      <c r="GB288" s="54"/>
      <c r="GC288" s="54"/>
      <c r="GD288" s="54"/>
      <c r="GE288" s="54"/>
      <c r="GF288" s="54"/>
      <c r="GG288" s="54"/>
      <c r="GH288" s="54"/>
      <c r="GI288" s="54"/>
      <c r="GJ288" s="54"/>
      <c r="GK288" s="54"/>
      <c r="GL288" s="54"/>
      <c r="GM288" s="54"/>
      <c r="GN288" s="54"/>
      <c r="GO288" s="54"/>
      <c r="GP288" s="54"/>
      <c r="GQ288" s="54"/>
      <c r="GR288" s="54"/>
      <c r="GS288" s="54"/>
      <c r="GT288" s="54"/>
      <c r="GU288" s="54"/>
      <c r="GV288" s="54"/>
      <c r="GW288" s="54"/>
      <c r="GX288" s="54"/>
      <c r="GY288" s="54"/>
      <c r="GZ288" s="54"/>
      <c r="HA288" s="54"/>
      <c r="HB288" s="54"/>
      <c r="HC288" s="54"/>
      <c r="HD288" s="54"/>
      <c r="HE288" s="54"/>
      <c r="HF288" s="54"/>
      <c r="HG288" s="54"/>
      <c r="HH288" s="54"/>
      <c r="HI288" s="54"/>
      <c r="HJ288" s="54"/>
      <c r="HK288" s="54"/>
      <c r="HL288" s="54"/>
      <c r="HM288" s="54"/>
      <c r="HN288" s="54"/>
      <c r="HO288" s="54"/>
      <c r="HP288" s="54"/>
      <c r="HQ288" s="54"/>
      <c r="HR288" s="54"/>
      <c r="HS288" s="54"/>
      <c r="HT288" s="54"/>
      <c r="HU288" s="54"/>
      <c r="HV288" s="54"/>
      <c r="HW288" s="54"/>
      <c r="HX288" s="54"/>
      <c r="HY288" s="54"/>
      <c r="HZ288" s="54"/>
      <c r="IA288" s="54"/>
      <c r="IB288" s="54"/>
      <c r="IC288" s="54"/>
      <c r="ID288" s="54"/>
      <c r="IE288" s="54"/>
      <c r="IF288" s="54"/>
      <c r="IG288" s="54"/>
      <c r="IH288" s="54"/>
      <c r="II288" s="54"/>
      <c r="IJ288" s="54"/>
      <c r="IK288" s="54"/>
      <c r="IL288" s="54"/>
      <c r="IM288" s="54"/>
      <c r="IN288" s="54"/>
      <c r="IO288" s="54"/>
      <c r="IP288" s="54"/>
      <c r="IQ288" s="54"/>
      <c r="IR288" s="54"/>
      <c r="IS288" s="54"/>
      <c r="IT288" s="54"/>
      <c r="IU288" s="54"/>
      <c r="IV288" s="54"/>
      <c r="IW288" s="54"/>
      <c r="IX288" s="54"/>
      <c r="IY288" s="54"/>
      <c r="IZ288" s="54"/>
      <c r="JA288" s="54"/>
      <c r="JB288" s="54"/>
      <c r="JC288" s="54"/>
      <c r="JD288" s="54"/>
      <c r="JE288" s="54"/>
      <c r="JF288" s="54"/>
      <c r="JG288" s="54"/>
      <c r="JH288" s="54"/>
      <c r="JI288" s="54"/>
      <c r="JJ288" s="54"/>
      <c r="JK288" s="54"/>
      <c r="JL288" s="54"/>
      <c r="JM288" s="54"/>
      <c r="JN288" s="54"/>
      <c r="JO288" s="54"/>
      <c r="JP288" s="54"/>
      <c r="JQ288" s="54"/>
      <c r="JR288" s="54"/>
      <c r="JS288" s="54"/>
      <c r="JT288" s="54"/>
      <c r="JU288" s="54"/>
      <c r="JV288" s="54"/>
      <c r="JW288" s="54"/>
      <c r="JX288" s="54"/>
      <c r="JY288" s="54"/>
      <c r="JZ288" s="54"/>
      <c r="KA288" s="54"/>
      <c r="KB288" s="54"/>
      <c r="KC288" s="54"/>
      <c r="KD288" s="54"/>
      <c r="KE288" s="54"/>
      <c r="KF288" s="54"/>
      <c r="KG288" s="54"/>
      <c r="KH288" s="54"/>
      <c r="KI288" s="54"/>
      <c r="KJ288" s="54"/>
      <c r="KK288" s="54"/>
      <c r="KL288" s="54"/>
      <c r="KM288" s="54"/>
      <c r="KN288" s="54"/>
      <c r="KO288" s="54"/>
      <c r="KP288" s="54"/>
      <c r="KQ288" s="54"/>
      <c r="KR288" s="54"/>
      <c r="KS288" s="54"/>
      <c r="KT288" s="54"/>
      <c r="KU288" s="54"/>
      <c r="KV288" s="54"/>
      <c r="KW288" s="54"/>
      <c r="KX288" s="54"/>
      <c r="KY288" s="54"/>
      <c r="KZ288" s="54"/>
      <c r="LA288" s="54"/>
      <c r="LB288" s="54"/>
      <c r="LC288" s="54"/>
      <c r="LD288" s="54"/>
      <c r="LE288" s="54"/>
      <c r="LF288" s="54"/>
      <c r="LG288" s="54"/>
      <c r="LH288" s="54"/>
      <c r="LI288" s="54"/>
      <c r="LJ288" s="54"/>
      <c r="LK288" s="54"/>
      <c r="LL288" s="54"/>
      <c r="LM288" s="54"/>
      <c r="LN288" s="54"/>
      <c r="LO288" s="54"/>
      <c r="LP288" s="54"/>
      <c r="LQ288" s="54"/>
      <c r="LR288" s="54"/>
      <c r="LS288" s="54"/>
      <c r="LT288" s="54"/>
      <c r="LU288" s="54"/>
      <c r="LV288" s="54"/>
      <c r="LW288" s="54"/>
      <c r="LX288" s="54"/>
      <c r="LY288" s="54"/>
      <c r="LZ288" s="54"/>
      <c r="MA288" s="54"/>
      <c r="MB288" s="54"/>
      <c r="MC288" s="54"/>
      <c r="MD288" s="54"/>
      <c r="ME288" s="54"/>
      <c r="MF288" s="54"/>
      <c r="MG288" s="54"/>
      <c r="MH288" s="54"/>
      <c r="MI288" s="54"/>
      <c r="MJ288" s="54"/>
      <c r="MK288" s="54"/>
      <c r="ML288" s="54"/>
      <c r="MM288" s="54"/>
      <c r="MN288" s="54"/>
      <c r="MO288" s="54"/>
      <c r="MP288" s="54"/>
      <c r="MQ288" s="54"/>
      <c r="MR288" s="54"/>
      <c r="MS288" s="54"/>
      <c r="MT288" s="54"/>
      <c r="MU288" s="54"/>
      <c r="MV288" s="54"/>
      <c r="MW288" s="54"/>
      <c r="MX288" s="54"/>
      <c r="MY288" s="54"/>
      <c r="MZ288" s="54"/>
      <c r="NA288" s="54"/>
      <c r="NB288" s="54"/>
      <c r="NC288" s="54"/>
      <c r="ND288" s="54"/>
      <c r="NE288" s="54"/>
      <c r="NF288" s="54"/>
      <c r="NG288" s="54"/>
      <c r="NH288" s="54"/>
      <c r="NI288" s="54"/>
      <c r="NJ288" s="54"/>
      <c r="NK288" s="54"/>
      <c r="NL288" s="54"/>
      <c r="NM288" s="54"/>
      <c r="NN288" s="54"/>
      <c r="NO288" s="54"/>
      <c r="NP288" s="54"/>
      <c r="NQ288" s="54"/>
      <c r="NR288" s="54"/>
      <c r="NS288" s="54"/>
      <c r="NT288" s="54"/>
      <c r="NU288" s="54"/>
      <c r="NV288" s="54"/>
      <c r="NW288" s="54"/>
      <c r="NX288" s="54"/>
      <c r="NY288" s="54"/>
      <c r="NZ288" s="54"/>
      <c r="OA288" s="54"/>
      <c r="OB288" s="54"/>
      <c r="OC288" s="54"/>
      <c r="OD288" s="54"/>
      <c r="OE288" s="54"/>
      <c r="OF288" s="54"/>
      <c r="OG288" s="54"/>
      <c r="OH288" s="54"/>
      <c r="OI288" s="54"/>
      <c r="OJ288" s="54"/>
      <c r="OK288" s="54"/>
      <c r="OL288" s="54"/>
      <c r="OM288" s="54"/>
      <c r="ON288" s="54"/>
      <c r="OO288" s="54"/>
      <c r="OP288" s="54"/>
      <c r="OQ288" s="54"/>
      <c r="OR288" s="54"/>
      <c r="OS288" s="54"/>
      <c r="OT288" s="54"/>
      <c r="OU288" s="54"/>
      <c r="OV288" s="54"/>
      <c r="OW288" s="54"/>
      <c r="OX288" s="54"/>
      <c r="OY288" s="54"/>
      <c r="OZ288" s="54"/>
      <c r="PA288" s="54"/>
      <c r="PB288" s="54"/>
      <c r="PC288" s="54"/>
      <c r="PD288" s="54"/>
      <c r="PE288" s="54"/>
      <c r="PF288" s="54"/>
      <c r="PG288" s="54"/>
      <c r="PH288" s="54"/>
      <c r="PI288" s="54"/>
      <c r="PJ288" s="54"/>
      <c r="PK288" s="54"/>
      <c r="PL288" s="54"/>
      <c r="PM288" s="54"/>
      <c r="PN288" s="54"/>
      <c r="PO288" s="54"/>
      <c r="PP288" s="54"/>
      <c r="PQ288" s="54"/>
      <c r="PR288" s="54"/>
      <c r="PS288" s="54"/>
      <c r="PT288" s="54"/>
      <c r="PU288" s="54"/>
      <c r="PV288" s="54"/>
      <c r="PW288" s="54"/>
      <c r="PX288" s="54"/>
      <c r="PY288" s="54"/>
      <c r="PZ288" s="54"/>
      <c r="QA288" s="54"/>
      <c r="QB288" s="54"/>
      <c r="QC288" s="54"/>
      <c r="QD288" s="54"/>
      <c r="QE288" s="54"/>
      <c r="QF288" s="54"/>
      <c r="QG288" s="54"/>
      <c r="QH288" s="54"/>
      <c r="QI288" s="54"/>
      <c r="QJ288" s="54"/>
      <c r="QK288" s="54"/>
      <c r="QL288" s="54"/>
      <c r="QM288" s="54"/>
      <c r="QN288" s="54"/>
      <c r="QO288" s="54"/>
      <c r="QP288" s="54"/>
      <c r="QQ288" s="54"/>
      <c r="QR288" s="54"/>
      <c r="QS288" s="54"/>
      <c r="QT288" s="54"/>
      <c r="QU288" s="54"/>
      <c r="QV288" s="54"/>
      <c r="QW288" s="54"/>
      <c r="QX288" s="54"/>
      <c r="QY288" s="54"/>
      <c r="QZ288" s="54"/>
      <c r="RA288" s="54"/>
      <c r="RB288" s="54"/>
      <c r="RC288" s="54"/>
      <c r="RD288" s="54"/>
      <c r="RE288" s="54"/>
      <c r="RF288" s="54"/>
      <c r="RG288" s="54"/>
      <c r="RH288" s="54"/>
      <c r="RI288" s="54"/>
      <c r="RJ288" s="54"/>
      <c r="RK288" s="54"/>
      <c r="RL288" s="54"/>
      <c r="RM288" s="54"/>
      <c r="RN288" s="54"/>
      <c r="RO288" s="54"/>
      <c r="RP288" s="54"/>
      <c r="RQ288" s="54"/>
      <c r="RR288" s="54"/>
      <c r="RS288" s="54"/>
      <c r="RT288" s="54"/>
      <c r="RU288" s="54"/>
      <c r="RV288" s="54"/>
      <c r="RW288" s="54"/>
      <c r="RX288" s="54"/>
      <c r="RY288" s="54"/>
      <c r="RZ288" s="54"/>
      <c r="SA288" s="54"/>
      <c r="SB288" s="54"/>
      <c r="SC288" s="54"/>
      <c r="SD288" s="54"/>
      <c r="SE288" s="54"/>
      <c r="SF288" s="54"/>
      <c r="SG288" s="54"/>
      <c r="SH288" s="54"/>
      <c r="SI288" s="54"/>
      <c r="SJ288" s="54"/>
      <c r="SK288" s="54"/>
      <c r="SL288" s="54"/>
      <c r="SM288" s="54"/>
      <c r="SN288" s="54"/>
      <c r="SO288" s="54"/>
      <c r="SP288" s="54"/>
      <c r="SQ288" s="54"/>
      <c r="SR288" s="54"/>
    </row>
    <row r="289" spans="1:512" s="55" customFormat="1" ht="15" customHeight="1" x14ac:dyDescent="0.7">
      <c r="A289" s="173"/>
      <c r="B289" s="173"/>
      <c r="C289" s="173"/>
      <c r="D289" s="173"/>
      <c r="E289" s="173"/>
      <c r="F289" s="173"/>
      <c r="G289" s="173"/>
      <c r="H289" s="74"/>
      <c r="I289" s="75"/>
      <c r="J289" s="76"/>
      <c r="K289" s="191"/>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c r="IX289" s="56"/>
      <c r="IY289" s="56"/>
      <c r="IZ289" s="56"/>
      <c r="JA289" s="56"/>
      <c r="JB289" s="56"/>
      <c r="JC289" s="56"/>
      <c r="JD289" s="56"/>
      <c r="JE289" s="56"/>
      <c r="JF289" s="56"/>
      <c r="JG289" s="56"/>
      <c r="JH289" s="56"/>
      <c r="JI289" s="56"/>
      <c r="JJ289" s="56"/>
      <c r="JK289" s="56"/>
      <c r="JL289" s="56"/>
      <c r="JM289" s="56"/>
      <c r="JN289" s="56"/>
      <c r="JO289" s="56"/>
      <c r="JP289" s="56"/>
      <c r="JQ289" s="56"/>
      <c r="JR289" s="56"/>
      <c r="JS289" s="56"/>
      <c r="JT289" s="56"/>
      <c r="JU289" s="56"/>
      <c r="JV289" s="56"/>
      <c r="JW289" s="56"/>
      <c r="JX289" s="56"/>
      <c r="JY289" s="56"/>
      <c r="JZ289" s="56"/>
      <c r="KA289" s="56"/>
      <c r="KB289" s="56"/>
      <c r="KC289" s="56"/>
      <c r="KD289" s="56"/>
      <c r="KE289" s="56"/>
      <c r="KF289" s="56"/>
      <c r="KG289" s="56"/>
      <c r="KH289" s="56"/>
      <c r="KI289" s="56"/>
      <c r="KJ289" s="56"/>
      <c r="KK289" s="56"/>
      <c r="KL289" s="56"/>
      <c r="KM289" s="56"/>
      <c r="KN289" s="56"/>
      <c r="KO289" s="56"/>
      <c r="KP289" s="56"/>
      <c r="KQ289" s="56"/>
      <c r="KR289" s="56"/>
      <c r="KS289" s="56"/>
      <c r="KT289" s="56"/>
      <c r="KU289" s="56"/>
      <c r="KV289" s="56"/>
      <c r="KW289" s="56"/>
      <c r="KX289" s="56"/>
      <c r="KY289" s="56"/>
      <c r="KZ289" s="56"/>
      <c r="LA289" s="56"/>
      <c r="LB289" s="56"/>
      <c r="LC289" s="56"/>
      <c r="LD289" s="56"/>
      <c r="LE289" s="56"/>
      <c r="LF289" s="56"/>
      <c r="LG289" s="56"/>
      <c r="LH289" s="56"/>
      <c r="LI289" s="56"/>
      <c r="LJ289" s="56"/>
      <c r="LK289" s="56"/>
      <c r="LL289" s="56"/>
      <c r="LM289" s="56"/>
      <c r="LN289" s="56"/>
      <c r="LO289" s="56"/>
      <c r="LP289" s="56"/>
      <c r="LQ289" s="56"/>
      <c r="LR289" s="56"/>
      <c r="LS289" s="56"/>
      <c r="LT289" s="56"/>
      <c r="LU289" s="56"/>
      <c r="LV289" s="56"/>
      <c r="LW289" s="56"/>
      <c r="LX289" s="56"/>
      <c r="LY289" s="56"/>
      <c r="LZ289" s="56"/>
      <c r="MA289" s="56"/>
      <c r="MB289" s="56"/>
      <c r="MC289" s="56"/>
      <c r="MD289" s="56"/>
      <c r="ME289" s="56"/>
      <c r="MF289" s="56"/>
      <c r="MG289" s="56"/>
      <c r="MH289" s="56"/>
      <c r="MI289" s="56"/>
      <c r="MJ289" s="56"/>
      <c r="MK289" s="56"/>
      <c r="ML289" s="56"/>
      <c r="MM289" s="56"/>
      <c r="MN289" s="56"/>
      <c r="MO289" s="56"/>
      <c r="MP289" s="56"/>
      <c r="MQ289" s="56"/>
      <c r="MR289" s="56"/>
      <c r="MS289" s="56"/>
      <c r="MT289" s="56"/>
      <c r="MU289" s="56"/>
      <c r="MV289" s="56"/>
      <c r="MW289" s="56"/>
      <c r="MX289" s="56"/>
      <c r="MY289" s="56"/>
      <c r="MZ289" s="56"/>
      <c r="NA289" s="56"/>
      <c r="NB289" s="56"/>
      <c r="NC289" s="56"/>
      <c r="ND289" s="56"/>
      <c r="NE289" s="56"/>
      <c r="NF289" s="56"/>
      <c r="NG289" s="56"/>
      <c r="NH289" s="56"/>
      <c r="NI289" s="56"/>
      <c r="NJ289" s="56"/>
      <c r="NK289" s="56"/>
      <c r="NL289" s="56"/>
      <c r="NM289" s="56"/>
      <c r="NN289" s="56"/>
      <c r="NO289" s="56"/>
      <c r="NP289" s="56"/>
      <c r="NQ289" s="56"/>
      <c r="NR289" s="56"/>
      <c r="NS289" s="56"/>
      <c r="NT289" s="56"/>
      <c r="NU289" s="56"/>
      <c r="NV289" s="56"/>
      <c r="NW289" s="56"/>
      <c r="NX289" s="56"/>
      <c r="NY289" s="56"/>
      <c r="NZ289" s="56"/>
      <c r="OA289" s="56"/>
      <c r="OB289" s="56"/>
      <c r="OC289" s="56"/>
      <c r="OD289" s="56"/>
      <c r="OE289" s="56"/>
      <c r="OF289" s="56"/>
      <c r="OG289" s="56"/>
      <c r="OH289" s="56"/>
      <c r="OI289" s="56"/>
      <c r="OJ289" s="56"/>
      <c r="OK289" s="56"/>
      <c r="OL289" s="56"/>
      <c r="OM289" s="56"/>
      <c r="ON289" s="56"/>
      <c r="OO289" s="56"/>
      <c r="OP289" s="56"/>
      <c r="OQ289" s="56"/>
      <c r="OR289" s="56"/>
      <c r="OS289" s="56"/>
      <c r="OT289" s="56"/>
      <c r="OU289" s="56"/>
      <c r="OV289" s="56"/>
      <c r="OW289" s="56"/>
      <c r="OX289" s="56"/>
      <c r="OY289" s="56"/>
      <c r="OZ289" s="56"/>
      <c r="PA289" s="56"/>
      <c r="PB289" s="56"/>
      <c r="PC289" s="56"/>
      <c r="PD289" s="56"/>
      <c r="PE289" s="56"/>
      <c r="PF289" s="56"/>
      <c r="PG289" s="56"/>
      <c r="PH289" s="56"/>
      <c r="PI289" s="56"/>
      <c r="PJ289" s="56"/>
      <c r="PK289" s="56"/>
      <c r="PL289" s="56"/>
      <c r="PM289" s="56"/>
      <c r="PN289" s="56"/>
      <c r="PO289" s="56"/>
      <c r="PP289" s="56"/>
      <c r="PQ289" s="56"/>
      <c r="PR289" s="56"/>
      <c r="PS289" s="56"/>
      <c r="PT289" s="56"/>
      <c r="PU289" s="56"/>
      <c r="PV289" s="56"/>
      <c r="PW289" s="56"/>
      <c r="PX289" s="56"/>
      <c r="PY289" s="56"/>
      <c r="PZ289" s="56"/>
      <c r="QA289" s="56"/>
      <c r="QB289" s="56"/>
      <c r="QC289" s="56"/>
      <c r="QD289" s="56"/>
      <c r="QE289" s="56"/>
      <c r="QF289" s="56"/>
      <c r="QG289" s="56"/>
      <c r="QH289" s="56"/>
      <c r="QI289" s="56"/>
      <c r="QJ289" s="56"/>
      <c r="QK289" s="56"/>
      <c r="QL289" s="56"/>
      <c r="QM289" s="56"/>
      <c r="QN289" s="56"/>
      <c r="QO289" s="56"/>
      <c r="QP289" s="56"/>
      <c r="QQ289" s="56"/>
      <c r="QR289" s="56"/>
      <c r="QS289" s="56"/>
      <c r="QT289" s="56"/>
      <c r="QU289" s="56"/>
      <c r="QV289" s="56"/>
      <c r="QW289" s="56"/>
      <c r="QX289" s="56"/>
      <c r="QY289" s="56"/>
      <c r="QZ289" s="56"/>
      <c r="RA289" s="56"/>
      <c r="RB289" s="56"/>
      <c r="RC289" s="56"/>
      <c r="RD289" s="56"/>
      <c r="RE289" s="56"/>
      <c r="RF289" s="56"/>
      <c r="RG289" s="56"/>
      <c r="RH289" s="56"/>
      <c r="RI289" s="56"/>
      <c r="RJ289" s="56"/>
      <c r="RK289" s="56"/>
      <c r="RL289" s="56"/>
      <c r="RM289" s="56"/>
      <c r="RN289" s="56"/>
      <c r="RO289" s="56"/>
      <c r="RP289" s="56"/>
      <c r="RQ289" s="56"/>
      <c r="RR289" s="56"/>
      <c r="RS289" s="56"/>
      <c r="RT289" s="56"/>
      <c r="RU289" s="56"/>
      <c r="RV289" s="56"/>
      <c r="RW289" s="56"/>
      <c r="RX289" s="56"/>
      <c r="RY289" s="56"/>
      <c r="RZ289" s="56"/>
      <c r="SA289" s="56"/>
      <c r="SB289" s="56"/>
      <c r="SC289" s="56"/>
      <c r="SD289" s="56"/>
      <c r="SE289" s="56"/>
      <c r="SF289" s="56"/>
      <c r="SG289" s="56"/>
      <c r="SH289" s="56"/>
      <c r="SI289" s="56"/>
      <c r="SJ289" s="56"/>
      <c r="SK289" s="56"/>
      <c r="SL289" s="56"/>
      <c r="SM289" s="56"/>
      <c r="SN289" s="56"/>
      <c r="SO289" s="56"/>
      <c r="SP289" s="56"/>
      <c r="SQ289" s="56"/>
      <c r="SR289" s="56"/>
    </row>
    <row r="290" spans="1:512" ht="15" customHeight="1" x14ac:dyDescent="0.7">
      <c r="A290" s="171" t="s">
        <v>344</v>
      </c>
      <c r="B290" s="171" t="s">
        <v>344</v>
      </c>
      <c r="C290" s="171" t="s">
        <v>344</v>
      </c>
      <c r="D290" s="171"/>
      <c r="E290" s="171" t="s">
        <v>344</v>
      </c>
      <c r="F290" s="171"/>
      <c r="G290" s="188" t="s">
        <v>344</v>
      </c>
      <c r="H290" s="71" t="s">
        <v>344</v>
      </c>
      <c r="I290" s="72" t="s">
        <v>344</v>
      </c>
      <c r="J290" s="73" t="s">
        <v>344</v>
      </c>
      <c r="K290" s="189" t="s">
        <v>344</v>
      </c>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c r="BS290" s="54"/>
      <c r="BT290" s="54"/>
      <c r="BU290" s="54"/>
      <c r="BV290" s="54"/>
      <c r="BW290" s="54"/>
      <c r="BX290" s="54"/>
      <c r="BY290" s="54"/>
      <c r="BZ290" s="54"/>
      <c r="CA290" s="54"/>
      <c r="CB290" s="54"/>
      <c r="CC290" s="54"/>
      <c r="CD290" s="54"/>
      <c r="CE290" s="54"/>
      <c r="CF290" s="54"/>
      <c r="CG290" s="54"/>
      <c r="CH290" s="54"/>
      <c r="CI290" s="54"/>
      <c r="CJ290" s="54"/>
      <c r="CK290" s="54"/>
      <c r="CL290" s="54"/>
      <c r="CM290" s="54"/>
      <c r="CN290" s="54"/>
      <c r="CO290" s="54"/>
      <c r="CP290" s="54"/>
      <c r="CQ290" s="54"/>
      <c r="CR290" s="54"/>
      <c r="CS290" s="54"/>
      <c r="CT290" s="54"/>
      <c r="CU290" s="54"/>
      <c r="CV290" s="54"/>
      <c r="CW290" s="54"/>
      <c r="CX290" s="54"/>
      <c r="CY290" s="54"/>
      <c r="CZ290" s="54"/>
      <c r="DA290" s="54"/>
      <c r="DB290" s="54"/>
      <c r="DC290" s="54"/>
      <c r="DD290" s="54"/>
      <c r="DE290" s="54"/>
      <c r="DF290" s="54"/>
      <c r="DG290" s="54"/>
      <c r="DH290" s="54"/>
      <c r="DI290" s="54"/>
      <c r="DJ290" s="54"/>
      <c r="DK290" s="54"/>
      <c r="DL290" s="54"/>
      <c r="DM290" s="54"/>
      <c r="DN290" s="54"/>
      <c r="DO290" s="54"/>
      <c r="DP290" s="54"/>
      <c r="DQ290" s="54"/>
      <c r="DR290" s="54"/>
      <c r="DS290" s="54"/>
      <c r="DT290" s="54"/>
      <c r="DU290" s="54"/>
      <c r="DV290" s="54"/>
      <c r="DW290" s="54"/>
      <c r="DX290" s="54"/>
      <c r="DY290" s="54"/>
      <c r="DZ290" s="54"/>
      <c r="EA290" s="54"/>
      <c r="EB290" s="54"/>
      <c r="EC290" s="54"/>
      <c r="ED290" s="54"/>
      <c r="EE290" s="54"/>
      <c r="EF290" s="54"/>
      <c r="EG290" s="54"/>
      <c r="EH290" s="54"/>
      <c r="EI290" s="54"/>
      <c r="EJ290" s="54"/>
      <c r="EK290" s="54"/>
      <c r="EL290" s="54"/>
      <c r="EM290" s="54"/>
      <c r="EN290" s="54"/>
      <c r="EO290" s="54"/>
      <c r="EP290" s="54"/>
      <c r="EQ290" s="54"/>
      <c r="ER290" s="54"/>
      <c r="ES290" s="54"/>
      <c r="ET290" s="54"/>
      <c r="EU290" s="54"/>
      <c r="EV290" s="54"/>
      <c r="EW290" s="54"/>
      <c r="EX290" s="54"/>
      <c r="EY290" s="54"/>
      <c r="EZ290" s="54"/>
      <c r="FA290" s="54"/>
      <c r="FB290" s="54"/>
      <c r="FC290" s="54"/>
      <c r="FD290" s="54"/>
      <c r="FE290" s="54"/>
      <c r="FF290" s="54"/>
      <c r="FG290" s="54"/>
      <c r="FH290" s="54"/>
      <c r="FI290" s="54"/>
      <c r="FJ290" s="54"/>
      <c r="FK290" s="54"/>
      <c r="FL290" s="54"/>
      <c r="FM290" s="54"/>
      <c r="FN290" s="54"/>
      <c r="FO290" s="54"/>
      <c r="FP290" s="54"/>
      <c r="FQ290" s="54"/>
      <c r="FR290" s="54"/>
      <c r="FS290" s="54"/>
      <c r="FT290" s="54"/>
      <c r="FU290" s="54"/>
      <c r="FV290" s="54"/>
      <c r="FW290" s="54"/>
      <c r="FX290" s="54"/>
      <c r="FY290" s="54"/>
      <c r="FZ290" s="54"/>
      <c r="GA290" s="54"/>
      <c r="GB290" s="54"/>
      <c r="GC290" s="54"/>
      <c r="GD290" s="54"/>
      <c r="GE290" s="54"/>
      <c r="GF290" s="54"/>
      <c r="GG290" s="54"/>
      <c r="GH290" s="54"/>
      <c r="GI290" s="54"/>
      <c r="GJ290" s="54"/>
      <c r="GK290" s="54"/>
      <c r="GL290" s="54"/>
      <c r="GM290" s="54"/>
      <c r="GN290" s="54"/>
      <c r="GO290" s="54"/>
      <c r="GP290" s="54"/>
      <c r="GQ290" s="54"/>
      <c r="GR290" s="54"/>
      <c r="GS290" s="54"/>
      <c r="GT290" s="54"/>
      <c r="GU290" s="54"/>
      <c r="GV290" s="54"/>
      <c r="GW290" s="54"/>
      <c r="GX290" s="54"/>
      <c r="GY290" s="54"/>
      <c r="GZ290" s="54"/>
      <c r="HA290" s="54"/>
      <c r="HB290" s="54"/>
      <c r="HC290" s="54"/>
      <c r="HD290" s="54"/>
      <c r="HE290" s="54"/>
      <c r="HF290" s="54"/>
      <c r="HG290" s="54"/>
      <c r="HH290" s="54"/>
      <c r="HI290" s="54"/>
      <c r="HJ290" s="54"/>
      <c r="HK290" s="54"/>
      <c r="HL290" s="54"/>
      <c r="HM290" s="54"/>
      <c r="HN290" s="54"/>
      <c r="HO290" s="54"/>
      <c r="HP290" s="54"/>
      <c r="HQ290" s="54"/>
      <c r="HR290" s="54"/>
      <c r="HS290" s="54"/>
      <c r="HT290" s="54"/>
      <c r="HU290" s="54"/>
      <c r="HV290" s="54"/>
      <c r="HW290" s="54"/>
      <c r="HX290" s="54"/>
      <c r="HY290" s="54"/>
      <c r="HZ290" s="54"/>
      <c r="IA290" s="54"/>
      <c r="IB290" s="54"/>
      <c r="IC290" s="54"/>
      <c r="ID290" s="54"/>
      <c r="IE290" s="54"/>
      <c r="IF290" s="54"/>
      <c r="IG290" s="54"/>
      <c r="IH290" s="54"/>
      <c r="II290" s="54"/>
      <c r="IJ290" s="54"/>
      <c r="IK290" s="54"/>
      <c r="IL290" s="54"/>
      <c r="IM290" s="54"/>
      <c r="IN290" s="54"/>
      <c r="IO290" s="54"/>
      <c r="IP290" s="54"/>
      <c r="IQ290" s="54"/>
      <c r="IR290" s="54"/>
      <c r="IS290" s="54"/>
      <c r="IT290" s="54"/>
      <c r="IU290" s="54"/>
      <c r="IV290" s="54"/>
      <c r="IW290" s="54"/>
      <c r="IX290" s="54"/>
      <c r="IY290" s="54"/>
      <c r="IZ290" s="54"/>
      <c r="JA290" s="54"/>
      <c r="JB290" s="54"/>
      <c r="JC290" s="54"/>
      <c r="JD290" s="54"/>
      <c r="JE290" s="54"/>
      <c r="JF290" s="54"/>
      <c r="JG290" s="54"/>
      <c r="JH290" s="54"/>
      <c r="JI290" s="54"/>
      <c r="JJ290" s="54"/>
      <c r="JK290" s="54"/>
      <c r="JL290" s="54"/>
      <c r="JM290" s="54"/>
      <c r="JN290" s="54"/>
      <c r="JO290" s="54"/>
      <c r="JP290" s="54"/>
      <c r="JQ290" s="54"/>
      <c r="JR290" s="54"/>
      <c r="JS290" s="54"/>
      <c r="JT290" s="54"/>
      <c r="JU290" s="54"/>
      <c r="JV290" s="54"/>
      <c r="JW290" s="54"/>
      <c r="JX290" s="54"/>
      <c r="JY290" s="54"/>
      <c r="JZ290" s="54"/>
      <c r="KA290" s="54"/>
      <c r="KB290" s="54"/>
      <c r="KC290" s="54"/>
      <c r="KD290" s="54"/>
      <c r="KE290" s="54"/>
      <c r="KF290" s="54"/>
      <c r="KG290" s="54"/>
      <c r="KH290" s="54"/>
      <c r="KI290" s="54"/>
      <c r="KJ290" s="54"/>
      <c r="KK290" s="54"/>
      <c r="KL290" s="54"/>
      <c r="KM290" s="54"/>
      <c r="KN290" s="54"/>
      <c r="KO290" s="54"/>
      <c r="KP290" s="54"/>
      <c r="KQ290" s="54"/>
      <c r="KR290" s="54"/>
      <c r="KS290" s="54"/>
      <c r="KT290" s="54"/>
      <c r="KU290" s="54"/>
      <c r="KV290" s="54"/>
      <c r="KW290" s="54"/>
      <c r="KX290" s="54"/>
      <c r="KY290" s="54"/>
      <c r="KZ290" s="54"/>
      <c r="LA290" s="54"/>
      <c r="LB290" s="54"/>
      <c r="LC290" s="54"/>
      <c r="LD290" s="54"/>
      <c r="LE290" s="54"/>
      <c r="LF290" s="54"/>
      <c r="LG290" s="54"/>
      <c r="LH290" s="54"/>
      <c r="LI290" s="54"/>
      <c r="LJ290" s="54"/>
      <c r="LK290" s="54"/>
      <c r="LL290" s="54"/>
      <c r="LM290" s="54"/>
      <c r="LN290" s="54"/>
      <c r="LO290" s="54"/>
      <c r="LP290" s="54"/>
      <c r="LQ290" s="54"/>
      <c r="LR290" s="54"/>
      <c r="LS290" s="54"/>
      <c r="LT290" s="54"/>
      <c r="LU290" s="54"/>
      <c r="LV290" s="54"/>
      <c r="LW290" s="54"/>
      <c r="LX290" s="54"/>
      <c r="LY290" s="54"/>
      <c r="LZ290" s="54"/>
      <c r="MA290" s="54"/>
      <c r="MB290" s="54"/>
      <c r="MC290" s="54"/>
      <c r="MD290" s="54"/>
      <c r="ME290" s="54"/>
      <c r="MF290" s="54"/>
      <c r="MG290" s="54"/>
      <c r="MH290" s="54"/>
      <c r="MI290" s="54"/>
      <c r="MJ290" s="54"/>
      <c r="MK290" s="54"/>
      <c r="ML290" s="54"/>
      <c r="MM290" s="54"/>
      <c r="MN290" s="54"/>
      <c r="MO290" s="54"/>
      <c r="MP290" s="54"/>
      <c r="MQ290" s="54"/>
      <c r="MR290" s="54"/>
      <c r="MS290" s="54"/>
      <c r="MT290" s="54"/>
      <c r="MU290" s="54"/>
      <c r="MV290" s="54"/>
      <c r="MW290" s="54"/>
      <c r="MX290" s="54"/>
      <c r="MY290" s="54"/>
      <c r="MZ290" s="54"/>
      <c r="NA290" s="54"/>
      <c r="NB290" s="54"/>
      <c r="NC290" s="54"/>
      <c r="ND290" s="54"/>
      <c r="NE290" s="54"/>
      <c r="NF290" s="54"/>
      <c r="NG290" s="54"/>
      <c r="NH290" s="54"/>
      <c r="NI290" s="54"/>
      <c r="NJ290" s="54"/>
      <c r="NK290" s="54"/>
      <c r="NL290" s="54"/>
      <c r="NM290" s="54"/>
      <c r="NN290" s="54"/>
      <c r="NO290" s="54"/>
      <c r="NP290" s="54"/>
      <c r="NQ290" s="54"/>
      <c r="NR290" s="54"/>
      <c r="NS290" s="54"/>
      <c r="NT290" s="54"/>
      <c r="NU290" s="54"/>
      <c r="NV290" s="54"/>
      <c r="NW290" s="54"/>
      <c r="NX290" s="54"/>
      <c r="NY290" s="54"/>
      <c r="NZ290" s="54"/>
      <c r="OA290" s="54"/>
      <c r="OB290" s="54"/>
      <c r="OC290" s="54"/>
      <c r="OD290" s="54"/>
      <c r="OE290" s="54"/>
      <c r="OF290" s="54"/>
      <c r="OG290" s="54"/>
      <c r="OH290" s="54"/>
      <c r="OI290" s="54"/>
      <c r="OJ290" s="54"/>
      <c r="OK290" s="54"/>
      <c r="OL290" s="54"/>
      <c r="OM290" s="54"/>
      <c r="ON290" s="54"/>
      <c r="OO290" s="54"/>
      <c r="OP290" s="54"/>
      <c r="OQ290" s="54"/>
      <c r="OR290" s="54"/>
      <c r="OS290" s="54"/>
      <c r="OT290" s="54"/>
      <c r="OU290" s="54"/>
      <c r="OV290" s="54"/>
      <c r="OW290" s="54"/>
      <c r="OX290" s="54"/>
      <c r="OY290" s="54"/>
      <c r="OZ290" s="54"/>
      <c r="PA290" s="54"/>
      <c r="PB290" s="54"/>
      <c r="PC290" s="54"/>
      <c r="PD290" s="54"/>
      <c r="PE290" s="54"/>
      <c r="PF290" s="54"/>
      <c r="PG290" s="54"/>
      <c r="PH290" s="54"/>
      <c r="PI290" s="54"/>
      <c r="PJ290" s="54"/>
      <c r="PK290" s="54"/>
      <c r="PL290" s="54"/>
      <c r="PM290" s="54"/>
      <c r="PN290" s="54"/>
      <c r="PO290" s="54"/>
      <c r="PP290" s="54"/>
      <c r="PQ290" s="54"/>
      <c r="PR290" s="54"/>
      <c r="PS290" s="54"/>
      <c r="PT290" s="54"/>
      <c r="PU290" s="54"/>
      <c r="PV290" s="54"/>
      <c r="PW290" s="54"/>
      <c r="PX290" s="54"/>
      <c r="PY290" s="54"/>
      <c r="PZ290" s="54"/>
      <c r="QA290" s="54"/>
      <c r="QB290" s="54"/>
      <c r="QC290" s="54"/>
      <c r="QD290" s="54"/>
      <c r="QE290" s="54"/>
      <c r="QF290" s="54"/>
      <c r="QG290" s="54"/>
      <c r="QH290" s="54"/>
      <c r="QI290" s="54"/>
      <c r="QJ290" s="54"/>
      <c r="QK290" s="54"/>
      <c r="QL290" s="54"/>
      <c r="QM290" s="54"/>
      <c r="QN290" s="54"/>
      <c r="QO290" s="54"/>
      <c r="QP290" s="54"/>
      <c r="QQ290" s="54"/>
      <c r="QR290" s="54"/>
      <c r="QS290" s="54"/>
      <c r="QT290" s="54"/>
      <c r="QU290" s="54"/>
      <c r="QV290" s="54"/>
      <c r="QW290" s="54"/>
      <c r="QX290" s="54"/>
      <c r="QY290" s="54"/>
      <c r="QZ290" s="54"/>
      <c r="RA290" s="54"/>
      <c r="RB290" s="54"/>
      <c r="RC290" s="54"/>
      <c r="RD290" s="54"/>
      <c r="RE290" s="54"/>
      <c r="RF290" s="54"/>
      <c r="RG290" s="54"/>
      <c r="RH290" s="54"/>
      <c r="RI290" s="54"/>
      <c r="RJ290" s="54"/>
      <c r="RK290" s="54"/>
      <c r="RL290" s="54"/>
      <c r="RM290" s="54"/>
      <c r="RN290" s="54"/>
      <c r="RO290" s="54"/>
      <c r="RP290" s="54"/>
      <c r="RQ290" s="54"/>
      <c r="RR290" s="54"/>
      <c r="RS290" s="54"/>
      <c r="RT290" s="54"/>
      <c r="RU290" s="54"/>
      <c r="RV290" s="54"/>
      <c r="RW290" s="54"/>
      <c r="RX290" s="54"/>
      <c r="RY290" s="54"/>
      <c r="RZ290" s="54"/>
      <c r="SA290" s="54"/>
      <c r="SB290" s="54"/>
      <c r="SC290" s="54"/>
      <c r="SD290" s="54"/>
      <c r="SE290" s="54"/>
      <c r="SF290" s="54"/>
      <c r="SG290" s="54"/>
      <c r="SH290" s="54"/>
      <c r="SI290" s="54"/>
      <c r="SJ290" s="54"/>
      <c r="SK290" s="54"/>
      <c r="SL290" s="54"/>
      <c r="SM290" s="54"/>
      <c r="SN290" s="54"/>
      <c r="SO290" s="54"/>
      <c r="SP290" s="54"/>
      <c r="SQ290" s="54"/>
      <c r="SR290" s="54"/>
    </row>
    <row r="291" spans="1:512" ht="15" customHeight="1" x14ac:dyDescent="0.7">
      <c r="A291" s="172"/>
      <c r="B291" s="172"/>
      <c r="C291" s="172"/>
      <c r="D291" s="172"/>
      <c r="E291" s="172"/>
      <c r="F291" s="172"/>
      <c r="G291" s="172"/>
      <c r="I291" s="72" t="s">
        <v>344</v>
      </c>
      <c r="J291" s="73" t="s">
        <v>344</v>
      </c>
      <c r="K291" s="190"/>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c r="BU291" s="54"/>
      <c r="BV291" s="54"/>
      <c r="BW291" s="54"/>
      <c r="BX291" s="54"/>
      <c r="BY291" s="54"/>
      <c r="BZ291" s="54"/>
      <c r="CA291" s="54"/>
      <c r="CB291" s="54"/>
      <c r="CC291" s="54"/>
      <c r="CD291" s="54"/>
      <c r="CE291" s="54"/>
      <c r="CF291" s="54"/>
      <c r="CG291" s="54"/>
      <c r="CH291" s="54"/>
      <c r="CI291" s="54"/>
      <c r="CJ291" s="54"/>
      <c r="CK291" s="54"/>
      <c r="CL291" s="54"/>
      <c r="CM291" s="54"/>
      <c r="CN291" s="54"/>
      <c r="CO291" s="54"/>
      <c r="CP291" s="54"/>
      <c r="CQ291" s="54"/>
      <c r="CR291" s="54"/>
      <c r="CS291" s="54"/>
      <c r="CT291" s="54"/>
      <c r="CU291" s="54"/>
      <c r="CV291" s="54"/>
      <c r="CW291" s="54"/>
      <c r="CX291" s="54"/>
      <c r="CY291" s="54"/>
      <c r="CZ291" s="54"/>
      <c r="DA291" s="54"/>
      <c r="DB291" s="54"/>
      <c r="DC291" s="54"/>
      <c r="DD291" s="54"/>
      <c r="DE291" s="54"/>
      <c r="DF291" s="54"/>
      <c r="DG291" s="54"/>
      <c r="DH291" s="54"/>
      <c r="DI291" s="54"/>
      <c r="DJ291" s="54"/>
      <c r="DK291" s="54"/>
      <c r="DL291" s="54"/>
      <c r="DM291" s="54"/>
      <c r="DN291" s="54"/>
      <c r="DO291" s="54"/>
      <c r="DP291" s="54"/>
      <c r="DQ291" s="54"/>
      <c r="DR291" s="54"/>
      <c r="DS291" s="54"/>
      <c r="DT291" s="54"/>
      <c r="DU291" s="54"/>
      <c r="DV291" s="54"/>
      <c r="DW291" s="54"/>
      <c r="DX291" s="54"/>
      <c r="DY291" s="54"/>
      <c r="DZ291" s="54"/>
      <c r="EA291" s="54"/>
      <c r="EB291" s="54"/>
      <c r="EC291" s="54"/>
      <c r="ED291" s="54"/>
      <c r="EE291" s="54"/>
      <c r="EF291" s="54"/>
      <c r="EG291" s="54"/>
      <c r="EH291" s="54"/>
      <c r="EI291" s="54"/>
      <c r="EJ291" s="54"/>
      <c r="EK291" s="54"/>
      <c r="EL291" s="54"/>
      <c r="EM291" s="54"/>
      <c r="EN291" s="54"/>
      <c r="EO291" s="54"/>
      <c r="EP291" s="54"/>
      <c r="EQ291" s="54"/>
      <c r="ER291" s="54"/>
      <c r="ES291" s="54"/>
      <c r="ET291" s="54"/>
      <c r="EU291" s="54"/>
      <c r="EV291" s="54"/>
      <c r="EW291" s="54"/>
      <c r="EX291" s="54"/>
      <c r="EY291" s="54"/>
      <c r="EZ291" s="54"/>
      <c r="FA291" s="54"/>
      <c r="FB291" s="54"/>
      <c r="FC291" s="54"/>
      <c r="FD291" s="54"/>
      <c r="FE291" s="54"/>
      <c r="FF291" s="54"/>
      <c r="FG291" s="54"/>
      <c r="FH291" s="54"/>
      <c r="FI291" s="54"/>
      <c r="FJ291" s="54"/>
      <c r="FK291" s="54"/>
      <c r="FL291" s="54"/>
      <c r="FM291" s="54"/>
      <c r="FN291" s="54"/>
      <c r="FO291" s="54"/>
      <c r="FP291" s="54"/>
      <c r="FQ291" s="54"/>
      <c r="FR291" s="54"/>
      <c r="FS291" s="54"/>
      <c r="FT291" s="54"/>
      <c r="FU291" s="54"/>
      <c r="FV291" s="54"/>
      <c r="FW291" s="54"/>
      <c r="FX291" s="54"/>
      <c r="FY291" s="54"/>
      <c r="FZ291" s="54"/>
      <c r="GA291" s="54"/>
      <c r="GB291" s="54"/>
      <c r="GC291" s="54"/>
      <c r="GD291" s="54"/>
      <c r="GE291" s="54"/>
      <c r="GF291" s="54"/>
      <c r="GG291" s="54"/>
      <c r="GH291" s="54"/>
      <c r="GI291" s="54"/>
      <c r="GJ291" s="54"/>
      <c r="GK291" s="54"/>
      <c r="GL291" s="54"/>
      <c r="GM291" s="54"/>
      <c r="GN291" s="54"/>
      <c r="GO291" s="54"/>
      <c r="GP291" s="54"/>
      <c r="GQ291" s="54"/>
      <c r="GR291" s="54"/>
      <c r="GS291" s="54"/>
      <c r="GT291" s="54"/>
      <c r="GU291" s="54"/>
      <c r="GV291" s="54"/>
      <c r="GW291" s="54"/>
      <c r="GX291" s="54"/>
      <c r="GY291" s="54"/>
      <c r="GZ291" s="54"/>
      <c r="HA291" s="54"/>
      <c r="HB291" s="54"/>
      <c r="HC291" s="54"/>
      <c r="HD291" s="54"/>
      <c r="HE291" s="54"/>
      <c r="HF291" s="54"/>
      <c r="HG291" s="54"/>
      <c r="HH291" s="54"/>
      <c r="HI291" s="54"/>
      <c r="HJ291" s="54"/>
      <c r="HK291" s="54"/>
      <c r="HL291" s="54"/>
      <c r="HM291" s="54"/>
      <c r="HN291" s="54"/>
      <c r="HO291" s="54"/>
      <c r="HP291" s="54"/>
      <c r="HQ291" s="54"/>
      <c r="HR291" s="54"/>
      <c r="HS291" s="54"/>
      <c r="HT291" s="54"/>
      <c r="HU291" s="54"/>
      <c r="HV291" s="54"/>
      <c r="HW291" s="54"/>
      <c r="HX291" s="54"/>
      <c r="HY291" s="54"/>
      <c r="HZ291" s="54"/>
      <c r="IA291" s="54"/>
      <c r="IB291" s="54"/>
      <c r="IC291" s="54"/>
      <c r="ID291" s="54"/>
      <c r="IE291" s="54"/>
      <c r="IF291" s="54"/>
      <c r="IG291" s="54"/>
      <c r="IH291" s="54"/>
      <c r="II291" s="54"/>
      <c r="IJ291" s="54"/>
      <c r="IK291" s="54"/>
      <c r="IL291" s="54"/>
      <c r="IM291" s="54"/>
      <c r="IN291" s="54"/>
      <c r="IO291" s="54"/>
      <c r="IP291" s="54"/>
      <c r="IQ291" s="54"/>
      <c r="IR291" s="54"/>
      <c r="IS291" s="54"/>
      <c r="IT291" s="54"/>
      <c r="IU291" s="54"/>
      <c r="IV291" s="54"/>
      <c r="IW291" s="54"/>
      <c r="IX291" s="54"/>
      <c r="IY291" s="54"/>
      <c r="IZ291" s="54"/>
      <c r="JA291" s="54"/>
      <c r="JB291" s="54"/>
      <c r="JC291" s="54"/>
      <c r="JD291" s="54"/>
      <c r="JE291" s="54"/>
      <c r="JF291" s="54"/>
      <c r="JG291" s="54"/>
      <c r="JH291" s="54"/>
      <c r="JI291" s="54"/>
      <c r="JJ291" s="54"/>
      <c r="JK291" s="54"/>
      <c r="JL291" s="54"/>
      <c r="JM291" s="54"/>
      <c r="JN291" s="54"/>
      <c r="JO291" s="54"/>
      <c r="JP291" s="54"/>
      <c r="JQ291" s="54"/>
      <c r="JR291" s="54"/>
      <c r="JS291" s="54"/>
      <c r="JT291" s="54"/>
      <c r="JU291" s="54"/>
      <c r="JV291" s="54"/>
      <c r="JW291" s="54"/>
      <c r="JX291" s="54"/>
      <c r="JY291" s="54"/>
      <c r="JZ291" s="54"/>
      <c r="KA291" s="54"/>
      <c r="KB291" s="54"/>
      <c r="KC291" s="54"/>
      <c r="KD291" s="54"/>
      <c r="KE291" s="54"/>
      <c r="KF291" s="54"/>
      <c r="KG291" s="54"/>
      <c r="KH291" s="54"/>
      <c r="KI291" s="54"/>
      <c r="KJ291" s="54"/>
      <c r="KK291" s="54"/>
      <c r="KL291" s="54"/>
      <c r="KM291" s="54"/>
      <c r="KN291" s="54"/>
      <c r="KO291" s="54"/>
      <c r="KP291" s="54"/>
      <c r="KQ291" s="54"/>
      <c r="KR291" s="54"/>
      <c r="KS291" s="54"/>
      <c r="KT291" s="54"/>
      <c r="KU291" s="54"/>
      <c r="KV291" s="54"/>
      <c r="KW291" s="54"/>
      <c r="KX291" s="54"/>
      <c r="KY291" s="54"/>
      <c r="KZ291" s="54"/>
      <c r="LA291" s="54"/>
      <c r="LB291" s="54"/>
      <c r="LC291" s="54"/>
      <c r="LD291" s="54"/>
      <c r="LE291" s="54"/>
      <c r="LF291" s="54"/>
      <c r="LG291" s="54"/>
      <c r="LH291" s="54"/>
      <c r="LI291" s="54"/>
      <c r="LJ291" s="54"/>
      <c r="LK291" s="54"/>
      <c r="LL291" s="54"/>
      <c r="LM291" s="54"/>
      <c r="LN291" s="54"/>
      <c r="LO291" s="54"/>
      <c r="LP291" s="54"/>
      <c r="LQ291" s="54"/>
      <c r="LR291" s="54"/>
      <c r="LS291" s="54"/>
      <c r="LT291" s="54"/>
      <c r="LU291" s="54"/>
      <c r="LV291" s="54"/>
      <c r="LW291" s="54"/>
      <c r="LX291" s="54"/>
      <c r="LY291" s="54"/>
      <c r="LZ291" s="54"/>
      <c r="MA291" s="54"/>
      <c r="MB291" s="54"/>
      <c r="MC291" s="54"/>
      <c r="MD291" s="54"/>
      <c r="ME291" s="54"/>
      <c r="MF291" s="54"/>
      <c r="MG291" s="54"/>
      <c r="MH291" s="54"/>
      <c r="MI291" s="54"/>
      <c r="MJ291" s="54"/>
      <c r="MK291" s="54"/>
      <c r="ML291" s="54"/>
      <c r="MM291" s="54"/>
      <c r="MN291" s="54"/>
      <c r="MO291" s="54"/>
      <c r="MP291" s="54"/>
      <c r="MQ291" s="54"/>
      <c r="MR291" s="54"/>
      <c r="MS291" s="54"/>
      <c r="MT291" s="54"/>
      <c r="MU291" s="54"/>
      <c r="MV291" s="54"/>
      <c r="MW291" s="54"/>
      <c r="MX291" s="54"/>
      <c r="MY291" s="54"/>
      <c r="MZ291" s="54"/>
      <c r="NA291" s="54"/>
      <c r="NB291" s="54"/>
      <c r="NC291" s="54"/>
      <c r="ND291" s="54"/>
      <c r="NE291" s="54"/>
      <c r="NF291" s="54"/>
      <c r="NG291" s="54"/>
      <c r="NH291" s="54"/>
      <c r="NI291" s="54"/>
      <c r="NJ291" s="54"/>
      <c r="NK291" s="54"/>
      <c r="NL291" s="54"/>
      <c r="NM291" s="54"/>
      <c r="NN291" s="54"/>
      <c r="NO291" s="54"/>
      <c r="NP291" s="54"/>
      <c r="NQ291" s="54"/>
      <c r="NR291" s="54"/>
      <c r="NS291" s="54"/>
      <c r="NT291" s="54"/>
      <c r="NU291" s="54"/>
      <c r="NV291" s="54"/>
      <c r="NW291" s="54"/>
      <c r="NX291" s="54"/>
      <c r="NY291" s="54"/>
      <c r="NZ291" s="54"/>
      <c r="OA291" s="54"/>
      <c r="OB291" s="54"/>
      <c r="OC291" s="54"/>
      <c r="OD291" s="54"/>
      <c r="OE291" s="54"/>
      <c r="OF291" s="54"/>
      <c r="OG291" s="54"/>
      <c r="OH291" s="54"/>
      <c r="OI291" s="54"/>
      <c r="OJ291" s="54"/>
      <c r="OK291" s="54"/>
      <c r="OL291" s="54"/>
      <c r="OM291" s="54"/>
      <c r="ON291" s="54"/>
      <c r="OO291" s="54"/>
      <c r="OP291" s="54"/>
      <c r="OQ291" s="54"/>
      <c r="OR291" s="54"/>
      <c r="OS291" s="54"/>
      <c r="OT291" s="54"/>
      <c r="OU291" s="54"/>
      <c r="OV291" s="54"/>
      <c r="OW291" s="54"/>
      <c r="OX291" s="54"/>
      <c r="OY291" s="54"/>
      <c r="OZ291" s="54"/>
      <c r="PA291" s="54"/>
      <c r="PB291" s="54"/>
      <c r="PC291" s="54"/>
      <c r="PD291" s="54"/>
      <c r="PE291" s="54"/>
      <c r="PF291" s="54"/>
      <c r="PG291" s="54"/>
      <c r="PH291" s="54"/>
      <c r="PI291" s="54"/>
      <c r="PJ291" s="54"/>
      <c r="PK291" s="54"/>
      <c r="PL291" s="54"/>
      <c r="PM291" s="54"/>
      <c r="PN291" s="54"/>
      <c r="PO291" s="54"/>
      <c r="PP291" s="54"/>
      <c r="PQ291" s="54"/>
      <c r="PR291" s="54"/>
      <c r="PS291" s="54"/>
      <c r="PT291" s="54"/>
      <c r="PU291" s="54"/>
      <c r="PV291" s="54"/>
      <c r="PW291" s="54"/>
      <c r="PX291" s="54"/>
      <c r="PY291" s="54"/>
      <c r="PZ291" s="54"/>
      <c r="QA291" s="54"/>
      <c r="QB291" s="54"/>
      <c r="QC291" s="54"/>
      <c r="QD291" s="54"/>
      <c r="QE291" s="54"/>
      <c r="QF291" s="54"/>
      <c r="QG291" s="54"/>
      <c r="QH291" s="54"/>
      <c r="QI291" s="54"/>
      <c r="QJ291" s="54"/>
      <c r="QK291" s="54"/>
      <c r="QL291" s="54"/>
      <c r="QM291" s="54"/>
      <c r="QN291" s="54"/>
      <c r="QO291" s="54"/>
      <c r="QP291" s="54"/>
      <c r="QQ291" s="54"/>
      <c r="QR291" s="54"/>
      <c r="QS291" s="54"/>
      <c r="QT291" s="54"/>
      <c r="QU291" s="54"/>
      <c r="QV291" s="54"/>
      <c r="QW291" s="54"/>
      <c r="QX291" s="54"/>
      <c r="QY291" s="54"/>
      <c r="QZ291" s="54"/>
      <c r="RA291" s="54"/>
      <c r="RB291" s="54"/>
      <c r="RC291" s="54"/>
      <c r="RD291" s="54"/>
      <c r="RE291" s="54"/>
      <c r="RF291" s="54"/>
      <c r="RG291" s="54"/>
      <c r="RH291" s="54"/>
      <c r="RI291" s="54"/>
      <c r="RJ291" s="54"/>
      <c r="RK291" s="54"/>
      <c r="RL291" s="54"/>
      <c r="RM291" s="54"/>
      <c r="RN291" s="54"/>
      <c r="RO291" s="54"/>
      <c r="RP291" s="54"/>
      <c r="RQ291" s="54"/>
      <c r="RR291" s="54"/>
      <c r="RS291" s="54"/>
      <c r="RT291" s="54"/>
      <c r="RU291" s="54"/>
      <c r="RV291" s="54"/>
      <c r="RW291" s="54"/>
      <c r="RX291" s="54"/>
      <c r="RY291" s="54"/>
      <c r="RZ291" s="54"/>
      <c r="SA291" s="54"/>
      <c r="SB291" s="54"/>
      <c r="SC291" s="54"/>
      <c r="SD291" s="54"/>
      <c r="SE291" s="54"/>
      <c r="SF291" s="54"/>
      <c r="SG291" s="54"/>
      <c r="SH291" s="54"/>
      <c r="SI291" s="54"/>
      <c r="SJ291" s="54"/>
      <c r="SK291" s="54"/>
      <c r="SL291" s="54"/>
      <c r="SM291" s="54"/>
      <c r="SN291" s="54"/>
      <c r="SO291" s="54"/>
      <c r="SP291" s="54"/>
      <c r="SQ291" s="54"/>
      <c r="SR291" s="54"/>
    </row>
    <row r="292" spans="1:512" s="55" customFormat="1" ht="15" customHeight="1" x14ac:dyDescent="0.7">
      <c r="A292" s="173"/>
      <c r="B292" s="173"/>
      <c r="C292" s="173"/>
      <c r="D292" s="173"/>
      <c r="E292" s="173"/>
      <c r="F292" s="173"/>
      <c r="G292" s="173"/>
      <c r="H292" s="74"/>
      <c r="I292" s="75"/>
      <c r="J292" s="76"/>
      <c r="K292" s="191"/>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c r="IX292" s="56"/>
      <c r="IY292" s="56"/>
      <c r="IZ292" s="56"/>
      <c r="JA292" s="56"/>
      <c r="JB292" s="56"/>
      <c r="JC292" s="56"/>
      <c r="JD292" s="56"/>
      <c r="JE292" s="56"/>
      <c r="JF292" s="56"/>
      <c r="JG292" s="56"/>
      <c r="JH292" s="56"/>
      <c r="JI292" s="56"/>
      <c r="JJ292" s="56"/>
      <c r="JK292" s="56"/>
      <c r="JL292" s="56"/>
      <c r="JM292" s="56"/>
      <c r="JN292" s="56"/>
      <c r="JO292" s="56"/>
      <c r="JP292" s="56"/>
      <c r="JQ292" s="56"/>
      <c r="JR292" s="56"/>
      <c r="JS292" s="56"/>
      <c r="JT292" s="56"/>
      <c r="JU292" s="56"/>
      <c r="JV292" s="56"/>
      <c r="JW292" s="56"/>
      <c r="JX292" s="56"/>
      <c r="JY292" s="56"/>
      <c r="JZ292" s="56"/>
      <c r="KA292" s="56"/>
      <c r="KB292" s="56"/>
      <c r="KC292" s="56"/>
      <c r="KD292" s="56"/>
      <c r="KE292" s="56"/>
      <c r="KF292" s="56"/>
      <c r="KG292" s="56"/>
      <c r="KH292" s="56"/>
      <c r="KI292" s="56"/>
      <c r="KJ292" s="56"/>
      <c r="KK292" s="56"/>
      <c r="KL292" s="56"/>
      <c r="KM292" s="56"/>
      <c r="KN292" s="56"/>
      <c r="KO292" s="56"/>
      <c r="KP292" s="56"/>
      <c r="KQ292" s="56"/>
      <c r="KR292" s="56"/>
      <c r="KS292" s="56"/>
      <c r="KT292" s="56"/>
      <c r="KU292" s="56"/>
      <c r="KV292" s="56"/>
      <c r="KW292" s="56"/>
      <c r="KX292" s="56"/>
      <c r="KY292" s="56"/>
      <c r="KZ292" s="56"/>
      <c r="LA292" s="56"/>
      <c r="LB292" s="56"/>
      <c r="LC292" s="56"/>
      <c r="LD292" s="56"/>
      <c r="LE292" s="56"/>
      <c r="LF292" s="56"/>
      <c r="LG292" s="56"/>
      <c r="LH292" s="56"/>
      <c r="LI292" s="56"/>
      <c r="LJ292" s="56"/>
      <c r="LK292" s="56"/>
      <c r="LL292" s="56"/>
      <c r="LM292" s="56"/>
      <c r="LN292" s="56"/>
      <c r="LO292" s="56"/>
      <c r="LP292" s="56"/>
      <c r="LQ292" s="56"/>
      <c r="LR292" s="56"/>
      <c r="LS292" s="56"/>
      <c r="LT292" s="56"/>
      <c r="LU292" s="56"/>
      <c r="LV292" s="56"/>
      <c r="LW292" s="56"/>
      <c r="LX292" s="56"/>
      <c r="LY292" s="56"/>
      <c r="LZ292" s="56"/>
      <c r="MA292" s="56"/>
      <c r="MB292" s="56"/>
      <c r="MC292" s="56"/>
      <c r="MD292" s="56"/>
      <c r="ME292" s="56"/>
      <c r="MF292" s="56"/>
      <c r="MG292" s="56"/>
      <c r="MH292" s="56"/>
      <c r="MI292" s="56"/>
      <c r="MJ292" s="56"/>
      <c r="MK292" s="56"/>
      <c r="ML292" s="56"/>
      <c r="MM292" s="56"/>
      <c r="MN292" s="56"/>
      <c r="MO292" s="56"/>
      <c r="MP292" s="56"/>
      <c r="MQ292" s="56"/>
      <c r="MR292" s="56"/>
      <c r="MS292" s="56"/>
      <c r="MT292" s="56"/>
      <c r="MU292" s="56"/>
      <c r="MV292" s="56"/>
      <c r="MW292" s="56"/>
      <c r="MX292" s="56"/>
      <c r="MY292" s="56"/>
      <c r="MZ292" s="56"/>
      <c r="NA292" s="56"/>
      <c r="NB292" s="56"/>
      <c r="NC292" s="56"/>
      <c r="ND292" s="56"/>
      <c r="NE292" s="56"/>
      <c r="NF292" s="56"/>
      <c r="NG292" s="56"/>
      <c r="NH292" s="56"/>
      <c r="NI292" s="56"/>
      <c r="NJ292" s="56"/>
      <c r="NK292" s="56"/>
      <c r="NL292" s="56"/>
      <c r="NM292" s="56"/>
      <c r="NN292" s="56"/>
      <c r="NO292" s="56"/>
      <c r="NP292" s="56"/>
      <c r="NQ292" s="56"/>
      <c r="NR292" s="56"/>
      <c r="NS292" s="56"/>
      <c r="NT292" s="56"/>
      <c r="NU292" s="56"/>
      <c r="NV292" s="56"/>
      <c r="NW292" s="56"/>
      <c r="NX292" s="56"/>
      <c r="NY292" s="56"/>
      <c r="NZ292" s="56"/>
      <c r="OA292" s="56"/>
      <c r="OB292" s="56"/>
      <c r="OC292" s="56"/>
      <c r="OD292" s="56"/>
      <c r="OE292" s="56"/>
      <c r="OF292" s="56"/>
      <c r="OG292" s="56"/>
      <c r="OH292" s="56"/>
      <c r="OI292" s="56"/>
      <c r="OJ292" s="56"/>
      <c r="OK292" s="56"/>
      <c r="OL292" s="56"/>
      <c r="OM292" s="56"/>
      <c r="ON292" s="56"/>
      <c r="OO292" s="56"/>
      <c r="OP292" s="56"/>
      <c r="OQ292" s="56"/>
      <c r="OR292" s="56"/>
      <c r="OS292" s="56"/>
      <c r="OT292" s="56"/>
      <c r="OU292" s="56"/>
      <c r="OV292" s="56"/>
      <c r="OW292" s="56"/>
      <c r="OX292" s="56"/>
      <c r="OY292" s="56"/>
      <c r="OZ292" s="56"/>
      <c r="PA292" s="56"/>
      <c r="PB292" s="56"/>
      <c r="PC292" s="56"/>
      <c r="PD292" s="56"/>
      <c r="PE292" s="56"/>
      <c r="PF292" s="56"/>
      <c r="PG292" s="56"/>
      <c r="PH292" s="56"/>
      <c r="PI292" s="56"/>
      <c r="PJ292" s="56"/>
      <c r="PK292" s="56"/>
      <c r="PL292" s="56"/>
      <c r="PM292" s="56"/>
      <c r="PN292" s="56"/>
      <c r="PO292" s="56"/>
      <c r="PP292" s="56"/>
      <c r="PQ292" s="56"/>
      <c r="PR292" s="56"/>
      <c r="PS292" s="56"/>
      <c r="PT292" s="56"/>
      <c r="PU292" s="56"/>
      <c r="PV292" s="56"/>
      <c r="PW292" s="56"/>
      <c r="PX292" s="56"/>
      <c r="PY292" s="56"/>
      <c r="PZ292" s="56"/>
      <c r="QA292" s="56"/>
      <c r="QB292" s="56"/>
      <c r="QC292" s="56"/>
      <c r="QD292" s="56"/>
      <c r="QE292" s="56"/>
      <c r="QF292" s="56"/>
      <c r="QG292" s="56"/>
      <c r="QH292" s="56"/>
      <c r="QI292" s="56"/>
      <c r="QJ292" s="56"/>
      <c r="QK292" s="56"/>
      <c r="QL292" s="56"/>
      <c r="QM292" s="56"/>
      <c r="QN292" s="56"/>
      <c r="QO292" s="56"/>
      <c r="QP292" s="56"/>
      <c r="QQ292" s="56"/>
      <c r="QR292" s="56"/>
      <c r="QS292" s="56"/>
      <c r="QT292" s="56"/>
      <c r="QU292" s="56"/>
      <c r="QV292" s="56"/>
      <c r="QW292" s="56"/>
      <c r="QX292" s="56"/>
      <c r="QY292" s="56"/>
      <c r="QZ292" s="56"/>
      <c r="RA292" s="56"/>
      <c r="RB292" s="56"/>
      <c r="RC292" s="56"/>
      <c r="RD292" s="56"/>
      <c r="RE292" s="56"/>
      <c r="RF292" s="56"/>
      <c r="RG292" s="56"/>
      <c r="RH292" s="56"/>
      <c r="RI292" s="56"/>
      <c r="RJ292" s="56"/>
      <c r="RK292" s="56"/>
      <c r="RL292" s="56"/>
      <c r="RM292" s="56"/>
      <c r="RN292" s="56"/>
      <c r="RO292" s="56"/>
      <c r="RP292" s="56"/>
      <c r="RQ292" s="56"/>
      <c r="RR292" s="56"/>
      <c r="RS292" s="56"/>
      <c r="RT292" s="56"/>
      <c r="RU292" s="56"/>
      <c r="RV292" s="56"/>
      <c r="RW292" s="56"/>
      <c r="RX292" s="56"/>
      <c r="RY292" s="56"/>
      <c r="RZ292" s="56"/>
      <c r="SA292" s="56"/>
      <c r="SB292" s="56"/>
      <c r="SC292" s="56"/>
      <c r="SD292" s="56"/>
      <c r="SE292" s="56"/>
      <c r="SF292" s="56"/>
      <c r="SG292" s="56"/>
      <c r="SH292" s="56"/>
      <c r="SI292" s="56"/>
      <c r="SJ292" s="56"/>
      <c r="SK292" s="56"/>
      <c r="SL292" s="56"/>
      <c r="SM292" s="56"/>
      <c r="SN292" s="56"/>
      <c r="SO292" s="56"/>
      <c r="SP292" s="56"/>
      <c r="SQ292" s="56"/>
      <c r="SR292" s="56"/>
    </row>
    <row r="293" spans="1:512" ht="15" customHeight="1" x14ac:dyDescent="0.7">
      <c r="A293" s="171" t="s">
        <v>344</v>
      </c>
      <c r="B293" s="171" t="s">
        <v>344</v>
      </c>
      <c r="C293" s="171" t="s">
        <v>344</v>
      </c>
      <c r="D293" s="171"/>
      <c r="E293" s="171" t="s">
        <v>344</v>
      </c>
      <c r="F293" s="171"/>
      <c r="G293" s="188" t="s">
        <v>344</v>
      </c>
      <c r="H293" s="71" t="s">
        <v>344</v>
      </c>
      <c r="I293" s="72" t="s">
        <v>344</v>
      </c>
      <c r="J293" s="73" t="s">
        <v>344</v>
      </c>
      <c r="K293" s="189" t="s">
        <v>344</v>
      </c>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c r="BU293" s="54"/>
      <c r="BV293" s="54"/>
      <c r="BW293" s="54"/>
      <c r="BX293" s="54"/>
      <c r="BY293" s="54"/>
      <c r="BZ293" s="54"/>
      <c r="CA293" s="54"/>
      <c r="CB293" s="54"/>
      <c r="CC293" s="54"/>
      <c r="CD293" s="54"/>
      <c r="CE293" s="54"/>
      <c r="CF293" s="54"/>
      <c r="CG293" s="54"/>
      <c r="CH293" s="54"/>
      <c r="CI293" s="54"/>
      <c r="CJ293" s="54"/>
      <c r="CK293" s="54"/>
      <c r="CL293" s="54"/>
      <c r="CM293" s="54"/>
      <c r="CN293" s="54"/>
      <c r="CO293" s="54"/>
      <c r="CP293" s="54"/>
      <c r="CQ293" s="54"/>
      <c r="CR293" s="54"/>
      <c r="CS293" s="54"/>
      <c r="CT293" s="54"/>
      <c r="CU293" s="54"/>
      <c r="CV293" s="54"/>
      <c r="CW293" s="54"/>
      <c r="CX293" s="54"/>
      <c r="CY293" s="54"/>
      <c r="CZ293" s="54"/>
      <c r="DA293" s="54"/>
      <c r="DB293" s="54"/>
      <c r="DC293" s="54"/>
      <c r="DD293" s="54"/>
      <c r="DE293" s="54"/>
      <c r="DF293" s="54"/>
      <c r="DG293" s="54"/>
      <c r="DH293" s="54"/>
      <c r="DI293" s="54"/>
      <c r="DJ293" s="54"/>
      <c r="DK293" s="54"/>
      <c r="DL293" s="54"/>
      <c r="DM293" s="54"/>
      <c r="DN293" s="54"/>
      <c r="DO293" s="54"/>
      <c r="DP293" s="54"/>
      <c r="DQ293" s="54"/>
      <c r="DR293" s="54"/>
      <c r="DS293" s="54"/>
      <c r="DT293" s="54"/>
      <c r="DU293" s="54"/>
      <c r="DV293" s="54"/>
      <c r="DW293" s="54"/>
      <c r="DX293" s="54"/>
      <c r="DY293" s="54"/>
      <c r="DZ293" s="54"/>
      <c r="EA293" s="54"/>
      <c r="EB293" s="54"/>
      <c r="EC293" s="54"/>
      <c r="ED293" s="54"/>
      <c r="EE293" s="54"/>
      <c r="EF293" s="54"/>
      <c r="EG293" s="54"/>
      <c r="EH293" s="54"/>
      <c r="EI293" s="54"/>
      <c r="EJ293" s="54"/>
      <c r="EK293" s="54"/>
      <c r="EL293" s="54"/>
      <c r="EM293" s="54"/>
      <c r="EN293" s="54"/>
      <c r="EO293" s="54"/>
      <c r="EP293" s="54"/>
      <c r="EQ293" s="54"/>
      <c r="ER293" s="54"/>
      <c r="ES293" s="54"/>
      <c r="ET293" s="54"/>
      <c r="EU293" s="54"/>
      <c r="EV293" s="54"/>
      <c r="EW293" s="54"/>
      <c r="EX293" s="54"/>
      <c r="EY293" s="54"/>
      <c r="EZ293" s="54"/>
      <c r="FA293" s="54"/>
      <c r="FB293" s="54"/>
      <c r="FC293" s="54"/>
      <c r="FD293" s="54"/>
      <c r="FE293" s="54"/>
      <c r="FF293" s="54"/>
      <c r="FG293" s="54"/>
      <c r="FH293" s="54"/>
      <c r="FI293" s="54"/>
      <c r="FJ293" s="54"/>
      <c r="FK293" s="54"/>
      <c r="FL293" s="54"/>
      <c r="FM293" s="54"/>
      <c r="FN293" s="54"/>
      <c r="FO293" s="54"/>
      <c r="FP293" s="54"/>
      <c r="FQ293" s="54"/>
      <c r="FR293" s="54"/>
      <c r="FS293" s="54"/>
      <c r="FT293" s="54"/>
      <c r="FU293" s="54"/>
      <c r="FV293" s="54"/>
      <c r="FW293" s="54"/>
      <c r="FX293" s="54"/>
      <c r="FY293" s="54"/>
      <c r="FZ293" s="54"/>
      <c r="GA293" s="54"/>
      <c r="GB293" s="54"/>
      <c r="GC293" s="54"/>
      <c r="GD293" s="54"/>
      <c r="GE293" s="54"/>
      <c r="GF293" s="54"/>
      <c r="GG293" s="54"/>
      <c r="GH293" s="54"/>
      <c r="GI293" s="54"/>
      <c r="GJ293" s="54"/>
      <c r="GK293" s="54"/>
      <c r="GL293" s="54"/>
      <c r="GM293" s="54"/>
      <c r="GN293" s="54"/>
      <c r="GO293" s="54"/>
      <c r="GP293" s="54"/>
      <c r="GQ293" s="54"/>
      <c r="GR293" s="54"/>
      <c r="GS293" s="54"/>
      <c r="GT293" s="54"/>
      <c r="GU293" s="54"/>
      <c r="GV293" s="54"/>
      <c r="GW293" s="54"/>
      <c r="GX293" s="54"/>
      <c r="GY293" s="54"/>
      <c r="GZ293" s="54"/>
      <c r="HA293" s="54"/>
      <c r="HB293" s="54"/>
      <c r="HC293" s="54"/>
      <c r="HD293" s="54"/>
      <c r="HE293" s="54"/>
      <c r="HF293" s="54"/>
      <c r="HG293" s="54"/>
      <c r="HH293" s="54"/>
      <c r="HI293" s="54"/>
      <c r="HJ293" s="54"/>
      <c r="HK293" s="54"/>
      <c r="HL293" s="54"/>
      <c r="HM293" s="54"/>
      <c r="HN293" s="54"/>
      <c r="HO293" s="54"/>
      <c r="HP293" s="54"/>
      <c r="HQ293" s="54"/>
      <c r="HR293" s="54"/>
      <c r="HS293" s="54"/>
      <c r="HT293" s="54"/>
      <c r="HU293" s="54"/>
      <c r="HV293" s="54"/>
      <c r="HW293" s="54"/>
      <c r="HX293" s="54"/>
      <c r="HY293" s="54"/>
      <c r="HZ293" s="54"/>
      <c r="IA293" s="54"/>
      <c r="IB293" s="54"/>
      <c r="IC293" s="54"/>
      <c r="ID293" s="54"/>
      <c r="IE293" s="54"/>
      <c r="IF293" s="54"/>
      <c r="IG293" s="54"/>
      <c r="IH293" s="54"/>
      <c r="II293" s="54"/>
      <c r="IJ293" s="54"/>
      <c r="IK293" s="54"/>
      <c r="IL293" s="54"/>
      <c r="IM293" s="54"/>
      <c r="IN293" s="54"/>
      <c r="IO293" s="54"/>
      <c r="IP293" s="54"/>
      <c r="IQ293" s="54"/>
      <c r="IR293" s="54"/>
      <c r="IS293" s="54"/>
      <c r="IT293" s="54"/>
      <c r="IU293" s="54"/>
      <c r="IV293" s="54"/>
      <c r="IW293" s="54"/>
      <c r="IX293" s="54"/>
      <c r="IY293" s="54"/>
      <c r="IZ293" s="54"/>
      <c r="JA293" s="54"/>
      <c r="JB293" s="54"/>
      <c r="JC293" s="54"/>
      <c r="JD293" s="54"/>
      <c r="JE293" s="54"/>
      <c r="JF293" s="54"/>
      <c r="JG293" s="54"/>
      <c r="JH293" s="54"/>
      <c r="JI293" s="54"/>
      <c r="JJ293" s="54"/>
      <c r="JK293" s="54"/>
      <c r="JL293" s="54"/>
      <c r="JM293" s="54"/>
      <c r="JN293" s="54"/>
      <c r="JO293" s="54"/>
      <c r="JP293" s="54"/>
      <c r="JQ293" s="54"/>
      <c r="JR293" s="54"/>
      <c r="JS293" s="54"/>
      <c r="JT293" s="54"/>
      <c r="JU293" s="54"/>
      <c r="JV293" s="54"/>
      <c r="JW293" s="54"/>
      <c r="JX293" s="54"/>
      <c r="JY293" s="54"/>
      <c r="JZ293" s="54"/>
      <c r="KA293" s="54"/>
      <c r="KB293" s="54"/>
      <c r="KC293" s="54"/>
      <c r="KD293" s="54"/>
      <c r="KE293" s="54"/>
      <c r="KF293" s="54"/>
      <c r="KG293" s="54"/>
      <c r="KH293" s="54"/>
      <c r="KI293" s="54"/>
      <c r="KJ293" s="54"/>
      <c r="KK293" s="54"/>
      <c r="KL293" s="54"/>
      <c r="KM293" s="54"/>
      <c r="KN293" s="54"/>
      <c r="KO293" s="54"/>
      <c r="KP293" s="54"/>
      <c r="KQ293" s="54"/>
      <c r="KR293" s="54"/>
      <c r="KS293" s="54"/>
      <c r="KT293" s="54"/>
      <c r="KU293" s="54"/>
      <c r="KV293" s="54"/>
      <c r="KW293" s="54"/>
      <c r="KX293" s="54"/>
      <c r="KY293" s="54"/>
      <c r="KZ293" s="54"/>
      <c r="LA293" s="54"/>
      <c r="LB293" s="54"/>
      <c r="LC293" s="54"/>
      <c r="LD293" s="54"/>
      <c r="LE293" s="54"/>
      <c r="LF293" s="54"/>
      <c r="LG293" s="54"/>
      <c r="LH293" s="54"/>
      <c r="LI293" s="54"/>
      <c r="LJ293" s="54"/>
      <c r="LK293" s="54"/>
      <c r="LL293" s="54"/>
      <c r="LM293" s="54"/>
      <c r="LN293" s="54"/>
      <c r="LO293" s="54"/>
      <c r="LP293" s="54"/>
      <c r="LQ293" s="54"/>
      <c r="LR293" s="54"/>
      <c r="LS293" s="54"/>
      <c r="LT293" s="54"/>
      <c r="LU293" s="54"/>
      <c r="LV293" s="54"/>
      <c r="LW293" s="54"/>
      <c r="LX293" s="54"/>
      <c r="LY293" s="54"/>
      <c r="LZ293" s="54"/>
      <c r="MA293" s="54"/>
      <c r="MB293" s="54"/>
      <c r="MC293" s="54"/>
      <c r="MD293" s="54"/>
      <c r="ME293" s="54"/>
      <c r="MF293" s="54"/>
      <c r="MG293" s="54"/>
      <c r="MH293" s="54"/>
      <c r="MI293" s="54"/>
      <c r="MJ293" s="54"/>
      <c r="MK293" s="54"/>
      <c r="ML293" s="54"/>
      <c r="MM293" s="54"/>
      <c r="MN293" s="54"/>
      <c r="MO293" s="54"/>
      <c r="MP293" s="54"/>
      <c r="MQ293" s="54"/>
      <c r="MR293" s="54"/>
      <c r="MS293" s="54"/>
      <c r="MT293" s="54"/>
      <c r="MU293" s="54"/>
      <c r="MV293" s="54"/>
      <c r="MW293" s="54"/>
      <c r="MX293" s="54"/>
      <c r="MY293" s="54"/>
      <c r="MZ293" s="54"/>
      <c r="NA293" s="54"/>
      <c r="NB293" s="54"/>
      <c r="NC293" s="54"/>
      <c r="ND293" s="54"/>
      <c r="NE293" s="54"/>
      <c r="NF293" s="54"/>
      <c r="NG293" s="54"/>
      <c r="NH293" s="54"/>
      <c r="NI293" s="54"/>
      <c r="NJ293" s="54"/>
      <c r="NK293" s="54"/>
      <c r="NL293" s="54"/>
      <c r="NM293" s="54"/>
      <c r="NN293" s="54"/>
      <c r="NO293" s="54"/>
      <c r="NP293" s="54"/>
      <c r="NQ293" s="54"/>
      <c r="NR293" s="54"/>
      <c r="NS293" s="54"/>
      <c r="NT293" s="54"/>
      <c r="NU293" s="54"/>
      <c r="NV293" s="54"/>
      <c r="NW293" s="54"/>
      <c r="NX293" s="54"/>
      <c r="NY293" s="54"/>
      <c r="NZ293" s="54"/>
      <c r="OA293" s="54"/>
      <c r="OB293" s="54"/>
      <c r="OC293" s="54"/>
      <c r="OD293" s="54"/>
      <c r="OE293" s="54"/>
      <c r="OF293" s="54"/>
      <c r="OG293" s="54"/>
      <c r="OH293" s="54"/>
      <c r="OI293" s="54"/>
      <c r="OJ293" s="54"/>
      <c r="OK293" s="54"/>
      <c r="OL293" s="54"/>
      <c r="OM293" s="54"/>
      <c r="ON293" s="54"/>
      <c r="OO293" s="54"/>
      <c r="OP293" s="54"/>
      <c r="OQ293" s="54"/>
      <c r="OR293" s="54"/>
      <c r="OS293" s="54"/>
      <c r="OT293" s="54"/>
      <c r="OU293" s="54"/>
      <c r="OV293" s="54"/>
      <c r="OW293" s="54"/>
      <c r="OX293" s="54"/>
      <c r="OY293" s="54"/>
      <c r="OZ293" s="54"/>
      <c r="PA293" s="54"/>
      <c r="PB293" s="54"/>
      <c r="PC293" s="54"/>
      <c r="PD293" s="54"/>
      <c r="PE293" s="54"/>
      <c r="PF293" s="54"/>
      <c r="PG293" s="54"/>
      <c r="PH293" s="54"/>
      <c r="PI293" s="54"/>
      <c r="PJ293" s="54"/>
      <c r="PK293" s="54"/>
      <c r="PL293" s="54"/>
      <c r="PM293" s="54"/>
      <c r="PN293" s="54"/>
      <c r="PO293" s="54"/>
      <c r="PP293" s="54"/>
      <c r="PQ293" s="54"/>
      <c r="PR293" s="54"/>
      <c r="PS293" s="54"/>
      <c r="PT293" s="54"/>
      <c r="PU293" s="54"/>
      <c r="PV293" s="54"/>
      <c r="PW293" s="54"/>
      <c r="PX293" s="54"/>
      <c r="PY293" s="54"/>
      <c r="PZ293" s="54"/>
      <c r="QA293" s="54"/>
      <c r="QB293" s="54"/>
      <c r="QC293" s="54"/>
      <c r="QD293" s="54"/>
      <c r="QE293" s="54"/>
      <c r="QF293" s="54"/>
      <c r="QG293" s="54"/>
      <c r="QH293" s="54"/>
      <c r="QI293" s="54"/>
      <c r="QJ293" s="54"/>
      <c r="QK293" s="54"/>
      <c r="QL293" s="54"/>
      <c r="QM293" s="54"/>
      <c r="QN293" s="54"/>
      <c r="QO293" s="54"/>
      <c r="QP293" s="54"/>
      <c r="QQ293" s="54"/>
      <c r="QR293" s="54"/>
      <c r="QS293" s="54"/>
      <c r="QT293" s="54"/>
      <c r="QU293" s="54"/>
      <c r="QV293" s="54"/>
      <c r="QW293" s="54"/>
      <c r="QX293" s="54"/>
      <c r="QY293" s="54"/>
      <c r="QZ293" s="54"/>
      <c r="RA293" s="54"/>
      <c r="RB293" s="54"/>
      <c r="RC293" s="54"/>
      <c r="RD293" s="54"/>
      <c r="RE293" s="54"/>
      <c r="RF293" s="54"/>
      <c r="RG293" s="54"/>
      <c r="RH293" s="54"/>
      <c r="RI293" s="54"/>
      <c r="RJ293" s="54"/>
      <c r="RK293" s="54"/>
      <c r="RL293" s="54"/>
      <c r="RM293" s="54"/>
      <c r="RN293" s="54"/>
      <c r="RO293" s="54"/>
      <c r="RP293" s="54"/>
      <c r="RQ293" s="54"/>
      <c r="RR293" s="54"/>
      <c r="RS293" s="54"/>
      <c r="RT293" s="54"/>
      <c r="RU293" s="54"/>
      <c r="RV293" s="54"/>
      <c r="RW293" s="54"/>
      <c r="RX293" s="54"/>
      <c r="RY293" s="54"/>
      <c r="RZ293" s="54"/>
      <c r="SA293" s="54"/>
      <c r="SB293" s="54"/>
      <c r="SC293" s="54"/>
      <c r="SD293" s="54"/>
      <c r="SE293" s="54"/>
      <c r="SF293" s="54"/>
      <c r="SG293" s="54"/>
      <c r="SH293" s="54"/>
      <c r="SI293" s="54"/>
      <c r="SJ293" s="54"/>
      <c r="SK293" s="54"/>
      <c r="SL293" s="54"/>
      <c r="SM293" s="54"/>
      <c r="SN293" s="54"/>
      <c r="SO293" s="54"/>
      <c r="SP293" s="54"/>
      <c r="SQ293" s="54"/>
      <c r="SR293" s="54"/>
    </row>
    <row r="294" spans="1:512" ht="15" customHeight="1" x14ac:dyDescent="0.7">
      <c r="A294" s="172"/>
      <c r="B294" s="172"/>
      <c r="C294" s="172"/>
      <c r="D294" s="172"/>
      <c r="E294" s="172"/>
      <c r="F294" s="172"/>
      <c r="G294" s="172"/>
      <c r="I294" s="72" t="s">
        <v>344</v>
      </c>
      <c r="J294" s="73" t="s">
        <v>344</v>
      </c>
      <c r="K294" s="190"/>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c r="BU294" s="54"/>
      <c r="BV294" s="54"/>
      <c r="BW294" s="54"/>
      <c r="BX294" s="54"/>
      <c r="BY294" s="54"/>
      <c r="BZ294" s="54"/>
      <c r="CA294" s="54"/>
      <c r="CB294" s="54"/>
      <c r="CC294" s="54"/>
      <c r="CD294" s="54"/>
      <c r="CE294" s="54"/>
      <c r="CF294" s="54"/>
      <c r="CG294" s="54"/>
      <c r="CH294" s="54"/>
      <c r="CI294" s="54"/>
      <c r="CJ294" s="54"/>
      <c r="CK294" s="54"/>
      <c r="CL294" s="54"/>
      <c r="CM294" s="54"/>
      <c r="CN294" s="54"/>
      <c r="CO294" s="54"/>
      <c r="CP294" s="54"/>
      <c r="CQ294" s="54"/>
      <c r="CR294" s="54"/>
      <c r="CS294" s="54"/>
      <c r="CT294" s="54"/>
      <c r="CU294" s="54"/>
      <c r="CV294" s="54"/>
      <c r="CW294" s="54"/>
      <c r="CX294" s="54"/>
      <c r="CY294" s="54"/>
      <c r="CZ294" s="54"/>
      <c r="DA294" s="54"/>
      <c r="DB294" s="54"/>
      <c r="DC294" s="54"/>
      <c r="DD294" s="54"/>
      <c r="DE294" s="54"/>
      <c r="DF294" s="54"/>
      <c r="DG294" s="54"/>
      <c r="DH294" s="54"/>
      <c r="DI294" s="54"/>
      <c r="DJ294" s="54"/>
      <c r="DK294" s="54"/>
      <c r="DL294" s="54"/>
      <c r="DM294" s="54"/>
      <c r="DN294" s="54"/>
      <c r="DO294" s="54"/>
      <c r="DP294" s="54"/>
      <c r="DQ294" s="54"/>
      <c r="DR294" s="54"/>
      <c r="DS294" s="54"/>
      <c r="DT294" s="54"/>
      <c r="DU294" s="54"/>
      <c r="DV294" s="54"/>
      <c r="DW294" s="54"/>
      <c r="DX294" s="54"/>
      <c r="DY294" s="54"/>
      <c r="DZ294" s="54"/>
      <c r="EA294" s="54"/>
      <c r="EB294" s="54"/>
      <c r="EC294" s="54"/>
      <c r="ED294" s="54"/>
      <c r="EE294" s="54"/>
      <c r="EF294" s="54"/>
      <c r="EG294" s="54"/>
      <c r="EH294" s="54"/>
      <c r="EI294" s="54"/>
      <c r="EJ294" s="54"/>
      <c r="EK294" s="54"/>
      <c r="EL294" s="54"/>
      <c r="EM294" s="54"/>
      <c r="EN294" s="54"/>
      <c r="EO294" s="54"/>
      <c r="EP294" s="54"/>
      <c r="EQ294" s="54"/>
      <c r="ER294" s="54"/>
      <c r="ES294" s="54"/>
      <c r="ET294" s="54"/>
      <c r="EU294" s="54"/>
      <c r="EV294" s="54"/>
      <c r="EW294" s="54"/>
      <c r="EX294" s="54"/>
      <c r="EY294" s="54"/>
      <c r="EZ294" s="54"/>
      <c r="FA294" s="54"/>
      <c r="FB294" s="54"/>
      <c r="FC294" s="54"/>
      <c r="FD294" s="54"/>
      <c r="FE294" s="54"/>
      <c r="FF294" s="54"/>
      <c r="FG294" s="54"/>
      <c r="FH294" s="54"/>
      <c r="FI294" s="54"/>
      <c r="FJ294" s="54"/>
      <c r="FK294" s="54"/>
      <c r="FL294" s="54"/>
      <c r="FM294" s="54"/>
      <c r="FN294" s="54"/>
      <c r="FO294" s="54"/>
      <c r="FP294" s="54"/>
      <c r="FQ294" s="54"/>
      <c r="FR294" s="54"/>
      <c r="FS294" s="54"/>
      <c r="FT294" s="54"/>
      <c r="FU294" s="54"/>
      <c r="FV294" s="54"/>
      <c r="FW294" s="54"/>
      <c r="FX294" s="54"/>
      <c r="FY294" s="54"/>
      <c r="FZ294" s="54"/>
      <c r="GA294" s="54"/>
      <c r="GB294" s="54"/>
      <c r="GC294" s="54"/>
      <c r="GD294" s="54"/>
      <c r="GE294" s="54"/>
      <c r="GF294" s="54"/>
      <c r="GG294" s="54"/>
      <c r="GH294" s="54"/>
      <c r="GI294" s="54"/>
      <c r="GJ294" s="54"/>
      <c r="GK294" s="54"/>
      <c r="GL294" s="54"/>
      <c r="GM294" s="54"/>
      <c r="GN294" s="54"/>
      <c r="GO294" s="54"/>
      <c r="GP294" s="54"/>
      <c r="GQ294" s="54"/>
      <c r="GR294" s="54"/>
      <c r="GS294" s="54"/>
      <c r="GT294" s="54"/>
      <c r="GU294" s="54"/>
      <c r="GV294" s="54"/>
      <c r="GW294" s="54"/>
      <c r="GX294" s="54"/>
      <c r="GY294" s="54"/>
      <c r="GZ294" s="54"/>
      <c r="HA294" s="54"/>
      <c r="HB294" s="54"/>
      <c r="HC294" s="54"/>
      <c r="HD294" s="54"/>
      <c r="HE294" s="54"/>
      <c r="HF294" s="54"/>
      <c r="HG294" s="54"/>
      <c r="HH294" s="54"/>
      <c r="HI294" s="54"/>
      <c r="HJ294" s="54"/>
      <c r="HK294" s="54"/>
      <c r="HL294" s="54"/>
      <c r="HM294" s="54"/>
      <c r="HN294" s="54"/>
      <c r="HO294" s="54"/>
      <c r="HP294" s="54"/>
      <c r="HQ294" s="54"/>
      <c r="HR294" s="54"/>
      <c r="HS294" s="54"/>
      <c r="HT294" s="54"/>
      <c r="HU294" s="54"/>
      <c r="HV294" s="54"/>
      <c r="HW294" s="54"/>
      <c r="HX294" s="54"/>
      <c r="HY294" s="54"/>
      <c r="HZ294" s="54"/>
      <c r="IA294" s="54"/>
      <c r="IB294" s="54"/>
      <c r="IC294" s="54"/>
      <c r="ID294" s="54"/>
      <c r="IE294" s="54"/>
      <c r="IF294" s="54"/>
      <c r="IG294" s="54"/>
      <c r="IH294" s="54"/>
      <c r="II294" s="54"/>
      <c r="IJ294" s="54"/>
      <c r="IK294" s="54"/>
      <c r="IL294" s="54"/>
      <c r="IM294" s="54"/>
      <c r="IN294" s="54"/>
      <c r="IO294" s="54"/>
      <c r="IP294" s="54"/>
      <c r="IQ294" s="54"/>
      <c r="IR294" s="54"/>
      <c r="IS294" s="54"/>
      <c r="IT294" s="54"/>
      <c r="IU294" s="54"/>
      <c r="IV294" s="54"/>
      <c r="IW294" s="54"/>
      <c r="IX294" s="54"/>
      <c r="IY294" s="54"/>
      <c r="IZ294" s="54"/>
      <c r="JA294" s="54"/>
      <c r="JB294" s="54"/>
      <c r="JC294" s="54"/>
      <c r="JD294" s="54"/>
      <c r="JE294" s="54"/>
      <c r="JF294" s="54"/>
      <c r="JG294" s="54"/>
      <c r="JH294" s="54"/>
      <c r="JI294" s="54"/>
      <c r="JJ294" s="54"/>
      <c r="JK294" s="54"/>
      <c r="JL294" s="54"/>
      <c r="JM294" s="54"/>
      <c r="JN294" s="54"/>
      <c r="JO294" s="54"/>
      <c r="JP294" s="54"/>
      <c r="JQ294" s="54"/>
      <c r="JR294" s="54"/>
      <c r="JS294" s="54"/>
      <c r="JT294" s="54"/>
      <c r="JU294" s="54"/>
      <c r="JV294" s="54"/>
      <c r="JW294" s="54"/>
      <c r="JX294" s="54"/>
      <c r="JY294" s="54"/>
      <c r="JZ294" s="54"/>
      <c r="KA294" s="54"/>
      <c r="KB294" s="54"/>
      <c r="KC294" s="54"/>
      <c r="KD294" s="54"/>
      <c r="KE294" s="54"/>
      <c r="KF294" s="54"/>
      <c r="KG294" s="54"/>
      <c r="KH294" s="54"/>
      <c r="KI294" s="54"/>
      <c r="KJ294" s="54"/>
      <c r="KK294" s="54"/>
      <c r="KL294" s="54"/>
      <c r="KM294" s="54"/>
      <c r="KN294" s="54"/>
      <c r="KO294" s="54"/>
      <c r="KP294" s="54"/>
      <c r="KQ294" s="54"/>
      <c r="KR294" s="54"/>
      <c r="KS294" s="54"/>
      <c r="KT294" s="54"/>
      <c r="KU294" s="54"/>
      <c r="KV294" s="54"/>
      <c r="KW294" s="54"/>
      <c r="KX294" s="54"/>
      <c r="KY294" s="54"/>
      <c r="KZ294" s="54"/>
      <c r="LA294" s="54"/>
      <c r="LB294" s="54"/>
      <c r="LC294" s="54"/>
      <c r="LD294" s="54"/>
      <c r="LE294" s="54"/>
      <c r="LF294" s="54"/>
      <c r="LG294" s="54"/>
      <c r="LH294" s="54"/>
      <c r="LI294" s="54"/>
      <c r="LJ294" s="54"/>
      <c r="LK294" s="54"/>
      <c r="LL294" s="54"/>
      <c r="LM294" s="54"/>
      <c r="LN294" s="54"/>
      <c r="LO294" s="54"/>
      <c r="LP294" s="54"/>
      <c r="LQ294" s="54"/>
      <c r="LR294" s="54"/>
      <c r="LS294" s="54"/>
      <c r="LT294" s="54"/>
      <c r="LU294" s="54"/>
      <c r="LV294" s="54"/>
      <c r="LW294" s="54"/>
      <c r="LX294" s="54"/>
      <c r="LY294" s="54"/>
      <c r="LZ294" s="54"/>
      <c r="MA294" s="54"/>
      <c r="MB294" s="54"/>
      <c r="MC294" s="54"/>
      <c r="MD294" s="54"/>
      <c r="ME294" s="54"/>
      <c r="MF294" s="54"/>
      <c r="MG294" s="54"/>
      <c r="MH294" s="54"/>
      <c r="MI294" s="54"/>
      <c r="MJ294" s="54"/>
      <c r="MK294" s="54"/>
      <c r="ML294" s="54"/>
      <c r="MM294" s="54"/>
      <c r="MN294" s="54"/>
      <c r="MO294" s="54"/>
      <c r="MP294" s="54"/>
      <c r="MQ294" s="54"/>
      <c r="MR294" s="54"/>
      <c r="MS294" s="54"/>
      <c r="MT294" s="54"/>
      <c r="MU294" s="54"/>
      <c r="MV294" s="54"/>
      <c r="MW294" s="54"/>
      <c r="MX294" s="54"/>
      <c r="MY294" s="54"/>
      <c r="MZ294" s="54"/>
      <c r="NA294" s="54"/>
      <c r="NB294" s="54"/>
      <c r="NC294" s="54"/>
      <c r="ND294" s="54"/>
      <c r="NE294" s="54"/>
      <c r="NF294" s="54"/>
      <c r="NG294" s="54"/>
      <c r="NH294" s="54"/>
      <c r="NI294" s="54"/>
      <c r="NJ294" s="54"/>
      <c r="NK294" s="54"/>
      <c r="NL294" s="54"/>
      <c r="NM294" s="54"/>
      <c r="NN294" s="54"/>
      <c r="NO294" s="54"/>
      <c r="NP294" s="54"/>
      <c r="NQ294" s="54"/>
      <c r="NR294" s="54"/>
      <c r="NS294" s="54"/>
      <c r="NT294" s="54"/>
      <c r="NU294" s="54"/>
      <c r="NV294" s="54"/>
      <c r="NW294" s="54"/>
      <c r="NX294" s="54"/>
      <c r="NY294" s="54"/>
      <c r="NZ294" s="54"/>
      <c r="OA294" s="54"/>
      <c r="OB294" s="54"/>
      <c r="OC294" s="54"/>
      <c r="OD294" s="54"/>
      <c r="OE294" s="54"/>
      <c r="OF294" s="54"/>
      <c r="OG294" s="54"/>
      <c r="OH294" s="54"/>
      <c r="OI294" s="54"/>
      <c r="OJ294" s="54"/>
      <c r="OK294" s="54"/>
      <c r="OL294" s="54"/>
      <c r="OM294" s="54"/>
      <c r="ON294" s="54"/>
      <c r="OO294" s="54"/>
      <c r="OP294" s="54"/>
      <c r="OQ294" s="54"/>
      <c r="OR294" s="54"/>
      <c r="OS294" s="54"/>
      <c r="OT294" s="54"/>
      <c r="OU294" s="54"/>
      <c r="OV294" s="54"/>
      <c r="OW294" s="54"/>
      <c r="OX294" s="54"/>
      <c r="OY294" s="54"/>
      <c r="OZ294" s="54"/>
      <c r="PA294" s="54"/>
      <c r="PB294" s="54"/>
      <c r="PC294" s="54"/>
      <c r="PD294" s="54"/>
      <c r="PE294" s="54"/>
      <c r="PF294" s="54"/>
      <c r="PG294" s="54"/>
      <c r="PH294" s="54"/>
      <c r="PI294" s="54"/>
      <c r="PJ294" s="54"/>
      <c r="PK294" s="54"/>
      <c r="PL294" s="54"/>
      <c r="PM294" s="54"/>
      <c r="PN294" s="54"/>
      <c r="PO294" s="54"/>
      <c r="PP294" s="54"/>
      <c r="PQ294" s="54"/>
      <c r="PR294" s="54"/>
      <c r="PS294" s="54"/>
      <c r="PT294" s="54"/>
      <c r="PU294" s="54"/>
      <c r="PV294" s="54"/>
      <c r="PW294" s="54"/>
      <c r="PX294" s="54"/>
      <c r="PY294" s="54"/>
      <c r="PZ294" s="54"/>
      <c r="QA294" s="54"/>
      <c r="QB294" s="54"/>
      <c r="QC294" s="54"/>
      <c r="QD294" s="54"/>
      <c r="QE294" s="54"/>
      <c r="QF294" s="54"/>
      <c r="QG294" s="54"/>
      <c r="QH294" s="54"/>
      <c r="QI294" s="54"/>
      <c r="QJ294" s="54"/>
      <c r="QK294" s="54"/>
      <c r="QL294" s="54"/>
      <c r="QM294" s="54"/>
      <c r="QN294" s="54"/>
      <c r="QO294" s="54"/>
      <c r="QP294" s="54"/>
      <c r="QQ294" s="54"/>
      <c r="QR294" s="54"/>
      <c r="QS294" s="54"/>
      <c r="QT294" s="54"/>
      <c r="QU294" s="54"/>
      <c r="QV294" s="54"/>
      <c r="QW294" s="54"/>
      <c r="QX294" s="54"/>
      <c r="QY294" s="54"/>
      <c r="QZ294" s="54"/>
      <c r="RA294" s="54"/>
      <c r="RB294" s="54"/>
      <c r="RC294" s="54"/>
      <c r="RD294" s="54"/>
      <c r="RE294" s="54"/>
      <c r="RF294" s="54"/>
      <c r="RG294" s="54"/>
      <c r="RH294" s="54"/>
      <c r="RI294" s="54"/>
      <c r="RJ294" s="54"/>
      <c r="RK294" s="54"/>
      <c r="RL294" s="54"/>
      <c r="RM294" s="54"/>
      <c r="RN294" s="54"/>
      <c r="RO294" s="54"/>
      <c r="RP294" s="54"/>
      <c r="RQ294" s="54"/>
      <c r="RR294" s="54"/>
      <c r="RS294" s="54"/>
      <c r="RT294" s="54"/>
      <c r="RU294" s="54"/>
      <c r="RV294" s="54"/>
      <c r="RW294" s="54"/>
      <c r="RX294" s="54"/>
      <c r="RY294" s="54"/>
      <c r="RZ294" s="54"/>
      <c r="SA294" s="54"/>
      <c r="SB294" s="54"/>
      <c r="SC294" s="54"/>
      <c r="SD294" s="54"/>
      <c r="SE294" s="54"/>
      <c r="SF294" s="54"/>
      <c r="SG294" s="54"/>
      <c r="SH294" s="54"/>
      <c r="SI294" s="54"/>
      <c r="SJ294" s="54"/>
      <c r="SK294" s="54"/>
      <c r="SL294" s="54"/>
      <c r="SM294" s="54"/>
      <c r="SN294" s="54"/>
      <c r="SO294" s="54"/>
      <c r="SP294" s="54"/>
      <c r="SQ294" s="54"/>
      <c r="SR294" s="54"/>
    </row>
    <row r="295" spans="1:512" s="55" customFormat="1" ht="15" customHeight="1" x14ac:dyDescent="0.7">
      <c r="A295" s="173"/>
      <c r="B295" s="173"/>
      <c r="C295" s="173"/>
      <c r="D295" s="173"/>
      <c r="E295" s="173"/>
      <c r="F295" s="173"/>
      <c r="G295" s="173"/>
      <c r="H295" s="74"/>
      <c r="I295" s="75"/>
      <c r="J295" s="76"/>
      <c r="K295" s="191"/>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c r="IX295" s="56"/>
      <c r="IY295" s="56"/>
      <c r="IZ295" s="56"/>
      <c r="JA295" s="56"/>
      <c r="JB295" s="56"/>
      <c r="JC295" s="56"/>
      <c r="JD295" s="56"/>
      <c r="JE295" s="56"/>
      <c r="JF295" s="56"/>
      <c r="JG295" s="56"/>
      <c r="JH295" s="56"/>
      <c r="JI295" s="56"/>
      <c r="JJ295" s="56"/>
      <c r="JK295" s="56"/>
      <c r="JL295" s="56"/>
      <c r="JM295" s="56"/>
      <c r="JN295" s="56"/>
      <c r="JO295" s="56"/>
      <c r="JP295" s="56"/>
      <c r="JQ295" s="56"/>
      <c r="JR295" s="56"/>
      <c r="JS295" s="56"/>
      <c r="JT295" s="56"/>
      <c r="JU295" s="56"/>
      <c r="JV295" s="56"/>
      <c r="JW295" s="56"/>
      <c r="JX295" s="56"/>
      <c r="JY295" s="56"/>
      <c r="JZ295" s="56"/>
      <c r="KA295" s="56"/>
      <c r="KB295" s="56"/>
      <c r="KC295" s="56"/>
      <c r="KD295" s="56"/>
      <c r="KE295" s="56"/>
      <c r="KF295" s="56"/>
      <c r="KG295" s="56"/>
      <c r="KH295" s="56"/>
      <c r="KI295" s="56"/>
      <c r="KJ295" s="56"/>
      <c r="KK295" s="56"/>
      <c r="KL295" s="56"/>
      <c r="KM295" s="56"/>
      <c r="KN295" s="56"/>
      <c r="KO295" s="56"/>
      <c r="KP295" s="56"/>
      <c r="KQ295" s="56"/>
      <c r="KR295" s="56"/>
      <c r="KS295" s="56"/>
      <c r="KT295" s="56"/>
      <c r="KU295" s="56"/>
      <c r="KV295" s="56"/>
      <c r="KW295" s="56"/>
      <c r="KX295" s="56"/>
      <c r="KY295" s="56"/>
      <c r="KZ295" s="56"/>
      <c r="LA295" s="56"/>
      <c r="LB295" s="56"/>
      <c r="LC295" s="56"/>
      <c r="LD295" s="56"/>
      <c r="LE295" s="56"/>
      <c r="LF295" s="56"/>
      <c r="LG295" s="56"/>
      <c r="LH295" s="56"/>
      <c r="LI295" s="56"/>
      <c r="LJ295" s="56"/>
      <c r="LK295" s="56"/>
      <c r="LL295" s="56"/>
      <c r="LM295" s="56"/>
      <c r="LN295" s="56"/>
      <c r="LO295" s="56"/>
      <c r="LP295" s="56"/>
      <c r="LQ295" s="56"/>
      <c r="LR295" s="56"/>
      <c r="LS295" s="56"/>
      <c r="LT295" s="56"/>
      <c r="LU295" s="56"/>
      <c r="LV295" s="56"/>
      <c r="LW295" s="56"/>
      <c r="LX295" s="56"/>
      <c r="LY295" s="56"/>
      <c r="LZ295" s="56"/>
      <c r="MA295" s="56"/>
      <c r="MB295" s="56"/>
      <c r="MC295" s="56"/>
      <c r="MD295" s="56"/>
      <c r="ME295" s="56"/>
      <c r="MF295" s="56"/>
      <c r="MG295" s="56"/>
      <c r="MH295" s="56"/>
      <c r="MI295" s="56"/>
      <c r="MJ295" s="56"/>
      <c r="MK295" s="56"/>
      <c r="ML295" s="56"/>
      <c r="MM295" s="56"/>
      <c r="MN295" s="56"/>
      <c r="MO295" s="56"/>
      <c r="MP295" s="56"/>
      <c r="MQ295" s="56"/>
      <c r="MR295" s="56"/>
      <c r="MS295" s="56"/>
      <c r="MT295" s="56"/>
      <c r="MU295" s="56"/>
      <c r="MV295" s="56"/>
      <c r="MW295" s="56"/>
      <c r="MX295" s="56"/>
      <c r="MY295" s="56"/>
      <c r="MZ295" s="56"/>
      <c r="NA295" s="56"/>
      <c r="NB295" s="56"/>
      <c r="NC295" s="56"/>
      <c r="ND295" s="56"/>
      <c r="NE295" s="56"/>
      <c r="NF295" s="56"/>
      <c r="NG295" s="56"/>
      <c r="NH295" s="56"/>
      <c r="NI295" s="56"/>
      <c r="NJ295" s="56"/>
      <c r="NK295" s="56"/>
      <c r="NL295" s="56"/>
      <c r="NM295" s="56"/>
      <c r="NN295" s="56"/>
      <c r="NO295" s="56"/>
      <c r="NP295" s="56"/>
      <c r="NQ295" s="56"/>
      <c r="NR295" s="56"/>
      <c r="NS295" s="56"/>
      <c r="NT295" s="56"/>
      <c r="NU295" s="56"/>
      <c r="NV295" s="56"/>
      <c r="NW295" s="56"/>
      <c r="NX295" s="56"/>
      <c r="NY295" s="56"/>
      <c r="NZ295" s="56"/>
      <c r="OA295" s="56"/>
      <c r="OB295" s="56"/>
      <c r="OC295" s="56"/>
      <c r="OD295" s="56"/>
      <c r="OE295" s="56"/>
      <c r="OF295" s="56"/>
      <c r="OG295" s="56"/>
      <c r="OH295" s="56"/>
      <c r="OI295" s="56"/>
      <c r="OJ295" s="56"/>
      <c r="OK295" s="56"/>
      <c r="OL295" s="56"/>
      <c r="OM295" s="56"/>
      <c r="ON295" s="56"/>
      <c r="OO295" s="56"/>
      <c r="OP295" s="56"/>
      <c r="OQ295" s="56"/>
      <c r="OR295" s="56"/>
      <c r="OS295" s="56"/>
      <c r="OT295" s="56"/>
      <c r="OU295" s="56"/>
      <c r="OV295" s="56"/>
      <c r="OW295" s="56"/>
      <c r="OX295" s="56"/>
      <c r="OY295" s="56"/>
      <c r="OZ295" s="56"/>
      <c r="PA295" s="56"/>
      <c r="PB295" s="56"/>
      <c r="PC295" s="56"/>
      <c r="PD295" s="56"/>
      <c r="PE295" s="56"/>
      <c r="PF295" s="56"/>
      <c r="PG295" s="56"/>
      <c r="PH295" s="56"/>
      <c r="PI295" s="56"/>
      <c r="PJ295" s="56"/>
      <c r="PK295" s="56"/>
      <c r="PL295" s="56"/>
      <c r="PM295" s="56"/>
      <c r="PN295" s="56"/>
      <c r="PO295" s="56"/>
      <c r="PP295" s="56"/>
      <c r="PQ295" s="56"/>
      <c r="PR295" s="56"/>
      <c r="PS295" s="56"/>
      <c r="PT295" s="56"/>
      <c r="PU295" s="56"/>
      <c r="PV295" s="56"/>
      <c r="PW295" s="56"/>
      <c r="PX295" s="56"/>
      <c r="PY295" s="56"/>
      <c r="PZ295" s="56"/>
      <c r="QA295" s="56"/>
      <c r="QB295" s="56"/>
      <c r="QC295" s="56"/>
      <c r="QD295" s="56"/>
      <c r="QE295" s="56"/>
      <c r="QF295" s="56"/>
      <c r="QG295" s="56"/>
      <c r="QH295" s="56"/>
      <c r="QI295" s="56"/>
      <c r="QJ295" s="56"/>
      <c r="QK295" s="56"/>
      <c r="QL295" s="56"/>
      <c r="QM295" s="56"/>
      <c r="QN295" s="56"/>
      <c r="QO295" s="56"/>
      <c r="QP295" s="56"/>
      <c r="QQ295" s="56"/>
      <c r="QR295" s="56"/>
      <c r="QS295" s="56"/>
      <c r="QT295" s="56"/>
      <c r="QU295" s="56"/>
      <c r="QV295" s="56"/>
      <c r="QW295" s="56"/>
      <c r="QX295" s="56"/>
      <c r="QY295" s="56"/>
      <c r="QZ295" s="56"/>
      <c r="RA295" s="56"/>
      <c r="RB295" s="56"/>
      <c r="RC295" s="56"/>
      <c r="RD295" s="56"/>
      <c r="RE295" s="56"/>
      <c r="RF295" s="56"/>
      <c r="RG295" s="56"/>
      <c r="RH295" s="56"/>
      <c r="RI295" s="56"/>
      <c r="RJ295" s="56"/>
      <c r="RK295" s="56"/>
      <c r="RL295" s="56"/>
      <c r="RM295" s="56"/>
      <c r="RN295" s="56"/>
      <c r="RO295" s="56"/>
      <c r="RP295" s="56"/>
      <c r="RQ295" s="56"/>
      <c r="RR295" s="56"/>
      <c r="RS295" s="56"/>
      <c r="RT295" s="56"/>
      <c r="RU295" s="56"/>
      <c r="RV295" s="56"/>
      <c r="RW295" s="56"/>
      <c r="RX295" s="56"/>
      <c r="RY295" s="56"/>
      <c r="RZ295" s="56"/>
      <c r="SA295" s="56"/>
      <c r="SB295" s="56"/>
      <c r="SC295" s="56"/>
      <c r="SD295" s="56"/>
      <c r="SE295" s="56"/>
      <c r="SF295" s="56"/>
      <c r="SG295" s="56"/>
      <c r="SH295" s="56"/>
      <c r="SI295" s="56"/>
      <c r="SJ295" s="56"/>
      <c r="SK295" s="56"/>
      <c r="SL295" s="56"/>
      <c r="SM295" s="56"/>
      <c r="SN295" s="56"/>
      <c r="SO295" s="56"/>
      <c r="SP295" s="56"/>
      <c r="SQ295" s="56"/>
      <c r="SR295" s="56"/>
    </row>
    <row r="296" spans="1:512" ht="15" customHeight="1" x14ac:dyDescent="0.7">
      <c r="A296" s="171" t="s">
        <v>344</v>
      </c>
      <c r="B296" s="171" t="s">
        <v>344</v>
      </c>
      <c r="C296" s="171" t="s">
        <v>344</v>
      </c>
      <c r="D296" s="171"/>
      <c r="E296" s="171" t="s">
        <v>344</v>
      </c>
      <c r="F296" s="171"/>
      <c r="G296" s="188" t="s">
        <v>344</v>
      </c>
      <c r="H296" s="71" t="s">
        <v>344</v>
      </c>
      <c r="I296" s="72" t="s">
        <v>344</v>
      </c>
      <c r="J296" s="73" t="s">
        <v>344</v>
      </c>
      <c r="K296" s="189" t="s">
        <v>344</v>
      </c>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c r="BU296" s="54"/>
      <c r="BV296" s="54"/>
      <c r="BW296" s="54"/>
      <c r="BX296" s="54"/>
      <c r="BY296" s="54"/>
      <c r="BZ296" s="54"/>
      <c r="CA296" s="54"/>
      <c r="CB296" s="54"/>
      <c r="CC296" s="54"/>
      <c r="CD296" s="54"/>
      <c r="CE296" s="54"/>
      <c r="CF296" s="54"/>
      <c r="CG296" s="54"/>
      <c r="CH296" s="54"/>
      <c r="CI296" s="54"/>
      <c r="CJ296" s="54"/>
      <c r="CK296" s="54"/>
      <c r="CL296" s="54"/>
      <c r="CM296" s="54"/>
      <c r="CN296" s="54"/>
      <c r="CO296" s="54"/>
      <c r="CP296" s="54"/>
      <c r="CQ296" s="54"/>
      <c r="CR296" s="54"/>
      <c r="CS296" s="54"/>
      <c r="CT296" s="54"/>
      <c r="CU296" s="54"/>
      <c r="CV296" s="54"/>
      <c r="CW296" s="54"/>
      <c r="CX296" s="54"/>
      <c r="CY296" s="54"/>
      <c r="CZ296" s="54"/>
      <c r="DA296" s="54"/>
      <c r="DB296" s="54"/>
      <c r="DC296" s="54"/>
      <c r="DD296" s="54"/>
      <c r="DE296" s="54"/>
      <c r="DF296" s="54"/>
      <c r="DG296" s="54"/>
      <c r="DH296" s="54"/>
      <c r="DI296" s="54"/>
      <c r="DJ296" s="54"/>
      <c r="DK296" s="54"/>
      <c r="DL296" s="54"/>
      <c r="DM296" s="54"/>
      <c r="DN296" s="54"/>
      <c r="DO296" s="54"/>
      <c r="DP296" s="54"/>
      <c r="DQ296" s="54"/>
      <c r="DR296" s="54"/>
      <c r="DS296" s="54"/>
      <c r="DT296" s="54"/>
      <c r="DU296" s="54"/>
      <c r="DV296" s="54"/>
      <c r="DW296" s="54"/>
      <c r="DX296" s="54"/>
      <c r="DY296" s="54"/>
      <c r="DZ296" s="54"/>
      <c r="EA296" s="54"/>
      <c r="EB296" s="54"/>
      <c r="EC296" s="54"/>
      <c r="ED296" s="54"/>
      <c r="EE296" s="54"/>
      <c r="EF296" s="54"/>
      <c r="EG296" s="54"/>
      <c r="EH296" s="54"/>
      <c r="EI296" s="54"/>
      <c r="EJ296" s="54"/>
      <c r="EK296" s="54"/>
      <c r="EL296" s="54"/>
      <c r="EM296" s="54"/>
      <c r="EN296" s="54"/>
      <c r="EO296" s="54"/>
      <c r="EP296" s="54"/>
      <c r="EQ296" s="54"/>
      <c r="ER296" s="54"/>
      <c r="ES296" s="54"/>
      <c r="ET296" s="54"/>
      <c r="EU296" s="54"/>
      <c r="EV296" s="54"/>
      <c r="EW296" s="54"/>
      <c r="EX296" s="54"/>
      <c r="EY296" s="54"/>
      <c r="EZ296" s="54"/>
      <c r="FA296" s="54"/>
      <c r="FB296" s="54"/>
      <c r="FC296" s="54"/>
      <c r="FD296" s="54"/>
      <c r="FE296" s="54"/>
      <c r="FF296" s="54"/>
      <c r="FG296" s="54"/>
      <c r="FH296" s="54"/>
      <c r="FI296" s="54"/>
      <c r="FJ296" s="54"/>
      <c r="FK296" s="54"/>
      <c r="FL296" s="54"/>
      <c r="FM296" s="54"/>
      <c r="FN296" s="54"/>
      <c r="FO296" s="54"/>
      <c r="FP296" s="54"/>
      <c r="FQ296" s="54"/>
      <c r="FR296" s="54"/>
      <c r="FS296" s="54"/>
      <c r="FT296" s="54"/>
      <c r="FU296" s="54"/>
      <c r="FV296" s="54"/>
      <c r="FW296" s="54"/>
      <c r="FX296" s="54"/>
      <c r="FY296" s="54"/>
      <c r="FZ296" s="54"/>
      <c r="GA296" s="54"/>
      <c r="GB296" s="54"/>
      <c r="GC296" s="54"/>
      <c r="GD296" s="54"/>
      <c r="GE296" s="54"/>
      <c r="GF296" s="54"/>
      <c r="GG296" s="54"/>
      <c r="GH296" s="54"/>
      <c r="GI296" s="54"/>
      <c r="GJ296" s="54"/>
      <c r="GK296" s="54"/>
      <c r="GL296" s="54"/>
      <c r="GM296" s="54"/>
      <c r="GN296" s="54"/>
      <c r="GO296" s="54"/>
      <c r="GP296" s="54"/>
      <c r="GQ296" s="54"/>
      <c r="GR296" s="54"/>
      <c r="GS296" s="54"/>
      <c r="GT296" s="54"/>
      <c r="GU296" s="54"/>
      <c r="GV296" s="54"/>
      <c r="GW296" s="54"/>
      <c r="GX296" s="54"/>
      <c r="GY296" s="54"/>
      <c r="GZ296" s="54"/>
      <c r="HA296" s="54"/>
      <c r="HB296" s="54"/>
      <c r="HC296" s="54"/>
      <c r="HD296" s="54"/>
      <c r="HE296" s="54"/>
      <c r="HF296" s="54"/>
      <c r="HG296" s="54"/>
      <c r="HH296" s="54"/>
      <c r="HI296" s="54"/>
      <c r="HJ296" s="54"/>
      <c r="HK296" s="54"/>
      <c r="HL296" s="54"/>
      <c r="HM296" s="54"/>
      <c r="HN296" s="54"/>
      <c r="HO296" s="54"/>
      <c r="HP296" s="54"/>
      <c r="HQ296" s="54"/>
      <c r="HR296" s="54"/>
      <c r="HS296" s="54"/>
      <c r="HT296" s="54"/>
      <c r="HU296" s="54"/>
      <c r="HV296" s="54"/>
      <c r="HW296" s="54"/>
      <c r="HX296" s="54"/>
      <c r="HY296" s="54"/>
      <c r="HZ296" s="54"/>
      <c r="IA296" s="54"/>
      <c r="IB296" s="54"/>
      <c r="IC296" s="54"/>
      <c r="ID296" s="54"/>
      <c r="IE296" s="54"/>
      <c r="IF296" s="54"/>
      <c r="IG296" s="54"/>
      <c r="IH296" s="54"/>
      <c r="II296" s="54"/>
      <c r="IJ296" s="54"/>
      <c r="IK296" s="54"/>
      <c r="IL296" s="54"/>
      <c r="IM296" s="54"/>
      <c r="IN296" s="54"/>
      <c r="IO296" s="54"/>
      <c r="IP296" s="54"/>
      <c r="IQ296" s="54"/>
      <c r="IR296" s="54"/>
      <c r="IS296" s="54"/>
      <c r="IT296" s="54"/>
      <c r="IU296" s="54"/>
      <c r="IV296" s="54"/>
      <c r="IW296" s="54"/>
      <c r="IX296" s="54"/>
      <c r="IY296" s="54"/>
      <c r="IZ296" s="54"/>
      <c r="JA296" s="54"/>
      <c r="JB296" s="54"/>
      <c r="JC296" s="54"/>
      <c r="JD296" s="54"/>
      <c r="JE296" s="54"/>
      <c r="JF296" s="54"/>
      <c r="JG296" s="54"/>
      <c r="JH296" s="54"/>
      <c r="JI296" s="54"/>
      <c r="JJ296" s="54"/>
      <c r="JK296" s="54"/>
      <c r="JL296" s="54"/>
      <c r="JM296" s="54"/>
      <c r="JN296" s="54"/>
      <c r="JO296" s="54"/>
      <c r="JP296" s="54"/>
      <c r="JQ296" s="54"/>
      <c r="JR296" s="54"/>
      <c r="JS296" s="54"/>
      <c r="JT296" s="54"/>
      <c r="JU296" s="54"/>
      <c r="JV296" s="54"/>
      <c r="JW296" s="54"/>
      <c r="JX296" s="54"/>
      <c r="JY296" s="54"/>
      <c r="JZ296" s="54"/>
      <c r="KA296" s="54"/>
      <c r="KB296" s="54"/>
      <c r="KC296" s="54"/>
      <c r="KD296" s="54"/>
      <c r="KE296" s="54"/>
      <c r="KF296" s="54"/>
      <c r="KG296" s="54"/>
      <c r="KH296" s="54"/>
      <c r="KI296" s="54"/>
      <c r="KJ296" s="54"/>
      <c r="KK296" s="54"/>
      <c r="KL296" s="54"/>
      <c r="KM296" s="54"/>
      <c r="KN296" s="54"/>
      <c r="KO296" s="54"/>
      <c r="KP296" s="54"/>
      <c r="KQ296" s="54"/>
      <c r="KR296" s="54"/>
      <c r="KS296" s="54"/>
      <c r="KT296" s="54"/>
      <c r="KU296" s="54"/>
      <c r="KV296" s="54"/>
      <c r="KW296" s="54"/>
      <c r="KX296" s="54"/>
      <c r="KY296" s="54"/>
      <c r="KZ296" s="54"/>
      <c r="LA296" s="54"/>
      <c r="LB296" s="54"/>
      <c r="LC296" s="54"/>
      <c r="LD296" s="54"/>
      <c r="LE296" s="54"/>
      <c r="LF296" s="54"/>
      <c r="LG296" s="54"/>
      <c r="LH296" s="54"/>
      <c r="LI296" s="54"/>
      <c r="LJ296" s="54"/>
      <c r="LK296" s="54"/>
      <c r="LL296" s="54"/>
      <c r="LM296" s="54"/>
      <c r="LN296" s="54"/>
      <c r="LO296" s="54"/>
      <c r="LP296" s="54"/>
      <c r="LQ296" s="54"/>
      <c r="LR296" s="54"/>
      <c r="LS296" s="54"/>
      <c r="LT296" s="54"/>
      <c r="LU296" s="54"/>
      <c r="LV296" s="54"/>
      <c r="LW296" s="54"/>
      <c r="LX296" s="54"/>
      <c r="LY296" s="54"/>
      <c r="LZ296" s="54"/>
      <c r="MA296" s="54"/>
      <c r="MB296" s="54"/>
      <c r="MC296" s="54"/>
      <c r="MD296" s="54"/>
      <c r="ME296" s="54"/>
      <c r="MF296" s="54"/>
      <c r="MG296" s="54"/>
      <c r="MH296" s="54"/>
      <c r="MI296" s="54"/>
      <c r="MJ296" s="54"/>
      <c r="MK296" s="54"/>
      <c r="ML296" s="54"/>
      <c r="MM296" s="54"/>
      <c r="MN296" s="54"/>
      <c r="MO296" s="54"/>
      <c r="MP296" s="54"/>
      <c r="MQ296" s="54"/>
      <c r="MR296" s="54"/>
      <c r="MS296" s="54"/>
      <c r="MT296" s="54"/>
      <c r="MU296" s="54"/>
      <c r="MV296" s="54"/>
      <c r="MW296" s="54"/>
      <c r="MX296" s="54"/>
      <c r="MY296" s="54"/>
      <c r="MZ296" s="54"/>
      <c r="NA296" s="54"/>
      <c r="NB296" s="54"/>
      <c r="NC296" s="54"/>
      <c r="ND296" s="54"/>
      <c r="NE296" s="54"/>
      <c r="NF296" s="54"/>
      <c r="NG296" s="54"/>
      <c r="NH296" s="54"/>
      <c r="NI296" s="54"/>
      <c r="NJ296" s="54"/>
      <c r="NK296" s="54"/>
      <c r="NL296" s="54"/>
      <c r="NM296" s="54"/>
      <c r="NN296" s="54"/>
      <c r="NO296" s="54"/>
      <c r="NP296" s="54"/>
      <c r="NQ296" s="54"/>
      <c r="NR296" s="54"/>
      <c r="NS296" s="54"/>
      <c r="NT296" s="54"/>
      <c r="NU296" s="54"/>
      <c r="NV296" s="54"/>
      <c r="NW296" s="54"/>
      <c r="NX296" s="54"/>
      <c r="NY296" s="54"/>
      <c r="NZ296" s="54"/>
      <c r="OA296" s="54"/>
      <c r="OB296" s="54"/>
      <c r="OC296" s="54"/>
      <c r="OD296" s="54"/>
      <c r="OE296" s="54"/>
      <c r="OF296" s="54"/>
      <c r="OG296" s="54"/>
      <c r="OH296" s="54"/>
      <c r="OI296" s="54"/>
      <c r="OJ296" s="54"/>
      <c r="OK296" s="54"/>
      <c r="OL296" s="54"/>
      <c r="OM296" s="54"/>
      <c r="ON296" s="54"/>
      <c r="OO296" s="54"/>
      <c r="OP296" s="54"/>
      <c r="OQ296" s="54"/>
      <c r="OR296" s="54"/>
      <c r="OS296" s="54"/>
      <c r="OT296" s="54"/>
      <c r="OU296" s="54"/>
      <c r="OV296" s="54"/>
      <c r="OW296" s="54"/>
      <c r="OX296" s="54"/>
      <c r="OY296" s="54"/>
      <c r="OZ296" s="54"/>
      <c r="PA296" s="54"/>
      <c r="PB296" s="54"/>
      <c r="PC296" s="54"/>
      <c r="PD296" s="54"/>
      <c r="PE296" s="54"/>
      <c r="PF296" s="54"/>
      <c r="PG296" s="54"/>
      <c r="PH296" s="54"/>
      <c r="PI296" s="54"/>
      <c r="PJ296" s="54"/>
      <c r="PK296" s="54"/>
      <c r="PL296" s="54"/>
      <c r="PM296" s="54"/>
      <c r="PN296" s="54"/>
      <c r="PO296" s="54"/>
      <c r="PP296" s="54"/>
      <c r="PQ296" s="54"/>
      <c r="PR296" s="54"/>
      <c r="PS296" s="54"/>
      <c r="PT296" s="54"/>
      <c r="PU296" s="54"/>
      <c r="PV296" s="54"/>
      <c r="PW296" s="54"/>
      <c r="PX296" s="54"/>
      <c r="PY296" s="54"/>
      <c r="PZ296" s="54"/>
      <c r="QA296" s="54"/>
      <c r="QB296" s="54"/>
      <c r="QC296" s="54"/>
      <c r="QD296" s="54"/>
      <c r="QE296" s="54"/>
      <c r="QF296" s="54"/>
      <c r="QG296" s="54"/>
      <c r="QH296" s="54"/>
      <c r="QI296" s="54"/>
      <c r="QJ296" s="54"/>
      <c r="QK296" s="54"/>
      <c r="QL296" s="54"/>
      <c r="QM296" s="54"/>
      <c r="QN296" s="54"/>
      <c r="QO296" s="54"/>
      <c r="QP296" s="54"/>
      <c r="QQ296" s="54"/>
      <c r="QR296" s="54"/>
      <c r="QS296" s="54"/>
      <c r="QT296" s="54"/>
      <c r="QU296" s="54"/>
      <c r="QV296" s="54"/>
      <c r="QW296" s="54"/>
      <c r="QX296" s="54"/>
      <c r="QY296" s="54"/>
      <c r="QZ296" s="54"/>
      <c r="RA296" s="54"/>
      <c r="RB296" s="54"/>
      <c r="RC296" s="54"/>
      <c r="RD296" s="54"/>
      <c r="RE296" s="54"/>
      <c r="RF296" s="54"/>
      <c r="RG296" s="54"/>
      <c r="RH296" s="54"/>
      <c r="RI296" s="54"/>
      <c r="RJ296" s="54"/>
      <c r="RK296" s="54"/>
      <c r="RL296" s="54"/>
      <c r="RM296" s="54"/>
      <c r="RN296" s="54"/>
      <c r="RO296" s="54"/>
      <c r="RP296" s="54"/>
      <c r="RQ296" s="54"/>
      <c r="RR296" s="54"/>
      <c r="RS296" s="54"/>
      <c r="RT296" s="54"/>
      <c r="RU296" s="54"/>
      <c r="RV296" s="54"/>
      <c r="RW296" s="54"/>
      <c r="RX296" s="54"/>
      <c r="RY296" s="54"/>
      <c r="RZ296" s="54"/>
      <c r="SA296" s="54"/>
      <c r="SB296" s="54"/>
      <c r="SC296" s="54"/>
      <c r="SD296" s="54"/>
      <c r="SE296" s="54"/>
      <c r="SF296" s="54"/>
      <c r="SG296" s="54"/>
      <c r="SH296" s="54"/>
      <c r="SI296" s="54"/>
      <c r="SJ296" s="54"/>
      <c r="SK296" s="54"/>
      <c r="SL296" s="54"/>
      <c r="SM296" s="54"/>
      <c r="SN296" s="54"/>
      <c r="SO296" s="54"/>
      <c r="SP296" s="54"/>
      <c r="SQ296" s="54"/>
      <c r="SR296" s="54"/>
    </row>
    <row r="297" spans="1:512" ht="15" customHeight="1" x14ac:dyDescent="0.7">
      <c r="A297" s="172"/>
      <c r="B297" s="172"/>
      <c r="C297" s="172"/>
      <c r="D297" s="172"/>
      <c r="E297" s="172"/>
      <c r="F297" s="172"/>
      <c r="G297" s="172"/>
      <c r="I297" s="72" t="s">
        <v>344</v>
      </c>
      <c r="J297" s="73" t="s">
        <v>344</v>
      </c>
      <c r="K297" s="190"/>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c r="BU297" s="54"/>
      <c r="BV297" s="54"/>
      <c r="BW297" s="54"/>
      <c r="BX297" s="54"/>
      <c r="BY297" s="54"/>
      <c r="BZ297" s="54"/>
      <c r="CA297" s="54"/>
      <c r="CB297" s="54"/>
      <c r="CC297" s="54"/>
      <c r="CD297" s="54"/>
      <c r="CE297" s="54"/>
      <c r="CF297" s="54"/>
      <c r="CG297" s="54"/>
      <c r="CH297" s="54"/>
      <c r="CI297" s="54"/>
      <c r="CJ297" s="54"/>
      <c r="CK297" s="54"/>
      <c r="CL297" s="54"/>
      <c r="CM297" s="54"/>
      <c r="CN297" s="54"/>
      <c r="CO297" s="54"/>
      <c r="CP297" s="54"/>
      <c r="CQ297" s="54"/>
      <c r="CR297" s="54"/>
      <c r="CS297" s="54"/>
      <c r="CT297" s="54"/>
      <c r="CU297" s="54"/>
      <c r="CV297" s="54"/>
      <c r="CW297" s="54"/>
      <c r="CX297" s="54"/>
      <c r="CY297" s="54"/>
      <c r="CZ297" s="54"/>
      <c r="DA297" s="54"/>
      <c r="DB297" s="54"/>
      <c r="DC297" s="54"/>
      <c r="DD297" s="54"/>
      <c r="DE297" s="54"/>
      <c r="DF297" s="54"/>
      <c r="DG297" s="54"/>
      <c r="DH297" s="54"/>
      <c r="DI297" s="54"/>
      <c r="DJ297" s="54"/>
      <c r="DK297" s="54"/>
      <c r="DL297" s="54"/>
      <c r="DM297" s="54"/>
      <c r="DN297" s="54"/>
      <c r="DO297" s="54"/>
      <c r="DP297" s="54"/>
      <c r="DQ297" s="54"/>
      <c r="DR297" s="54"/>
      <c r="DS297" s="54"/>
      <c r="DT297" s="54"/>
      <c r="DU297" s="54"/>
      <c r="DV297" s="54"/>
      <c r="DW297" s="54"/>
      <c r="DX297" s="54"/>
      <c r="DY297" s="54"/>
      <c r="DZ297" s="54"/>
      <c r="EA297" s="54"/>
      <c r="EB297" s="54"/>
      <c r="EC297" s="54"/>
      <c r="ED297" s="54"/>
      <c r="EE297" s="54"/>
      <c r="EF297" s="54"/>
      <c r="EG297" s="54"/>
      <c r="EH297" s="54"/>
      <c r="EI297" s="54"/>
      <c r="EJ297" s="54"/>
      <c r="EK297" s="54"/>
      <c r="EL297" s="54"/>
      <c r="EM297" s="54"/>
      <c r="EN297" s="54"/>
      <c r="EO297" s="54"/>
      <c r="EP297" s="54"/>
      <c r="EQ297" s="54"/>
      <c r="ER297" s="54"/>
      <c r="ES297" s="54"/>
      <c r="ET297" s="54"/>
      <c r="EU297" s="54"/>
      <c r="EV297" s="54"/>
      <c r="EW297" s="54"/>
      <c r="EX297" s="54"/>
      <c r="EY297" s="54"/>
      <c r="EZ297" s="54"/>
      <c r="FA297" s="54"/>
      <c r="FB297" s="54"/>
      <c r="FC297" s="54"/>
      <c r="FD297" s="54"/>
      <c r="FE297" s="54"/>
      <c r="FF297" s="54"/>
      <c r="FG297" s="54"/>
      <c r="FH297" s="54"/>
      <c r="FI297" s="54"/>
      <c r="FJ297" s="54"/>
      <c r="FK297" s="54"/>
      <c r="FL297" s="54"/>
      <c r="FM297" s="54"/>
      <c r="FN297" s="54"/>
      <c r="FO297" s="54"/>
      <c r="FP297" s="54"/>
      <c r="FQ297" s="54"/>
      <c r="FR297" s="54"/>
      <c r="FS297" s="54"/>
      <c r="FT297" s="54"/>
      <c r="FU297" s="54"/>
      <c r="FV297" s="54"/>
      <c r="FW297" s="54"/>
      <c r="FX297" s="54"/>
      <c r="FY297" s="54"/>
      <c r="FZ297" s="54"/>
      <c r="GA297" s="54"/>
      <c r="GB297" s="54"/>
      <c r="GC297" s="54"/>
      <c r="GD297" s="54"/>
      <c r="GE297" s="54"/>
      <c r="GF297" s="54"/>
      <c r="GG297" s="54"/>
      <c r="GH297" s="54"/>
      <c r="GI297" s="54"/>
      <c r="GJ297" s="54"/>
      <c r="GK297" s="54"/>
      <c r="GL297" s="54"/>
      <c r="GM297" s="54"/>
      <c r="GN297" s="54"/>
      <c r="GO297" s="54"/>
      <c r="GP297" s="54"/>
      <c r="GQ297" s="54"/>
      <c r="GR297" s="54"/>
      <c r="GS297" s="54"/>
      <c r="GT297" s="54"/>
      <c r="GU297" s="54"/>
      <c r="GV297" s="54"/>
      <c r="GW297" s="54"/>
      <c r="GX297" s="54"/>
      <c r="GY297" s="54"/>
      <c r="GZ297" s="54"/>
      <c r="HA297" s="54"/>
      <c r="HB297" s="54"/>
      <c r="HC297" s="54"/>
      <c r="HD297" s="54"/>
      <c r="HE297" s="54"/>
      <c r="HF297" s="54"/>
      <c r="HG297" s="54"/>
      <c r="HH297" s="54"/>
      <c r="HI297" s="54"/>
      <c r="HJ297" s="54"/>
      <c r="HK297" s="54"/>
      <c r="HL297" s="54"/>
      <c r="HM297" s="54"/>
      <c r="HN297" s="54"/>
      <c r="HO297" s="54"/>
      <c r="HP297" s="54"/>
      <c r="HQ297" s="54"/>
      <c r="HR297" s="54"/>
      <c r="HS297" s="54"/>
      <c r="HT297" s="54"/>
      <c r="HU297" s="54"/>
      <c r="HV297" s="54"/>
      <c r="HW297" s="54"/>
      <c r="HX297" s="54"/>
      <c r="HY297" s="54"/>
      <c r="HZ297" s="54"/>
      <c r="IA297" s="54"/>
      <c r="IB297" s="54"/>
      <c r="IC297" s="54"/>
      <c r="ID297" s="54"/>
      <c r="IE297" s="54"/>
      <c r="IF297" s="54"/>
      <c r="IG297" s="54"/>
      <c r="IH297" s="54"/>
      <c r="II297" s="54"/>
      <c r="IJ297" s="54"/>
      <c r="IK297" s="54"/>
      <c r="IL297" s="54"/>
      <c r="IM297" s="54"/>
      <c r="IN297" s="54"/>
      <c r="IO297" s="54"/>
      <c r="IP297" s="54"/>
      <c r="IQ297" s="54"/>
      <c r="IR297" s="54"/>
      <c r="IS297" s="54"/>
      <c r="IT297" s="54"/>
      <c r="IU297" s="54"/>
      <c r="IV297" s="54"/>
      <c r="IW297" s="54"/>
      <c r="IX297" s="54"/>
      <c r="IY297" s="54"/>
      <c r="IZ297" s="54"/>
      <c r="JA297" s="54"/>
      <c r="JB297" s="54"/>
      <c r="JC297" s="54"/>
      <c r="JD297" s="54"/>
      <c r="JE297" s="54"/>
      <c r="JF297" s="54"/>
      <c r="JG297" s="54"/>
      <c r="JH297" s="54"/>
      <c r="JI297" s="54"/>
      <c r="JJ297" s="54"/>
      <c r="JK297" s="54"/>
      <c r="JL297" s="54"/>
      <c r="JM297" s="54"/>
      <c r="JN297" s="54"/>
      <c r="JO297" s="54"/>
      <c r="JP297" s="54"/>
      <c r="JQ297" s="54"/>
      <c r="JR297" s="54"/>
      <c r="JS297" s="54"/>
      <c r="JT297" s="54"/>
      <c r="JU297" s="54"/>
      <c r="JV297" s="54"/>
      <c r="JW297" s="54"/>
      <c r="JX297" s="54"/>
      <c r="JY297" s="54"/>
      <c r="JZ297" s="54"/>
      <c r="KA297" s="54"/>
      <c r="KB297" s="54"/>
      <c r="KC297" s="54"/>
      <c r="KD297" s="54"/>
      <c r="KE297" s="54"/>
      <c r="KF297" s="54"/>
      <c r="KG297" s="54"/>
      <c r="KH297" s="54"/>
      <c r="KI297" s="54"/>
      <c r="KJ297" s="54"/>
      <c r="KK297" s="54"/>
      <c r="KL297" s="54"/>
      <c r="KM297" s="54"/>
      <c r="KN297" s="54"/>
      <c r="KO297" s="54"/>
      <c r="KP297" s="54"/>
      <c r="KQ297" s="54"/>
      <c r="KR297" s="54"/>
      <c r="KS297" s="54"/>
      <c r="KT297" s="54"/>
      <c r="KU297" s="54"/>
      <c r="KV297" s="54"/>
      <c r="KW297" s="54"/>
      <c r="KX297" s="54"/>
      <c r="KY297" s="54"/>
      <c r="KZ297" s="54"/>
      <c r="LA297" s="54"/>
      <c r="LB297" s="54"/>
      <c r="LC297" s="54"/>
      <c r="LD297" s="54"/>
      <c r="LE297" s="54"/>
      <c r="LF297" s="54"/>
      <c r="LG297" s="54"/>
      <c r="LH297" s="54"/>
      <c r="LI297" s="54"/>
      <c r="LJ297" s="54"/>
      <c r="LK297" s="54"/>
      <c r="LL297" s="54"/>
      <c r="LM297" s="54"/>
      <c r="LN297" s="54"/>
      <c r="LO297" s="54"/>
      <c r="LP297" s="54"/>
      <c r="LQ297" s="54"/>
      <c r="LR297" s="54"/>
      <c r="LS297" s="54"/>
      <c r="LT297" s="54"/>
      <c r="LU297" s="54"/>
      <c r="LV297" s="54"/>
      <c r="LW297" s="54"/>
      <c r="LX297" s="54"/>
      <c r="LY297" s="54"/>
      <c r="LZ297" s="54"/>
      <c r="MA297" s="54"/>
      <c r="MB297" s="54"/>
      <c r="MC297" s="54"/>
      <c r="MD297" s="54"/>
      <c r="ME297" s="54"/>
      <c r="MF297" s="54"/>
      <c r="MG297" s="54"/>
      <c r="MH297" s="54"/>
      <c r="MI297" s="54"/>
      <c r="MJ297" s="54"/>
      <c r="MK297" s="54"/>
      <c r="ML297" s="54"/>
      <c r="MM297" s="54"/>
      <c r="MN297" s="54"/>
      <c r="MO297" s="54"/>
      <c r="MP297" s="54"/>
      <c r="MQ297" s="54"/>
      <c r="MR297" s="54"/>
      <c r="MS297" s="54"/>
      <c r="MT297" s="54"/>
      <c r="MU297" s="54"/>
      <c r="MV297" s="54"/>
      <c r="MW297" s="54"/>
      <c r="MX297" s="54"/>
      <c r="MY297" s="54"/>
      <c r="MZ297" s="54"/>
      <c r="NA297" s="54"/>
      <c r="NB297" s="54"/>
      <c r="NC297" s="54"/>
      <c r="ND297" s="54"/>
      <c r="NE297" s="54"/>
      <c r="NF297" s="54"/>
      <c r="NG297" s="54"/>
      <c r="NH297" s="54"/>
      <c r="NI297" s="54"/>
      <c r="NJ297" s="54"/>
      <c r="NK297" s="54"/>
      <c r="NL297" s="54"/>
      <c r="NM297" s="54"/>
      <c r="NN297" s="54"/>
      <c r="NO297" s="54"/>
      <c r="NP297" s="54"/>
      <c r="NQ297" s="54"/>
      <c r="NR297" s="54"/>
      <c r="NS297" s="54"/>
      <c r="NT297" s="54"/>
      <c r="NU297" s="54"/>
      <c r="NV297" s="54"/>
      <c r="NW297" s="54"/>
      <c r="NX297" s="54"/>
      <c r="NY297" s="54"/>
      <c r="NZ297" s="54"/>
      <c r="OA297" s="54"/>
      <c r="OB297" s="54"/>
      <c r="OC297" s="54"/>
      <c r="OD297" s="54"/>
      <c r="OE297" s="54"/>
      <c r="OF297" s="54"/>
      <c r="OG297" s="54"/>
      <c r="OH297" s="54"/>
      <c r="OI297" s="54"/>
      <c r="OJ297" s="54"/>
      <c r="OK297" s="54"/>
      <c r="OL297" s="54"/>
      <c r="OM297" s="54"/>
      <c r="ON297" s="54"/>
      <c r="OO297" s="54"/>
      <c r="OP297" s="54"/>
      <c r="OQ297" s="54"/>
      <c r="OR297" s="54"/>
      <c r="OS297" s="54"/>
      <c r="OT297" s="54"/>
      <c r="OU297" s="54"/>
      <c r="OV297" s="54"/>
      <c r="OW297" s="54"/>
      <c r="OX297" s="54"/>
      <c r="OY297" s="54"/>
      <c r="OZ297" s="54"/>
      <c r="PA297" s="54"/>
      <c r="PB297" s="54"/>
      <c r="PC297" s="54"/>
      <c r="PD297" s="54"/>
      <c r="PE297" s="54"/>
      <c r="PF297" s="54"/>
      <c r="PG297" s="54"/>
      <c r="PH297" s="54"/>
      <c r="PI297" s="54"/>
      <c r="PJ297" s="54"/>
      <c r="PK297" s="54"/>
      <c r="PL297" s="54"/>
      <c r="PM297" s="54"/>
      <c r="PN297" s="54"/>
      <c r="PO297" s="54"/>
      <c r="PP297" s="54"/>
      <c r="PQ297" s="54"/>
      <c r="PR297" s="54"/>
      <c r="PS297" s="54"/>
      <c r="PT297" s="54"/>
      <c r="PU297" s="54"/>
      <c r="PV297" s="54"/>
      <c r="PW297" s="54"/>
      <c r="PX297" s="54"/>
      <c r="PY297" s="54"/>
      <c r="PZ297" s="54"/>
      <c r="QA297" s="54"/>
      <c r="QB297" s="54"/>
      <c r="QC297" s="54"/>
      <c r="QD297" s="54"/>
      <c r="QE297" s="54"/>
      <c r="QF297" s="54"/>
      <c r="QG297" s="54"/>
      <c r="QH297" s="54"/>
      <c r="QI297" s="54"/>
      <c r="QJ297" s="54"/>
      <c r="QK297" s="54"/>
      <c r="QL297" s="54"/>
      <c r="QM297" s="54"/>
      <c r="QN297" s="54"/>
      <c r="QO297" s="54"/>
      <c r="QP297" s="54"/>
      <c r="QQ297" s="54"/>
      <c r="QR297" s="54"/>
      <c r="QS297" s="54"/>
      <c r="QT297" s="54"/>
      <c r="QU297" s="54"/>
      <c r="QV297" s="54"/>
      <c r="QW297" s="54"/>
      <c r="QX297" s="54"/>
      <c r="QY297" s="54"/>
      <c r="QZ297" s="54"/>
      <c r="RA297" s="54"/>
      <c r="RB297" s="54"/>
      <c r="RC297" s="54"/>
      <c r="RD297" s="54"/>
      <c r="RE297" s="54"/>
      <c r="RF297" s="54"/>
      <c r="RG297" s="54"/>
      <c r="RH297" s="54"/>
      <c r="RI297" s="54"/>
      <c r="RJ297" s="54"/>
      <c r="RK297" s="54"/>
      <c r="RL297" s="54"/>
      <c r="RM297" s="54"/>
      <c r="RN297" s="54"/>
      <c r="RO297" s="54"/>
      <c r="RP297" s="54"/>
      <c r="RQ297" s="54"/>
      <c r="RR297" s="54"/>
      <c r="RS297" s="54"/>
      <c r="RT297" s="54"/>
      <c r="RU297" s="54"/>
      <c r="RV297" s="54"/>
      <c r="RW297" s="54"/>
      <c r="RX297" s="54"/>
      <c r="RY297" s="54"/>
      <c r="RZ297" s="54"/>
      <c r="SA297" s="54"/>
      <c r="SB297" s="54"/>
      <c r="SC297" s="54"/>
      <c r="SD297" s="54"/>
      <c r="SE297" s="54"/>
      <c r="SF297" s="54"/>
      <c r="SG297" s="54"/>
      <c r="SH297" s="54"/>
      <c r="SI297" s="54"/>
      <c r="SJ297" s="54"/>
      <c r="SK297" s="54"/>
      <c r="SL297" s="54"/>
      <c r="SM297" s="54"/>
      <c r="SN297" s="54"/>
      <c r="SO297" s="54"/>
      <c r="SP297" s="54"/>
      <c r="SQ297" s="54"/>
      <c r="SR297" s="54"/>
    </row>
    <row r="298" spans="1:512" s="55" customFormat="1" ht="15" customHeight="1" x14ac:dyDescent="0.7">
      <c r="A298" s="173"/>
      <c r="B298" s="173"/>
      <c r="C298" s="173"/>
      <c r="D298" s="173"/>
      <c r="E298" s="173"/>
      <c r="F298" s="173"/>
      <c r="G298" s="173"/>
      <c r="H298" s="74"/>
      <c r="I298" s="75"/>
      <c r="J298" s="76"/>
      <c r="K298" s="191"/>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c r="IX298" s="56"/>
      <c r="IY298" s="56"/>
      <c r="IZ298" s="56"/>
      <c r="JA298" s="56"/>
      <c r="JB298" s="56"/>
      <c r="JC298" s="56"/>
      <c r="JD298" s="56"/>
      <c r="JE298" s="56"/>
      <c r="JF298" s="56"/>
      <c r="JG298" s="56"/>
      <c r="JH298" s="56"/>
      <c r="JI298" s="56"/>
      <c r="JJ298" s="56"/>
      <c r="JK298" s="56"/>
      <c r="JL298" s="56"/>
      <c r="JM298" s="56"/>
      <c r="JN298" s="56"/>
      <c r="JO298" s="56"/>
      <c r="JP298" s="56"/>
      <c r="JQ298" s="56"/>
      <c r="JR298" s="56"/>
      <c r="JS298" s="56"/>
      <c r="JT298" s="56"/>
      <c r="JU298" s="56"/>
      <c r="JV298" s="56"/>
      <c r="JW298" s="56"/>
      <c r="JX298" s="56"/>
      <c r="JY298" s="56"/>
      <c r="JZ298" s="56"/>
      <c r="KA298" s="56"/>
      <c r="KB298" s="56"/>
      <c r="KC298" s="56"/>
      <c r="KD298" s="56"/>
      <c r="KE298" s="56"/>
      <c r="KF298" s="56"/>
      <c r="KG298" s="56"/>
      <c r="KH298" s="56"/>
      <c r="KI298" s="56"/>
      <c r="KJ298" s="56"/>
      <c r="KK298" s="56"/>
      <c r="KL298" s="56"/>
      <c r="KM298" s="56"/>
      <c r="KN298" s="56"/>
      <c r="KO298" s="56"/>
      <c r="KP298" s="56"/>
      <c r="KQ298" s="56"/>
      <c r="KR298" s="56"/>
      <c r="KS298" s="56"/>
      <c r="KT298" s="56"/>
      <c r="KU298" s="56"/>
      <c r="KV298" s="56"/>
      <c r="KW298" s="56"/>
      <c r="KX298" s="56"/>
      <c r="KY298" s="56"/>
      <c r="KZ298" s="56"/>
      <c r="LA298" s="56"/>
      <c r="LB298" s="56"/>
      <c r="LC298" s="56"/>
      <c r="LD298" s="56"/>
      <c r="LE298" s="56"/>
      <c r="LF298" s="56"/>
      <c r="LG298" s="56"/>
      <c r="LH298" s="56"/>
      <c r="LI298" s="56"/>
      <c r="LJ298" s="56"/>
      <c r="LK298" s="56"/>
      <c r="LL298" s="56"/>
      <c r="LM298" s="56"/>
      <c r="LN298" s="56"/>
      <c r="LO298" s="56"/>
      <c r="LP298" s="56"/>
      <c r="LQ298" s="56"/>
      <c r="LR298" s="56"/>
      <c r="LS298" s="56"/>
      <c r="LT298" s="56"/>
      <c r="LU298" s="56"/>
      <c r="LV298" s="56"/>
      <c r="LW298" s="56"/>
      <c r="LX298" s="56"/>
      <c r="LY298" s="56"/>
      <c r="LZ298" s="56"/>
      <c r="MA298" s="56"/>
      <c r="MB298" s="56"/>
      <c r="MC298" s="56"/>
      <c r="MD298" s="56"/>
      <c r="ME298" s="56"/>
      <c r="MF298" s="56"/>
      <c r="MG298" s="56"/>
      <c r="MH298" s="56"/>
      <c r="MI298" s="56"/>
      <c r="MJ298" s="56"/>
      <c r="MK298" s="56"/>
      <c r="ML298" s="56"/>
      <c r="MM298" s="56"/>
      <c r="MN298" s="56"/>
      <c r="MO298" s="56"/>
      <c r="MP298" s="56"/>
      <c r="MQ298" s="56"/>
      <c r="MR298" s="56"/>
      <c r="MS298" s="56"/>
      <c r="MT298" s="56"/>
      <c r="MU298" s="56"/>
      <c r="MV298" s="56"/>
      <c r="MW298" s="56"/>
      <c r="MX298" s="56"/>
      <c r="MY298" s="56"/>
      <c r="MZ298" s="56"/>
      <c r="NA298" s="56"/>
      <c r="NB298" s="56"/>
      <c r="NC298" s="56"/>
      <c r="ND298" s="56"/>
      <c r="NE298" s="56"/>
      <c r="NF298" s="56"/>
      <c r="NG298" s="56"/>
      <c r="NH298" s="56"/>
      <c r="NI298" s="56"/>
      <c r="NJ298" s="56"/>
      <c r="NK298" s="56"/>
      <c r="NL298" s="56"/>
      <c r="NM298" s="56"/>
      <c r="NN298" s="56"/>
      <c r="NO298" s="56"/>
      <c r="NP298" s="56"/>
      <c r="NQ298" s="56"/>
      <c r="NR298" s="56"/>
      <c r="NS298" s="56"/>
      <c r="NT298" s="56"/>
      <c r="NU298" s="56"/>
      <c r="NV298" s="56"/>
      <c r="NW298" s="56"/>
      <c r="NX298" s="56"/>
      <c r="NY298" s="56"/>
      <c r="NZ298" s="56"/>
      <c r="OA298" s="56"/>
      <c r="OB298" s="56"/>
      <c r="OC298" s="56"/>
      <c r="OD298" s="56"/>
      <c r="OE298" s="56"/>
      <c r="OF298" s="56"/>
      <c r="OG298" s="56"/>
      <c r="OH298" s="56"/>
      <c r="OI298" s="56"/>
      <c r="OJ298" s="56"/>
      <c r="OK298" s="56"/>
      <c r="OL298" s="56"/>
      <c r="OM298" s="56"/>
      <c r="ON298" s="56"/>
      <c r="OO298" s="56"/>
      <c r="OP298" s="56"/>
      <c r="OQ298" s="56"/>
      <c r="OR298" s="56"/>
      <c r="OS298" s="56"/>
      <c r="OT298" s="56"/>
      <c r="OU298" s="56"/>
      <c r="OV298" s="56"/>
      <c r="OW298" s="56"/>
      <c r="OX298" s="56"/>
      <c r="OY298" s="56"/>
      <c r="OZ298" s="56"/>
      <c r="PA298" s="56"/>
      <c r="PB298" s="56"/>
      <c r="PC298" s="56"/>
      <c r="PD298" s="56"/>
      <c r="PE298" s="56"/>
      <c r="PF298" s="56"/>
      <c r="PG298" s="56"/>
      <c r="PH298" s="56"/>
      <c r="PI298" s="56"/>
      <c r="PJ298" s="56"/>
      <c r="PK298" s="56"/>
      <c r="PL298" s="56"/>
      <c r="PM298" s="56"/>
      <c r="PN298" s="56"/>
      <c r="PO298" s="56"/>
      <c r="PP298" s="56"/>
      <c r="PQ298" s="56"/>
      <c r="PR298" s="56"/>
      <c r="PS298" s="56"/>
      <c r="PT298" s="56"/>
      <c r="PU298" s="56"/>
      <c r="PV298" s="56"/>
      <c r="PW298" s="56"/>
      <c r="PX298" s="56"/>
      <c r="PY298" s="56"/>
      <c r="PZ298" s="56"/>
      <c r="QA298" s="56"/>
      <c r="QB298" s="56"/>
      <c r="QC298" s="56"/>
      <c r="QD298" s="56"/>
      <c r="QE298" s="56"/>
      <c r="QF298" s="56"/>
      <c r="QG298" s="56"/>
      <c r="QH298" s="56"/>
      <c r="QI298" s="56"/>
      <c r="QJ298" s="56"/>
      <c r="QK298" s="56"/>
      <c r="QL298" s="56"/>
      <c r="QM298" s="56"/>
      <c r="QN298" s="56"/>
      <c r="QO298" s="56"/>
      <c r="QP298" s="56"/>
      <c r="QQ298" s="56"/>
      <c r="QR298" s="56"/>
      <c r="QS298" s="56"/>
      <c r="QT298" s="56"/>
      <c r="QU298" s="56"/>
      <c r="QV298" s="56"/>
      <c r="QW298" s="56"/>
      <c r="QX298" s="56"/>
      <c r="QY298" s="56"/>
      <c r="QZ298" s="56"/>
      <c r="RA298" s="56"/>
      <c r="RB298" s="56"/>
      <c r="RC298" s="56"/>
      <c r="RD298" s="56"/>
      <c r="RE298" s="56"/>
      <c r="RF298" s="56"/>
      <c r="RG298" s="56"/>
      <c r="RH298" s="56"/>
      <c r="RI298" s="56"/>
      <c r="RJ298" s="56"/>
      <c r="RK298" s="56"/>
      <c r="RL298" s="56"/>
      <c r="RM298" s="56"/>
      <c r="RN298" s="56"/>
      <c r="RO298" s="56"/>
      <c r="RP298" s="56"/>
      <c r="RQ298" s="56"/>
      <c r="RR298" s="56"/>
      <c r="RS298" s="56"/>
      <c r="RT298" s="56"/>
      <c r="RU298" s="56"/>
      <c r="RV298" s="56"/>
      <c r="RW298" s="56"/>
      <c r="RX298" s="56"/>
      <c r="RY298" s="56"/>
      <c r="RZ298" s="56"/>
      <c r="SA298" s="56"/>
      <c r="SB298" s="56"/>
      <c r="SC298" s="56"/>
      <c r="SD298" s="56"/>
      <c r="SE298" s="56"/>
      <c r="SF298" s="56"/>
      <c r="SG298" s="56"/>
      <c r="SH298" s="56"/>
      <c r="SI298" s="56"/>
      <c r="SJ298" s="56"/>
      <c r="SK298" s="56"/>
      <c r="SL298" s="56"/>
      <c r="SM298" s="56"/>
      <c r="SN298" s="56"/>
      <c r="SO298" s="56"/>
      <c r="SP298" s="56"/>
      <c r="SQ298" s="56"/>
      <c r="SR298" s="56"/>
    </row>
    <row r="299" spans="1:512" ht="15" customHeight="1" x14ac:dyDescent="0.7">
      <c r="A299" s="171" t="s">
        <v>344</v>
      </c>
      <c r="B299" s="171" t="s">
        <v>344</v>
      </c>
      <c r="C299" s="171" t="s">
        <v>344</v>
      </c>
      <c r="D299" s="171"/>
      <c r="E299" s="171" t="s">
        <v>344</v>
      </c>
      <c r="F299" s="171"/>
      <c r="G299" s="188" t="s">
        <v>344</v>
      </c>
      <c r="H299" s="71" t="s">
        <v>344</v>
      </c>
      <c r="I299" s="72" t="s">
        <v>344</v>
      </c>
      <c r="J299" s="73" t="s">
        <v>344</v>
      </c>
      <c r="K299" s="189" t="s">
        <v>344</v>
      </c>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c r="BU299" s="54"/>
      <c r="BV299" s="54"/>
      <c r="BW299" s="54"/>
      <c r="BX299" s="54"/>
      <c r="BY299" s="54"/>
      <c r="BZ299" s="54"/>
      <c r="CA299" s="54"/>
      <c r="CB299" s="54"/>
      <c r="CC299" s="54"/>
      <c r="CD299" s="54"/>
      <c r="CE299" s="54"/>
      <c r="CF299" s="54"/>
      <c r="CG299" s="54"/>
      <c r="CH299" s="54"/>
      <c r="CI299" s="54"/>
      <c r="CJ299" s="54"/>
      <c r="CK299" s="54"/>
      <c r="CL299" s="54"/>
      <c r="CM299" s="54"/>
      <c r="CN299" s="54"/>
      <c r="CO299" s="54"/>
      <c r="CP299" s="54"/>
      <c r="CQ299" s="54"/>
      <c r="CR299" s="54"/>
      <c r="CS299" s="54"/>
      <c r="CT299" s="54"/>
      <c r="CU299" s="54"/>
      <c r="CV299" s="54"/>
      <c r="CW299" s="54"/>
      <c r="CX299" s="54"/>
      <c r="CY299" s="54"/>
      <c r="CZ299" s="54"/>
      <c r="DA299" s="54"/>
      <c r="DB299" s="54"/>
      <c r="DC299" s="54"/>
      <c r="DD299" s="54"/>
      <c r="DE299" s="54"/>
      <c r="DF299" s="54"/>
      <c r="DG299" s="54"/>
      <c r="DH299" s="54"/>
      <c r="DI299" s="54"/>
      <c r="DJ299" s="54"/>
      <c r="DK299" s="54"/>
      <c r="DL299" s="54"/>
      <c r="DM299" s="54"/>
      <c r="DN299" s="54"/>
      <c r="DO299" s="54"/>
      <c r="DP299" s="54"/>
      <c r="DQ299" s="54"/>
      <c r="DR299" s="54"/>
      <c r="DS299" s="54"/>
      <c r="DT299" s="54"/>
      <c r="DU299" s="54"/>
      <c r="DV299" s="54"/>
      <c r="DW299" s="54"/>
      <c r="DX299" s="54"/>
      <c r="DY299" s="54"/>
      <c r="DZ299" s="54"/>
      <c r="EA299" s="54"/>
      <c r="EB299" s="54"/>
      <c r="EC299" s="54"/>
      <c r="ED299" s="54"/>
      <c r="EE299" s="54"/>
      <c r="EF299" s="54"/>
      <c r="EG299" s="54"/>
      <c r="EH299" s="54"/>
      <c r="EI299" s="54"/>
      <c r="EJ299" s="54"/>
      <c r="EK299" s="54"/>
      <c r="EL299" s="54"/>
      <c r="EM299" s="54"/>
      <c r="EN299" s="54"/>
      <c r="EO299" s="54"/>
      <c r="EP299" s="54"/>
      <c r="EQ299" s="54"/>
      <c r="ER299" s="54"/>
      <c r="ES299" s="54"/>
      <c r="ET299" s="54"/>
      <c r="EU299" s="54"/>
      <c r="EV299" s="54"/>
      <c r="EW299" s="54"/>
      <c r="EX299" s="54"/>
      <c r="EY299" s="54"/>
      <c r="EZ299" s="54"/>
      <c r="FA299" s="54"/>
      <c r="FB299" s="54"/>
      <c r="FC299" s="54"/>
      <c r="FD299" s="54"/>
      <c r="FE299" s="54"/>
      <c r="FF299" s="54"/>
      <c r="FG299" s="54"/>
      <c r="FH299" s="54"/>
      <c r="FI299" s="54"/>
      <c r="FJ299" s="54"/>
      <c r="FK299" s="54"/>
      <c r="FL299" s="54"/>
      <c r="FM299" s="54"/>
      <c r="FN299" s="54"/>
      <c r="FO299" s="54"/>
      <c r="FP299" s="54"/>
      <c r="FQ299" s="54"/>
      <c r="FR299" s="54"/>
      <c r="FS299" s="54"/>
      <c r="FT299" s="54"/>
      <c r="FU299" s="54"/>
      <c r="FV299" s="54"/>
      <c r="FW299" s="54"/>
      <c r="FX299" s="54"/>
      <c r="FY299" s="54"/>
      <c r="FZ299" s="54"/>
      <c r="GA299" s="54"/>
      <c r="GB299" s="54"/>
      <c r="GC299" s="54"/>
      <c r="GD299" s="54"/>
      <c r="GE299" s="54"/>
      <c r="GF299" s="54"/>
      <c r="GG299" s="54"/>
      <c r="GH299" s="54"/>
      <c r="GI299" s="54"/>
      <c r="GJ299" s="54"/>
      <c r="GK299" s="54"/>
      <c r="GL299" s="54"/>
      <c r="GM299" s="54"/>
      <c r="GN299" s="54"/>
      <c r="GO299" s="54"/>
      <c r="GP299" s="54"/>
      <c r="GQ299" s="54"/>
      <c r="GR299" s="54"/>
      <c r="GS299" s="54"/>
      <c r="GT299" s="54"/>
      <c r="GU299" s="54"/>
      <c r="GV299" s="54"/>
      <c r="GW299" s="54"/>
      <c r="GX299" s="54"/>
      <c r="GY299" s="54"/>
      <c r="GZ299" s="54"/>
      <c r="HA299" s="54"/>
      <c r="HB299" s="54"/>
      <c r="HC299" s="54"/>
      <c r="HD299" s="54"/>
      <c r="HE299" s="54"/>
      <c r="HF299" s="54"/>
      <c r="HG299" s="54"/>
      <c r="HH299" s="54"/>
      <c r="HI299" s="54"/>
      <c r="HJ299" s="54"/>
      <c r="HK299" s="54"/>
      <c r="HL299" s="54"/>
      <c r="HM299" s="54"/>
      <c r="HN299" s="54"/>
      <c r="HO299" s="54"/>
      <c r="HP299" s="54"/>
      <c r="HQ299" s="54"/>
      <c r="HR299" s="54"/>
      <c r="HS299" s="54"/>
      <c r="HT299" s="54"/>
      <c r="HU299" s="54"/>
      <c r="HV299" s="54"/>
      <c r="HW299" s="54"/>
      <c r="HX299" s="54"/>
      <c r="HY299" s="54"/>
      <c r="HZ299" s="54"/>
      <c r="IA299" s="54"/>
      <c r="IB299" s="54"/>
      <c r="IC299" s="54"/>
      <c r="ID299" s="54"/>
      <c r="IE299" s="54"/>
      <c r="IF299" s="54"/>
      <c r="IG299" s="54"/>
      <c r="IH299" s="54"/>
      <c r="II299" s="54"/>
      <c r="IJ299" s="54"/>
      <c r="IK299" s="54"/>
      <c r="IL299" s="54"/>
      <c r="IM299" s="54"/>
      <c r="IN299" s="54"/>
      <c r="IO299" s="54"/>
      <c r="IP299" s="54"/>
      <c r="IQ299" s="54"/>
      <c r="IR299" s="54"/>
      <c r="IS299" s="54"/>
      <c r="IT299" s="54"/>
      <c r="IU299" s="54"/>
      <c r="IV299" s="54"/>
      <c r="IW299" s="54"/>
      <c r="IX299" s="54"/>
      <c r="IY299" s="54"/>
      <c r="IZ299" s="54"/>
      <c r="JA299" s="54"/>
      <c r="JB299" s="54"/>
      <c r="JC299" s="54"/>
      <c r="JD299" s="54"/>
      <c r="JE299" s="54"/>
      <c r="JF299" s="54"/>
      <c r="JG299" s="54"/>
      <c r="JH299" s="54"/>
      <c r="JI299" s="54"/>
      <c r="JJ299" s="54"/>
      <c r="JK299" s="54"/>
      <c r="JL299" s="54"/>
      <c r="JM299" s="54"/>
      <c r="JN299" s="54"/>
      <c r="JO299" s="54"/>
      <c r="JP299" s="54"/>
      <c r="JQ299" s="54"/>
      <c r="JR299" s="54"/>
      <c r="JS299" s="54"/>
      <c r="JT299" s="54"/>
      <c r="JU299" s="54"/>
      <c r="JV299" s="54"/>
      <c r="JW299" s="54"/>
      <c r="JX299" s="54"/>
      <c r="JY299" s="54"/>
      <c r="JZ299" s="54"/>
      <c r="KA299" s="54"/>
      <c r="KB299" s="54"/>
      <c r="KC299" s="54"/>
      <c r="KD299" s="54"/>
      <c r="KE299" s="54"/>
      <c r="KF299" s="54"/>
      <c r="KG299" s="54"/>
      <c r="KH299" s="54"/>
      <c r="KI299" s="54"/>
      <c r="KJ299" s="54"/>
      <c r="KK299" s="54"/>
      <c r="KL299" s="54"/>
      <c r="KM299" s="54"/>
      <c r="KN299" s="54"/>
      <c r="KO299" s="54"/>
      <c r="KP299" s="54"/>
      <c r="KQ299" s="54"/>
      <c r="KR299" s="54"/>
      <c r="KS299" s="54"/>
      <c r="KT299" s="54"/>
      <c r="KU299" s="54"/>
      <c r="KV299" s="54"/>
      <c r="KW299" s="54"/>
      <c r="KX299" s="54"/>
      <c r="KY299" s="54"/>
      <c r="KZ299" s="54"/>
      <c r="LA299" s="54"/>
      <c r="LB299" s="54"/>
      <c r="LC299" s="54"/>
      <c r="LD299" s="54"/>
      <c r="LE299" s="54"/>
      <c r="LF299" s="54"/>
      <c r="LG299" s="54"/>
      <c r="LH299" s="54"/>
      <c r="LI299" s="54"/>
      <c r="LJ299" s="54"/>
      <c r="LK299" s="54"/>
      <c r="LL299" s="54"/>
      <c r="LM299" s="54"/>
      <c r="LN299" s="54"/>
      <c r="LO299" s="54"/>
      <c r="LP299" s="54"/>
      <c r="LQ299" s="54"/>
      <c r="LR299" s="54"/>
      <c r="LS299" s="54"/>
      <c r="LT299" s="54"/>
      <c r="LU299" s="54"/>
      <c r="LV299" s="54"/>
      <c r="LW299" s="54"/>
      <c r="LX299" s="54"/>
      <c r="LY299" s="54"/>
      <c r="LZ299" s="54"/>
      <c r="MA299" s="54"/>
      <c r="MB299" s="54"/>
      <c r="MC299" s="54"/>
      <c r="MD299" s="54"/>
      <c r="ME299" s="54"/>
      <c r="MF299" s="54"/>
      <c r="MG299" s="54"/>
      <c r="MH299" s="54"/>
      <c r="MI299" s="54"/>
      <c r="MJ299" s="54"/>
      <c r="MK299" s="54"/>
      <c r="ML299" s="54"/>
      <c r="MM299" s="54"/>
      <c r="MN299" s="54"/>
      <c r="MO299" s="54"/>
      <c r="MP299" s="54"/>
      <c r="MQ299" s="54"/>
      <c r="MR299" s="54"/>
      <c r="MS299" s="54"/>
      <c r="MT299" s="54"/>
      <c r="MU299" s="54"/>
      <c r="MV299" s="54"/>
      <c r="MW299" s="54"/>
      <c r="MX299" s="54"/>
      <c r="MY299" s="54"/>
      <c r="MZ299" s="54"/>
      <c r="NA299" s="54"/>
      <c r="NB299" s="54"/>
      <c r="NC299" s="54"/>
      <c r="ND299" s="54"/>
      <c r="NE299" s="54"/>
      <c r="NF299" s="54"/>
      <c r="NG299" s="54"/>
      <c r="NH299" s="54"/>
      <c r="NI299" s="54"/>
      <c r="NJ299" s="54"/>
      <c r="NK299" s="54"/>
      <c r="NL299" s="54"/>
      <c r="NM299" s="54"/>
      <c r="NN299" s="54"/>
      <c r="NO299" s="54"/>
      <c r="NP299" s="54"/>
      <c r="NQ299" s="54"/>
      <c r="NR299" s="54"/>
      <c r="NS299" s="54"/>
      <c r="NT299" s="54"/>
      <c r="NU299" s="54"/>
      <c r="NV299" s="54"/>
      <c r="NW299" s="54"/>
      <c r="NX299" s="54"/>
      <c r="NY299" s="54"/>
      <c r="NZ299" s="54"/>
      <c r="OA299" s="54"/>
      <c r="OB299" s="54"/>
      <c r="OC299" s="54"/>
      <c r="OD299" s="54"/>
      <c r="OE299" s="54"/>
      <c r="OF299" s="54"/>
      <c r="OG299" s="54"/>
      <c r="OH299" s="54"/>
      <c r="OI299" s="54"/>
      <c r="OJ299" s="54"/>
      <c r="OK299" s="54"/>
      <c r="OL299" s="54"/>
      <c r="OM299" s="54"/>
      <c r="ON299" s="54"/>
      <c r="OO299" s="54"/>
      <c r="OP299" s="54"/>
      <c r="OQ299" s="54"/>
      <c r="OR299" s="54"/>
      <c r="OS299" s="54"/>
      <c r="OT299" s="54"/>
      <c r="OU299" s="54"/>
      <c r="OV299" s="54"/>
      <c r="OW299" s="54"/>
      <c r="OX299" s="54"/>
      <c r="OY299" s="54"/>
      <c r="OZ299" s="54"/>
      <c r="PA299" s="54"/>
      <c r="PB299" s="54"/>
      <c r="PC299" s="54"/>
      <c r="PD299" s="54"/>
      <c r="PE299" s="54"/>
      <c r="PF299" s="54"/>
      <c r="PG299" s="54"/>
      <c r="PH299" s="54"/>
      <c r="PI299" s="54"/>
      <c r="PJ299" s="54"/>
      <c r="PK299" s="54"/>
      <c r="PL299" s="54"/>
      <c r="PM299" s="54"/>
      <c r="PN299" s="54"/>
      <c r="PO299" s="54"/>
      <c r="PP299" s="54"/>
      <c r="PQ299" s="54"/>
      <c r="PR299" s="54"/>
      <c r="PS299" s="54"/>
      <c r="PT299" s="54"/>
      <c r="PU299" s="54"/>
      <c r="PV299" s="54"/>
      <c r="PW299" s="54"/>
      <c r="PX299" s="54"/>
      <c r="PY299" s="54"/>
      <c r="PZ299" s="54"/>
      <c r="QA299" s="54"/>
      <c r="QB299" s="54"/>
      <c r="QC299" s="54"/>
      <c r="QD299" s="54"/>
      <c r="QE299" s="54"/>
      <c r="QF299" s="54"/>
      <c r="QG299" s="54"/>
      <c r="QH299" s="54"/>
      <c r="QI299" s="54"/>
      <c r="QJ299" s="54"/>
      <c r="QK299" s="54"/>
      <c r="QL299" s="54"/>
      <c r="QM299" s="54"/>
      <c r="QN299" s="54"/>
      <c r="QO299" s="54"/>
      <c r="QP299" s="54"/>
      <c r="QQ299" s="54"/>
      <c r="QR299" s="54"/>
      <c r="QS299" s="54"/>
      <c r="QT299" s="54"/>
      <c r="QU299" s="54"/>
      <c r="QV299" s="54"/>
      <c r="QW299" s="54"/>
      <c r="QX299" s="54"/>
      <c r="QY299" s="54"/>
      <c r="QZ299" s="54"/>
      <c r="RA299" s="54"/>
      <c r="RB299" s="54"/>
      <c r="RC299" s="54"/>
      <c r="RD299" s="54"/>
      <c r="RE299" s="54"/>
      <c r="RF299" s="54"/>
      <c r="RG299" s="54"/>
      <c r="RH299" s="54"/>
      <c r="RI299" s="54"/>
      <c r="RJ299" s="54"/>
      <c r="RK299" s="54"/>
      <c r="RL299" s="54"/>
      <c r="RM299" s="54"/>
      <c r="RN299" s="54"/>
      <c r="RO299" s="54"/>
      <c r="RP299" s="54"/>
      <c r="RQ299" s="54"/>
      <c r="RR299" s="54"/>
      <c r="RS299" s="54"/>
      <c r="RT299" s="54"/>
      <c r="RU299" s="54"/>
      <c r="RV299" s="54"/>
      <c r="RW299" s="54"/>
      <c r="RX299" s="54"/>
      <c r="RY299" s="54"/>
      <c r="RZ299" s="54"/>
      <c r="SA299" s="54"/>
      <c r="SB299" s="54"/>
      <c r="SC299" s="54"/>
      <c r="SD299" s="54"/>
      <c r="SE299" s="54"/>
      <c r="SF299" s="54"/>
      <c r="SG299" s="54"/>
      <c r="SH299" s="54"/>
      <c r="SI299" s="54"/>
      <c r="SJ299" s="54"/>
      <c r="SK299" s="54"/>
      <c r="SL299" s="54"/>
      <c r="SM299" s="54"/>
      <c r="SN299" s="54"/>
      <c r="SO299" s="54"/>
      <c r="SP299" s="54"/>
      <c r="SQ299" s="54"/>
      <c r="SR299" s="54"/>
    </row>
    <row r="300" spans="1:512" ht="15" customHeight="1" x14ac:dyDescent="0.7">
      <c r="A300" s="172"/>
      <c r="B300" s="172"/>
      <c r="C300" s="172"/>
      <c r="D300" s="172"/>
      <c r="E300" s="172"/>
      <c r="F300" s="172"/>
      <c r="G300" s="172"/>
      <c r="I300" s="72" t="s">
        <v>344</v>
      </c>
      <c r="J300" s="73" t="s">
        <v>344</v>
      </c>
      <c r="K300" s="190"/>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4"/>
      <c r="BX300" s="54"/>
      <c r="BY300" s="54"/>
      <c r="BZ300" s="54"/>
      <c r="CA300" s="54"/>
      <c r="CB300" s="54"/>
      <c r="CC300" s="54"/>
      <c r="CD300" s="54"/>
      <c r="CE300" s="54"/>
      <c r="CF300" s="54"/>
      <c r="CG300" s="54"/>
      <c r="CH300" s="54"/>
      <c r="CI300" s="54"/>
      <c r="CJ300" s="54"/>
      <c r="CK300" s="54"/>
      <c r="CL300" s="54"/>
      <c r="CM300" s="54"/>
      <c r="CN300" s="54"/>
      <c r="CO300" s="54"/>
      <c r="CP300" s="54"/>
      <c r="CQ300" s="54"/>
      <c r="CR300" s="54"/>
      <c r="CS300" s="54"/>
      <c r="CT300" s="54"/>
      <c r="CU300" s="54"/>
      <c r="CV300" s="54"/>
      <c r="CW300" s="54"/>
      <c r="CX300" s="54"/>
      <c r="CY300" s="54"/>
      <c r="CZ300" s="54"/>
      <c r="DA300" s="54"/>
      <c r="DB300" s="54"/>
      <c r="DC300" s="54"/>
      <c r="DD300" s="54"/>
      <c r="DE300" s="54"/>
      <c r="DF300" s="54"/>
      <c r="DG300" s="54"/>
      <c r="DH300" s="54"/>
      <c r="DI300" s="54"/>
      <c r="DJ300" s="54"/>
      <c r="DK300" s="54"/>
      <c r="DL300" s="54"/>
      <c r="DM300" s="54"/>
      <c r="DN300" s="54"/>
      <c r="DO300" s="54"/>
      <c r="DP300" s="54"/>
      <c r="DQ300" s="54"/>
      <c r="DR300" s="54"/>
      <c r="DS300" s="54"/>
      <c r="DT300" s="54"/>
      <c r="DU300" s="54"/>
      <c r="DV300" s="54"/>
      <c r="DW300" s="54"/>
      <c r="DX300" s="54"/>
      <c r="DY300" s="54"/>
      <c r="DZ300" s="54"/>
      <c r="EA300" s="54"/>
      <c r="EB300" s="54"/>
      <c r="EC300" s="54"/>
      <c r="ED300" s="54"/>
      <c r="EE300" s="54"/>
      <c r="EF300" s="54"/>
      <c r="EG300" s="54"/>
      <c r="EH300" s="54"/>
      <c r="EI300" s="54"/>
      <c r="EJ300" s="54"/>
      <c r="EK300" s="54"/>
      <c r="EL300" s="54"/>
      <c r="EM300" s="54"/>
      <c r="EN300" s="54"/>
      <c r="EO300" s="54"/>
      <c r="EP300" s="54"/>
      <c r="EQ300" s="54"/>
      <c r="ER300" s="54"/>
      <c r="ES300" s="54"/>
      <c r="ET300" s="54"/>
      <c r="EU300" s="54"/>
      <c r="EV300" s="54"/>
      <c r="EW300" s="54"/>
      <c r="EX300" s="54"/>
      <c r="EY300" s="54"/>
      <c r="EZ300" s="54"/>
      <c r="FA300" s="54"/>
      <c r="FB300" s="54"/>
      <c r="FC300" s="54"/>
      <c r="FD300" s="54"/>
      <c r="FE300" s="54"/>
      <c r="FF300" s="54"/>
      <c r="FG300" s="54"/>
      <c r="FH300" s="54"/>
      <c r="FI300" s="54"/>
      <c r="FJ300" s="54"/>
      <c r="FK300" s="54"/>
      <c r="FL300" s="54"/>
      <c r="FM300" s="54"/>
      <c r="FN300" s="54"/>
      <c r="FO300" s="54"/>
      <c r="FP300" s="54"/>
      <c r="FQ300" s="54"/>
      <c r="FR300" s="54"/>
      <c r="FS300" s="54"/>
      <c r="FT300" s="54"/>
      <c r="FU300" s="54"/>
      <c r="FV300" s="54"/>
      <c r="FW300" s="54"/>
      <c r="FX300" s="54"/>
      <c r="FY300" s="54"/>
      <c r="FZ300" s="54"/>
      <c r="GA300" s="54"/>
      <c r="GB300" s="54"/>
      <c r="GC300" s="54"/>
      <c r="GD300" s="54"/>
      <c r="GE300" s="54"/>
      <c r="GF300" s="54"/>
      <c r="GG300" s="54"/>
      <c r="GH300" s="54"/>
      <c r="GI300" s="54"/>
      <c r="GJ300" s="54"/>
      <c r="GK300" s="54"/>
      <c r="GL300" s="54"/>
      <c r="GM300" s="54"/>
      <c r="GN300" s="54"/>
      <c r="GO300" s="54"/>
      <c r="GP300" s="54"/>
      <c r="GQ300" s="54"/>
      <c r="GR300" s="54"/>
      <c r="GS300" s="54"/>
      <c r="GT300" s="54"/>
      <c r="GU300" s="54"/>
      <c r="GV300" s="54"/>
      <c r="GW300" s="54"/>
      <c r="GX300" s="54"/>
      <c r="GY300" s="54"/>
      <c r="GZ300" s="54"/>
      <c r="HA300" s="54"/>
      <c r="HB300" s="54"/>
      <c r="HC300" s="54"/>
      <c r="HD300" s="54"/>
      <c r="HE300" s="54"/>
      <c r="HF300" s="54"/>
      <c r="HG300" s="54"/>
      <c r="HH300" s="54"/>
      <c r="HI300" s="54"/>
      <c r="HJ300" s="54"/>
      <c r="HK300" s="54"/>
      <c r="HL300" s="54"/>
      <c r="HM300" s="54"/>
      <c r="HN300" s="54"/>
      <c r="HO300" s="54"/>
      <c r="HP300" s="54"/>
      <c r="HQ300" s="54"/>
      <c r="HR300" s="54"/>
      <c r="HS300" s="54"/>
      <c r="HT300" s="54"/>
      <c r="HU300" s="54"/>
      <c r="HV300" s="54"/>
      <c r="HW300" s="54"/>
      <c r="HX300" s="54"/>
      <c r="HY300" s="54"/>
      <c r="HZ300" s="54"/>
      <c r="IA300" s="54"/>
      <c r="IB300" s="54"/>
      <c r="IC300" s="54"/>
      <c r="ID300" s="54"/>
      <c r="IE300" s="54"/>
      <c r="IF300" s="54"/>
      <c r="IG300" s="54"/>
      <c r="IH300" s="54"/>
      <c r="II300" s="54"/>
      <c r="IJ300" s="54"/>
      <c r="IK300" s="54"/>
      <c r="IL300" s="54"/>
      <c r="IM300" s="54"/>
      <c r="IN300" s="54"/>
      <c r="IO300" s="54"/>
      <c r="IP300" s="54"/>
      <c r="IQ300" s="54"/>
      <c r="IR300" s="54"/>
      <c r="IS300" s="54"/>
      <c r="IT300" s="54"/>
      <c r="IU300" s="54"/>
      <c r="IV300" s="54"/>
      <c r="IW300" s="54"/>
      <c r="IX300" s="54"/>
      <c r="IY300" s="54"/>
      <c r="IZ300" s="54"/>
      <c r="JA300" s="54"/>
      <c r="JB300" s="54"/>
      <c r="JC300" s="54"/>
      <c r="JD300" s="54"/>
      <c r="JE300" s="54"/>
      <c r="JF300" s="54"/>
      <c r="JG300" s="54"/>
      <c r="JH300" s="54"/>
      <c r="JI300" s="54"/>
      <c r="JJ300" s="54"/>
      <c r="JK300" s="54"/>
      <c r="JL300" s="54"/>
      <c r="JM300" s="54"/>
      <c r="JN300" s="54"/>
      <c r="JO300" s="54"/>
      <c r="JP300" s="54"/>
      <c r="JQ300" s="54"/>
      <c r="JR300" s="54"/>
      <c r="JS300" s="54"/>
      <c r="JT300" s="54"/>
      <c r="JU300" s="54"/>
      <c r="JV300" s="54"/>
      <c r="JW300" s="54"/>
      <c r="JX300" s="54"/>
      <c r="JY300" s="54"/>
      <c r="JZ300" s="54"/>
      <c r="KA300" s="54"/>
      <c r="KB300" s="54"/>
      <c r="KC300" s="54"/>
      <c r="KD300" s="54"/>
      <c r="KE300" s="54"/>
      <c r="KF300" s="54"/>
      <c r="KG300" s="54"/>
      <c r="KH300" s="54"/>
      <c r="KI300" s="54"/>
      <c r="KJ300" s="54"/>
      <c r="KK300" s="54"/>
      <c r="KL300" s="54"/>
      <c r="KM300" s="54"/>
      <c r="KN300" s="54"/>
      <c r="KO300" s="54"/>
      <c r="KP300" s="54"/>
      <c r="KQ300" s="54"/>
      <c r="KR300" s="54"/>
      <c r="KS300" s="54"/>
      <c r="KT300" s="54"/>
      <c r="KU300" s="54"/>
      <c r="KV300" s="54"/>
      <c r="KW300" s="54"/>
      <c r="KX300" s="54"/>
      <c r="KY300" s="54"/>
      <c r="KZ300" s="54"/>
      <c r="LA300" s="54"/>
      <c r="LB300" s="54"/>
      <c r="LC300" s="54"/>
      <c r="LD300" s="54"/>
      <c r="LE300" s="54"/>
      <c r="LF300" s="54"/>
      <c r="LG300" s="54"/>
      <c r="LH300" s="54"/>
      <c r="LI300" s="54"/>
      <c r="LJ300" s="54"/>
      <c r="LK300" s="54"/>
      <c r="LL300" s="54"/>
      <c r="LM300" s="54"/>
      <c r="LN300" s="54"/>
      <c r="LO300" s="54"/>
      <c r="LP300" s="54"/>
      <c r="LQ300" s="54"/>
      <c r="LR300" s="54"/>
      <c r="LS300" s="54"/>
      <c r="LT300" s="54"/>
      <c r="LU300" s="54"/>
      <c r="LV300" s="54"/>
      <c r="LW300" s="54"/>
      <c r="LX300" s="54"/>
      <c r="LY300" s="54"/>
      <c r="LZ300" s="54"/>
      <c r="MA300" s="54"/>
      <c r="MB300" s="54"/>
      <c r="MC300" s="54"/>
      <c r="MD300" s="54"/>
      <c r="ME300" s="54"/>
      <c r="MF300" s="54"/>
      <c r="MG300" s="54"/>
      <c r="MH300" s="54"/>
      <c r="MI300" s="54"/>
      <c r="MJ300" s="54"/>
      <c r="MK300" s="54"/>
      <c r="ML300" s="54"/>
      <c r="MM300" s="54"/>
      <c r="MN300" s="54"/>
      <c r="MO300" s="54"/>
      <c r="MP300" s="54"/>
      <c r="MQ300" s="54"/>
      <c r="MR300" s="54"/>
      <c r="MS300" s="54"/>
      <c r="MT300" s="54"/>
      <c r="MU300" s="54"/>
      <c r="MV300" s="54"/>
      <c r="MW300" s="54"/>
      <c r="MX300" s="54"/>
      <c r="MY300" s="54"/>
      <c r="MZ300" s="54"/>
      <c r="NA300" s="54"/>
      <c r="NB300" s="54"/>
      <c r="NC300" s="54"/>
      <c r="ND300" s="54"/>
      <c r="NE300" s="54"/>
      <c r="NF300" s="54"/>
      <c r="NG300" s="54"/>
      <c r="NH300" s="54"/>
      <c r="NI300" s="54"/>
      <c r="NJ300" s="54"/>
      <c r="NK300" s="54"/>
      <c r="NL300" s="54"/>
      <c r="NM300" s="54"/>
      <c r="NN300" s="54"/>
      <c r="NO300" s="54"/>
      <c r="NP300" s="54"/>
      <c r="NQ300" s="54"/>
      <c r="NR300" s="54"/>
      <c r="NS300" s="54"/>
      <c r="NT300" s="54"/>
      <c r="NU300" s="54"/>
      <c r="NV300" s="54"/>
      <c r="NW300" s="54"/>
      <c r="NX300" s="54"/>
      <c r="NY300" s="54"/>
      <c r="NZ300" s="54"/>
      <c r="OA300" s="54"/>
      <c r="OB300" s="54"/>
      <c r="OC300" s="54"/>
      <c r="OD300" s="54"/>
      <c r="OE300" s="54"/>
      <c r="OF300" s="54"/>
      <c r="OG300" s="54"/>
      <c r="OH300" s="54"/>
      <c r="OI300" s="54"/>
      <c r="OJ300" s="54"/>
      <c r="OK300" s="54"/>
      <c r="OL300" s="54"/>
      <c r="OM300" s="54"/>
      <c r="ON300" s="54"/>
      <c r="OO300" s="54"/>
      <c r="OP300" s="54"/>
      <c r="OQ300" s="54"/>
      <c r="OR300" s="54"/>
      <c r="OS300" s="54"/>
      <c r="OT300" s="54"/>
      <c r="OU300" s="54"/>
      <c r="OV300" s="54"/>
      <c r="OW300" s="54"/>
      <c r="OX300" s="54"/>
      <c r="OY300" s="54"/>
      <c r="OZ300" s="54"/>
      <c r="PA300" s="54"/>
      <c r="PB300" s="54"/>
      <c r="PC300" s="54"/>
      <c r="PD300" s="54"/>
      <c r="PE300" s="54"/>
      <c r="PF300" s="54"/>
      <c r="PG300" s="54"/>
      <c r="PH300" s="54"/>
      <c r="PI300" s="54"/>
      <c r="PJ300" s="54"/>
      <c r="PK300" s="54"/>
      <c r="PL300" s="54"/>
      <c r="PM300" s="54"/>
      <c r="PN300" s="54"/>
      <c r="PO300" s="54"/>
      <c r="PP300" s="54"/>
      <c r="PQ300" s="54"/>
      <c r="PR300" s="54"/>
      <c r="PS300" s="54"/>
      <c r="PT300" s="54"/>
      <c r="PU300" s="54"/>
      <c r="PV300" s="54"/>
      <c r="PW300" s="54"/>
      <c r="PX300" s="54"/>
      <c r="PY300" s="54"/>
      <c r="PZ300" s="54"/>
      <c r="QA300" s="54"/>
      <c r="QB300" s="54"/>
      <c r="QC300" s="54"/>
      <c r="QD300" s="54"/>
      <c r="QE300" s="54"/>
      <c r="QF300" s="54"/>
      <c r="QG300" s="54"/>
      <c r="QH300" s="54"/>
      <c r="QI300" s="54"/>
      <c r="QJ300" s="54"/>
      <c r="QK300" s="54"/>
      <c r="QL300" s="54"/>
      <c r="QM300" s="54"/>
      <c r="QN300" s="54"/>
      <c r="QO300" s="54"/>
      <c r="QP300" s="54"/>
      <c r="QQ300" s="54"/>
      <c r="QR300" s="54"/>
      <c r="QS300" s="54"/>
      <c r="QT300" s="54"/>
      <c r="QU300" s="54"/>
      <c r="QV300" s="54"/>
      <c r="QW300" s="54"/>
      <c r="QX300" s="54"/>
      <c r="QY300" s="54"/>
      <c r="QZ300" s="54"/>
      <c r="RA300" s="54"/>
      <c r="RB300" s="54"/>
      <c r="RC300" s="54"/>
      <c r="RD300" s="54"/>
      <c r="RE300" s="54"/>
      <c r="RF300" s="54"/>
      <c r="RG300" s="54"/>
      <c r="RH300" s="54"/>
      <c r="RI300" s="54"/>
      <c r="RJ300" s="54"/>
      <c r="RK300" s="54"/>
      <c r="RL300" s="54"/>
      <c r="RM300" s="54"/>
      <c r="RN300" s="54"/>
      <c r="RO300" s="54"/>
      <c r="RP300" s="54"/>
      <c r="RQ300" s="54"/>
      <c r="RR300" s="54"/>
      <c r="RS300" s="54"/>
      <c r="RT300" s="54"/>
      <c r="RU300" s="54"/>
      <c r="RV300" s="54"/>
      <c r="RW300" s="54"/>
      <c r="RX300" s="54"/>
      <c r="RY300" s="54"/>
      <c r="RZ300" s="54"/>
      <c r="SA300" s="54"/>
      <c r="SB300" s="54"/>
      <c r="SC300" s="54"/>
      <c r="SD300" s="54"/>
      <c r="SE300" s="54"/>
      <c r="SF300" s="54"/>
      <c r="SG300" s="54"/>
      <c r="SH300" s="54"/>
      <c r="SI300" s="54"/>
      <c r="SJ300" s="54"/>
      <c r="SK300" s="54"/>
      <c r="SL300" s="54"/>
      <c r="SM300" s="54"/>
      <c r="SN300" s="54"/>
      <c r="SO300" s="54"/>
      <c r="SP300" s="54"/>
      <c r="SQ300" s="54"/>
      <c r="SR300" s="54"/>
    </row>
    <row r="301" spans="1:512" s="55" customFormat="1" ht="15" customHeight="1" x14ac:dyDescent="0.7">
      <c r="A301" s="173"/>
      <c r="B301" s="173"/>
      <c r="C301" s="173"/>
      <c r="D301" s="173"/>
      <c r="E301" s="173"/>
      <c r="F301" s="173"/>
      <c r="G301" s="173"/>
      <c r="H301" s="74"/>
      <c r="I301" s="75"/>
      <c r="J301" s="76"/>
      <c r="K301" s="191"/>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c r="CA301" s="56"/>
      <c r="CB301" s="56"/>
      <c r="CC301" s="56"/>
      <c r="CD301" s="56"/>
      <c r="CE301" s="56"/>
      <c r="CF301" s="56"/>
      <c r="CG301" s="56"/>
      <c r="CH301" s="56"/>
      <c r="CI301" s="56"/>
      <c r="CJ301" s="56"/>
      <c r="CK301" s="56"/>
      <c r="CL301" s="56"/>
      <c r="CM301" s="56"/>
      <c r="CN301" s="56"/>
      <c r="CO301" s="56"/>
      <c r="CP301" s="56"/>
      <c r="CQ301" s="56"/>
      <c r="CR301" s="56"/>
      <c r="CS301" s="56"/>
      <c r="CT301" s="56"/>
      <c r="CU301" s="56"/>
      <c r="CV301" s="56"/>
      <c r="CW301" s="56"/>
      <c r="CX301" s="56"/>
      <c r="CY301" s="56"/>
      <c r="CZ301" s="56"/>
      <c r="DA301" s="56"/>
      <c r="DB301" s="56"/>
      <c r="DC301" s="56"/>
      <c r="DD301" s="56"/>
      <c r="DE301" s="56"/>
      <c r="DF301" s="56"/>
      <c r="DG301" s="56"/>
      <c r="DH301" s="56"/>
      <c r="DI301" s="56"/>
      <c r="DJ301" s="56"/>
      <c r="DK301" s="56"/>
      <c r="DL301" s="56"/>
      <c r="DM301" s="56"/>
      <c r="DN301" s="56"/>
      <c r="DO301" s="56"/>
      <c r="DP301" s="56"/>
      <c r="DQ301" s="56"/>
      <c r="DR301" s="56"/>
      <c r="DS301" s="56"/>
      <c r="DT301" s="56"/>
      <c r="DU301" s="56"/>
      <c r="DV301" s="56"/>
      <c r="DW301" s="56"/>
      <c r="DX301" s="56"/>
      <c r="DY301" s="56"/>
      <c r="DZ301" s="56"/>
      <c r="EA301" s="56"/>
      <c r="EB301" s="56"/>
      <c r="EC301" s="56"/>
      <c r="ED301" s="56"/>
      <c r="EE301" s="56"/>
      <c r="EF301" s="56"/>
      <c r="EG301" s="56"/>
      <c r="EH301" s="56"/>
      <c r="EI301" s="56"/>
      <c r="EJ301" s="56"/>
      <c r="EK301" s="56"/>
      <c r="EL301" s="56"/>
      <c r="EM301" s="56"/>
      <c r="EN301" s="56"/>
      <c r="EO301" s="56"/>
      <c r="EP301" s="56"/>
      <c r="EQ301" s="56"/>
      <c r="ER301" s="56"/>
      <c r="ES301" s="56"/>
      <c r="ET301" s="56"/>
      <c r="EU301" s="56"/>
      <c r="EV301" s="56"/>
      <c r="EW301" s="56"/>
      <c r="EX301" s="56"/>
      <c r="EY301" s="56"/>
      <c r="EZ301" s="56"/>
      <c r="FA301" s="56"/>
      <c r="FB301" s="56"/>
      <c r="FC301" s="56"/>
      <c r="FD301" s="56"/>
      <c r="FE301" s="56"/>
      <c r="FF301" s="56"/>
      <c r="FG301" s="56"/>
      <c r="FH301" s="56"/>
      <c r="FI301" s="56"/>
      <c r="FJ301" s="56"/>
      <c r="FK301" s="56"/>
      <c r="FL301" s="56"/>
      <c r="FM301" s="56"/>
      <c r="FN301" s="56"/>
      <c r="FO301" s="56"/>
      <c r="FP301" s="56"/>
      <c r="FQ301" s="56"/>
      <c r="FR301" s="56"/>
      <c r="FS301" s="56"/>
      <c r="FT301" s="56"/>
      <c r="FU301" s="56"/>
      <c r="FV301" s="56"/>
      <c r="FW301" s="56"/>
      <c r="FX301" s="56"/>
      <c r="FY301" s="56"/>
      <c r="FZ301" s="56"/>
      <c r="GA301" s="56"/>
      <c r="GB301" s="56"/>
      <c r="GC301" s="56"/>
      <c r="GD301" s="56"/>
      <c r="GE301" s="56"/>
      <c r="GF301" s="56"/>
      <c r="GG301" s="56"/>
      <c r="GH301" s="56"/>
      <c r="GI301" s="56"/>
      <c r="GJ301" s="56"/>
      <c r="GK301" s="56"/>
      <c r="GL301" s="56"/>
      <c r="GM301" s="56"/>
      <c r="GN301" s="56"/>
      <c r="GO301" s="56"/>
      <c r="GP301" s="56"/>
      <c r="GQ301" s="56"/>
      <c r="GR301" s="56"/>
      <c r="GS301" s="56"/>
      <c r="GT301" s="56"/>
      <c r="GU301" s="56"/>
      <c r="GV301" s="56"/>
      <c r="GW301" s="56"/>
      <c r="GX301" s="56"/>
      <c r="GY301" s="56"/>
      <c r="GZ301" s="56"/>
      <c r="HA301" s="56"/>
      <c r="HB301" s="56"/>
      <c r="HC301" s="56"/>
      <c r="HD301" s="56"/>
      <c r="HE301" s="56"/>
      <c r="HF301" s="56"/>
      <c r="HG301" s="56"/>
      <c r="HH301" s="56"/>
      <c r="HI301" s="56"/>
      <c r="HJ301" s="56"/>
      <c r="HK301" s="56"/>
      <c r="HL301" s="56"/>
      <c r="HM301" s="56"/>
      <c r="HN301" s="56"/>
      <c r="HO301" s="56"/>
      <c r="HP301" s="56"/>
      <c r="HQ301" s="56"/>
      <c r="HR301" s="56"/>
      <c r="HS301" s="56"/>
      <c r="HT301" s="56"/>
      <c r="HU301" s="56"/>
      <c r="HV301" s="56"/>
      <c r="HW301" s="56"/>
      <c r="HX301" s="56"/>
      <c r="HY301" s="56"/>
      <c r="HZ301" s="56"/>
      <c r="IA301" s="56"/>
      <c r="IB301" s="56"/>
      <c r="IC301" s="56"/>
      <c r="ID301" s="56"/>
      <c r="IE301" s="56"/>
      <c r="IF301" s="56"/>
      <c r="IG301" s="56"/>
      <c r="IH301" s="56"/>
      <c r="II301" s="56"/>
      <c r="IJ301" s="56"/>
      <c r="IK301" s="56"/>
      <c r="IL301" s="56"/>
      <c r="IM301" s="56"/>
      <c r="IN301" s="56"/>
      <c r="IO301" s="56"/>
      <c r="IP301" s="56"/>
      <c r="IQ301" s="56"/>
      <c r="IR301" s="56"/>
      <c r="IS301" s="56"/>
      <c r="IT301" s="56"/>
      <c r="IU301" s="56"/>
      <c r="IV301" s="56"/>
      <c r="IW301" s="56"/>
      <c r="IX301" s="56"/>
      <c r="IY301" s="56"/>
      <c r="IZ301" s="56"/>
      <c r="JA301" s="56"/>
      <c r="JB301" s="56"/>
      <c r="JC301" s="56"/>
      <c r="JD301" s="56"/>
      <c r="JE301" s="56"/>
      <c r="JF301" s="56"/>
      <c r="JG301" s="56"/>
      <c r="JH301" s="56"/>
      <c r="JI301" s="56"/>
      <c r="JJ301" s="56"/>
      <c r="JK301" s="56"/>
      <c r="JL301" s="56"/>
      <c r="JM301" s="56"/>
      <c r="JN301" s="56"/>
      <c r="JO301" s="56"/>
      <c r="JP301" s="56"/>
      <c r="JQ301" s="56"/>
      <c r="JR301" s="56"/>
      <c r="JS301" s="56"/>
      <c r="JT301" s="56"/>
      <c r="JU301" s="56"/>
      <c r="JV301" s="56"/>
      <c r="JW301" s="56"/>
      <c r="JX301" s="56"/>
      <c r="JY301" s="56"/>
      <c r="JZ301" s="56"/>
      <c r="KA301" s="56"/>
      <c r="KB301" s="56"/>
      <c r="KC301" s="56"/>
      <c r="KD301" s="56"/>
      <c r="KE301" s="56"/>
      <c r="KF301" s="56"/>
      <c r="KG301" s="56"/>
      <c r="KH301" s="56"/>
      <c r="KI301" s="56"/>
      <c r="KJ301" s="56"/>
      <c r="KK301" s="56"/>
      <c r="KL301" s="56"/>
      <c r="KM301" s="56"/>
      <c r="KN301" s="56"/>
      <c r="KO301" s="56"/>
      <c r="KP301" s="56"/>
      <c r="KQ301" s="56"/>
      <c r="KR301" s="56"/>
      <c r="KS301" s="56"/>
      <c r="KT301" s="56"/>
      <c r="KU301" s="56"/>
      <c r="KV301" s="56"/>
      <c r="KW301" s="56"/>
      <c r="KX301" s="56"/>
      <c r="KY301" s="56"/>
      <c r="KZ301" s="56"/>
      <c r="LA301" s="56"/>
      <c r="LB301" s="56"/>
      <c r="LC301" s="56"/>
      <c r="LD301" s="56"/>
      <c r="LE301" s="56"/>
      <c r="LF301" s="56"/>
      <c r="LG301" s="56"/>
      <c r="LH301" s="56"/>
      <c r="LI301" s="56"/>
      <c r="LJ301" s="56"/>
      <c r="LK301" s="56"/>
      <c r="LL301" s="56"/>
      <c r="LM301" s="56"/>
      <c r="LN301" s="56"/>
      <c r="LO301" s="56"/>
      <c r="LP301" s="56"/>
      <c r="LQ301" s="56"/>
      <c r="LR301" s="56"/>
      <c r="LS301" s="56"/>
      <c r="LT301" s="56"/>
      <c r="LU301" s="56"/>
      <c r="LV301" s="56"/>
      <c r="LW301" s="56"/>
      <c r="LX301" s="56"/>
      <c r="LY301" s="56"/>
      <c r="LZ301" s="56"/>
      <c r="MA301" s="56"/>
      <c r="MB301" s="56"/>
      <c r="MC301" s="56"/>
      <c r="MD301" s="56"/>
      <c r="ME301" s="56"/>
      <c r="MF301" s="56"/>
      <c r="MG301" s="56"/>
      <c r="MH301" s="56"/>
      <c r="MI301" s="56"/>
      <c r="MJ301" s="56"/>
      <c r="MK301" s="56"/>
      <c r="ML301" s="56"/>
      <c r="MM301" s="56"/>
      <c r="MN301" s="56"/>
      <c r="MO301" s="56"/>
      <c r="MP301" s="56"/>
      <c r="MQ301" s="56"/>
      <c r="MR301" s="56"/>
      <c r="MS301" s="56"/>
      <c r="MT301" s="56"/>
      <c r="MU301" s="56"/>
      <c r="MV301" s="56"/>
      <c r="MW301" s="56"/>
      <c r="MX301" s="56"/>
      <c r="MY301" s="56"/>
      <c r="MZ301" s="56"/>
      <c r="NA301" s="56"/>
      <c r="NB301" s="56"/>
      <c r="NC301" s="56"/>
      <c r="ND301" s="56"/>
      <c r="NE301" s="56"/>
      <c r="NF301" s="56"/>
      <c r="NG301" s="56"/>
      <c r="NH301" s="56"/>
      <c r="NI301" s="56"/>
      <c r="NJ301" s="56"/>
      <c r="NK301" s="56"/>
      <c r="NL301" s="56"/>
      <c r="NM301" s="56"/>
      <c r="NN301" s="56"/>
      <c r="NO301" s="56"/>
      <c r="NP301" s="56"/>
      <c r="NQ301" s="56"/>
      <c r="NR301" s="56"/>
      <c r="NS301" s="56"/>
      <c r="NT301" s="56"/>
      <c r="NU301" s="56"/>
      <c r="NV301" s="56"/>
      <c r="NW301" s="56"/>
      <c r="NX301" s="56"/>
      <c r="NY301" s="56"/>
      <c r="NZ301" s="56"/>
      <c r="OA301" s="56"/>
      <c r="OB301" s="56"/>
      <c r="OC301" s="56"/>
      <c r="OD301" s="56"/>
      <c r="OE301" s="56"/>
      <c r="OF301" s="56"/>
      <c r="OG301" s="56"/>
      <c r="OH301" s="56"/>
      <c r="OI301" s="56"/>
      <c r="OJ301" s="56"/>
      <c r="OK301" s="56"/>
      <c r="OL301" s="56"/>
      <c r="OM301" s="56"/>
      <c r="ON301" s="56"/>
      <c r="OO301" s="56"/>
      <c r="OP301" s="56"/>
      <c r="OQ301" s="56"/>
      <c r="OR301" s="56"/>
      <c r="OS301" s="56"/>
      <c r="OT301" s="56"/>
      <c r="OU301" s="56"/>
      <c r="OV301" s="56"/>
      <c r="OW301" s="56"/>
      <c r="OX301" s="56"/>
      <c r="OY301" s="56"/>
      <c r="OZ301" s="56"/>
      <c r="PA301" s="56"/>
      <c r="PB301" s="56"/>
      <c r="PC301" s="56"/>
      <c r="PD301" s="56"/>
      <c r="PE301" s="56"/>
      <c r="PF301" s="56"/>
      <c r="PG301" s="56"/>
      <c r="PH301" s="56"/>
      <c r="PI301" s="56"/>
      <c r="PJ301" s="56"/>
      <c r="PK301" s="56"/>
      <c r="PL301" s="56"/>
      <c r="PM301" s="56"/>
      <c r="PN301" s="56"/>
      <c r="PO301" s="56"/>
      <c r="PP301" s="56"/>
      <c r="PQ301" s="56"/>
      <c r="PR301" s="56"/>
      <c r="PS301" s="56"/>
      <c r="PT301" s="56"/>
      <c r="PU301" s="56"/>
      <c r="PV301" s="56"/>
      <c r="PW301" s="56"/>
      <c r="PX301" s="56"/>
      <c r="PY301" s="56"/>
      <c r="PZ301" s="56"/>
      <c r="QA301" s="56"/>
      <c r="QB301" s="56"/>
      <c r="QC301" s="56"/>
      <c r="QD301" s="56"/>
      <c r="QE301" s="56"/>
      <c r="QF301" s="56"/>
      <c r="QG301" s="56"/>
      <c r="QH301" s="56"/>
      <c r="QI301" s="56"/>
      <c r="QJ301" s="56"/>
      <c r="QK301" s="56"/>
      <c r="QL301" s="56"/>
      <c r="QM301" s="56"/>
      <c r="QN301" s="56"/>
      <c r="QO301" s="56"/>
      <c r="QP301" s="56"/>
      <c r="QQ301" s="56"/>
      <c r="QR301" s="56"/>
      <c r="QS301" s="56"/>
      <c r="QT301" s="56"/>
      <c r="QU301" s="56"/>
      <c r="QV301" s="56"/>
      <c r="QW301" s="56"/>
      <c r="QX301" s="56"/>
      <c r="QY301" s="56"/>
      <c r="QZ301" s="56"/>
      <c r="RA301" s="56"/>
      <c r="RB301" s="56"/>
      <c r="RC301" s="56"/>
      <c r="RD301" s="56"/>
      <c r="RE301" s="56"/>
      <c r="RF301" s="56"/>
      <c r="RG301" s="56"/>
      <c r="RH301" s="56"/>
      <c r="RI301" s="56"/>
      <c r="RJ301" s="56"/>
      <c r="RK301" s="56"/>
      <c r="RL301" s="56"/>
      <c r="RM301" s="56"/>
      <c r="RN301" s="56"/>
      <c r="RO301" s="56"/>
      <c r="RP301" s="56"/>
      <c r="RQ301" s="56"/>
      <c r="RR301" s="56"/>
      <c r="RS301" s="56"/>
      <c r="RT301" s="56"/>
      <c r="RU301" s="56"/>
      <c r="RV301" s="56"/>
      <c r="RW301" s="56"/>
      <c r="RX301" s="56"/>
      <c r="RY301" s="56"/>
      <c r="RZ301" s="56"/>
      <c r="SA301" s="56"/>
      <c r="SB301" s="56"/>
      <c r="SC301" s="56"/>
      <c r="SD301" s="56"/>
      <c r="SE301" s="56"/>
      <c r="SF301" s="56"/>
      <c r="SG301" s="56"/>
      <c r="SH301" s="56"/>
      <c r="SI301" s="56"/>
      <c r="SJ301" s="56"/>
      <c r="SK301" s="56"/>
      <c r="SL301" s="56"/>
      <c r="SM301" s="56"/>
      <c r="SN301" s="56"/>
      <c r="SO301" s="56"/>
      <c r="SP301" s="56"/>
      <c r="SQ301" s="56"/>
      <c r="SR301" s="56"/>
    </row>
    <row r="302" spans="1:512" ht="15" customHeight="1" x14ac:dyDescent="0.7">
      <c r="A302" s="171" t="s">
        <v>344</v>
      </c>
      <c r="B302" s="171" t="s">
        <v>344</v>
      </c>
      <c r="C302" s="171" t="s">
        <v>344</v>
      </c>
      <c r="D302" s="171"/>
      <c r="E302" s="171" t="s">
        <v>344</v>
      </c>
      <c r="F302" s="171"/>
      <c r="G302" s="188" t="s">
        <v>344</v>
      </c>
      <c r="H302" s="71" t="s">
        <v>344</v>
      </c>
      <c r="I302" s="72" t="s">
        <v>344</v>
      </c>
      <c r="J302" s="73" t="s">
        <v>344</v>
      </c>
      <c r="K302" s="189" t="s">
        <v>344</v>
      </c>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c r="BU302" s="54"/>
      <c r="BV302" s="54"/>
      <c r="BW302" s="54"/>
      <c r="BX302" s="54"/>
      <c r="BY302" s="54"/>
      <c r="BZ302" s="54"/>
      <c r="CA302" s="54"/>
      <c r="CB302" s="54"/>
      <c r="CC302" s="54"/>
      <c r="CD302" s="54"/>
      <c r="CE302" s="54"/>
      <c r="CF302" s="54"/>
      <c r="CG302" s="54"/>
      <c r="CH302" s="54"/>
      <c r="CI302" s="54"/>
      <c r="CJ302" s="54"/>
      <c r="CK302" s="54"/>
      <c r="CL302" s="54"/>
      <c r="CM302" s="54"/>
      <c r="CN302" s="54"/>
      <c r="CO302" s="54"/>
      <c r="CP302" s="54"/>
      <c r="CQ302" s="54"/>
      <c r="CR302" s="54"/>
      <c r="CS302" s="54"/>
      <c r="CT302" s="54"/>
      <c r="CU302" s="54"/>
      <c r="CV302" s="54"/>
      <c r="CW302" s="54"/>
      <c r="CX302" s="54"/>
      <c r="CY302" s="54"/>
      <c r="CZ302" s="54"/>
      <c r="DA302" s="54"/>
      <c r="DB302" s="54"/>
      <c r="DC302" s="54"/>
      <c r="DD302" s="54"/>
      <c r="DE302" s="54"/>
      <c r="DF302" s="54"/>
      <c r="DG302" s="54"/>
      <c r="DH302" s="54"/>
      <c r="DI302" s="54"/>
      <c r="DJ302" s="54"/>
      <c r="DK302" s="54"/>
      <c r="DL302" s="54"/>
      <c r="DM302" s="54"/>
      <c r="DN302" s="54"/>
      <c r="DO302" s="54"/>
      <c r="DP302" s="54"/>
      <c r="DQ302" s="54"/>
      <c r="DR302" s="54"/>
      <c r="DS302" s="54"/>
      <c r="DT302" s="54"/>
      <c r="DU302" s="54"/>
      <c r="DV302" s="54"/>
      <c r="DW302" s="54"/>
      <c r="DX302" s="54"/>
      <c r="DY302" s="54"/>
      <c r="DZ302" s="54"/>
      <c r="EA302" s="54"/>
      <c r="EB302" s="54"/>
      <c r="EC302" s="54"/>
      <c r="ED302" s="54"/>
      <c r="EE302" s="54"/>
      <c r="EF302" s="54"/>
      <c r="EG302" s="54"/>
      <c r="EH302" s="54"/>
      <c r="EI302" s="54"/>
      <c r="EJ302" s="54"/>
      <c r="EK302" s="54"/>
      <c r="EL302" s="54"/>
      <c r="EM302" s="54"/>
      <c r="EN302" s="54"/>
      <c r="EO302" s="54"/>
      <c r="EP302" s="54"/>
      <c r="EQ302" s="54"/>
      <c r="ER302" s="54"/>
      <c r="ES302" s="54"/>
      <c r="ET302" s="54"/>
      <c r="EU302" s="54"/>
      <c r="EV302" s="54"/>
      <c r="EW302" s="54"/>
      <c r="EX302" s="54"/>
      <c r="EY302" s="54"/>
      <c r="EZ302" s="54"/>
      <c r="FA302" s="54"/>
      <c r="FB302" s="54"/>
      <c r="FC302" s="54"/>
      <c r="FD302" s="54"/>
      <c r="FE302" s="54"/>
      <c r="FF302" s="54"/>
      <c r="FG302" s="54"/>
      <c r="FH302" s="54"/>
      <c r="FI302" s="54"/>
      <c r="FJ302" s="54"/>
      <c r="FK302" s="54"/>
      <c r="FL302" s="54"/>
      <c r="FM302" s="54"/>
      <c r="FN302" s="54"/>
      <c r="FO302" s="54"/>
      <c r="FP302" s="54"/>
      <c r="FQ302" s="54"/>
      <c r="FR302" s="54"/>
      <c r="FS302" s="54"/>
      <c r="FT302" s="54"/>
      <c r="FU302" s="54"/>
      <c r="FV302" s="54"/>
      <c r="FW302" s="54"/>
      <c r="FX302" s="54"/>
      <c r="FY302" s="54"/>
      <c r="FZ302" s="54"/>
      <c r="GA302" s="54"/>
      <c r="GB302" s="54"/>
      <c r="GC302" s="54"/>
      <c r="GD302" s="54"/>
      <c r="GE302" s="54"/>
      <c r="GF302" s="54"/>
      <c r="GG302" s="54"/>
      <c r="GH302" s="54"/>
      <c r="GI302" s="54"/>
      <c r="GJ302" s="54"/>
      <c r="GK302" s="54"/>
      <c r="GL302" s="54"/>
      <c r="GM302" s="54"/>
      <c r="GN302" s="54"/>
      <c r="GO302" s="54"/>
      <c r="GP302" s="54"/>
      <c r="GQ302" s="54"/>
      <c r="GR302" s="54"/>
      <c r="GS302" s="54"/>
      <c r="GT302" s="54"/>
      <c r="GU302" s="54"/>
      <c r="GV302" s="54"/>
      <c r="GW302" s="54"/>
      <c r="GX302" s="54"/>
      <c r="GY302" s="54"/>
      <c r="GZ302" s="54"/>
      <c r="HA302" s="54"/>
      <c r="HB302" s="54"/>
      <c r="HC302" s="54"/>
      <c r="HD302" s="54"/>
      <c r="HE302" s="54"/>
      <c r="HF302" s="54"/>
      <c r="HG302" s="54"/>
      <c r="HH302" s="54"/>
      <c r="HI302" s="54"/>
      <c r="HJ302" s="54"/>
      <c r="HK302" s="54"/>
      <c r="HL302" s="54"/>
      <c r="HM302" s="54"/>
      <c r="HN302" s="54"/>
      <c r="HO302" s="54"/>
      <c r="HP302" s="54"/>
      <c r="HQ302" s="54"/>
      <c r="HR302" s="54"/>
      <c r="HS302" s="54"/>
      <c r="HT302" s="54"/>
      <c r="HU302" s="54"/>
      <c r="HV302" s="54"/>
      <c r="HW302" s="54"/>
      <c r="HX302" s="54"/>
      <c r="HY302" s="54"/>
      <c r="HZ302" s="54"/>
      <c r="IA302" s="54"/>
      <c r="IB302" s="54"/>
      <c r="IC302" s="54"/>
      <c r="ID302" s="54"/>
      <c r="IE302" s="54"/>
      <c r="IF302" s="54"/>
      <c r="IG302" s="54"/>
      <c r="IH302" s="54"/>
      <c r="II302" s="54"/>
      <c r="IJ302" s="54"/>
      <c r="IK302" s="54"/>
      <c r="IL302" s="54"/>
      <c r="IM302" s="54"/>
      <c r="IN302" s="54"/>
      <c r="IO302" s="54"/>
      <c r="IP302" s="54"/>
      <c r="IQ302" s="54"/>
      <c r="IR302" s="54"/>
      <c r="IS302" s="54"/>
      <c r="IT302" s="54"/>
      <c r="IU302" s="54"/>
      <c r="IV302" s="54"/>
      <c r="IW302" s="54"/>
      <c r="IX302" s="54"/>
      <c r="IY302" s="54"/>
      <c r="IZ302" s="54"/>
      <c r="JA302" s="54"/>
      <c r="JB302" s="54"/>
      <c r="JC302" s="54"/>
      <c r="JD302" s="54"/>
      <c r="JE302" s="54"/>
      <c r="JF302" s="54"/>
      <c r="JG302" s="54"/>
      <c r="JH302" s="54"/>
      <c r="JI302" s="54"/>
      <c r="JJ302" s="54"/>
      <c r="JK302" s="54"/>
      <c r="JL302" s="54"/>
      <c r="JM302" s="54"/>
      <c r="JN302" s="54"/>
      <c r="JO302" s="54"/>
      <c r="JP302" s="54"/>
      <c r="JQ302" s="54"/>
      <c r="JR302" s="54"/>
      <c r="JS302" s="54"/>
      <c r="JT302" s="54"/>
      <c r="JU302" s="54"/>
      <c r="JV302" s="54"/>
      <c r="JW302" s="54"/>
      <c r="JX302" s="54"/>
      <c r="JY302" s="54"/>
      <c r="JZ302" s="54"/>
      <c r="KA302" s="54"/>
      <c r="KB302" s="54"/>
      <c r="KC302" s="54"/>
      <c r="KD302" s="54"/>
      <c r="KE302" s="54"/>
      <c r="KF302" s="54"/>
      <c r="KG302" s="54"/>
      <c r="KH302" s="54"/>
      <c r="KI302" s="54"/>
      <c r="KJ302" s="54"/>
      <c r="KK302" s="54"/>
      <c r="KL302" s="54"/>
      <c r="KM302" s="54"/>
      <c r="KN302" s="54"/>
      <c r="KO302" s="54"/>
      <c r="KP302" s="54"/>
      <c r="KQ302" s="54"/>
      <c r="KR302" s="54"/>
      <c r="KS302" s="54"/>
      <c r="KT302" s="54"/>
      <c r="KU302" s="54"/>
      <c r="KV302" s="54"/>
      <c r="KW302" s="54"/>
      <c r="KX302" s="54"/>
      <c r="KY302" s="54"/>
      <c r="KZ302" s="54"/>
      <c r="LA302" s="54"/>
      <c r="LB302" s="54"/>
      <c r="LC302" s="54"/>
      <c r="LD302" s="54"/>
      <c r="LE302" s="54"/>
      <c r="LF302" s="54"/>
      <c r="LG302" s="54"/>
      <c r="LH302" s="54"/>
      <c r="LI302" s="54"/>
      <c r="LJ302" s="54"/>
      <c r="LK302" s="54"/>
      <c r="LL302" s="54"/>
      <c r="LM302" s="54"/>
      <c r="LN302" s="54"/>
      <c r="LO302" s="54"/>
      <c r="LP302" s="54"/>
      <c r="LQ302" s="54"/>
      <c r="LR302" s="54"/>
      <c r="LS302" s="54"/>
      <c r="LT302" s="54"/>
      <c r="LU302" s="54"/>
      <c r="LV302" s="54"/>
      <c r="LW302" s="54"/>
      <c r="LX302" s="54"/>
      <c r="LY302" s="54"/>
      <c r="LZ302" s="54"/>
      <c r="MA302" s="54"/>
      <c r="MB302" s="54"/>
      <c r="MC302" s="54"/>
      <c r="MD302" s="54"/>
      <c r="ME302" s="54"/>
      <c r="MF302" s="54"/>
      <c r="MG302" s="54"/>
      <c r="MH302" s="54"/>
      <c r="MI302" s="54"/>
      <c r="MJ302" s="54"/>
      <c r="MK302" s="54"/>
      <c r="ML302" s="54"/>
      <c r="MM302" s="54"/>
      <c r="MN302" s="54"/>
      <c r="MO302" s="54"/>
      <c r="MP302" s="54"/>
      <c r="MQ302" s="54"/>
      <c r="MR302" s="54"/>
      <c r="MS302" s="54"/>
      <c r="MT302" s="54"/>
      <c r="MU302" s="54"/>
      <c r="MV302" s="54"/>
      <c r="MW302" s="54"/>
      <c r="MX302" s="54"/>
      <c r="MY302" s="54"/>
      <c r="MZ302" s="54"/>
      <c r="NA302" s="54"/>
      <c r="NB302" s="54"/>
      <c r="NC302" s="54"/>
      <c r="ND302" s="54"/>
      <c r="NE302" s="54"/>
      <c r="NF302" s="54"/>
      <c r="NG302" s="54"/>
      <c r="NH302" s="54"/>
      <c r="NI302" s="54"/>
      <c r="NJ302" s="54"/>
      <c r="NK302" s="54"/>
      <c r="NL302" s="54"/>
      <c r="NM302" s="54"/>
      <c r="NN302" s="54"/>
      <c r="NO302" s="54"/>
      <c r="NP302" s="54"/>
      <c r="NQ302" s="54"/>
      <c r="NR302" s="54"/>
      <c r="NS302" s="54"/>
      <c r="NT302" s="54"/>
      <c r="NU302" s="54"/>
      <c r="NV302" s="54"/>
      <c r="NW302" s="54"/>
      <c r="NX302" s="54"/>
      <c r="NY302" s="54"/>
      <c r="NZ302" s="54"/>
      <c r="OA302" s="54"/>
      <c r="OB302" s="54"/>
      <c r="OC302" s="54"/>
      <c r="OD302" s="54"/>
      <c r="OE302" s="54"/>
      <c r="OF302" s="54"/>
      <c r="OG302" s="54"/>
      <c r="OH302" s="54"/>
      <c r="OI302" s="54"/>
      <c r="OJ302" s="54"/>
      <c r="OK302" s="54"/>
      <c r="OL302" s="54"/>
      <c r="OM302" s="54"/>
      <c r="ON302" s="54"/>
      <c r="OO302" s="54"/>
      <c r="OP302" s="54"/>
      <c r="OQ302" s="54"/>
      <c r="OR302" s="54"/>
      <c r="OS302" s="54"/>
      <c r="OT302" s="54"/>
      <c r="OU302" s="54"/>
      <c r="OV302" s="54"/>
      <c r="OW302" s="54"/>
      <c r="OX302" s="54"/>
      <c r="OY302" s="54"/>
      <c r="OZ302" s="54"/>
      <c r="PA302" s="54"/>
      <c r="PB302" s="54"/>
      <c r="PC302" s="54"/>
      <c r="PD302" s="54"/>
      <c r="PE302" s="54"/>
      <c r="PF302" s="54"/>
      <c r="PG302" s="54"/>
      <c r="PH302" s="54"/>
      <c r="PI302" s="54"/>
      <c r="PJ302" s="54"/>
      <c r="PK302" s="54"/>
      <c r="PL302" s="54"/>
      <c r="PM302" s="54"/>
      <c r="PN302" s="54"/>
      <c r="PO302" s="54"/>
      <c r="PP302" s="54"/>
      <c r="PQ302" s="54"/>
      <c r="PR302" s="54"/>
      <c r="PS302" s="54"/>
      <c r="PT302" s="54"/>
      <c r="PU302" s="54"/>
      <c r="PV302" s="54"/>
      <c r="PW302" s="54"/>
      <c r="PX302" s="54"/>
      <c r="PY302" s="54"/>
      <c r="PZ302" s="54"/>
      <c r="QA302" s="54"/>
      <c r="QB302" s="54"/>
      <c r="QC302" s="54"/>
      <c r="QD302" s="54"/>
      <c r="QE302" s="54"/>
      <c r="QF302" s="54"/>
      <c r="QG302" s="54"/>
      <c r="QH302" s="54"/>
      <c r="QI302" s="54"/>
      <c r="QJ302" s="54"/>
      <c r="QK302" s="54"/>
      <c r="QL302" s="54"/>
      <c r="QM302" s="54"/>
      <c r="QN302" s="54"/>
      <c r="QO302" s="54"/>
      <c r="QP302" s="54"/>
      <c r="QQ302" s="54"/>
      <c r="QR302" s="54"/>
      <c r="QS302" s="54"/>
      <c r="QT302" s="54"/>
      <c r="QU302" s="54"/>
      <c r="QV302" s="54"/>
      <c r="QW302" s="54"/>
      <c r="QX302" s="54"/>
      <c r="QY302" s="54"/>
      <c r="QZ302" s="54"/>
      <c r="RA302" s="54"/>
      <c r="RB302" s="54"/>
      <c r="RC302" s="54"/>
      <c r="RD302" s="54"/>
      <c r="RE302" s="54"/>
      <c r="RF302" s="54"/>
      <c r="RG302" s="54"/>
      <c r="RH302" s="54"/>
      <c r="RI302" s="54"/>
      <c r="RJ302" s="54"/>
      <c r="RK302" s="54"/>
      <c r="RL302" s="54"/>
      <c r="RM302" s="54"/>
      <c r="RN302" s="54"/>
      <c r="RO302" s="54"/>
      <c r="RP302" s="54"/>
      <c r="RQ302" s="54"/>
      <c r="RR302" s="54"/>
      <c r="RS302" s="54"/>
      <c r="RT302" s="54"/>
      <c r="RU302" s="54"/>
      <c r="RV302" s="54"/>
      <c r="RW302" s="54"/>
      <c r="RX302" s="54"/>
      <c r="RY302" s="54"/>
      <c r="RZ302" s="54"/>
      <c r="SA302" s="54"/>
      <c r="SB302" s="54"/>
      <c r="SC302" s="54"/>
      <c r="SD302" s="54"/>
      <c r="SE302" s="54"/>
      <c r="SF302" s="54"/>
      <c r="SG302" s="54"/>
      <c r="SH302" s="54"/>
      <c r="SI302" s="54"/>
      <c r="SJ302" s="54"/>
      <c r="SK302" s="54"/>
      <c r="SL302" s="54"/>
      <c r="SM302" s="54"/>
      <c r="SN302" s="54"/>
      <c r="SO302" s="54"/>
      <c r="SP302" s="54"/>
      <c r="SQ302" s="54"/>
      <c r="SR302" s="54"/>
    </row>
    <row r="303" spans="1:512" ht="15" customHeight="1" x14ac:dyDescent="0.7">
      <c r="A303" s="172"/>
      <c r="B303" s="172"/>
      <c r="C303" s="172"/>
      <c r="D303" s="172"/>
      <c r="E303" s="172"/>
      <c r="F303" s="172"/>
      <c r="G303" s="172"/>
      <c r="I303" s="72" t="s">
        <v>344</v>
      </c>
      <c r="J303" s="73" t="s">
        <v>344</v>
      </c>
      <c r="K303" s="190"/>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c r="BU303" s="54"/>
      <c r="BV303" s="54"/>
      <c r="BW303" s="54"/>
      <c r="BX303" s="54"/>
      <c r="BY303" s="54"/>
      <c r="BZ303" s="54"/>
      <c r="CA303" s="54"/>
      <c r="CB303" s="54"/>
      <c r="CC303" s="54"/>
      <c r="CD303" s="54"/>
      <c r="CE303" s="54"/>
      <c r="CF303" s="54"/>
      <c r="CG303" s="54"/>
      <c r="CH303" s="54"/>
      <c r="CI303" s="54"/>
      <c r="CJ303" s="54"/>
      <c r="CK303" s="54"/>
      <c r="CL303" s="54"/>
      <c r="CM303" s="54"/>
      <c r="CN303" s="54"/>
      <c r="CO303" s="54"/>
      <c r="CP303" s="54"/>
      <c r="CQ303" s="54"/>
      <c r="CR303" s="54"/>
      <c r="CS303" s="54"/>
      <c r="CT303" s="54"/>
      <c r="CU303" s="54"/>
      <c r="CV303" s="54"/>
      <c r="CW303" s="54"/>
      <c r="CX303" s="54"/>
      <c r="CY303" s="54"/>
      <c r="CZ303" s="54"/>
      <c r="DA303" s="54"/>
      <c r="DB303" s="54"/>
      <c r="DC303" s="54"/>
      <c r="DD303" s="54"/>
      <c r="DE303" s="54"/>
      <c r="DF303" s="54"/>
      <c r="DG303" s="54"/>
      <c r="DH303" s="54"/>
      <c r="DI303" s="54"/>
      <c r="DJ303" s="54"/>
      <c r="DK303" s="54"/>
      <c r="DL303" s="54"/>
      <c r="DM303" s="54"/>
      <c r="DN303" s="54"/>
      <c r="DO303" s="54"/>
      <c r="DP303" s="54"/>
      <c r="DQ303" s="54"/>
      <c r="DR303" s="54"/>
      <c r="DS303" s="54"/>
      <c r="DT303" s="54"/>
      <c r="DU303" s="54"/>
      <c r="DV303" s="54"/>
      <c r="DW303" s="54"/>
      <c r="DX303" s="54"/>
      <c r="DY303" s="54"/>
      <c r="DZ303" s="54"/>
      <c r="EA303" s="54"/>
      <c r="EB303" s="54"/>
      <c r="EC303" s="54"/>
      <c r="ED303" s="54"/>
      <c r="EE303" s="54"/>
      <c r="EF303" s="54"/>
      <c r="EG303" s="54"/>
      <c r="EH303" s="54"/>
      <c r="EI303" s="54"/>
      <c r="EJ303" s="54"/>
      <c r="EK303" s="54"/>
      <c r="EL303" s="54"/>
      <c r="EM303" s="54"/>
      <c r="EN303" s="54"/>
      <c r="EO303" s="54"/>
      <c r="EP303" s="54"/>
      <c r="EQ303" s="54"/>
      <c r="ER303" s="54"/>
      <c r="ES303" s="54"/>
      <c r="ET303" s="54"/>
      <c r="EU303" s="54"/>
      <c r="EV303" s="54"/>
      <c r="EW303" s="54"/>
      <c r="EX303" s="54"/>
      <c r="EY303" s="54"/>
      <c r="EZ303" s="54"/>
      <c r="FA303" s="54"/>
      <c r="FB303" s="54"/>
      <c r="FC303" s="54"/>
      <c r="FD303" s="54"/>
      <c r="FE303" s="54"/>
      <c r="FF303" s="54"/>
      <c r="FG303" s="54"/>
      <c r="FH303" s="54"/>
      <c r="FI303" s="54"/>
      <c r="FJ303" s="54"/>
      <c r="FK303" s="54"/>
      <c r="FL303" s="54"/>
      <c r="FM303" s="54"/>
      <c r="FN303" s="54"/>
      <c r="FO303" s="54"/>
      <c r="FP303" s="54"/>
      <c r="FQ303" s="54"/>
      <c r="FR303" s="54"/>
      <c r="FS303" s="54"/>
      <c r="FT303" s="54"/>
      <c r="FU303" s="54"/>
      <c r="FV303" s="54"/>
      <c r="FW303" s="54"/>
      <c r="FX303" s="54"/>
      <c r="FY303" s="54"/>
      <c r="FZ303" s="54"/>
      <c r="GA303" s="54"/>
      <c r="GB303" s="54"/>
      <c r="GC303" s="54"/>
      <c r="GD303" s="54"/>
      <c r="GE303" s="54"/>
      <c r="GF303" s="54"/>
      <c r="GG303" s="54"/>
      <c r="GH303" s="54"/>
      <c r="GI303" s="54"/>
      <c r="GJ303" s="54"/>
      <c r="GK303" s="54"/>
      <c r="GL303" s="54"/>
      <c r="GM303" s="54"/>
      <c r="GN303" s="54"/>
      <c r="GO303" s="54"/>
      <c r="GP303" s="54"/>
      <c r="GQ303" s="54"/>
      <c r="GR303" s="54"/>
      <c r="GS303" s="54"/>
      <c r="GT303" s="54"/>
      <c r="GU303" s="54"/>
      <c r="GV303" s="54"/>
      <c r="GW303" s="54"/>
      <c r="GX303" s="54"/>
      <c r="GY303" s="54"/>
      <c r="GZ303" s="54"/>
      <c r="HA303" s="54"/>
      <c r="HB303" s="54"/>
      <c r="HC303" s="54"/>
      <c r="HD303" s="54"/>
      <c r="HE303" s="54"/>
      <c r="HF303" s="54"/>
      <c r="HG303" s="54"/>
      <c r="HH303" s="54"/>
      <c r="HI303" s="54"/>
      <c r="HJ303" s="54"/>
      <c r="HK303" s="54"/>
      <c r="HL303" s="54"/>
      <c r="HM303" s="54"/>
      <c r="HN303" s="54"/>
      <c r="HO303" s="54"/>
      <c r="HP303" s="54"/>
      <c r="HQ303" s="54"/>
      <c r="HR303" s="54"/>
      <c r="HS303" s="54"/>
      <c r="HT303" s="54"/>
      <c r="HU303" s="54"/>
      <c r="HV303" s="54"/>
      <c r="HW303" s="54"/>
      <c r="HX303" s="54"/>
      <c r="HY303" s="54"/>
      <c r="HZ303" s="54"/>
      <c r="IA303" s="54"/>
      <c r="IB303" s="54"/>
      <c r="IC303" s="54"/>
      <c r="ID303" s="54"/>
      <c r="IE303" s="54"/>
      <c r="IF303" s="54"/>
      <c r="IG303" s="54"/>
      <c r="IH303" s="54"/>
      <c r="II303" s="54"/>
      <c r="IJ303" s="54"/>
      <c r="IK303" s="54"/>
      <c r="IL303" s="54"/>
      <c r="IM303" s="54"/>
      <c r="IN303" s="54"/>
      <c r="IO303" s="54"/>
      <c r="IP303" s="54"/>
      <c r="IQ303" s="54"/>
      <c r="IR303" s="54"/>
      <c r="IS303" s="54"/>
      <c r="IT303" s="54"/>
      <c r="IU303" s="54"/>
      <c r="IV303" s="54"/>
      <c r="IW303" s="54"/>
      <c r="IX303" s="54"/>
      <c r="IY303" s="54"/>
      <c r="IZ303" s="54"/>
      <c r="JA303" s="54"/>
      <c r="JB303" s="54"/>
      <c r="JC303" s="54"/>
      <c r="JD303" s="54"/>
      <c r="JE303" s="54"/>
      <c r="JF303" s="54"/>
      <c r="JG303" s="54"/>
      <c r="JH303" s="54"/>
      <c r="JI303" s="54"/>
      <c r="JJ303" s="54"/>
      <c r="JK303" s="54"/>
      <c r="JL303" s="54"/>
      <c r="JM303" s="54"/>
      <c r="JN303" s="54"/>
      <c r="JO303" s="54"/>
      <c r="JP303" s="54"/>
      <c r="JQ303" s="54"/>
      <c r="JR303" s="54"/>
      <c r="JS303" s="54"/>
      <c r="JT303" s="54"/>
      <c r="JU303" s="54"/>
      <c r="JV303" s="54"/>
      <c r="JW303" s="54"/>
      <c r="JX303" s="54"/>
      <c r="JY303" s="54"/>
      <c r="JZ303" s="54"/>
      <c r="KA303" s="54"/>
      <c r="KB303" s="54"/>
      <c r="KC303" s="54"/>
      <c r="KD303" s="54"/>
      <c r="KE303" s="54"/>
      <c r="KF303" s="54"/>
      <c r="KG303" s="54"/>
      <c r="KH303" s="54"/>
      <c r="KI303" s="54"/>
      <c r="KJ303" s="54"/>
      <c r="KK303" s="54"/>
      <c r="KL303" s="54"/>
      <c r="KM303" s="54"/>
      <c r="KN303" s="54"/>
      <c r="KO303" s="54"/>
      <c r="KP303" s="54"/>
      <c r="KQ303" s="54"/>
      <c r="KR303" s="54"/>
      <c r="KS303" s="54"/>
      <c r="KT303" s="54"/>
      <c r="KU303" s="54"/>
      <c r="KV303" s="54"/>
      <c r="KW303" s="54"/>
      <c r="KX303" s="54"/>
      <c r="KY303" s="54"/>
      <c r="KZ303" s="54"/>
      <c r="LA303" s="54"/>
      <c r="LB303" s="54"/>
      <c r="LC303" s="54"/>
      <c r="LD303" s="54"/>
      <c r="LE303" s="54"/>
      <c r="LF303" s="54"/>
      <c r="LG303" s="54"/>
      <c r="LH303" s="54"/>
      <c r="LI303" s="54"/>
      <c r="LJ303" s="54"/>
      <c r="LK303" s="54"/>
      <c r="LL303" s="54"/>
      <c r="LM303" s="54"/>
      <c r="LN303" s="54"/>
      <c r="LO303" s="54"/>
      <c r="LP303" s="54"/>
      <c r="LQ303" s="54"/>
      <c r="LR303" s="54"/>
      <c r="LS303" s="54"/>
      <c r="LT303" s="54"/>
      <c r="LU303" s="54"/>
      <c r="LV303" s="54"/>
      <c r="LW303" s="54"/>
      <c r="LX303" s="54"/>
      <c r="LY303" s="54"/>
      <c r="LZ303" s="54"/>
      <c r="MA303" s="54"/>
      <c r="MB303" s="54"/>
      <c r="MC303" s="54"/>
      <c r="MD303" s="54"/>
      <c r="ME303" s="54"/>
      <c r="MF303" s="54"/>
      <c r="MG303" s="54"/>
      <c r="MH303" s="54"/>
      <c r="MI303" s="54"/>
      <c r="MJ303" s="54"/>
      <c r="MK303" s="54"/>
      <c r="ML303" s="54"/>
      <c r="MM303" s="54"/>
      <c r="MN303" s="54"/>
      <c r="MO303" s="54"/>
      <c r="MP303" s="54"/>
      <c r="MQ303" s="54"/>
      <c r="MR303" s="54"/>
      <c r="MS303" s="54"/>
      <c r="MT303" s="54"/>
      <c r="MU303" s="54"/>
      <c r="MV303" s="54"/>
      <c r="MW303" s="54"/>
      <c r="MX303" s="54"/>
      <c r="MY303" s="54"/>
      <c r="MZ303" s="54"/>
      <c r="NA303" s="54"/>
      <c r="NB303" s="54"/>
      <c r="NC303" s="54"/>
      <c r="ND303" s="54"/>
      <c r="NE303" s="54"/>
      <c r="NF303" s="54"/>
      <c r="NG303" s="54"/>
      <c r="NH303" s="54"/>
      <c r="NI303" s="54"/>
      <c r="NJ303" s="54"/>
      <c r="NK303" s="54"/>
      <c r="NL303" s="54"/>
      <c r="NM303" s="54"/>
      <c r="NN303" s="54"/>
      <c r="NO303" s="54"/>
      <c r="NP303" s="54"/>
      <c r="NQ303" s="54"/>
      <c r="NR303" s="54"/>
      <c r="NS303" s="54"/>
      <c r="NT303" s="54"/>
      <c r="NU303" s="54"/>
      <c r="NV303" s="54"/>
      <c r="NW303" s="54"/>
      <c r="NX303" s="54"/>
      <c r="NY303" s="54"/>
      <c r="NZ303" s="54"/>
      <c r="OA303" s="54"/>
      <c r="OB303" s="54"/>
      <c r="OC303" s="54"/>
      <c r="OD303" s="54"/>
      <c r="OE303" s="54"/>
      <c r="OF303" s="54"/>
      <c r="OG303" s="54"/>
      <c r="OH303" s="54"/>
      <c r="OI303" s="54"/>
      <c r="OJ303" s="54"/>
      <c r="OK303" s="54"/>
      <c r="OL303" s="54"/>
      <c r="OM303" s="54"/>
      <c r="ON303" s="54"/>
      <c r="OO303" s="54"/>
      <c r="OP303" s="54"/>
      <c r="OQ303" s="54"/>
      <c r="OR303" s="54"/>
      <c r="OS303" s="54"/>
      <c r="OT303" s="54"/>
      <c r="OU303" s="54"/>
      <c r="OV303" s="54"/>
      <c r="OW303" s="54"/>
      <c r="OX303" s="54"/>
      <c r="OY303" s="54"/>
      <c r="OZ303" s="54"/>
      <c r="PA303" s="54"/>
      <c r="PB303" s="54"/>
      <c r="PC303" s="54"/>
      <c r="PD303" s="54"/>
      <c r="PE303" s="54"/>
      <c r="PF303" s="54"/>
      <c r="PG303" s="54"/>
      <c r="PH303" s="54"/>
      <c r="PI303" s="54"/>
      <c r="PJ303" s="54"/>
      <c r="PK303" s="54"/>
      <c r="PL303" s="54"/>
      <c r="PM303" s="54"/>
      <c r="PN303" s="54"/>
      <c r="PO303" s="54"/>
      <c r="PP303" s="54"/>
      <c r="PQ303" s="54"/>
      <c r="PR303" s="54"/>
      <c r="PS303" s="54"/>
      <c r="PT303" s="54"/>
      <c r="PU303" s="54"/>
      <c r="PV303" s="54"/>
      <c r="PW303" s="54"/>
      <c r="PX303" s="54"/>
      <c r="PY303" s="54"/>
      <c r="PZ303" s="54"/>
      <c r="QA303" s="54"/>
      <c r="QB303" s="54"/>
      <c r="QC303" s="54"/>
      <c r="QD303" s="54"/>
      <c r="QE303" s="54"/>
      <c r="QF303" s="54"/>
      <c r="QG303" s="54"/>
      <c r="QH303" s="54"/>
      <c r="QI303" s="54"/>
      <c r="QJ303" s="54"/>
      <c r="QK303" s="54"/>
      <c r="QL303" s="54"/>
      <c r="QM303" s="54"/>
      <c r="QN303" s="54"/>
      <c r="QO303" s="54"/>
      <c r="QP303" s="54"/>
      <c r="QQ303" s="54"/>
      <c r="QR303" s="54"/>
      <c r="QS303" s="54"/>
      <c r="QT303" s="54"/>
      <c r="QU303" s="54"/>
      <c r="QV303" s="54"/>
      <c r="QW303" s="54"/>
      <c r="QX303" s="54"/>
      <c r="QY303" s="54"/>
      <c r="QZ303" s="54"/>
      <c r="RA303" s="54"/>
      <c r="RB303" s="54"/>
      <c r="RC303" s="54"/>
      <c r="RD303" s="54"/>
      <c r="RE303" s="54"/>
      <c r="RF303" s="54"/>
      <c r="RG303" s="54"/>
      <c r="RH303" s="54"/>
      <c r="RI303" s="54"/>
      <c r="RJ303" s="54"/>
      <c r="RK303" s="54"/>
      <c r="RL303" s="54"/>
      <c r="RM303" s="54"/>
      <c r="RN303" s="54"/>
      <c r="RO303" s="54"/>
      <c r="RP303" s="54"/>
      <c r="RQ303" s="54"/>
      <c r="RR303" s="54"/>
      <c r="RS303" s="54"/>
      <c r="RT303" s="54"/>
      <c r="RU303" s="54"/>
      <c r="RV303" s="54"/>
      <c r="RW303" s="54"/>
      <c r="RX303" s="54"/>
      <c r="RY303" s="54"/>
      <c r="RZ303" s="54"/>
      <c r="SA303" s="54"/>
      <c r="SB303" s="54"/>
      <c r="SC303" s="54"/>
      <c r="SD303" s="54"/>
      <c r="SE303" s="54"/>
      <c r="SF303" s="54"/>
      <c r="SG303" s="54"/>
      <c r="SH303" s="54"/>
      <c r="SI303" s="54"/>
      <c r="SJ303" s="54"/>
      <c r="SK303" s="54"/>
      <c r="SL303" s="54"/>
      <c r="SM303" s="54"/>
      <c r="SN303" s="54"/>
      <c r="SO303" s="54"/>
      <c r="SP303" s="54"/>
      <c r="SQ303" s="54"/>
      <c r="SR303" s="54"/>
    </row>
    <row r="304" spans="1:512" s="55" customFormat="1" ht="15" customHeight="1" x14ac:dyDescent="0.7">
      <c r="A304" s="173"/>
      <c r="B304" s="173"/>
      <c r="C304" s="173"/>
      <c r="D304" s="173"/>
      <c r="E304" s="173"/>
      <c r="F304" s="173"/>
      <c r="G304" s="173"/>
      <c r="H304" s="74"/>
      <c r="I304" s="75"/>
      <c r="J304" s="76"/>
      <c r="K304" s="191"/>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c r="CA304" s="56"/>
      <c r="CB304" s="56"/>
      <c r="CC304" s="56"/>
      <c r="CD304" s="56"/>
      <c r="CE304" s="56"/>
      <c r="CF304" s="56"/>
      <c r="CG304" s="56"/>
      <c r="CH304" s="56"/>
      <c r="CI304" s="56"/>
      <c r="CJ304" s="56"/>
      <c r="CK304" s="56"/>
      <c r="CL304" s="56"/>
      <c r="CM304" s="56"/>
      <c r="CN304" s="56"/>
      <c r="CO304" s="56"/>
      <c r="CP304" s="56"/>
      <c r="CQ304" s="56"/>
      <c r="CR304" s="56"/>
      <c r="CS304" s="56"/>
      <c r="CT304" s="56"/>
      <c r="CU304" s="56"/>
      <c r="CV304" s="56"/>
      <c r="CW304" s="56"/>
      <c r="CX304" s="56"/>
      <c r="CY304" s="56"/>
      <c r="CZ304" s="56"/>
      <c r="DA304" s="56"/>
      <c r="DB304" s="56"/>
      <c r="DC304" s="56"/>
      <c r="DD304" s="56"/>
      <c r="DE304" s="56"/>
      <c r="DF304" s="56"/>
      <c r="DG304" s="56"/>
      <c r="DH304" s="56"/>
      <c r="DI304" s="56"/>
      <c r="DJ304" s="56"/>
      <c r="DK304" s="56"/>
      <c r="DL304" s="56"/>
      <c r="DM304" s="56"/>
      <c r="DN304" s="56"/>
      <c r="DO304" s="56"/>
      <c r="DP304" s="56"/>
      <c r="DQ304" s="56"/>
      <c r="DR304" s="56"/>
      <c r="DS304" s="56"/>
      <c r="DT304" s="56"/>
      <c r="DU304" s="56"/>
      <c r="DV304" s="56"/>
      <c r="DW304" s="56"/>
      <c r="DX304" s="56"/>
      <c r="DY304" s="56"/>
      <c r="DZ304" s="56"/>
      <c r="EA304" s="56"/>
      <c r="EB304" s="56"/>
      <c r="EC304" s="56"/>
      <c r="ED304" s="56"/>
      <c r="EE304" s="56"/>
      <c r="EF304" s="56"/>
      <c r="EG304" s="56"/>
      <c r="EH304" s="56"/>
      <c r="EI304" s="56"/>
      <c r="EJ304" s="56"/>
      <c r="EK304" s="56"/>
      <c r="EL304" s="56"/>
      <c r="EM304" s="56"/>
      <c r="EN304" s="56"/>
      <c r="EO304" s="56"/>
      <c r="EP304" s="56"/>
      <c r="EQ304" s="56"/>
      <c r="ER304" s="56"/>
      <c r="ES304" s="56"/>
      <c r="ET304" s="56"/>
      <c r="EU304" s="56"/>
      <c r="EV304" s="56"/>
      <c r="EW304" s="56"/>
      <c r="EX304" s="56"/>
      <c r="EY304" s="56"/>
      <c r="EZ304" s="56"/>
      <c r="FA304" s="56"/>
      <c r="FB304" s="56"/>
      <c r="FC304" s="56"/>
      <c r="FD304" s="56"/>
      <c r="FE304" s="56"/>
      <c r="FF304" s="56"/>
      <c r="FG304" s="56"/>
      <c r="FH304" s="56"/>
      <c r="FI304" s="56"/>
      <c r="FJ304" s="56"/>
      <c r="FK304" s="56"/>
      <c r="FL304" s="56"/>
      <c r="FM304" s="56"/>
      <c r="FN304" s="56"/>
      <c r="FO304" s="56"/>
      <c r="FP304" s="56"/>
      <c r="FQ304" s="56"/>
      <c r="FR304" s="56"/>
      <c r="FS304" s="56"/>
      <c r="FT304" s="56"/>
      <c r="FU304" s="56"/>
      <c r="FV304" s="56"/>
      <c r="FW304" s="56"/>
      <c r="FX304" s="56"/>
      <c r="FY304" s="56"/>
      <c r="FZ304" s="56"/>
      <c r="GA304" s="56"/>
      <c r="GB304" s="56"/>
      <c r="GC304" s="56"/>
      <c r="GD304" s="56"/>
      <c r="GE304" s="56"/>
      <c r="GF304" s="56"/>
      <c r="GG304" s="56"/>
      <c r="GH304" s="56"/>
      <c r="GI304" s="56"/>
      <c r="GJ304" s="56"/>
      <c r="GK304" s="56"/>
      <c r="GL304" s="56"/>
      <c r="GM304" s="56"/>
      <c r="GN304" s="56"/>
      <c r="GO304" s="56"/>
      <c r="GP304" s="56"/>
      <c r="GQ304" s="56"/>
      <c r="GR304" s="56"/>
      <c r="GS304" s="56"/>
      <c r="GT304" s="56"/>
      <c r="GU304" s="56"/>
      <c r="GV304" s="56"/>
      <c r="GW304" s="56"/>
      <c r="GX304" s="56"/>
      <c r="GY304" s="56"/>
      <c r="GZ304" s="56"/>
      <c r="HA304" s="56"/>
      <c r="HB304" s="56"/>
      <c r="HC304" s="56"/>
      <c r="HD304" s="56"/>
      <c r="HE304" s="56"/>
      <c r="HF304" s="56"/>
      <c r="HG304" s="56"/>
      <c r="HH304" s="56"/>
      <c r="HI304" s="56"/>
      <c r="HJ304" s="56"/>
      <c r="HK304" s="56"/>
      <c r="HL304" s="56"/>
      <c r="HM304" s="56"/>
      <c r="HN304" s="56"/>
      <c r="HO304" s="56"/>
      <c r="HP304" s="56"/>
      <c r="HQ304" s="56"/>
      <c r="HR304" s="56"/>
      <c r="HS304" s="56"/>
      <c r="HT304" s="56"/>
      <c r="HU304" s="56"/>
      <c r="HV304" s="56"/>
      <c r="HW304" s="56"/>
      <c r="HX304" s="56"/>
      <c r="HY304" s="56"/>
      <c r="HZ304" s="56"/>
      <c r="IA304" s="56"/>
      <c r="IB304" s="56"/>
      <c r="IC304" s="56"/>
      <c r="ID304" s="56"/>
      <c r="IE304" s="56"/>
      <c r="IF304" s="56"/>
      <c r="IG304" s="56"/>
      <c r="IH304" s="56"/>
      <c r="II304" s="56"/>
      <c r="IJ304" s="56"/>
      <c r="IK304" s="56"/>
      <c r="IL304" s="56"/>
      <c r="IM304" s="56"/>
      <c r="IN304" s="56"/>
      <c r="IO304" s="56"/>
      <c r="IP304" s="56"/>
      <c r="IQ304" s="56"/>
      <c r="IR304" s="56"/>
      <c r="IS304" s="56"/>
      <c r="IT304" s="56"/>
      <c r="IU304" s="56"/>
      <c r="IV304" s="56"/>
      <c r="IW304" s="56"/>
      <c r="IX304" s="56"/>
      <c r="IY304" s="56"/>
      <c r="IZ304" s="56"/>
      <c r="JA304" s="56"/>
      <c r="JB304" s="56"/>
      <c r="JC304" s="56"/>
      <c r="JD304" s="56"/>
      <c r="JE304" s="56"/>
      <c r="JF304" s="56"/>
      <c r="JG304" s="56"/>
      <c r="JH304" s="56"/>
      <c r="JI304" s="56"/>
      <c r="JJ304" s="56"/>
      <c r="JK304" s="56"/>
      <c r="JL304" s="56"/>
      <c r="JM304" s="56"/>
      <c r="JN304" s="56"/>
      <c r="JO304" s="56"/>
      <c r="JP304" s="56"/>
      <c r="JQ304" s="56"/>
      <c r="JR304" s="56"/>
      <c r="JS304" s="56"/>
      <c r="JT304" s="56"/>
      <c r="JU304" s="56"/>
      <c r="JV304" s="56"/>
      <c r="JW304" s="56"/>
      <c r="JX304" s="56"/>
      <c r="JY304" s="56"/>
      <c r="JZ304" s="56"/>
      <c r="KA304" s="56"/>
      <c r="KB304" s="56"/>
      <c r="KC304" s="56"/>
      <c r="KD304" s="56"/>
      <c r="KE304" s="56"/>
      <c r="KF304" s="56"/>
      <c r="KG304" s="56"/>
      <c r="KH304" s="56"/>
      <c r="KI304" s="56"/>
      <c r="KJ304" s="56"/>
      <c r="KK304" s="56"/>
      <c r="KL304" s="56"/>
      <c r="KM304" s="56"/>
      <c r="KN304" s="56"/>
      <c r="KO304" s="56"/>
      <c r="KP304" s="56"/>
      <c r="KQ304" s="56"/>
      <c r="KR304" s="56"/>
      <c r="KS304" s="56"/>
      <c r="KT304" s="56"/>
      <c r="KU304" s="56"/>
      <c r="KV304" s="56"/>
      <c r="KW304" s="56"/>
      <c r="KX304" s="56"/>
      <c r="KY304" s="56"/>
      <c r="KZ304" s="56"/>
      <c r="LA304" s="56"/>
      <c r="LB304" s="56"/>
      <c r="LC304" s="56"/>
      <c r="LD304" s="56"/>
      <c r="LE304" s="56"/>
      <c r="LF304" s="56"/>
      <c r="LG304" s="56"/>
      <c r="LH304" s="56"/>
      <c r="LI304" s="56"/>
      <c r="LJ304" s="56"/>
      <c r="LK304" s="56"/>
      <c r="LL304" s="56"/>
      <c r="LM304" s="56"/>
      <c r="LN304" s="56"/>
      <c r="LO304" s="56"/>
      <c r="LP304" s="56"/>
      <c r="LQ304" s="56"/>
      <c r="LR304" s="56"/>
      <c r="LS304" s="56"/>
      <c r="LT304" s="56"/>
      <c r="LU304" s="56"/>
      <c r="LV304" s="56"/>
      <c r="LW304" s="56"/>
      <c r="LX304" s="56"/>
      <c r="LY304" s="56"/>
      <c r="LZ304" s="56"/>
      <c r="MA304" s="56"/>
      <c r="MB304" s="56"/>
      <c r="MC304" s="56"/>
      <c r="MD304" s="56"/>
      <c r="ME304" s="56"/>
      <c r="MF304" s="56"/>
      <c r="MG304" s="56"/>
      <c r="MH304" s="56"/>
      <c r="MI304" s="56"/>
      <c r="MJ304" s="56"/>
      <c r="MK304" s="56"/>
      <c r="ML304" s="56"/>
      <c r="MM304" s="56"/>
      <c r="MN304" s="56"/>
      <c r="MO304" s="56"/>
      <c r="MP304" s="56"/>
      <c r="MQ304" s="56"/>
      <c r="MR304" s="56"/>
      <c r="MS304" s="56"/>
      <c r="MT304" s="56"/>
      <c r="MU304" s="56"/>
      <c r="MV304" s="56"/>
      <c r="MW304" s="56"/>
      <c r="MX304" s="56"/>
      <c r="MY304" s="56"/>
      <c r="MZ304" s="56"/>
      <c r="NA304" s="56"/>
      <c r="NB304" s="56"/>
      <c r="NC304" s="56"/>
      <c r="ND304" s="56"/>
      <c r="NE304" s="56"/>
      <c r="NF304" s="56"/>
      <c r="NG304" s="56"/>
      <c r="NH304" s="56"/>
      <c r="NI304" s="56"/>
      <c r="NJ304" s="56"/>
      <c r="NK304" s="56"/>
      <c r="NL304" s="56"/>
      <c r="NM304" s="56"/>
      <c r="NN304" s="56"/>
      <c r="NO304" s="56"/>
      <c r="NP304" s="56"/>
      <c r="NQ304" s="56"/>
      <c r="NR304" s="56"/>
      <c r="NS304" s="56"/>
      <c r="NT304" s="56"/>
      <c r="NU304" s="56"/>
      <c r="NV304" s="56"/>
      <c r="NW304" s="56"/>
      <c r="NX304" s="56"/>
      <c r="NY304" s="56"/>
      <c r="NZ304" s="56"/>
      <c r="OA304" s="56"/>
      <c r="OB304" s="56"/>
      <c r="OC304" s="56"/>
      <c r="OD304" s="56"/>
      <c r="OE304" s="56"/>
      <c r="OF304" s="56"/>
      <c r="OG304" s="56"/>
      <c r="OH304" s="56"/>
      <c r="OI304" s="56"/>
      <c r="OJ304" s="56"/>
      <c r="OK304" s="56"/>
      <c r="OL304" s="56"/>
      <c r="OM304" s="56"/>
      <c r="ON304" s="56"/>
      <c r="OO304" s="56"/>
      <c r="OP304" s="56"/>
      <c r="OQ304" s="56"/>
      <c r="OR304" s="56"/>
      <c r="OS304" s="56"/>
      <c r="OT304" s="56"/>
      <c r="OU304" s="56"/>
      <c r="OV304" s="56"/>
      <c r="OW304" s="56"/>
      <c r="OX304" s="56"/>
      <c r="OY304" s="56"/>
      <c r="OZ304" s="56"/>
      <c r="PA304" s="56"/>
      <c r="PB304" s="56"/>
      <c r="PC304" s="56"/>
      <c r="PD304" s="56"/>
      <c r="PE304" s="56"/>
      <c r="PF304" s="56"/>
      <c r="PG304" s="56"/>
      <c r="PH304" s="56"/>
      <c r="PI304" s="56"/>
      <c r="PJ304" s="56"/>
      <c r="PK304" s="56"/>
      <c r="PL304" s="56"/>
      <c r="PM304" s="56"/>
      <c r="PN304" s="56"/>
      <c r="PO304" s="56"/>
      <c r="PP304" s="56"/>
      <c r="PQ304" s="56"/>
      <c r="PR304" s="56"/>
      <c r="PS304" s="56"/>
      <c r="PT304" s="56"/>
      <c r="PU304" s="56"/>
      <c r="PV304" s="56"/>
      <c r="PW304" s="56"/>
      <c r="PX304" s="56"/>
      <c r="PY304" s="56"/>
      <c r="PZ304" s="56"/>
      <c r="QA304" s="56"/>
      <c r="QB304" s="56"/>
      <c r="QC304" s="56"/>
      <c r="QD304" s="56"/>
      <c r="QE304" s="56"/>
      <c r="QF304" s="56"/>
      <c r="QG304" s="56"/>
      <c r="QH304" s="56"/>
      <c r="QI304" s="56"/>
      <c r="QJ304" s="56"/>
      <c r="QK304" s="56"/>
      <c r="QL304" s="56"/>
      <c r="QM304" s="56"/>
      <c r="QN304" s="56"/>
      <c r="QO304" s="56"/>
      <c r="QP304" s="56"/>
      <c r="QQ304" s="56"/>
      <c r="QR304" s="56"/>
      <c r="QS304" s="56"/>
      <c r="QT304" s="56"/>
      <c r="QU304" s="56"/>
      <c r="QV304" s="56"/>
      <c r="QW304" s="56"/>
      <c r="QX304" s="56"/>
      <c r="QY304" s="56"/>
      <c r="QZ304" s="56"/>
      <c r="RA304" s="56"/>
      <c r="RB304" s="56"/>
      <c r="RC304" s="56"/>
      <c r="RD304" s="56"/>
      <c r="RE304" s="56"/>
      <c r="RF304" s="56"/>
      <c r="RG304" s="56"/>
      <c r="RH304" s="56"/>
      <c r="RI304" s="56"/>
      <c r="RJ304" s="56"/>
      <c r="RK304" s="56"/>
      <c r="RL304" s="56"/>
      <c r="RM304" s="56"/>
      <c r="RN304" s="56"/>
      <c r="RO304" s="56"/>
      <c r="RP304" s="56"/>
      <c r="RQ304" s="56"/>
      <c r="RR304" s="56"/>
      <c r="RS304" s="56"/>
      <c r="RT304" s="56"/>
      <c r="RU304" s="56"/>
      <c r="RV304" s="56"/>
      <c r="RW304" s="56"/>
      <c r="RX304" s="56"/>
      <c r="RY304" s="56"/>
      <c r="RZ304" s="56"/>
      <c r="SA304" s="56"/>
      <c r="SB304" s="56"/>
      <c r="SC304" s="56"/>
      <c r="SD304" s="56"/>
      <c r="SE304" s="56"/>
      <c r="SF304" s="56"/>
      <c r="SG304" s="56"/>
      <c r="SH304" s="56"/>
      <c r="SI304" s="56"/>
      <c r="SJ304" s="56"/>
      <c r="SK304" s="56"/>
      <c r="SL304" s="56"/>
      <c r="SM304" s="56"/>
      <c r="SN304" s="56"/>
      <c r="SO304" s="56"/>
      <c r="SP304" s="56"/>
      <c r="SQ304" s="56"/>
      <c r="SR304" s="56"/>
    </row>
    <row r="305" spans="1:512" ht="15" customHeight="1" x14ac:dyDescent="0.7">
      <c r="A305" s="171" t="s">
        <v>344</v>
      </c>
      <c r="B305" s="171" t="s">
        <v>344</v>
      </c>
      <c r="C305" s="171" t="s">
        <v>344</v>
      </c>
      <c r="D305" s="171"/>
      <c r="E305" s="171" t="s">
        <v>344</v>
      </c>
      <c r="F305" s="171"/>
      <c r="G305" s="188" t="s">
        <v>344</v>
      </c>
      <c r="H305" s="71" t="s">
        <v>344</v>
      </c>
      <c r="I305" s="72" t="s">
        <v>344</v>
      </c>
      <c r="J305" s="73" t="s">
        <v>344</v>
      </c>
      <c r="K305" s="189" t="s">
        <v>344</v>
      </c>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c r="BU305" s="54"/>
      <c r="BV305" s="54"/>
      <c r="BW305" s="54"/>
      <c r="BX305" s="54"/>
      <c r="BY305" s="54"/>
      <c r="BZ305" s="54"/>
      <c r="CA305" s="54"/>
      <c r="CB305" s="54"/>
      <c r="CC305" s="54"/>
      <c r="CD305" s="54"/>
      <c r="CE305" s="54"/>
      <c r="CF305" s="54"/>
      <c r="CG305" s="54"/>
      <c r="CH305" s="54"/>
      <c r="CI305" s="54"/>
      <c r="CJ305" s="54"/>
      <c r="CK305" s="54"/>
      <c r="CL305" s="54"/>
      <c r="CM305" s="54"/>
      <c r="CN305" s="54"/>
      <c r="CO305" s="54"/>
      <c r="CP305" s="54"/>
      <c r="CQ305" s="54"/>
      <c r="CR305" s="54"/>
      <c r="CS305" s="54"/>
      <c r="CT305" s="54"/>
      <c r="CU305" s="54"/>
      <c r="CV305" s="54"/>
      <c r="CW305" s="54"/>
      <c r="CX305" s="54"/>
      <c r="CY305" s="54"/>
      <c r="CZ305" s="54"/>
      <c r="DA305" s="54"/>
      <c r="DB305" s="54"/>
      <c r="DC305" s="54"/>
      <c r="DD305" s="54"/>
      <c r="DE305" s="54"/>
      <c r="DF305" s="54"/>
      <c r="DG305" s="54"/>
      <c r="DH305" s="54"/>
      <c r="DI305" s="54"/>
      <c r="DJ305" s="54"/>
      <c r="DK305" s="54"/>
      <c r="DL305" s="54"/>
      <c r="DM305" s="54"/>
      <c r="DN305" s="54"/>
      <c r="DO305" s="54"/>
      <c r="DP305" s="54"/>
      <c r="DQ305" s="54"/>
      <c r="DR305" s="54"/>
      <c r="DS305" s="54"/>
      <c r="DT305" s="54"/>
      <c r="DU305" s="54"/>
      <c r="DV305" s="54"/>
      <c r="DW305" s="54"/>
      <c r="DX305" s="54"/>
      <c r="DY305" s="54"/>
      <c r="DZ305" s="54"/>
      <c r="EA305" s="54"/>
      <c r="EB305" s="54"/>
      <c r="EC305" s="54"/>
      <c r="ED305" s="54"/>
      <c r="EE305" s="54"/>
      <c r="EF305" s="54"/>
      <c r="EG305" s="54"/>
      <c r="EH305" s="54"/>
      <c r="EI305" s="54"/>
      <c r="EJ305" s="54"/>
      <c r="EK305" s="54"/>
      <c r="EL305" s="54"/>
      <c r="EM305" s="54"/>
      <c r="EN305" s="54"/>
      <c r="EO305" s="54"/>
      <c r="EP305" s="54"/>
      <c r="EQ305" s="54"/>
      <c r="ER305" s="54"/>
      <c r="ES305" s="54"/>
      <c r="ET305" s="54"/>
      <c r="EU305" s="54"/>
      <c r="EV305" s="54"/>
      <c r="EW305" s="54"/>
      <c r="EX305" s="54"/>
      <c r="EY305" s="54"/>
      <c r="EZ305" s="54"/>
      <c r="FA305" s="54"/>
      <c r="FB305" s="54"/>
      <c r="FC305" s="54"/>
      <c r="FD305" s="54"/>
      <c r="FE305" s="54"/>
      <c r="FF305" s="54"/>
      <c r="FG305" s="54"/>
      <c r="FH305" s="54"/>
      <c r="FI305" s="54"/>
      <c r="FJ305" s="54"/>
      <c r="FK305" s="54"/>
      <c r="FL305" s="54"/>
      <c r="FM305" s="54"/>
      <c r="FN305" s="54"/>
      <c r="FO305" s="54"/>
      <c r="FP305" s="54"/>
      <c r="FQ305" s="54"/>
      <c r="FR305" s="54"/>
      <c r="FS305" s="54"/>
      <c r="FT305" s="54"/>
      <c r="FU305" s="54"/>
      <c r="FV305" s="54"/>
      <c r="FW305" s="54"/>
      <c r="FX305" s="54"/>
      <c r="FY305" s="54"/>
      <c r="FZ305" s="54"/>
      <c r="GA305" s="54"/>
      <c r="GB305" s="54"/>
      <c r="GC305" s="54"/>
      <c r="GD305" s="54"/>
      <c r="GE305" s="54"/>
      <c r="GF305" s="54"/>
      <c r="GG305" s="54"/>
      <c r="GH305" s="54"/>
      <c r="GI305" s="54"/>
      <c r="GJ305" s="54"/>
      <c r="GK305" s="54"/>
      <c r="GL305" s="54"/>
      <c r="GM305" s="54"/>
      <c r="GN305" s="54"/>
      <c r="GO305" s="54"/>
      <c r="GP305" s="54"/>
      <c r="GQ305" s="54"/>
      <c r="GR305" s="54"/>
      <c r="GS305" s="54"/>
      <c r="GT305" s="54"/>
      <c r="GU305" s="54"/>
      <c r="GV305" s="54"/>
      <c r="GW305" s="54"/>
      <c r="GX305" s="54"/>
      <c r="GY305" s="54"/>
      <c r="GZ305" s="54"/>
      <c r="HA305" s="54"/>
      <c r="HB305" s="54"/>
      <c r="HC305" s="54"/>
      <c r="HD305" s="54"/>
      <c r="HE305" s="54"/>
      <c r="HF305" s="54"/>
      <c r="HG305" s="54"/>
      <c r="HH305" s="54"/>
      <c r="HI305" s="54"/>
      <c r="HJ305" s="54"/>
      <c r="HK305" s="54"/>
      <c r="HL305" s="54"/>
      <c r="HM305" s="54"/>
      <c r="HN305" s="54"/>
      <c r="HO305" s="54"/>
      <c r="HP305" s="54"/>
      <c r="HQ305" s="54"/>
      <c r="HR305" s="54"/>
      <c r="HS305" s="54"/>
      <c r="HT305" s="54"/>
      <c r="HU305" s="54"/>
      <c r="HV305" s="54"/>
      <c r="HW305" s="54"/>
      <c r="HX305" s="54"/>
      <c r="HY305" s="54"/>
      <c r="HZ305" s="54"/>
      <c r="IA305" s="54"/>
      <c r="IB305" s="54"/>
      <c r="IC305" s="54"/>
      <c r="ID305" s="54"/>
      <c r="IE305" s="54"/>
      <c r="IF305" s="54"/>
      <c r="IG305" s="54"/>
      <c r="IH305" s="54"/>
      <c r="II305" s="54"/>
      <c r="IJ305" s="54"/>
      <c r="IK305" s="54"/>
      <c r="IL305" s="54"/>
      <c r="IM305" s="54"/>
      <c r="IN305" s="54"/>
      <c r="IO305" s="54"/>
      <c r="IP305" s="54"/>
      <c r="IQ305" s="54"/>
      <c r="IR305" s="54"/>
      <c r="IS305" s="54"/>
      <c r="IT305" s="54"/>
      <c r="IU305" s="54"/>
      <c r="IV305" s="54"/>
      <c r="IW305" s="54"/>
      <c r="IX305" s="54"/>
      <c r="IY305" s="54"/>
      <c r="IZ305" s="54"/>
      <c r="JA305" s="54"/>
      <c r="JB305" s="54"/>
      <c r="JC305" s="54"/>
      <c r="JD305" s="54"/>
      <c r="JE305" s="54"/>
      <c r="JF305" s="54"/>
      <c r="JG305" s="54"/>
      <c r="JH305" s="54"/>
      <c r="JI305" s="54"/>
      <c r="JJ305" s="54"/>
      <c r="JK305" s="54"/>
      <c r="JL305" s="54"/>
      <c r="JM305" s="54"/>
      <c r="JN305" s="54"/>
      <c r="JO305" s="54"/>
      <c r="JP305" s="54"/>
      <c r="JQ305" s="54"/>
      <c r="JR305" s="54"/>
      <c r="JS305" s="54"/>
      <c r="JT305" s="54"/>
      <c r="JU305" s="54"/>
      <c r="JV305" s="54"/>
      <c r="JW305" s="54"/>
      <c r="JX305" s="54"/>
      <c r="JY305" s="54"/>
      <c r="JZ305" s="54"/>
      <c r="KA305" s="54"/>
      <c r="KB305" s="54"/>
      <c r="KC305" s="54"/>
      <c r="KD305" s="54"/>
      <c r="KE305" s="54"/>
      <c r="KF305" s="54"/>
      <c r="KG305" s="54"/>
      <c r="KH305" s="54"/>
      <c r="KI305" s="54"/>
      <c r="KJ305" s="54"/>
      <c r="KK305" s="54"/>
      <c r="KL305" s="54"/>
      <c r="KM305" s="54"/>
      <c r="KN305" s="54"/>
      <c r="KO305" s="54"/>
      <c r="KP305" s="54"/>
      <c r="KQ305" s="54"/>
      <c r="KR305" s="54"/>
      <c r="KS305" s="54"/>
      <c r="KT305" s="54"/>
      <c r="KU305" s="54"/>
      <c r="KV305" s="54"/>
      <c r="KW305" s="54"/>
      <c r="KX305" s="54"/>
      <c r="KY305" s="54"/>
      <c r="KZ305" s="54"/>
      <c r="LA305" s="54"/>
      <c r="LB305" s="54"/>
      <c r="LC305" s="54"/>
      <c r="LD305" s="54"/>
      <c r="LE305" s="54"/>
      <c r="LF305" s="54"/>
      <c r="LG305" s="54"/>
      <c r="LH305" s="54"/>
      <c r="LI305" s="54"/>
      <c r="LJ305" s="54"/>
      <c r="LK305" s="54"/>
      <c r="LL305" s="54"/>
      <c r="LM305" s="54"/>
      <c r="LN305" s="54"/>
      <c r="LO305" s="54"/>
      <c r="LP305" s="54"/>
      <c r="LQ305" s="54"/>
      <c r="LR305" s="54"/>
      <c r="LS305" s="54"/>
      <c r="LT305" s="54"/>
      <c r="LU305" s="54"/>
      <c r="LV305" s="54"/>
      <c r="LW305" s="54"/>
      <c r="LX305" s="54"/>
      <c r="LY305" s="54"/>
      <c r="LZ305" s="54"/>
      <c r="MA305" s="54"/>
      <c r="MB305" s="54"/>
      <c r="MC305" s="54"/>
      <c r="MD305" s="54"/>
      <c r="ME305" s="54"/>
      <c r="MF305" s="54"/>
      <c r="MG305" s="54"/>
      <c r="MH305" s="54"/>
      <c r="MI305" s="54"/>
      <c r="MJ305" s="54"/>
      <c r="MK305" s="54"/>
      <c r="ML305" s="54"/>
      <c r="MM305" s="54"/>
      <c r="MN305" s="54"/>
      <c r="MO305" s="54"/>
      <c r="MP305" s="54"/>
      <c r="MQ305" s="54"/>
      <c r="MR305" s="54"/>
      <c r="MS305" s="54"/>
      <c r="MT305" s="54"/>
      <c r="MU305" s="54"/>
      <c r="MV305" s="54"/>
      <c r="MW305" s="54"/>
      <c r="MX305" s="54"/>
      <c r="MY305" s="54"/>
      <c r="MZ305" s="54"/>
      <c r="NA305" s="54"/>
      <c r="NB305" s="54"/>
      <c r="NC305" s="54"/>
      <c r="ND305" s="54"/>
      <c r="NE305" s="54"/>
      <c r="NF305" s="54"/>
      <c r="NG305" s="54"/>
      <c r="NH305" s="54"/>
      <c r="NI305" s="54"/>
      <c r="NJ305" s="54"/>
      <c r="NK305" s="54"/>
      <c r="NL305" s="54"/>
      <c r="NM305" s="54"/>
      <c r="NN305" s="54"/>
      <c r="NO305" s="54"/>
      <c r="NP305" s="54"/>
      <c r="NQ305" s="54"/>
      <c r="NR305" s="54"/>
      <c r="NS305" s="54"/>
      <c r="NT305" s="54"/>
      <c r="NU305" s="54"/>
      <c r="NV305" s="54"/>
      <c r="NW305" s="54"/>
      <c r="NX305" s="54"/>
      <c r="NY305" s="54"/>
      <c r="NZ305" s="54"/>
      <c r="OA305" s="54"/>
      <c r="OB305" s="54"/>
      <c r="OC305" s="54"/>
      <c r="OD305" s="54"/>
      <c r="OE305" s="54"/>
      <c r="OF305" s="54"/>
      <c r="OG305" s="54"/>
      <c r="OH305" s="54"/>
      <c r="OI305" s="54"/>
      <c r="OJ305" s="54"/>
      <c r="OK305" s="54"/>
      <c r="OL305" s="54"/>
      <c r="OM305" s="54"/>
      <c r="ON305" s="54"/>
      <c r="OO305" s="54"/>
      <c r="OP305" s="54"/>
      <c r="OQ305" s="54"/>
      <c r="OR305" s="54"/>
      <c r="OS305" s="54"/>
      <c r="OT305" s="54"/>
      <c r="OU305" s="54"/>
      <c r="OV305" s="54"/>
      <c r="OW305" s="54"/>
      <c r="OX305" s="54"/>
      <c r="OY305" s="54"/>
      <c r="OZ305" s="54"/>
      <c r="PA305" s="54"/>
      <c r="PB305" s="54"/>
      <c r="PC305" s="54"/>
      <c r="PD305" s="54"/>
      <c r="PE305" s="54"/>
      <c r="PF305" s="54"/>
      <c r="PG305" s="54"/>
      <c r="PH305" s="54"/>
      <c r="PI305" s="54"/>
      <c r="PJ305" s="54"/>
      <c r="PK305" s="54"/>
      <c r="PL305" s="54"/>
      <c r="PM305" s="54"/>
      <c r="PN305" s="54"/>
      <c r="PO305" s="54"/>
      <c r="PP305" s="54"/>
      <c r="PQ305" s="54"/>
      <c r="PR305" s="54"/>
      <c r="PS305" s="54"/>
      <c r="PT305" s="54"/>
      <c r="PU305" s="54"/>
      <c r="PV305" s="54"/>
      <c r="PW305" s="54"/>
      <c r="PX305" s="54"/>
      <c r="PY305" s="54"/>
      <c r="PZ305" s="54"/>
      <c r="QA305" s="54"/>
      <c r="QB305" s="54"/>
      <c r="QC305" s="54"/>
      <c r="QD305" s="54"/>
      <c r="QE305" s="54"/>
      <c r="QF305" s="54"/>
      <c r="QG305" s="54"/>
      <c r="QH305" s="54"/>
      <c r="QI305" s="54"/>
      <c r="QJ305" s="54"/>
      <c r="QK305" s="54"/>
      <c r="QL305" s="54"/>
      <c r="QM305" s="54"/>
      <c r="QN305" s="54"/>
      <c r="QO305" s="54"/>
      <c r="QP305" s="54"/>
      <c r="QQ305" s="54"/>
      <c r="QR305" s="54"/>
      <c r="QS305" s="54"/>
      <c r="QT305" s="54"/>
      <c r="QU305" s="54"/>
      <c r="QV305" s="54"/>
      <c r="QW305" s="54"/>
      <c r="QX305" s="54"/>
      <c r="QY305" s="54"/>
      <c r="QZ305" s="54"/>
      <c r="RA305" s="54"/>
      <c r="RB305" s="54"/>
      <c r="RC305" s="54"/>
      <c r="RD305" s="54"/>
      <c r="RE305" s="54"/>
      <c r="RF305" s="54"/>
      <c r="RG305" s="54"/>
      <c r="RH305" s="54"/>
      <c r="RI305" s="54"/>
      <c r="RJ305" s="54"/>
      <c r="RK305" s="54"/>
      <c r="RL305" s="54"/>
      <c r="RM305" s="54"/>
      <c r="RN305" s="54"/>
      <c r="RO305" s="54"/>
      <c r="RP305" s="54"/>
      <c r="RQ305" s="54"/>
      <c r="RR305" s="54"/>
      <c r="RS305" s="54"/>
      <c r="RT305" s="54"/>
      <c r="RU305" s="54"/>
      <c r="RV305" s="54"/>
      <c r="RW305" s="54"/>
      <c r="RX305" s="54"/>
      <c r="RY305" s="54"/>
      <c r="RZ305" s="54"/>
      <c r="SA305" s="54"/>
      <c r="SB305" s="54"/>
      <c r="SC305" s="54"/>
      <c r="SD305" s="54"/>
      <c r="SE305" s="54"/>
      <c r="SF305" s="54"/>
      <c r="SG305" s="54"/>
      <c r="SH305" s="54"/>
      <c r="SI305" s="54"/>
      <c r="SJ305" s="54"/>
      <c r="SK305" s="54"/>
      <c r="SL305" s="54"/>
      <c r="SM305" s="54"/>
      <c r="SN305" s="54"/>
      <c r="SO305" s="54"/>
      <c r="SP305" s="54"/>
      <c r="SQ305" s="54"/>
      <c r="SR305" s="54"/>
    </row>
    <row r="306" spans="1:512" ht="15" customHeight="1" x14ac:dyDescent="0.7">
      <c r="A306" s="172"/>
      <c r="B306" s="172"/>
      <c r="C306" s="172"/>
      <c r="D306" s="172"/>
      <c r="E306" s="172"/>
      <c r="F306" s="172"/>
      <c r="G306" s="172"/>
      <c r="I306" s="72" t="s">
        <v>344</v>
      </c>
      <c r="J306" s="73" t="s">
        <v>344</v>
      </c>
      <c r="K306" s="190"/>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c r="BU306" s="54"/>
      <c r="BV306" s="54"/>
      <c r="BW306" s="54"/>
      <c r="BX306" s="54"/>
      <c r="BY306" s="54"/>
      <c r="BZ306" s="54"/>
      <c r="CA306" s="54"/>
      <c r="CB306" s="54"/>
      <c r="CC306" s="54"/>
      <c r="CD306" s="54"/>
      <c r="CE306" s="54"/>
      <c r="CF306" s="54"/>
      <c r="CG306" s="54"/>
      <c r="CH306" s="54"/>
      <c r="CI306" s="54"/>
      <c r="CJ306" s="54"/>
      <c r="CK306" s="54"/>
      <c r="CL306" s="54"/>
      <c r="CM306" s="54"/>
      <c r="CN306" s="54"/>
      <c r="CO306" s="54"/>
      <c r="CP306" s="54"/>
      <c r="CQ306" s="54"/>
      <c r="CR306" s="54"/>
      <c r="CS306" s="54"/>
      <c r="CT306" s="54"/>
      <c r="CU306" s="54"/>
      <c r="CV306" s="54"/>
      <c r="CW306" s="54"/>
      <c r="CX306" s="54"/>
      <c r="CY306" s="54"/>
      <c r="CZ306" s="54"/>
      <c r="DA306" s="54"/>
      <c r="DB306" s="54"/>
      <c r="DC306" s="54"/>
      <c r="DD306" s="54"/>
      <c r="DE306" s="54"/>
      <c r="DF306" s="54"/>
      <c r="DG306" s="54"/>
      <c r="DH306" s="54"/>
      <c r="DI306" s="54"/>
      <c r="DJ306" s="54"/>
      <c r="DK306" s="54"/>
      <c r="DL306" s="54"/>
      <c r="DM306" s="54"/>
      <c r="DN306" s="54"/>
      <c r="DO306" s="54"/>
      <c r="DP306" s="54"/>
      <c r="DQ306" s="54"/>
      <c r="DR306" s="54"/>
      <c r="DS306" s="54"/>
      <c r="DT306" s="54"/>
      <c r="DU306" s="54"/>
      <c r="DV306" s="54"/>
      <c r="DW306" s="54"/>
      <c r="DX306" s="54"/>
      <c r="DY306" s="54"/>
      <c r="DZ306" s="54"/>
      <c r="EA306" s="54"/>
      <c r="EB306" s="54"/>
      <c r="EC306" s="54"/>
      <c r="ED306" s="54"/>
      <c r="EE306" s="54"/>
      <c r="EF306" s="54"/>
      <c r="EG306" s="54"/>
      <c r="EH306" s="54"/>
      <c r="EI306" s="54"/>
      <c r="EJ306" s="54"/>
      <c r="EK306" s="54"/>
      <c r="EL306" s="54"/>
      <c r="EM306" s="54"/>
      <c r="EN306" s="54"/>
      <c r="EO306" s="54"/>
      <c r="EP306" s="54"/>
      <c r="EQ306" s="54"/>
      <c r="ER306" s="54"/>
      <c r="ES306" s="54"/>
      <c r="ET306" s="54"/>
      <c r="EU306" s="54"/>
      <c r="EV306" s="54"/>
      <c r="EW306" s="54"/>
      <c r="EX306" s="54"/>
      <c r="EY306" s="54"/>
      <c r="EZ306" s="54"/>
      <c r="FA306" s="54"/>
      <c r="FB306" s="54"/>
      <c r="FC306" s="54"/>
      <c r="FD306" s="54"/>
      <c r="FE306" s="54"/>
      <c r="FF306" s="54"/>
      <c r="FG306" s="54"/>
      <c r="FH306" s="54"/>
      <c r="FI306" s="54"/>
      <c r="FJ306" s="54"/>
      <c r="FK306" s="54"/>
      <c r="FL306" s="54"/>
      <c r="FM306" s="54"/>
      <c r="FN306" s="54"/>
      <c r="FO306" s="54"/>
      <c r="FP306" s="54"/>
      <c r="FQ306" s="54"/>
      <c r="FR306" s="54"/>
      <c r="FS306" s="54"/>
      <c r="FT306" s="54"/>
      <c r="FU306" s="54"/>
      <c r="FV306" s="54"/>
      <c r="FW306" s="54"/>
      <c r="FX306" s="54"/>
      <c r="FY306" s="54"/>
      <c r="FZ306" s="54"/>
      <c r="GA306" s="54"/>
      <c r="GB306" s="54"/>
      <c r="GC306" s="54"/>
      <c r="GD306" s="54"/>
      <c r="GE306" s="54"/>
      <c r="GF306" s="54"/>
      <c r="GG306" s="54"/>
      <c r="GH306" s="54"/>
      <c r="GI306" s="54"/>
      <c r="GJ306" s="54"/>
      <c r="GK306" s="54"/>
      <c r="GL306" s="54"/>
      <c r="GM306" s="54"/>
      <c r="GN306" s="54"/>
      <c r="GO306" s="54"/>
      <c r="GP306" s="54"/>
      <c r="GQ306" s="54"/>
      <c r="GR306" s="54"/>
      <c r="GS306" s="54"/>
      <c r="GT306" s="54"/>
      <c r="GU306" s="54"/>
      <c r="GV306" s="54"/>
      <c r="GW306" s="54"/>
      <c r="GX306" s="54"/>
      <c r="GY306" s="54"/>
      <c r="GZ306" s="54"/>
      <c r="HA306" s="54"/>
      <c r="HB306" s="54"/>
      <c r="HC306" s="54"/>
      <c r="HD306" s="54"/>
      <c r="HE306" s="54"/>
      <c r="HF306" s="54"/>
      <c r="HG306" s="54"/>
      <c r="HH306" s="54"/>
      <c r="HI306" s="54"/>
      <c r="HJ306" s="54"/>
      <c r="HK306" s="54"/>
      <c r="HL306" s="54"/>
      <c r="HM306" s="54"/>
      <c r="HN306" s="54"/>
      <c r="HO306" s="54"/>
      <c r="HP306" s="54"/>
      <c r="HQ306" s="54"/>
      <c r="HR306" s="54"/>
      <c r="HS306" s="54"/>
      <c r="HT306" s="54"/>
      <c r="HU306" s="54"/>
      <c r="HV306" s="54"/>
      <c r="HW306" s="54"/>
      <c r="HX306" s="54"/>
      <c r="HY306" s="54"/>
      <c r="HZ306" s="54"/>
      <c r="IA306" s="54"/>
      <c r="IB306" s="54"/>
      <c r="IC306" s="54"/>
      <c r="ID306" s="54"/>
      <c r="IE306" s="54"/>
      <c r="IF306" s="54"/>
      <c r="IG306" s="54"/>
      <c r="IH306" s="54"/>
      <c r="II306" s="54"/>
      <c r="IJ306" s="54"/>
      <c r="IK306" s="54"/>
      <c r="IL306" s="54"/>
      <c r="IM306" s="54"/>
      <c r="IN306" s="54"/>
      <c r="IO306" s="54"/>
      <c r="IP306" s="54"/>
      <c r="IQ306" s="54"/>
      <c r="IR306" s="54"/>
      <c r="IS306" s="54"/>
      <c r="IT306" s="54"/>
      <c r="IU306" s="54"/>
      <c r="IV306" s="54"/>
      <c r="IW306" s="54"/>
      <c r="IX306" s="54"/>
      <c r="IY306" s="54"/>
      <c r="IZ306" s="54"/>
      <c r="JA306" s="54"/>
      <c r="JB306" s="54"/>
      <c r="JC306" s="54"/>
      <c r="JD306" s="54"/>
      <c r="JE306" s="54"/>
      <c r="JF306" s="54"/>
      <c r="JG306" s="54"/>
      <c r="JH306" s="54"/>
      <c r="JI306" s="54"/>
      <c r="JJ306" s="54"/>
      <c r="JK306" s="54"/>
      <c r="JL306" s="54"/>
      <c r="JM306" s="54"/>
      <c r="JN306" s="54"/>
      <c r="JO306" s="54"/>
      <c r="JP306" s="54"/>
      <c r="JQ306" s="54"/>
      <c r="JR306" s="54"/>
      <c r="JS306" s="54"/>
      <c r="JT306" s="54"/>
      <c r="JU306" s="54"/>
      <c r="JV306" s="54"/>
      <c r="JW306" s="54"/>
      <c r="JX306" s="54"/>
      <c r="JY306" s="54"/>
      <c r="JZ306" s="54"/>
      <c r="KA306" s="54"/>
      <c r="KB306" s="54"/>
      <c r="KC306" s="54"/>
      <c r="KD306" s="54"/>
      <c r="KE306" s="54"/>
      <c r="KF306" s="54"/>
      <c r="KG306" s="54"/>
      <c r="KH306" s="54"/>
      <c r="KI306" s="54"/>
      <c r="KJ306" s="54"/>
      <c r="KK306" s="54"/>
      <c r="KL306" s="54"/>
      <c r="KM306" s="54"/>
      <c r="KN306" s="54"/>
      <c r="KO306" s="54"/>
      <c r="KP306" s="54"/>
      <c r="KQ306" s="54"/>
      <c r="KR306" s="54"/>
      <c r="KS306" s="54"/>
      <c r="KT306" s="54"/>
      <c r="KU306" s="54"/>
      <c r="KV306" s="54"/>
      <c r="KW306" s="54"/>
      <c r="KX306" s="54"/>
      <c r="KY306" s="54"/>
      <c r="KZ306" s="54"/>
      <c r="LA306" s="54"/>
      <c r="LB306" s="54"/>
      <c r="LC306" s="54"/>
      <c r="LD306" s="54"/>
      <c r="LE306" s="54"/>
      <c r="LF306" s="54"/>
      <c r="LG306" s="54"/>
      <c r="LH306" s="54"/>
      <c r="LI306" s="54"/>
      <c r="LJ306" s="54"/>
      <c r="LK306" s="54"/>
      <c r="LL306" s="54"/>
      <c r="LM306" s="54"/>
      <c r="LN306" s="54"/>
      <c r="LO306" s="54"/>
      <c r="LP306" s="54"/>
      <c r="LQ306" s="54"/>
      <c r="LR306" s="54"/>
      <c r="LS306" s="54"/>
      <c r="LT306" s="54"/>
      <c r="LU306" s="54"/>
      <c r="LV306" s="54"/>
      <c r="LW306" s="54"/>
      <c r="LX306" s="54"/>
      <c r="LY306" s="54"/>
      <c r="LZ306" s="54"/>
      <c r="MA306" s="54"/>
      <c r="MB306" s="54"/>
      <c r="MC306" s="54"/>
      <c r="MD306" s="54"/>
      <c r="ME306" s="54"/>
      <c r="MF306" s="54"/>
      <c r="MG306" s="54"/>
      <c r="MH306" s="54"/>
      <c r="MI306" s="54"/>
      <c r="MJ306" s="54"/>
      <c r="MK306" s="54"/>
      <c r="ML306" s="54"/>
      <c r="MM306" s="54"/>
      <c r="MN306" s="54"/>
      <c r="MO306" s="54"/>
      <c r="MP306" s="54"/>
      <c r="MQ306" s="54"/>
      <c r="MR306" s="54"/>
      <c r="MS306" s="54"/>
      <c r="MT306" s="54"/>
      <c r="MU306" s="54"/>
      <c r="MV306" s="54"/>
      <c r="MW306" s="54"/>
      <c r="MX306" s="54"/>
      <c r="MY306" s="54"/>
      <c r="MZ306" s="54"/>
      <c r="NA306" s="54"/>
      <c r="NB306" s="54"/>
      <c r="NC306" s="54"/>
      <c r="ND306" s="54"/>
      <c r="NE306" s="54"/>
      <c r="NF306" s="54"/>
      <c r="NG306" s="54"/>
      <c r="NH306" s="54"/>
      <c r="NI306" s="54"/>
      <c r="NJ306" s="54"/>
      <c r="NK306" s="54"/>
      <c r="NL306" s="54"/>
      <c r="NM306" s="54"/>
      <c r="NN306" s="54"/>
      <c r="NO306" s="54"/>
      <c r="NP306" s="54"/>
      <c r="NQ306" s="54"/>
      <c r="NR306" s="54"/>
      <c r="NS306" s="54"/>
      <c r="NT306" s="54"/>
      <c r="NU306" s="54"/>
      <c r="NV306" s="54"/>
      <c r="NW306" s="54"/>
      <c r="NX306" s="54"/>
      <c r="NY306" s="54"/>
      <c r="NZ306" s="54"/>
      <c r="OA306" s="54"/>
      <c r="OB306" s="54"/>
      <c r="OC306" s="54"/>
      <c r="OD306" s="54"/>
      <c r="OE306" s="54"/>
      <c r="OF306" s="54"/>
      <c r="OG306" s="54"/>
      <c r="OH306" s="54"/>
      <c r="OI306" s="54"/>
      <c r="OJ306" s="54"/>
      <c r="OK306" s="54"/>
      <c r="OL306" s="54"/>
      <c r="OM306" s="54"/>
      <c r="ON306" s="54"/>
      <c r="OO306" s="54"/>
      <c r="OP306" s="54"/>
      <c r="OQ306" s="54"/>
      <c r="OR306" s="54"/>
      <c r="OS306" s="54"/>
      <c r="OT306" s="54"/>
      <c r="OU306" s="54"/>
      <c r="OV306" s="54"/>
      <c r="OW306" s="54"/>
      <c r="OX306" s="54"/>
      <c r="OY306" s="54"/>
      <c r="OZ306" s="54"/>
      <c r="PA306" s="54"/>
      <c r="PB306" s="54"/>
      <c r="PC306" s="54"/>
      <c r="PD306" s="54"/>
      <c r="PE306" s="54"/>
      <c r="PF306" s="54"/>
      <c r="PG306" s="54"/>
      <c r="PH306" s="54"/>
      <c r="PI306" s="54"/>
      <c r="PJ306" s="54"/>
      <c r="PK306" s="54"/>
      <c r="PL306" s="54"/>
      <c r="PM306" s="54"/>
      <c r="PN306" s="54"/>
      <c r="PO306" s="54"/>
      <c r="PP306" s="54"/>
      <c r="PQ306" s="54"/>
      <c r="PR306" s="54"/>
      <c r="PS306" s="54"/>
      <c r="PT306" s="54"/>
      <c r="PU306" s="54"/>
      <c r="PV306" s="54"/>
      <c r="PW306" s="54"/>
      <c r="PX306" s="54"/>
      <c r="PY306" s="54"/>
      <c r="PZ306" s="54"/>
      <c r="QA306" s="54"/>
      <c r="QB306" s="54"/>
      <c r="QC306" s="54"/>
      <c r="QD306" s="54"/>
      <c r="QE306" s="54"/>
      <c r="QF306" s="54"/>
      <c r="QG306" s="54"/>
      <c r="QH306" s="54"/>
      <c r="QI306" s="54"/>
      <c r="QJ306" s="54"/>
      <c r="QK306" s="54"/>
      <c r="QL306" s="54"/>
      <c r="QM306" s="54"/>
      <c r="QN306" s="54"/>
      <c r="QO306" s="54"/>
      <c r="QP306" s="54"/>
      <c r="QQ306" s="54"/>
      <c r="QR306" s="54"/>
      <c r="QS306" s="54"/>
      <c r="QT306" s="54"/>
      <c r="QU306" s="54"/>
      <c r="QV306" s="54"/>
      <c r="QW306" s="54"/>
      <c r="QX306" s="54"/>
      <c r="QY306" s="54"/>
      <c r="QZ306" s="54"/>
      <c r="RA306" s="54"/>
      <c r="RB306" s="54"/>
      <c r="RC306" s="54"/>
      <c r="RD306" s="54"/>
      <c r="RE306" s="54"/>
      <c r="RF306" s="54"/>
      <c r="RG306" s="54"/>
      <c r="RH306" s="54"/>
      <c r="RI306" s="54"/>
      <c r="RJ306" s="54"/>
      <c r="RK306" s="54"/>
      <c r="RL306" s="54"/>
      <c r="RM306" s="54"/>
      <c r="RN306" s="54"/>
      <c r="RO306" s="54"/>
      <c r="RP306" s="54"/>
      <c r="RQ306" s="54"/>
      <c r="RR306" s="54"/>
      <c r="RS306" s="54"/>
      <c r="RT306" s="54"/>
      <c r="RU306" s="54"/>
      <c r="RV306" s="54"/>
      <c r="RW306" s="54"/>
      <c r="RX306" s="54"/>
      <c r="RY306" s="54"/>
      <c r="RZ306" s="54"/>
      <c r="SA306" s="54"/>
      <c r="SB306" s="54"/>
      <c r="SC306" s="54"/>
      <c r="SD306" s="54"/>
      <c r="SE306" s="54"/>
      <c r="SF306" s="54"/>
      <c r="SG306" s="54"/>
      <c r="SH306" s="54"/>
      <c r="SI306" s="54"/>
      <c r="SJ306" s="54"/>
      <c r="SK306" s="54"/>
      <c r="SL306" s="54"/>
      <c r="SM306" s="54"/>
      <c r="SN306" s="54"/>
      <c r="SO306" s="54"/>
      <c r="SP306" s="54"/>
      <c r="SQ306" s="54"/>
      <c r="SR306" s="54"/>
    </row>
    <row r="307" spans="1:512" s="55" customFormat="1" ht="15" customHeight="1" x14ac:dyDescent="0.7">
      <c r="A307" s="173"/>
      <c r="B307" s="173"/>
      <c r="C307" s="173"/>
      <c r="D307" s="173"/>
      <c r="E307" s="173"/>
      <c r="F307" s="173"/>
      <c r="G307" s="173"/>
      <c r="H307" s="74"/>
      <c r="I307" s="75"/>
      <c r="J307" s="76"/>
      <c r="K307" s="191"/>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c r="CA307" s="56"/>
      <c r="CB307" s="56"/>
      <c r="CC307" s="56"/>
      <c r="CD307" s="56"/>
      <c r="CE307" s="56"/>
      <c r="CF307" s="56"/>
      <c r="CG307" s="56"/>
      <c r="CH307" s="56"/>
      <c r="CI307" s="56"/>
      <c r="CJ307" s="56"/>
      <c r="CK307" s="56"/>
      <c r="CL307" s="56"/>
      <c r="CM307" s="56"/>
      <c r="CN307" s="56"/>
      <c r="CO307" s="56"/>
      <c r="CP307" s="56"/>
      <c r="CQ307" s="56"/>
      <c r="CR307" s="56"/>
      <c r="CS307" s="56"/>
      <c r="CT307" s="56"/>
      <c r="CU307" s="56"/>
      <c r="CV307" s="56"/>
      <c r="CW307" s="56"/>
      <c r="CX307" s="56"/>
      <c r="CY307" s="56"/>
      <c r="CZ307" s="56"/>
      <c r="DA307" s="56"/>
      <c r="DB307" s="56"/>
      <c r="DC307" s="56"/>
      <c r="DD307" s="56"/>
      <c r="DE307" s="56"/>
      <c r="DF307" s="56"/>
      <c r="DG307" s="56"/>
      <c r="DH307" s="56"/>
      <c r="DI307" s="56"/>
      <c r="DJ307" s="56"/>
      <c r="DK307" s="56"/>
      <c r="DL307" s="56"/>
      <c r="DM307" s="56"/>
      <c r="DN307" s="56"/>
      <c r="DO307" s="56"/>
      <c r="DP307" s="56"/>
      <c r="DQ307" s="56"/>
      <c r="DR307" s="56"/>
      <c r="DS307" s="56"/>
      <c r="DT307" s="56"/>
      <c r="DU307" s="56"/>
      <c r="DV307" s="56"/>
      <c r="DW307" s="56"/>
      <c r="DX307" s="56"/>
      <c r="DY307" s="56"/>
      <c r="DZ307" s="56"/>
      <c r="EA307" s="56"/>
      <c r="EB307" s="56"/>
      <c r="EC307" s="56"/>
      <c r="ED307" s="56"/>
      <c r="EE307" s="56"/>
      <c r="EF307" s="56"/>
      <c r="EG307" s="56"/>
      <c r="EH307" s="56"/>
      <c r="EI307" s="56"/>
      <c r="EJ307" s="56"/>
      <c r="EK307" s="56"/>
      <c r="EL307" s="56"/>
      <c r="EM307" s="56"/>
      <c r="EN307" s="56"/>
      <c r="EO307" s="56"/>
      <c r="EP307" s="56"/>
      <c r="EQ307" s="56"/>
      <c r="ER307" s="56"/>
      <c r="ES307" s="56"/>
      <c r="ET307" s="56"/>
      <c r="EU307" s="56"/>
      <c r="EV307" s="56"/>
      <c r="EW307" s="56"/>
      <c r="EX307" s="56"/>
      <c r="EY307" s="56"/>
      <c r="EZ307" s="56"/>
      <c r="FA307" s="56"/>
      <c r="FB307" s="56"/>
      <c r="FC307" s="56"/>
      <c r="FD307" s="56"/>
      <c r="FE307" s="56"/>
      <c r="FF307" s="56"/>
      <c r="FG307" s="56"/>
      <c r="FH307" s="56"/>
      <c r="FI307" s="56"/>
      <c r="FJ307" s="56"/>
      <c r="FK307" s="56"/>
      <c r="FL307" s="56"/>
      <c r="FM307" s="56"/>
      <c r="FN307" s="56"/>
      <c r="FO307" s="56"/>
      <c r="FP307" s="56"/>
      <c r="FQ307" s="56"/>
      <c r="FR307" s="56"/>
      <c r="FS307" s="56"/>
      <c r="FT307" s="56"/>
      <c r="FU307" s="56"/>
      <c r="FV307" s="56"/>
      <c r="FW307" s="56"/>
      <c r="FX307" s="56"/>
      <c r="FY307" s="56"/>
      <c r="FZ307" s="56"/>
      <c r="GA307" s="56"/>
      <c r="GB307" s="56"/>
      <c r="GC307" s="56"/>
      <c r="GD307" s="56"/>
      <c r="GE307" s="56"/>
      <c r="GF307" s="56"/>
      <c r="GG307" s="56"/>
      <c r="GH307" s="56"/>
      <c r="GI307" s="56"/>
      <c r="GJ307" s="56"/>
      <c r="GK307" s="56"/>
      <c r="GL307" s="56"/>
      <c r="GM307" s="56"/>
      <c r="GN307" s="56"/>
      <c r="GO307" s="56"/>
      <c r="GP307" s="56"/>
      <c r="GQ307" s="56"/>
      <c r="GR307" s="56"/>
      <c r="GS307" s="56"/>
      <c r="GT307" s="56"/>
      <c r="GU307" s="56"/>
      <c r="GV307" s="56"/>
      <c r="GW307" s="56"/>
      <c r="GX307" s="56"/>
      <c r="GY307" s="56"/>
      <c r="GZ307" s="56"/>
      <c r="HA307" s="56"/>
      <c r="HB307" s="56"/>
      <c r="HC307" s="56"/>
      <c r="HD307" s="56"/>
      <c r="HE307" s="56"/>
      <c r="HF307" s="56"/>
      <c r="HG307" s="56"/>
      <c r="HH307" s="56"/>
      <c r="HI307" s="56"/>
      <c r="HJ307" s="56"/>
      <c r="HK307" s="56"/>
      <c r="HL307" s="56"/>
      <c r="HM307" s="56"/>
      <c r="HN307" s="56"/>
      <c r="HO307" s="56"/>
      <c r="HP307" s="56"/>
      <c r="HQ307" s="56"/>
      <c r="HR307" s="56"/>
      <c r="HS307" s="56"/>
      <c r="HT307" s="56"/>
      <c r="HU307" s="56"/>
      <c r="HV307" s="56"/>
      <c r="HW307" s="56"/>
      <c r="HX307" s="56"/>
      <c r="HY307" s="56"/>
      <c r="HZ307" s="56"/>
      <c r="IA307" s="56"/>
      <c r="IB307" s="56"/>
      <c r="IC307" s="56"/>
      <c r="ID307" s="56"/>
      <c r="IE307" s="56"/>
      <c r="IF307" s="56"/>
      <c r="IG307" s="56"/>
      <c r="IH307" s="56"/>
      <c r="II307" s="56"/>
      <c r="IJ307" s="56"/>
      <c r="IK307" s="56"/>
      <c r="IL307" s="56"/>
      <c r="IM307" s="56"/>
      <c r="IN307" s="56"/>
      <c r="IO307" s="56"/>
      <c r="IP307" s="56"/>
      <c r="IQ307" s="56"/>
      <c r="IR307" s="56"/>
      <c r="IS307" s="56"/>
      <c r="IT307" s="56"/>
      <c r="IU307" s="56"/>
      <c r="IV307" s="56"/>
      <c r="IW307" s="56"/>
      <c r="IX307" s="56"/>
      <c r="IY307" s="56"/>
      <c r="IZ307" s="56"/>
      <c r="JA307" s="56"/>
      <c r="JB307" s="56"/>
      <c r="JC307" s="56"/>
      <c r="JD307" s="56"/>
      <c r="JE307" s="56"/>
      <c r="JF307" s="56"/>
      <c r="JG307" s="56"/>
      <c r="JH307" s="56"/>
      <c r="JI307" s="56"/>
      <c r="JJ307" s="56"/>
      <c r="JK307" s="56"/>
      <c r="JL307" s="56"/>
      <c r="JM307" s="56"/>
      <c r="JN307" s="56"/>
      <c r="JO307" s="56"/>
      <c r="JP307" s="56"/>
      <c r="JQ307" s="56"/>
      <c r="JR307" s="56"/>
      <c r="JS307" s="56"/>
      <c r="JT307" s="56"/>
      <c r="JU307" s="56"/>
      <c r="JV307" s="56"/>
      <c r="JW307" s="56"/>
      <c r="JX307" s="56"/>
      <c r="JY307" s="56"/>
      <c r="JZ307" s="56"/>
      <c r="KA307" s="56"/>
      <c r="KB307" s="56"/>
      <c r="KC307" s="56"/>
      <c r="KD307" s="56"/>
      <c r="KE307" s="56"/>
      <c r="KF307" s="56"/>
      <c r="KG307" s="56"/>
      <c r="KH307" s="56"/>
      <c r="KI307" s="56"/>
      <c r="KJ307" s="56"/>
      <c r="KK307" s="56"/>
      <c r="KL307" s="56"/>
      <c r="KM307" s="56"/>
      <c r="KN307" s="56"/>
      <c r="KO307" s="56"/>
      <c r="KP307" s="56"/>
      <c r="KQ307" s="56"/>
      <c r="KR307" s="56"/>
      <c r="KS307" s="56"/>
      <c r="KT307" s="56"/>
      <c r="KU307" s="56"/>
      <c r="KV307" s="56"/>
      <c r="KW307" s="56"/>
      <c r="KX307" s="56"/>
      <c r="KY307" s="56"/>
      <c r="KZ307" s="56"/>
      <c r="LA307" s="56"/>
      <c r="LB307" s="56"/>
      <c r="LC307" s="56"/>
      <c r="LD307" s="56"/>
      <c r="LE307" s="56"/>
      <c r="LF307" s="56"/>
      <c r="LG307" s="56"/>
      <c r="LH307" s="56"/>
      <c r="LI307" s="56"/>
      <c r="LJ307" s="56"/>
      <c r="LK307" s="56"/>
      <c r="LL307" s="56"/>
      <c r="LM307" s="56"/>
      <c r="LN307" s="56"/>
      <c r="LO307" s="56"/>
      <c r="LP307" s="56"/>
      <c r="LQ307" s="56"/>
      <c r="LR307" s="56"/>
      <c r="LS307" s="56"/>
      <c r="LT307" s="56"/>
      <c r="LU307" s="56"/>
      <c r="LV307" s="56"/>
      <c r="LW307" s="56"/>
      <c r="LX307" s="56"/>
      <c r="LY307" s="56"/>
      <c r="LZ307" s="56"/>
      <c r="MA307" s="56"/>
      <c r="MB307" s="56"/>
      <c r="MC307" s="56"/>
      <c r="MD307" s="56"/>
      <c r="ME307" s="56"/>
      <c r="MF307" s="56"/>
      <c r="MG307" s="56"/>
      <c r="MH307" s="56"/>
      <c r="MI307" s="56"/>
      <c r="MJ307" s="56"/>
      <c r="MK307" s="56"/>
      <c r="ML307" s="56"/>
      <c r="MM307" s="56"/>
      <c r="MN307" s="56"/>
      <c r="MO307" s="56"/>
      <c r="MP307" s="56"/>
      <c r="MQ307" s="56"/>
      <c r="MR307" s="56"/>
      <c r="MS307" s="56"/>
      <c r="MT307" s="56"/>
      <c r="MU307" s="56"/>
      <c r="MV307" s="56"/>
      <c r="MW307" s="56"/>
      <c r="MX307" s="56"/>
      <c r="MY307" s="56"/>
      <c r="MZ307" s="56"/>
      <c r="NA307" s="56"/>
      <c r="NB307" s="56"/>
      <c r="NC307" s="56"/>
      <c r="ND307" s="56"/>
      <c r="NE307" s="56"/>
      <c r="NF307" s="56"/>
      <c r="NG307" s="56"/>
      <c r="NH307" s="56"/>
      <c r="NI307" s="56"/>
      <c r="NJ307" s="56"/>
      <c r="NK307" s="56"/>
      <c r="NL307" s="56"/>
      <c r="NM307" s="56"/>
      <c r="NN307" s="56"/>
      <c r="NO307" s="56"/>
      <c r="NP307" s="56"/>
      <c r="NQ307" s="56"/>
      <c r="NR307" s="56"/>
      <c r="NS307" s="56"/>
      <c r="NT307" s="56"/>
      <c r="NU307" s="56"/>
      <c r="NV307" s="56"/>
      <c r="NW307" s="56"/>
      <c r="NX307" s="56"/>
      <c r="NY307" s="56"/>
      <c r="NZ307" s="56"/>
      <c r="OA307" s="56"/>
      <c r="OB307" s="56"/>
      <c r="OC307" s="56"/>
      <c r="OD307" s="56"/>
      <c r="OE307" s="56"/>
      <c r="OF307" s="56"/>
      <c r="OG307" s="56"/>
      <c r="OH307" s="56"/>
      <c r="OI307" s="56"/>
      <c r="OJ307" s="56"/>
      <c r="OK307" s="56"/>
      <c r="OL307" s="56"/>
      <c r="OM307" s="56"/>
      <c r="ON307" s="56"/>
      <c r="OO307" s="56"/>
      <c r="OP307" s="56"/>
      <c r="OQ307" s="56"/>
      <c r="OR307" s="56"/>
      <c r="OS307" s="56"/>
      <c r="OT307" s="56"/>
      <c r="OU307" s="56"/>
      <c r="OV307" s="56"/>
      <c r="OW307" s="56"/>
      <c r="OX307" s="56"/>
      <c r="OY307" s="56"/>
      <c r="OZ307" s="56"/>
      <c r="PA307" s="56"/>
      <c r="PB307" s="56"/>
      <c r="PC307" s="56"/>
      <c r="PD307" s="56"/>
      <c r="PE307" s="56"/>
      <c r="PF307" s="56"/>
      <c r="PG307" s="56"/>
      <c r="PH307" s="56"/>
      <c r="PI307" s="56"/>
      <c r="PJ307" s="56"/>
      <c r="PK307" s="56"/>
      <c r="PL307" s="56"/>
      <c r="PM307" s="56"/>
      <c r="PN307" s="56"/>
      <c r="PO307" s="56"/>
      <c r="PP307" s="56"/>
      <c r="PQ307" s="56"/>
      <c r="PR307" s="56"/>
      <c r="PS307" s="56"/>
      <c r="PT307" s="56"/>
      <c r="PU307" s="56"/>
      <c r="PV307" s="56"/>
      <c r="PW307" s="56"/>
      <c r="PX307" s="56"/>
      <c r="PY307" s="56"/>
      <c r="PZ307" s="56"/>
      <c r="QA307" s="56"/>
      <c r="QB307" s="56"/>
      <c r="QC307" s="56"/>
      <c r="QD307" s="56"/>
      <c r="QE307" s="56"/>
      <c r="QF307" s="56"/>
      <c r="QG307" s="56"/>
      <c r="QH307" s="56"/>
      <c r="QI307" s="56"/>
      <c r="QJ307" s="56"/>
      <c r="QK307" s="56"/>
      <c r="QL307" s="56"/>
      <c r="QM307" s="56"/>
      <c r="QN307" s="56"/>
      <c r="QO307" s="56"/>
      <c r="QP307" s="56"/>
      <c r="QQ307" s="56"/>
      <c r="QR307" s="56"/>
      <c r="QS307" s="56"/>
      <c r="QT307" s="56"/>
      <c r="QU307" s="56"/>
      <c r="QV307" s="56"/>
      <c r="QW307" s="56"/>
      <c r="QX307" s="56"/>
      <c r="QY307" s="56"/>
      <c r="QZ307" s="56"/>
      <c r="RA307" s="56"/>
      <c r="RB307" s="56"/>
      <c r="RC307" s="56"/>
      <c r="RD307" s="56"/>
      <c r="RE307" s="56"/>
      <c r="RF307" s="56"/>
      <c r="RG307" s="56"/>
      <c r="RH307" s="56"/>
      <c r="RI307" s="56"/>
      <c r="RJ307" s="56"/>
      <c r="RK307" s="56"/>
      <c r="RL307" s="56"/>
      <c r="RM307" s="56"/>
      <c r="RN307" s="56"/>
      <c r="RO307" s="56"/>
      <c r="RP307" s="56"/>
      <c r="RQ307" s="56"/>
      <c r="RR307" s="56"/>
      <c r="RS307" s="56"/>
      <c r="RT307" s="56"/>
      <c r="RU307" s="56"/>
      <c r="RV307" s="56"/>
      <c r="RW307" s="56"/>
      <c r="RX307" s="56"/>
      <c r="RY307" s="56"/>
      <c r="RZ307" s="56"/>
      <c r="SA307" s="56"/>
      <c r="SB307" s="56"/>
      <c r="SC307" s="56"/>
      <c r="SD307" s="56"/>
      <c r="SE307" s="56"/>
      <c r="SF307" s="56"/>
      <c r="SG307" s="56"/>
      <c r="SH307" s="56"/>
      <c r="SI307" s="56"/>
      <c r="SJ307" s="56"/>
      <c r="SK307" s="56"/>
      <c r="SL307" s="56"/>
      <c r="SM307" s="56"/>
      <c r="SN307" s="56"/>
      <c r="SO307" s="56"/>
      <c r="SP307" s="56"/>
      <c r="SQ307" s="56"/>
      <c r="SR307" s="56"/>
    </row>
    <row r="308" spans="1:512" ht="15" customHeight="1" x14ac:dyDescent="0.7">
      <c r="A308" s="171" t="s">
        <v>344</v>
      </c>
      <c r="B308" s="171" t="s">
        <v>344</v>
      </c>
      <c r="C308" s="171" t="s">
        <v>344</v>
      </c>
      <c r="D308" s="171"/>
      <c r="E308" s="171" t="s">
        <v>344</v>
      </c>
      <c r="F308" s="171"/>
      <c r="G308" s="188" t="s">
        <v>344</v>
      </c>
      <c r="H308" s="71" t="s">
        <v>344</v>
      </c>
      <c r="I308" s="72" t="s">
        <v>344</v>
      </c>
      <c r="J308" s="73" t="s">
        <v>344</v>
      </c>
      <c r="K308" s="189" t="s">
        <v>344</v>
      </c>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c r="BU308" s="54"/>
      <c r="BV308" s="54"/>
      <c r="BW308" s="54"/>
      <c r="BX308" s="54"/>
      <c r="BY308" s="54"/>
      <c r="BZ308" s="54"/>
      <c r="CA308" s="54"/>
      <c r="CB308" s="54"/>
      <c r="CC308" s="54"/>
      <c r="CD308" s="54"/>
      <c r="CE308" s="54"/>
      <c r="CF308" s="54"/>
      <c r="CG308" s="54"/>
      <c r="CH308" s="54"/>
      <c r="CI308" s="54"/>
      <c r="CJ308" s="54"/>
      <c r="CK308" s="54"/>
      <c r="CL308" s="54"/>
      <c r="CM308" s="54"/>
      <c r="CN308" s="54"/>
      <c r="CO308" s="54"/>
      <c r="CP308" s="54"/>
      <c r="CQ308" s="54"/>
      <c r="CR308" s="54"/>
      <c r="CS308" s="54"/>
      <c r="CT308" s="54"/>
      <c r="CU308" s="54"/>
      <c r="CV308" s="54"/>
      <c r="CW308" s="54"/>
      <c r="CX308" s="54"/>
      <c r="CY308" s="54"/>
      <c r="CZ308" s="54"/>
      <c r="DA308" s="54"/>
      <c r="DB308" s="54"/>
      <c r="DC308" s="54"/>
      <c r="DD308" s="54"/>
      <c r="DE308" s="54"/>
      <c r="DF308" s="54"/>
      <c r="DG308" s="54"/>
      <c r="DH308" s="54"/>
      <c r="DI308" s="54"/>
      <c r="DJ308" s="54"/>
      <c r="DK308" s="54"/>
      <c r="DL308" s="54"/>
      <c r="DM308" s="54"/>
      <c r="DN308" s="54"/>
      <c r="DO308" s="54"/>
      <c r="DP308" s="54"/>
      <c r="DQ308" s="54"/>
      <c r="DR308" s="54"/>
      <c r="DS308" s="54"/>
      <c r="DT308" s="54"/>
      <c r="DU308" s="54"/>
      <c r="DV308" s="54"/>
      <c r="DW308" s="54"/>
      <c r="DX308" s="54"/>
      <c r="DY308" s="54"/>
      <c r="DZ308" s="54"/>
      <c r="EA308" s="54"/>
      <c r="EB308" s="54"/>
      <c r="EC308" s="54"/>
      <c r="ED308" s="54"/>
      <c r="EE308" s="54"/>
      <c r="EF308" s="54"/>
      <c r="EG308" s="54"/>
      <c r="EH308" s="54"/>
      <c r="EI308" s="54"/>
      <c r="EJ308" s="54"/>
      <c r="EK308" s="54"/>
      <c r="EL308" s="54"/>
      <c r="EM308" s="54"/>
      <c r="EN308" s="54"/>
      <c r="EO308" s="54"/>
      <c r="EP308" s="54"/>
      <c r="EQ308" s="54"/>
      <c r="ER308" s="54"/>
      <c r="ES308" s="54"/>
      <c r="ET308" s="54"/>
      <c r="EU308" s="54"/>
      <c r="EV308" s="54"/>
      <c r="EW308" s="54"/>
      <c r="EX308" s="54"/>
      <c r="EY308" s="54"/>
      <c r="EZ308" s="54"/>
      <c r="FA308" s="54"/>
      <c r="FB308" s="54"/>
      <c r="FC308" s="54"/>
      <c r="FD308" s="54"/>
      <c r="FE308" s="54"/>
      <c r="FF308" s="54"/>
      <c r="FG308" s="54"/>
      <c r="FH308" s="54"/>
      <c r="FI308" s="54"/>
      <c r="FJ308" s="54"/>
      <c r="FK308" s="54"/>
      <c r="FL308" s="54"/>
      <c r="FM308" s="54"/>
      <c r="FN308" s="54"/>
      <c r="FO308" s="54"/>
      <c r="FP308" s="54"/>
      <c r="FQ308" s="54"/>
      <c r="FR308" s="54"/>
      <c r="FS308" s="54"/>
      <c r="FT308" s="54"/>
      <c r="FU308" s="54"/>
      <c r="FV308" s="54"/>
      <c r="FW308" s="54"/>
      <c r="FX308" s="54"/>
      <c r="FY308" s="54"/>
      <c r="FZ308" s="54"/>
      <c r="GA308" s="54"/>
      <c r="GB308" s="54"/>
      <c r="GC308" s="54"/>
      <c r="GD308" s="54"/>
      <c r="GE308" s="54"/>
      <c r="GF308" s="54"/>
      <c r="GG308" s="54"/>
      <c r="GH308" s="54"/>
      <c r="GI308" s="54"/>
      <c r="GJ308" s="54"/>
      <c r="GK308" s="54"/>
      <c r="GL308" s="54"/>
      <c r="GM308" s="54"/>
      <c r="GN308" s="54"/>
      <c r="GO308" s="54"/>
      <c r="GP308" s="54"/>
      <c r="GQ308" s="54"/>
      <c r="GR308" s="54"/>
      <c r="GS308" s="54"/>
      <c r="GT308" s="54"/>
      <c r="GU308" s="54"/>
      <c r="GV308" s="54"/>
      <c r="GW308" s="54"/>
      <c r="GX308" s="54"/>
      <c r="GY308" s="54"/>
      <c r="GZ308" s="54"/>
      <c r="HA308" s="54"/>
      <c r="HB308" s="54"/>
      <c r="HC308" s="54"/>
      <c r="HD308" s="54"/>
      <c r="HE308" s="54"/>
      <c r="HF308" s="54"/>
      <c r="HG308" s="54"/>
      <c r="HH308" s="54"/>
      <c r="HI308" s="54"/>
      <c r="HJ308" s="54"/>
      <c r="HK308" s="54"/>
      <c r="HL308" s="54"/>
      <c r="HM308" s="54"/>
      <c r="HN308" s="54"/>
      <c r="HO308" s="54"/>
      <c r="HP308" s="54"/>
      <c r="HQ308" s="54"/>
      <c r="HR308" s="54"/>
      <c r="HS308" s="54"/>
      <c r="HT308" s="54"/>
      <c r="HU308" s="54"/>
      <c r="HV308" s="54"/>
      <c r="HW308" s="54"/>
      <c r="HX308" s="54"/>
      <c r="HY308" s="54"/>
      <c r="HZ308" s="54"/>
      <c r="IA308" s="54"/>
      <c r="IB308" s="54"/>
      <c r="IC308" s="54"/>
      <c r="ID308" s="54"/>
      <c r="IE308" s="54"/>
      <c r="IF308" s="54"/>
      <c r="IG308" s="54"/>
      <c r="IH308" s="54"/>
      <c r="II308" s="54"/>
      <c r="IJ308" s="54"/>
      <c r="IK308" s="54"/>
      <c r="IL308" s="54"/>
      <c r="IM308" s="54"/>
      <c r="IN308" s="54"/>
      <c r="IO308" s="54"/>
      <c r="IP308" s="54"/>
      <c r="IQ308" s="54"/>
      <c r="IR308" s="54"/>
      <c r="IS308" s="54"/>
      <c r="IT308" s="54"/>
      <c r="IU308" s="54"/>
      <c r="IV308" s="54"/>
      <c r="IW308" s="54"/>
      <c r="IX308" s="54"/>
      <c r="IY308" s="54"/>
      <c r="IZ308" s="54"/>
      <c r="JA308" s="54"/>
      <c r="JB308" s="54"/>
      <c r="JC308" s="54"/>
      <c r="JD308" s="54"/>
      <c r="JE308" s="54"/>
      <c r="JF308" s="54"/>
      <c r="JG308" s="54"/>
      <c r="JH308" s="54"/>
      <c r="JI308" s="54"/>
      <c r="JJ308" s="54"/>
      <c r="JK308" s="54"/>
      <c r="JL308" s="54"/>
      <c r="JM308" s="54"/>
      <c r="JN308" s="54"/>
      <c r="JO308" s="54"/>
      <c r="JP308" s="54"/>
      <c r="JQ308" s="54"/>
      <c r="JR308" s="54"/>
      <c r="JS308" s="54"/>
      <c r="JT308" s="54"/>
      <c r="JU308" s="54"/>
      <c r="JV308" s="54"/>
      <c r="JW308" s="54"/>
      <c r="JX308" s="54"/>
      <c r="JY308" s="54"/>
      <c r="JZ308" s="54"/>
      <c r="KA308" s="54"/>
      <c r="KB308" s="54"/>
      <c r="KC308" s="54"/>
      <c r="KD308" s="54"/>
      <c r="KE308" s="54"/>
      <c r="KF308" s="54"/>
      <c r="KG308" s="54"/>
      <c r="KH308" s="54"/>
      <c r="KI308" s="54"/>
      <c r="KJ308" s="54"/>
      <c r="KK308" s="54"/>
      <c r="KL308" s="54"/>
      <c r="KM308" s="54"/>
      <c r="KN308" s="54"/>
      <c r="KO308" s="54"/>
      <c r="KP308" s="54"/>
      <c r="KQ308" s="54"/>
      <c r="KR308" s="54"/>
      <c r="KS308" s="54"/>
      <c r="KT308" s="54"/>
      <c r="KU308" s="54"/>
      <c r="KV308" s="54"/>
      <c r="KW308" s="54"/>
      <c r="KX308" s="54"/>
      <c r="KY308" s="54"/>
      <c r="KZ308" s="54"/>
      <c r="LA308" s="54"/>
      <c r="LB308" s="54"/>
      <c r="LC308" s="54"/>
      <c r="LD308" s="54"/>
      <c r="LE308" s="54"/>
      <c r="LF308" s="54"/>
      <c r="LG308" s="54"/>
      <c r="LH308" s="54"/>
      <c r="LI308" s="54"/>
      <c r="LJ308" s="54"/>
      <c r="LK308" s="54"/>
      <c r="LL308" s="54"/>
      <c r="LM308" s="54"/>
      <c r="LN308" s="54"/>
      <c r="LO308" s="54"/>
      <c r="LP308" s="54"/>
      <c r="LQ308" s="54"/>
      <c r="LR308" s="54"/>
      <c r="LS308" s="54"/>
      <c r="LT308" s="54"/>
      <c r="LU308" s="54"/>
      <c r="LV308" s="54"/>
      <c r="LW308" s="54"/>
      <c r="LX308" s="54"/>
      <c r="LY308" s="54"/>
      <c r="LZ308" s="54"/>
      <c r="MA308" s="54"/>
      <c r="MB308" s="54"/>
      <c r="MC308" s="54"/>
      <c r="MD308" s="54"/>
      <c r="ME308" s="54"/>
      <c r="MF308" s="54"/>
      <c r="MG308" s="54"/>
      <c r="MH308" s="54"/>
      <c r="MI308" s="54"/>
      <c r="MJ308" s="54"/>
      <c r="MK308" s="54"/>
      <c r="ML308" s="54"/>
      <c r="MM308" s="54"/>
      <c r="MN308" s="54"/>
      <c r="MO308" s="54"/>
      <c r="MP308" s="54"/>
      <c r="MQ308" s="54"/>
      <c r="MR308" s="54"/>
      <c r="MS308" s="54"/>
      <c r="MT308" s="54"/>
      <c r="MU308" s="54"/>
      <c r="MV308" s="54"/>
      <c r="MW308" s="54"/>
      <c r="MX308" s="54"/>
      <c r="MY308" s="54"/>
      <c r="MZ308" s="54"/>
      <c r="NA308" s="54"/>
      <c r="NB308" s="54"/>
      <c r="NC308" s="54"/>
      <c r="ND308" s="54"/>
      <c r="NE308" s="54"/>
      <c r="NF308" s="54"/>
      <c r="NG308" s="54"/>
      <c r="NH308" s="54"/>
      <c r="NI308" s="54"/>
      <c r="NJ308" s="54"/>
      <c r="NK308" s="54"/>
      <c r="NL308" s="54"/>
      <c r="NM308" s="54"/>
      <c r="NN308" s="54"/>
      <c r="NO308" s="54"/>
      <c r="NP308" s="54"/>
      <c r="NQ308" s="54"/>
      <c r="NR308" s="54"/>
      <c r="NS308" s="54"/>
      <c r="NT308" s="54"/>
      <c r="NU308" s="54"/>
      <c r="NV308" s="54"/>
      <c r="NW308" s="54"/>
      <c r="NX308" s="54"/>
      <c r="NY308" s="54"/>
      <c r="NZ308" s="54"/>
      <c r="OA308" s="54"/>
      <c r="OB308" s="54"/>
      <c r="OC308" s="54"/>
      <c r="OD308" s="54"/>
      <c r="OE308" s="54"/>
      <c r="OF308" s="54"/>
      <c r="OG308" s="54"/>
      <c r="OH308" s="54"/>
      <c r="OI308" s="54"/>
      <c r="OJ308" s="54"/>
      <c r="OK308" s="54"/>
      <c r="OL308" s="54"/>
      <c r="OM308" s="54"/>
      <c r="ON308" s="54"/>
      <c r="OO308" s="54"/>
      <c r="OP308" s="54"/>
      <c r="OQ308" s="54"/>
      <c r="OR308" s="54"/>
      <c r="OS308" s="54"/>
      <c r="OT308" s="54"/>
      <c r="OU308" s="54"/>
      <c r="OV308" s="54"/>
      <c r="OW308" s="54"/>
      <c r="OX308" s="54"/>
      <c r="OY308" s="54"/>
      <c r="OZ308" s="54"/>
      <c r="PA308" s="54"/>
      <c r="PB308" s="54"/>
      <c r="PC308" s="54"/>
      <c r="PD308" s="54"/>
      <c r="PE308" s="54"/>
      <c r="PF308" s="54"/>
      <c r="PG308" s="54"/>
      <c r="PH308" s="54"/>
      <c r="PI308" s="54"/>
      <c r="PJ308" s="54"/>
      <c r="PK308" s="54"/>
      <c r="PL308" s="54"/>
      <c r="PM308" s="54"/>
      <c r="PN308" s="54"/>
      <c r="PO308" s="54"/>
      <c r="PP308" s="54"/>
      <c r="PQ308" s="54"/>
      <c r="PR308" s="54"/>
      <c r="PS308" s="54"/>
      <c r="PT308" s="54"/>
      <c r="PU308" s="54"/>
      <c r="PV308" s="54"/>
      <c r="PW308" s="54"/>
      <c r="PX308" s="54"/>
      <c r="PY308" s="54"/>
      <c r="PZ308" s="54"/>
      <c r="QA308" s="54"/>
      <c r="QB308" s="54"/>
      <c r="QC308" s="54"/>
      <c r="QD308" s="54"/>
      <c r="QE308" s="54"/>
      <c r="QF308" s="54"/>
      <c r="QG308" s="54"/>
      <c r="QH308" s="54"/>
      <c r="QI308" s="54"/>
      <c r="QJ308" s="54"/>
      <c r="QK308" s="54"/>
      <c r="QL308" s="54"/>
      <c r="QM308" s="54"/>
      <c r="QN308" s="54"/>
      <c r="QO308" s="54"/>
      <c r="QP308" s="54"/>
      <c r="QQ308" s="54"/>
      <c r="QR308" s="54"/>
      <c r="QS308" s="54"/>
      <c r="QT308" s="54"/>
      <c r="QU308" s="54"/>
      <c r="QV308" s="54"/>
      <c r="QW308" s="54"/>
      <c r="QX308" s="54"/>
      <c r="QY308" s="54"/>
      <c r="QZ308" s="54"/>
      <c r="RA308" s="54"/>
      <c r="RB308" s="54"/>
      <c r="RC308" s="54"/>
      <c r="RD308" s="54"/>
      <c r="RE308" s="54"/>
      <c r="RF308" s="54"/>
      <c r="RG308" s="54"/>
      <c r="RH308" s="54"/>
      <c r="RI308" s="54"/>
      <c r="RJ308" s="54"/>
      <c r="RK308" s="54"/>
      <c r="RL308" s="54"/>
      <c r="RM308" s="54"/>
      <c r="RN308" s="54"/>
      <c r="RO308" s="54"/>
      <c r="RP308" s="54"/>
      <c r="RQ308" s="54"/>
      <c r="RR308" s="54"/>
      <c r="RS308" s="54"/>
      <c r="RT308" s="54"/>
      <c r="RU308" s="54"/>
      <c r="RV308" s="54"/>
      <c r="RW308" s="54"/>
      <c r="RX308" s="54"/>
      <c r="RY308" s="54"/>
      <c r="RZ308" s="54"/>
      <c r="SA308" s="54"/>
      <c r="SB308" s="54"/>
      <c r="SC308" s="54"/>
      <c r="SD308" s="54"/>
      <c r="SE308" s="54"/>
      <c r="SF308" s="54"/>
      <c r="SG308" s="54"/>
      <c r="SH308" s="54"/>
      <c r="SI308" s="54"/>
      <c r="SJ308" s="54"/>
      <c r="SK308" s="54"/>
      <c r="SL308" s="54"/>
      <c r="SM308" s="54"/>
      <c r="SN308" s="54"/>
      <c r="SO308" s="54"/>
      <c r="SP308" s="54"/>
      <c r="SQ308" s="54"/>
      <c r="SR308" s="54"/>
    </row>
    <row r="309" spans="1:512" ht="15" customHeight="1" x14ac:dyDescent="0.7">
      <c r="A309" s="172"/>
      <c r="B309" s="172"/>
      <c r="C309" s="172"/>
      <c r="D309" s="172"/>
      <c r="E309" s="172"/>
      <c r="F309" s="172"/>
      <c r="G309" s="172"/>
      <c r="I309" s="72" t="s">
        <v>344</v>
      </c>
      <c r="J309" s="73" t="s">
        <v>344</v>
      </c>
      <c r="K309" s="190"/>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c r="BS309" s="54"/>
      <c r="BT309" s="54"/>
      <c r="BU309" s="54"/>
      <c r="BV309" s="54"/>
      <c r="BW309" s="54"/>
      <c r="BX309" s="54"/>
      <c r="BY309" s="54"/>
      <c r="BZ309" s="54"/>
      <c r="CA309" s="54"/>
      <c r="CB309" s="54"/>
      <c r="CC309" s="54"/>
      <c r="CD309" s="54"/>
      <c r="CE309" s="54"/>
      <c r="CF309" s="54"/>
      <c r="CG309" s="54"/>
      <c r="CH309" s="54"/>
      <c r="CI309" s="54"/>
      <c r="CJ309" s="54"/>
      <c r="CK309" s="54"/>
      <c r="CL309" s="54"/>
      <c r="CM309" s="54"/>
      <c r="CN309" s="54"/>
      <c r="CO309" s="54"/>
      <c r="CP309" s="54"/>
      <c r="CQ309" s="54"/>
      <c r="CR309" s="54"/>
      <c r="CS309" s="54"/>
      <c r="CT309" s="54"/>
      <c r="CU309" s="54"/>
      <c r="CV309" s="54"/>
      <c r="CW309" s="54"/>
      <c r="CX309" s="54"/>
      <c r="CY309" s="54"/>
      <c r="CZ309" s="54"/>
      <c r="DA309" s="54"/>
      <c r="DB309" s="54"/>
      <c r="DC309" s="54"/>
      <c r="DD309" s="54"/>
      <c r="DE309" s="54"/>
      <c r="DF309" s="54"/>
      <c r="DG309" s="54"/>
      <c r="DH309" s="54"/>
      <c r="DI309" s="54"/>
      <c r="DJ309" s="54"/>
      <c r="DK309" s="54"/>
      <c r="DL309" s="54"/>
      <c r="DM309" s="54"/>
      <c r="DN309" s="54"/>
      <c r="DO309" s="54"/>
      <c r="DP309" s="54"/>
      <c r="DQ309" s="54"/>
      <c r="DR309" s="54"/>
      <c r="DS309" s="54"/>
      <c r="DT309" s="54"/>
      <c r="DU309" s="54"/>
      <c r="DV309" s="54"/>
      <c r="DW309" s="54"/>
      <c r="DX309" s="54"/>
      <c r="DY309" s="54"/>
      <c r="DZ309" s="54"/>
      <c r="EA309" s="54"/>
      <c r="EB309" s="54"/>
      <c r="EC309" s="54"/>
      <c r="ED309" s="54"/>
      <c r="EE309" s="54"/>
      <c r="EF309" s="54"/>
      <c r="EG309" s="54"/>
      <c r="EH309" s="54"/>
      <c r="EI309" s="54"/>
      <c r="EJ309" s="54"/>
      <c r="EK309" s="54"/>
      <c r="EL309" s="54"/>
      <c r="EM309" s="54"/>
      <c r="EN309" s="54"/>
      <c r="EO309" s="54"/>
      <c r="EP309" s="54"/>
      <c r="EQ309" s="54"/>
      <c r="ER309" s="54"/>
      <c r="ES309" s="54"/>
      <c r="ET309" s="54"/>
      <c r="EU309" s="54"/>
      <c r="EV309" s="54"/>
      <c r="EW309" s="54"/>
      <c r="EX309" s="54"/>
      <c r="EY309" s="54"/>
      <c r="EZ309" s="54"/>
      <c r="FA309" s="54"/>
      <c r="FB309" s="54"/>
      <c r="FC309" s="54"/>
      <c r="FD309" s="54"/>
      <c r="FE309" s="54"/>
      <c r="FF309" s="54"/>
      <c r="FG309" s="54"/>
      <c r="FH309" s="54"/>
      <c r="FI309" s="54"/>
      <c r="FJ309" s="54"/>
      <c r="FK309" s="54"/>
      <c r="FL309" s="54"/>
      <c r="FM309" s="54"/>
      <c r="FN309" s="54"/>
      <c r="FO309" s="54"/>
      <c r="FP309" s="54"/>
      <c r="FQ309" s="54"/>
      <c r="FR309" s="54"/>
      <c r="FS309" s="54"/>
      <c r="FT309" s="54"/>
      <c r="FU309" s="54"/>
      <c r="FV309" s="54"/>
      <c r="FW309" s="54"/>
      <c r="FX309" s="54"/>
      <c r="FY309" s="54"/>
      <c r="FZ309" s="54"/>
      <c r="GA309" s="54"/>
      <c r="GB309" s="54"/>
      <c r="GC309" s="54"/>
      <c r="GD309" s="54"/>
      <c r="GE309" s="54"/>
      <c r="GF309" s="54"/>
      <c r="GG309" s="54"/>
      <c r="GH309" s="54"/>
      <c r="GI309" s="54"/>
      <c r="GJ309" s="54"/>
      <c r="GK309" s="54"/>
      <c r="GL309" s="54"/>
      <c r="GM309" s="54"/>
      <c r="GN309" s="54"/>
      <c r="GO309" s="54"/>
      <c r="GP309" s="54"/>
      <c r="GQ309" s="54"/>
      <c r="GR309" s="54"/>
      <c r="GS309" s="54"/>
      <c r="GT309" s="54"/>
      <c r="GU309" s="54"/>
      <c r="GV309" s="54"/>
      <c r="GW309" s="54"/>
      <c r="GX309" s="54"/>
      <c r="GY309" s="54"/>
      <c r="GZ309" s="54"/>
      <c r="HA309" s="54"/>
      <c r="HB309" s="54"/>
      <c r="HC309" s="54"/>
      <c r="HD309" s="54"/>
      <c r="HE309" s="54"/>
      <c r="HF309" s="54"/>
      <c r="HG309" s="54"/>
      <c r="HH309" s="54"/>
      <c r="HI309" s="54"/>
      <c r="HJ309" s="54"/>
      <c r="HK309" s="54"/>
      <c r="HL309" s="54"/>
      <c r="HM309" s="54"/>
      <c r="HN309" s="54"/>
      <c r="HO309" s="54"/>
      <c r="HP309" s="54"/>
      <c r="HQ309" s="54"/>
      <c r="HR309" s="54"/>
      <c r="HS309" s="54"/>
      <c r="HT309" s="54"/>
      <c r="HU309" s="54"/>
      <c r="HV309" s="54"/>
      <c r="HW309" s="54"/>
      <c r="HX309" s="54"/>
      <c r="HY309" s="54"/>
      <c r="HZ309" s="54"/>
      <c r="IA309" s="54"/>
      <c r="IB309" s="54"/>
      <c r="IC309" s="54"/>
      <c r="ID309" s="54"/>
      <c r="IE309" s="54"/>
      <c r="IF309" s="54"/>
      <c r="IG309" s="54"/>
      <c r="IH309" s="54"/>
      <c r="II309" s="54"/>
      <c r="IJ309" s="54"/>
      <c r="IK309" s="54"/>
      <c r="IL309" s="54"/>
      <c r="IM309" s="54"/>
      <c r="IN309" s="54"/>
      <c r="IO309" s="54"/>
      <c r="IP309" s="54"/>
      <c r="IQ309" s="54"/>
      <c r="IR309" s="54"/>
      <c r="IS309" s="54"/>
      <c r="IT309" s="54"/>
      <c r="IU309" s="54"/>
      <c r="IV309" s="54"/>
      <c r="IW309" s="54"/>
      <c r="IX309" s="54"/>
      <c r="IY309" s="54"/>
      <c r="IZ309" s="54"/>
      <c r="JA309" s="54"/>
      <c r="JB309" s="54"/>
      <c r="JC309" s="54"/>
      <c r="JD309" s="54"/>
      <c r="JE309" s="54"/>
      <c r="JF309" s="54"/>
      <c r="JG309" s="54"/>
      <c r="JH309" s="54"/>
      <c r="JI309" s="54"/>
      <c r="JJ309" s="54"/>
      <c r="JK309" s="54"/>
      <c r="JL309" s="54"/>
      <c r="JM309" s="54"/>
      <c r="JN309" s="54"/>
      <c r="JO309" s="54"/>
      <c r="JP309" s="54"/>
      <c r="JQ309" s="54"/>
      <c r="JR309" s="54"/>
      <c r="JS309" s="54"/>
      <c r="JT309" s="54"/>
      <c r="JU309" s="54"/>
      <c r="JV309" s="54"/>
      <c r="JW309" s="54"/>
      <c r="JX309" s="54"/>
      <c r="JY309" s="54"/>
      <c r="JZ309" s="54"/>
      <c r="KA309" s="54"/>
      <c r="KB309" s="54"/>
      <c r="KC309" s="54"/>
      <c r="KD309" s="54"/>
      <c r="KE309" s="54"/>
      <c r="KF309" s="54"/>
      <c r="KG309" s="54"/>
      <c r="KH309" s="54"/>
      <c r="KI309" s="54"/>
      <c r="KJ309" s="54"/>
      <c r="KK309" s="54"/>
      <c r="KL309" s="54"/>
      <c r="KM309" s="54"/>
      <c r="KN309" s="54"/>
      <c r="KO309" s="54"/>
      <c r="KP309" s="54"/>
      <c r="KQ309" s="54"/>
      <c r="KR309" s="54"/>
      <c r="KS309" s="54"/>
      <c r="KT309" s="54"/>
      <c r="KU309" s="54"/>
      <c r="KV309" s="54"/>
      <c r="KW309" s="54"/>
      <c r="KX309" s="54"/>
      <c r="KY309" s="54"/>
      <c r="KZ309" s="54"/>
      <c r="LA309" s="54"/>
      <c r="LB309" s="54"/>
      <c r="LC309" s="54"/>
      <c r="LD309" s="54"/>
      <c r="LE309" s="54"/>
      <c r="LF309" s="54"/>
      <c r="LG309" s="54"/>
      <c r="LH309" s="54"/>
      <c r="LI309" s="54"/>
      <c r="LJ309" s="54"/>
      <c r="LK309" s="54"/>
      <c r="LL309" s="54"/>
      <c r="LM309" s="54"/>
      <c r="LN309" s="54"/>
      <c r="LO309" s="54"/>
      <c r="LP309" s="54"/>
      <c r="LQ309" s="54"/>
      <c r="LR309" s="54"/>
      <c r="LS309" s="54"/>
      <c r="LT309" s="54"/>
      <c r="LU309" s="54"/>
      <c r="LV309" s="54"/>
      <c r="LW309" s="54"/>
      <c r="LX309" s="54"/>
      <c r="LY309" s="54"/>
      <c r="LZ309" s="54"/>
      <c r="MA309" s="54"/>
      <c r="MB309" s="54"/>
      <c r="MC309" s="54"/>
      <c r="MD309" s="54"/>
      <c r="ME309" s="54"/>
      <c r="MF309" s="54"/>
      <c r="MG309" s="54"/>
      <c r="MH309" s="54"/>
      <c r="MI309" s="54"/>
      <c r="MJ309" s="54"/>
      <c r="MK309" s="54"/>
      <c r="ML309" s="54"/>
      <c r="MM309" s="54"/>
      <c r="MN309" s="54"/>
      <c r="MO309" s="54"/>
      <c r="MP309" s="54"/>
      <c r="MQ309" s="54"/>
      <c r="MR309" s="54"/>
      <c r="MS309" s="54"/>
      <c r="MT309" s="54"/>
      <c r="MU309" s="54"/>
      <c r="MV309" s="54"/>
      <c r="MW309" s="54"/>
      <c r="MX309" s="54"/>
      <c r="MY309" s="54"/>
      <c r="MZ309" s="54"/>
      <c r="NA309" s="54"/>
      <c r="NB309" s="54"/>
      <c r="NC309" s="54"/>
      <c r="ND309" s="54"/>
      <c r="NE309" s="54"/>
      <c r="NF309" s="54"/>
      <c r="NG309" s="54"/>
      <c r="NH309" s="54"/>
      <c r="NI309" s="54"/>
      <c r="NJ309" s="54"/>
      <c r="NK309" s="54"/>
      <c r="NL309" s="54"/>
      <c r="NM309" s="54"/>
      <c r="NN309" s="54"/>
      <c r="NO309" s="54"/>
      <c r="NP309" s="54"/>
      <c r="NQ309" s="54"/>
      <c r="NR309" s="54"/>
      <c r="NS309" s="54"/>
      <c r="NT309" s="54"/>
      <c r="NU309" s="54"/>
      <c r="NV309" s="54"/>
      <c r="NW309" s="54"/>
      <c r="NX309" s="54"/>
      <c r="NY309" s="54"/>
      <c r="NZ309" s="54"/>
      <c r="OA309" s="54"/>
      <c r="OB309" s="54"/>
      <c r="OC309" s="54"/>
      <c r="OD309" s="54"/>
      <c r="OE309" s="54"/>
      <c r="OF309" s="54"/>
      <c r="OG309" s="54"/>
      <c r="OH309" s="54"/>
      <c r="OI309" s="54"/>
      <c r="OJ309" s="54"/>
      <c r="OK309" s="54"/>
      <c r="OL309" s="54"/>
      <c r="OM309" s="54"/>
      <c r="ON309" s="54"/>
      <c r="OO309" s="54"/>
      <c r="OP309" s="54"/>
      <c r="OQ309" s="54"/>
      <c r="OR309" s="54"/>
      <c r="OS309" s="54"/>
      <c r="OT309" s="54"/>
      <c r="OU309" s="54"/>
      <c r="OV309" s="54"/>
      <c r="OW309" s="54"/>
      <c r="OX309" s="54"/>
      <c r="OY309" s="54"/>
      <c r="OZ309" s="54"/>
      <c r="PA309" s="54"/>
      <c r="PB309" s="54"/>
      <c r="PC309" s="54"/>
      <c r="PD309" s="54"/>
      <c r="PE309" s="54"/>
      <c r="PF309" s="54"/>
      <c r="PG309" s="54"/>
      <c r="PH309" s="54"/>
      <c r="PI309" s="54"/>
      <c r="PJ309" s="54"/>
      <c r="PK309" s="54"/>
      <c r="PL309" s="54"/>
      <c r="PM309" s="54"/>
      <c r="PN309" s="54"/>
      <c r="PO309" s="54"/>
      <c r="PP309" s="54"/>
      <c r="PQ309" s="54"/>
      <c r="PR309" s="54"/>
      <c r="PS309" s="54"/>
      <c r="PT309" s="54"/>
      <c r="PU309" s="54"/>
      <c r="PV309" s="54"/>
      <c r="PW309" s="54"/>
      <c r="PX309" s="54"/>
      <c r="PY309" s="54"/>
      <c r="PZ309" s="54"/>
      <c r="QA309" s="54"/>
      <c r="QB309" s="54"/>
      <c r="QC309" s="54"/>
      <c r="QD309" s="54"/>
      <c r="QE309" s="54"/>
      <c r="QF309" s="54"/>
      <c r="QG309" s="54"/>
      <c r="QH309" s="54"/>
      <c r="QI309" s="54"/>
      <c r="QJ309" s="54"/>
      <c r="QK309" s="54"/>
      <c r="QL309" s="54"/>
      <c r="QM309" s="54"/>
      <c r="QN309" s="54"/>
      <c r="QO309" s="54"/>
      <c r="QP309" s="54"/>
      <c r="QQ309" s="54"/>
      <c r="QR309" s="54"/>
      <c r="QS309" s="54"/>
      <c r="QT309" s="54"/>
      <c r="QU309" s="54"/>
      <c r="QV309" s="54"/>
      <c r="QW309" s="54"/>
      <c r="QX309" s="54"/>
      <c r="QY309" s="54"/>
      <c r="QZ309" s="54"/>
      <c r="RA309" s="54"/>
      <c r="RB309" s="54"/>
      <c r="RC309" s="54"/>
      <c r="RD309" s="54"/>
      <c r="RE309" s="54"/>
      <c r="RF309" s="54"/>
      <c r="RG309" s="54"/>
      <c r="RH309" s="54"/>
      <c r="RI309" s="54"/>
      <c r="RJ309" s="54"/>
      <c r="RK309" s="54"/>
      <c r="RL309" s="54"/>
      <c r="RM309" s="54"/>
      <c r="RN309" s="54"/>
      <c r="RO309" s="54"/>
      <c r="RP309" s="54"/>
      <c r="RQ309" s="54"/>
      <c r="RR309" s="54"/>
      <c r="RS309" s="54"/>
      <c r="RT309" s="54"/>
      <c r="RU309" s="54"/>
      <c r="RV309" s="54"/>
      <c r="RW309" s="54"/>
      <c r="RX309" s="54"/>
      <c r="RY309" s="54"/>
      <c r="RZ309" s="54"/>
      <c r="SA309" s="54"/>
      <c r="SB309" s="54"/>
      <c r="SC309" s="54"/>
      <c r="SD309" s="54"/>
      <c r="SE309" s="54"/>
      <c r="SF309" s="54"/>
      <c r="SG309" s="54"/>
      <c r="SH309" s="54"/>
      <c r="SI309" s="54"/>
      <c r="SJ309" s="54"/>
      <c r="SK309" s="54"/>
      <c r="SL309" s="54"/>
      <c r="SM309" s="54"/>
      <c r="SN309" s="54"/>
      <c r="SO309" s="54"/>
      <c r="SP309" s="54"/>
      <c r="SQ309" s="54"/>
      <c r="SR309" s="54"/>
    </row>
    <row r="310" spans="1:512" s="55" customFormat="1" ht="15" customHeight="1" x14ac:dyDescent="0.7">
      <c r="A310" s="173"/>
      <c r="B310" s="173"/>
      <c r="C310" s="173"/>
      <c r="D310" s="173"/>
      <c r="E310" s="173"/>
      <c r="F310" s="173"/>
      <c r="G310" s="173"/>
      <c r="H310" s="74"/>
      <c r="I310" s="75"/>
      <c r="J310" s="76"/>
      <c r="K310" s="191"/>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56"/>
      <c r="CF310" s="56"/>
      <c r="CG310" s="56"/>
      <c r="CH310" s="56"/>
      <c r="CI310" s="56"/>
      <c r="CJ310" s="56"/>
      <c r="CK310" s="56"/>
      <c r="CL310" s="56"/>
      <c r="CM310" s="56"/>
      <c r="CN310" s="56"/>
      <c r="CO310" s="56"/>
      <c r="CP310" s="56"/>
      <c r="CQ310" s="56"/>
      <c r="CR310" s="56"/>
      <c r="CS310" s="56"/>
      <c r="CT310" s="56"/>
      <c r="CU310" s="56"/>
      <c r="CV310" s="56"/>
      <c r="CW310" s="56"/>
      <c r="CX310" s="56"/>
      <c r="CY310" s="56"/>
      <c r="CZ310" s="56"/>
      <c r="DA310" s="56"/>
      <c r="DB310" s="56"/>
      <c r="DC310" s="56"/>
      <c r="DD310" s="56"/>
      <c r="DE310" s="56"/>
      <c r="DF310" s="56"/>
      <c r="DG310" s="56"/>
      <c r="DH310" s="56"/>
      <c r="DI310" s="56"/>
      <c r="DJ310" s="56"/>
      <c r="DK310" s="56"/>
      <c r="DL310" s="56"/>
      <c r="DM310" s="56"/>
      <c r="DN310" s="56"/>
      <c r="DO310" s="56"/>
      <c r="DP310" s="56"/>
      <c r="DQ310" s="56"/>
      <c r="DR310" s="56"/>
      <c r="DS310" s="56"/>
      <c r="DT310" s="56"/>
      <c r="DU310" s="56"/>
      <c r="DV310" s="56"/>
      <c r="DW310" s="56"/>
      <c r="DX310" s="56"/>
      <c r="DY310" s="56"/>
      <c r="DZ310" s="56"/>
      <c r="EA310" s="56"/>
      <c r="EB310" s="56"/>
      <c r="EC310" s="56"/>
      <c r="ED310" s="56"/>
      <c r="EE310" s="56"/>
      <c r="EF310" s="56"/>
      <c r="EG310" s="56"/>
      <c r="EH310" s="56"/>
      <c r="EI310" s="56"/>
      <c r="EJ310" s="56"/>
      <c r="EK310" s="56"/>
      <c r="EL310" s="56"/>
      <c r="EM310" s="56"/>
      <c r="EN310" s="56"/>
      <c r="EO310" s="56"/>
      <c r="EP310" s="56"/>
      <c r="EQ310" s="56"/>
      <c r="ER310" s="56"/>
      <c r="ES310" s="56"/>
      <c r="ET310" s="56"/>
      <c r="EU310" s="56"/>
      <c r="EV310" s="56"/>
      <c r="EW310" s="56"/>
      <c r="EX310" s="56"/>
      <c r="EY310" s="56"/>
      <c r="EZ310" s="56"/>
      <c r="FA310" s="56"/>
      <c r="FB310" s="56"/>
      <c r="FC310" s="56"/>
      <c r="FD310" s="56"/>
      <c r="FE310" s="56"/>
      <c r="FF310" s="56"/>
      <c r="FG310" s="56"/>
      <c r="FH310" s="56"/>
      <c r="FI310" s="56"/>
      <c r="FJ310" s="56"/>
      <c r="FK310" s="56"/>
      <c r="FL310" s="56"/>
      <c r="FM310" s="56"/>
      <c r="FN310" s="56"/>
      <c r="FO310" s="56"/>
      <c r="FP310" s="56"/>
      <c r="FQ310" s="56"/>
      <c r="FR310" s="56"/>
      <c r="FS310" s="56"/>
      <c r="FT310" s="56"/>
      <c r="FU310" s="56"/>
      <c r="FV310" s="56"/>
      <c r="FW310" s="56"/>
      <c r="FX310" s="56"/>
      <c r="FY310" s="56"/>
      <c r="FZ310" s="56"/>
      <c r="GA310" s="56"/>
      <c r="GB310" s="56"/>
      <c r="GC310" s="56"/>
      <c r="GD310" s="56"/>
      <c r="GE310" s="56"/>
      <c r="GF310" s="56"/>
      <c r="GG310" s="56"/>
      <c r="GH310" s="56"/>
      <c r="GI310" s="56"/>
      <c r="GJ310" s="56"/>
      <c r="GK310" s="56"/>
      <c r="GL310" s="56"/>
      <c r="GM310" s="56"/>
      <c r="GN310" s="56"/>
      <c r="GO310" s="56"/>
      <c r="GP310" s="56"/>
      <c r="GQ310" s="56"/>
      <c r="GR310" s="56"/>
      <c r="GS310" s="56"/>
      <c r="GT310" s="56"/>
      <c r="GU310" s="56"/>
      <c r="GV310" s="56"/>
      <c r="GW310" s="56"/>
      <c r="GX310" s="56"/>
      <c r="GY310" s="56"/>
      <c r="GZ310" s="56"/>
      <c r="HA310" s="56"/>
      <c r="HB310" s="56"/>
      <c r="HC310" s="56"/>
      <c r="HD310" s="56"/>
      <c r="HE310" s="56"/>
      <c r="HF310" s="56"/>
      <c r="HG310" s="56"/>
      <c r="HH310" s="56"/>
      <c r="HI310" s="56"/>
      <c r="HJ310" s="56"/>
      <c r="HK310" s="56"/>
      <c r="HL310" s="56"/>
      <c r="HM310" s="56"/>
      <c r="HN310" s="56"/>
      <c r="HO310" s="56"/>
      <c r="HP310" s="56"/>
      <c r="HQ310" s="56"/>
      <c r="HR310" s="56"/>
      <c r="HS310" s="56"/>
      <c r="HT310" s="56"/>
      <c r="HU310" s="56"/>
      <c r="HV310" s="56"/>
      <c r="HW310" s="56"/>
      <c r="HX310" s="56"/>
      <c r="HY310" s="56"/>
      <c r="HZ310" s="56"/>
      <c r="IA310" s="56"/>
      <c r="IB310" s="56"/>
      <c r="IC310" s="56"/>
      <c r="ID310" s="56"/>
      <c r="IE310" s="56"/>
      <c r="IF310" s="56"/>
      <c r="IG310" s="56"/>
      <c r="IH310" s="56"/>
      <c r="II310" s="56"/>
      <c r="IJ310" s="56"/>
      <c r="IK310" s="56"/>
      <c r="IL310" s="56"/>
      <c r="IM310" s="56"/>
      <c r="IN310" s="56"/>
      <c r="IO310" s="56"/>
      <c r="IP310" s="56"/>
      <c r="IQ310" s="56"/>
      <c r="IR310" s="56"/>
      <c r="IS310" s="56"/>
      <c r="IT310" s="56"/>
      <c r="IU310" s="56"/>
      <c r="IV310" s="56"/>
      <c r="IW310" s="56"/>
      <c r="IX310" s="56"/>
      <c r="IY310" s="56"/>
      <c r="IZ310" s="56"/>
      <c r="JA310" s="56"/>
      <c r="JB310" s="56"/>
      <c r="JC310" s="56"/>
      <c r="JD310" s="56"/>
      <c r="JE310" s="56"/>
      <c r="JF310" s="56"/>
      <c r="JG310" s="56"/>
      <c r="JH310" s="56"/>
      <c r="JI310" s="56"/>
      <c r="JJ310" s="56"/>
      <c r="JK310" s="56"/>
      <c r="JL310" s="56"/>
      <c r="JM310" s="56"/>
      <c r="JN310" s="56"/>
      <c r="JO310" s="56"/>
      <c r="JP310" s="56"/>
      <c r="JQ310" s="56"/>
      <c r="JR310" s="56"/>
      <c r="JS310" s="56"/>
      <c r="JT310" s="56"/>
      <c r="JU310" s="56"/>
      <c r="JV310" s="56"/>
      <c r="JW310" s="56"/>
      <c r="JX310" s="56"/>
      <c r="JY310" s="56"/>
      <c r="JZ310" s="56"/>
      <c r="KA310" s="56"/>
      <c r="KB310" s="56"/>
      <c r="KC310" s="56"/>
      <c r="KD310" s="56"/>
      <c r="KE310" s="56"/>
      <c r="KF310" s="56"/>
      <c r="KG310" s="56"/>
      <c r="KH310" s="56"/>
      <c r="KI310" s="56"/>
      <c r="KJ310" s="56"/>
      <c r="KK310" s="56"/>
      <c r="KL310" s="56"/>
      <c r="KM310" s="56"/>
      <c r="KN310" s="56"/>
      <c r="KO310" s="56"/>
      <c r="KP310" s="56"/>
      <c r="KQ310" s="56"/>
      <c r="KR310" s="56"/>
      <c r="KS310" s="56"/>
      <c r="KT310" s="56"/>
      <c r="KU310" s="56"/>
      <c r="KV310" s="56"/>
      <c r="KW310" s="56"/>
      <c r="KX310" s="56"/>
      <c r="KY310" s="56"/>
      <c r="KZ310" s="56"/>
      <c r="LA310" s="56"/>
      <c r="LB310" s="56"/>
      <c r="LC310" s="56"/>
      <c r="LD310" s="56"/>
      <c r="LE310" s="56"/>
      <c r="LF310" s="56"/>
      <c r="LG310" s="56"/>
      <c r="LH310" s="56"/>
      <c r="LI310" s="56"/>
      <c r="LJ310" s="56"/>
      <c r="LK310" s="56"/>
      <c r="LL310" s="56"/>
      <c r="LM310" s="56"/>
      <c r="LN310" s="56"/>
      <c r="LO310" s="56"/>
      <c r="LP310" s="56"/>
      <c r="LQ310" s="56"/>
      <c r="LR310" s="56"/>
      <c r="LS310" s="56"/>
      <c r="LT310" s="56"/>
      <c r="LU310" s="56"/>
      <c r="LV310" s="56"/>
      <c r="LW310" s="56"/>
      <c r="LX310" s="56"/>
      <c r="LY310" s="56"/>
      <c r="LZ310" s="56"/>
      <c r="MA310" s="56"/>
      <c r="MB310" s="56"/>
      <c r="MC310" s="56"/>
      <c r="MD310" s="56"/>
      <c r="ME310" s="56"/>
      <c r="MF310" s="56"/>
      <c r="MG310" s="56"/>
      <c r="MH310" s="56"/>
      <c r="MI310" s="56"/>
      <c r="MJ310" s="56"/>
      <c r="MK310" s="56"/>
      <c r="ML310" s="56"/>
      <c r="MM310" s="56"/>
      <c r="MN310" s="56"/>
      <c r="MO310" s="56"/>
      <c r="MP310" s="56"/>
      <c r="MQ310" s="56"/>
      <c r="MR310" s="56"/>
      <c r="MS310" s="56"/>
      <c r="MT310" s="56"/>
      <c r="MU310" s="56"/>
      <c r="MV310" s="56"/>
      <c r="MW310" s="56"/>
      <c r="MX310" s="56"/>
      <c r="MY310" s="56"/>
      <c r="MZ310" s="56"/>
      <c r="NA310" s="56"/>
      <c r="NB310" s="56"/>
      <c r="NC310" s="56"/>
      <c r="ND310" s="56"/>
      <c r="NE310" s="56"/>
      <c r="NF310" s="56"/>
      <c r="NG310" s="56"/>
      <c r="NH310" s="56"/>
      <c r="NI310" s="56"/>
      <c r="NJ310" s="56"/>
      <c r="NK310" s="56"/>
      <c r="NL310" s="56"/>
      <c r="NM310" s="56"/>
      <c r="NN310" s="56"/>
      <c r="NO310" s="56"/>
      <c r="NP310" s="56"/>
      <c r="NQ310" s="56"/>
      <c r="NR310" s="56"/>
      <c r="NS310" s="56"/>
      <c r="NT310" s="56"/>
      <c r="NU310" s="56"/>
      <c r="NV310" s="56"/>
      <c r="NW310" s="56"/>
      <c r="NX310" s="56"/>
      <c r="NY310" s="56"/>
      <c r="NZ310" s="56"/>
      <c r="OA310" s="56"/>
      <c r="OB310" s="56"/>
      <c r="OC310" s="56"/>
      <c r="OD310" s="56"/>
      <c r="OE310" s="56"/>
      <c r="OF310" s="56"/>
      <c r="OG310" s="56"/>
      <c r="OH310" s="56"/>
      <c r="OI310" s="56"/>
      <c r="OJ310" s="56"/>
      <c r="OK310" s="56"/>
      <c r="OL310" s="56"/>
      <c r="OM310" s="56"/>
      <c r="ON310" s="56"/>
      <c r="OO310" s="56"/>
      <c r="OP310" s="56"/>
      <c r="OQ310" s="56"/>
      <c r="OR310" s="56"/>
      <c r="OS310" s="56"/>
      <c r="OT310" s="56"/>
      <c r="OU310" s="56"/>
      <c r="OV310" s="56"/>
      <c r="OW310" s="56"/>
      <c r="OX310" s="56"/>
      <c r="OY310" s="56"/>
      <c r="OZ310" s="56"/>
      <c r="PA310" s="56"/>
      <c r="PB310" s="56"/>
      <c r="PC310" s="56"/>
      <c r="PD310" s="56"/>
      <c r="PE310" s="56"/>
      <c r="PF310" s="56"/>
      <c r="PG310" s="56"/>
      <c r="PH310" s="56"/>
      <c r="PI310" s="56"/>
      <c r="PJ310" s="56"/>
      <c r="PK310" s="56"/>
      <c r="PL310" s="56"/>
      <c r="PM310" s="56"/>
      <c r="PN310" s="56"/>
      <c r="PO310" s="56"/>
      <c r="PP310" s="56"/>
      <c r="PQ310" s="56"/>
      <c r="PR310" s="56"/>
      <c r="PS310" s="56"/>
      <c r="PT310" s="56"/>
      <c r="PU310" s="56"/>
      <c r="PV310" s="56"/>
      <c r="PW310" s="56"/>
      <c r="PX310" s="56"/>
      <c r="PY310" s="56"/>
      <c r="PZ310" s="56"/>
      <c r="QA310" s="56"/>
      <c r="QB310" s="56"/>
      <c r="QC310" s="56"/>
      <c r="QD310" s="56"/>
      <c r="QE310" s="56"/>
      <c r="QF310" s="56"/>
      <c r="QG310" s="56"/>
      <c r="QH310" s="56"/>
      <c r="QI310" s="56"/>
      <c r="QJ310" s="56"/>
      <c r="QK310" s="56"/>
      <c r="QL310" s="56"/>
      <c r="QM310" s="56"/>
      <c r="QN310" s="56"/>
      <c r="QO310" s="56"/>
      <c r="QP310" s="56"/>
      <c r="QQ310" s="56"/>
      <c r="QR310" s="56"/>
      <c r="QS310" s="56"/>
      <c r="QT310" s="56"/>
      <c r="QU310" s="56"/>
      <c r="QV310" s="56"/>
      <c r="QW310" s="56"/>
      <c r="QX310" s="56"/>
      <c r="QY310" s="56"/>
      <c r="QZ310" s="56"/>
      <c r="RA310" s="56"/>
      <c r="RB310" s="56"/>
      <c r="RC310" s="56"/>
      <c r="RD310" s="56"/>
      <c r="RE310" s="56"/>
      <c r="RF310" s="56"/>
      <c r="RG310" s="56"/>
      <c r="RH310" s="56"/>
      <c r="RI310" s="56"/>
      <c r="RJ310" s="56"/>
      <c r="RK310" s="56"/>
      <c r="RL310" s="56"/>
      <c r="RM310" s="56"/>
      <c r="RN310" s="56"/>
      <c r="RO310" s="56"/>
      <c r="RP310" s="56"/>
      <c r="RQ310" s="56"/>
      <c r="RR310" s="56"/>
      <c r="RS310" s="56"/>
      <c r="RT310" s="56"/>
      <c r="RU310" s="56"/>
      <c r="RV310" s="56"/>
      <c r="RW310" s="56"/>
      <c r="RX310" s="56"/>
      <c r="RY310" s="56"/>
      <c r="RZ310" s="56"/>
      <c r="SA310" s="56"/>
      <c r="SB310" s="56"/>
      <c r="SC310" s="56"/>
      <c r="SD310" s="56"/>
      <c r="SE310" s="56"/>
      <c r="SF310" s="56"/>
      <c r="SG310" s="56"/>
      <c r="SH310" s="56"/>
      <c r="SI310" s="56"/>
      <c r="SJ310" s="56"/>
      <c r="SK310" s="56"/>
      <c r="SL310" s="56"/>
      <c r="SM310" s="56"/>
      <c r="SN310" s="56"/>
      <c r="SO310" s="56"/>
      <c r="SP310" s="56"/>
      <c r="SQ310" s="56"/>
      <c r="SR310" s="56"/>
    </row>
  </sheetData>
  <mergeCells count="611">
    <mergeCell ref="K305:K307"/>
    <mergeCell ref="A308:A310"/>
    <mergeCell ref="B308:B310"/>
    <mergeCell ref="C308:D310"/>
    <mergeCell ref="E308:F310"/>
    <mergeCell ref="G308:G310"/>
    <mergeCell ref="K308:K310"/>
    <mergeCell ref="A305:A307"/>
    <mergeCell ref="B305:B307"/>
    <mergeCell ref="C305:D307"/>
    <mergeCell ref="E305:F307"/>
    <mergeCell ref="G305:G307"/>
    <mergeCell ref="K299:K301"/>
    <mergeCell ref="A302:A304"/>
    <mergeCell ref="B302:B304"/>
    <mergeCell ref="C302:D304"/>
    <mergeCell ref="E302:F304"/>
    <mergeCell ref="G302:G304"/>
    <mergeCell ref="K302:K304"/>
    <mergeCell ref="A299:A301"/>
    <mergeCell ref="B299:B301"/>
    <mergeCell ref="C299:D301"/>
    <mergeCell ref="E299:F301"/>
    <mergeCell ref="G299:G301"/>
    <mergeCell ref="K293:K295"/>
    <mergeCell ref="A296:A298"/>
    <mergeCell ref="B296:B298"/>
    <mergeCell ref="C296:D298"/>
    <mergeCell ref="E296:F298"/>
    <mergeCell ref="G296:G298"/>
    <mergeCell ref="K296:K298"/>
    <mergeCell ref="A293:A295"/>
    <mergeCell ref="B293:B295"/>
    <mergeCell ref="C293:D295"/>
    <mergeCell ref="E293:F295"/>
    <mergeCell ref="G293:G295"/>
    <mergeCell ref="K287:K289"/>
    <mergeCell ref="A290:A292"/>
    <mergeCell ref="B290:B292"/>
    <mergeCell ref="C290:D292"/>
    <mergeCell ref="E290:F292"/>
    <mergeCell ref="G290:G292"/>
    <mergeCell ref="K290:K292"/>
    <mergeCell ref="A287:A289"/>
    <mergeCell ref="B287:B289"/>
    <mergeCell ref="C287:D289"/>
    <mergeCell ref="E287:F289"/>
    <mergeCell ref="G287:G289"/>
    <mergeCell ref="K281:K283"/>
    <mergeCell ref="A284:A286"/>
    <mergeCell ref="B284:B286"/>
    <mergeCell ref="C284:D286"/>
    <mergeCell ref="E284:F286"/>
    <mergeCell ref="G284:G286"/>
    <mergeCell ref="K284:K286"/>
    <mergeCell ref="A281:A283"/>
    <mergeCell ref="B281:B283"/>
    <mergeCell ref="C281:D283"/>
    <mergeCell ref="E281:F283"/>
    <mergeCell ref="G281:G283"/>
    <mergeCell ref="K275:K277"/>
    <mergeCell ref="A278:A280"/>
    <mergeCell ref="B278:B280"/>
    <mergeCell ref="C278:D280"/>
    <mergeCell ref="E278:F280"/>
    <mergeCell ref="G278:G280"/>
    <mergeCell ref="K278:K280"/>
    <mergeCell ref="A275:A277"/>
    <mergeCell ref="B275:B277"/>
    <mergeCell ref="C275:D277"/>
    <mergeCell ref="E275:F277"/>
    <mergeCell ref="G275:G277"/>
    <mergeCell ref="K269:K271"/>
    <mergeCell ref="A272:A274"/>
    <mergeCell ref="B272:B274"/>
    <mergeCell ref="C272:D274"/>
    <mergeCell ref="E272:F274"/>
    <mergeCell ref="G272:G274"/>
    <mergeCell ref="K272:K274"/>
    <mergeCell ref="A269:A271"/>
    <mergeCell ref="B269:B271"/>
    <mergeCell ref="C269:D271"/>
    <mergeCell ref="E269:F271"/>
    <mergeCell ref="G269:G271"/>
    <mergeCell ref="K263:K265"/>
    <mergeCell ref="A266:A268"/>
    <mergeCell ref="B266:B268"/>
    <mergeCell ref="C266:D268"/>
    <mergeCell ref="E266:F268"/>
    <mergeCell ref="G266:G268"/>
    <mergeCell ref="K266:K268"/>
    <mergeCell ref="A263:A265"/>
    <mergeCell ref="B263:B265"/>
    <mergeCell ref="C263:D265"/>
    <mergeCell ref="E263:F265"/>
    <mergeCell ref="G263:G265"/>
    <mergeCell ref="K257:K259"/>
    <mergeCell ref="A260:A262"/>
    <mergeCell ref="B260:B262"/>
    <mergeCell ref="C260:D262"/>
    <mergeCell ref="E260:F262"/>
    <mergeCell ref="G260:G262"/>
    <mergeCell ref="K260:K262"/>
    <mergeCell ref="A257:A259"/>
    <mergeCell ref="B257:B259"/>
    <mergeCell ref="C257:D259"/>
    <mergeCell ref="E257:F259"/>
    <mergeCell ref="G257:G259"/>
    <mergeCell ref="K251:K253"/>
    <mergeCell ref="A254:A256"/>
    <mergeCell ref="B254:B256"/>
    <mergeCell ref="C254:D256"/>
    <mergeCell ref="E254:F256"/>
    <mergeCell ref="G254:G256"/>
    <mergeCell ref="K254:K256"/>
    <mergeCell ref="A251:A253"/>
    <mergeCell ref="B251:B253"/>
    <mergeCell ref="C251:D253"/>
    <mergeCell ref="E251:F253"/>
    <mergeCell ref="G251:G253"/>
    <mergeCell ref="K245:K247"/>
    <mergeCell ref="A248:A250"/>
    <mergeCell ref="B248:B250"/>
    <mergeCell ref="C248:D250"/>
    <mergeCell ref="E248:F250"/>
    <mergeCell ref="G248:G250"/>
    <mergeCell ref="K248:K250"/>
    <mergeCell ref="A245:A247"/>
    <mergeCell ref="B245:B247"/>
    <mergeCell ref="C245:D247"/>
    <mergeCell ref="E245:F247"/>
    <mergeCell ref="G245:G247"/>
    <mergeCell ref="K239:K241"/>
    <mergeCell ref="A242:A244"/>
    <mergeCell ref="B242:B244"/>
    <mergeCell ref="C242:D244"/>
    <mergeCell ref="E242:F244"/>
    <mergeCell ref="G242:G244"/>
    <mergeCell ref="K242:K244"/>
    <mergeCell ref="A239:A241"/>
    <mergeCell ref="B239:B241"/>
    <mergeCell ref="C239:D241"/>
    <mergeCell ref="E239:F241"/>
    <mergeCell ref="G239:G241"/>
    <mergeCell ref="K233:K235"/>
    <mergeCell ref="A236:A238"/>
    <mergeCell ref="B236:B238"/>
    <mergeCell ref="C236:D238"/>
    <mergeCell ref="E236:F238"/>
    <mergeCell ref="G236:G238"/>
    <mergeCell ref="K236:K238"/>
    <mergeCell ref="A233:A235"/>
    <mergeCell ref="B233:B235"/>
    <mergeCell ref="C233:D235"/>
    <mergeCell ref="E233:F235"/>
    <mergeCell ref="G233:G235"/>
    <mergeCell ref="K227:K229"/>
    <mergeCell ref="A230:A232"/>
    <mergeCell ref="B230:B232"/>
    <mergeCell ref="C230:D232"/>
    <mergeCell ref="E230:F232"/>
    <mergeCell ref="G230:G232"/>
    <mergeCell ref="K230:K232"/>
    <mergeCell ref="A227:A229"/>
    <mergeCell ref="B227:B229"/>
    <mergeCell ref="C227:D229"/>
    <mergeCell ref="E227:F229"/>
    <mergeCell ref="G227:G229"/>
    <mergeCell ref="K221:K223"/>
    <mergeCell ref="A224:A226"/>
    <mergeCell ref="B224:B226"/>
    <mergeCell ref="C224:D226"/>
    <mergeCell ref="E224:F226"/>
    <mergeCell ref="G224:G226"/>
    <mergeCell ref="K224:K226"/>
    <mergeCell ref="A221:A223"/>
    <mergeCell ref="B221:B223"/>
    <mergeCell ref="C221:D223"/>
    <mergeCell ref="E221:F223"/>
    <mergeCell ref="G221:G223"/>
    <mergeCell ref="K215:K217"/>
    <mergeCell ref="A218:A220"/>
    <mergeCell ref="B218:B220"/>
    <mergeCell ref="C218:D220"/>
    <mergeCell ref="E218:F220"/>
    <mergeCell ref="G218:G220"/>
    <mergeCell ref="K218:K220"/>
    <mergeCell ref="A215:A217"/>
    <mergeCell ref="B215:B217"/>
    <mergeCell ref="C215:D217"/>
    <mergeCell ref="E215:F217"/>
    <mergeCell ref="G215:G217"/>
    <mergeCell ref="K209:K211"/>
    <mergeCell ref="A212:A214"/>
    <mergeCell ref="B212:B214"/>
    <mergeCell ref="C212:D214"/>
    <mergeCell ref="E212:F214"/>
    <mergeCell ref="G212:G214"/>
    <mergeCell ref="K212:K214"/>
    <mergeCell ref="A209:A211"/>
    <mergeCell ref="B209:B211"/>
    <mergeCell ref="C209:D211"/>
    <mergeCell ref="E209:F211"/>
    <mergeCell ref="G209:G211"/>
    <mergeCell ref="K203:K205"/>
    <mergeCell ref="A206:A208"/>
    <mergeCell ref="B206:B208"/>
    <mergeCell ref="C206:D208"/>
    <mergeCell ref="E206:F208"/>
    <mergeCell ref="G206:G208"/>
    <mergeCell ref="K206:K208"/>
    <mergeCell ref="A203:A205"/>
    <mergeCell ref="B203:B205"/>
    <mergeCell ref="C203:D205"/>
    <mergeCell ref="E203:F205"/>
    <mergeCell ref="G203:G205"/>
    <mergeCell ref="K197:K199"/>
    <mergeCell ref="A200:A202"/>
    <mergeCell ref="B200:B202"/>
    <mergeCell ref="C200:D202"/>
    <mergeCell ref="E200:F202"/>
    <mergeCell ref="G200:G202"/>
    <mergeCell ref="K200:K202"/>
    <mergeCell ref="A197:A199"/>
    <mergeCell ref="B197:B199"/>
    <mergeCell ref="C197:D199"/>
    <mergeCell ref="E197:F199"/>
    <mergeCell ref="G197:G199"/>
    <mergeCell ref="K191:K193"/>
    <mergeCell ref="A194:A196"/>
    <mergeCell ref="B194:B196"/>
    <mergeCell ref="C194:D196"/>
    <mergeCell ref="E194:F196"/>
    <mergeCell ref="G194:G196"/>
    <mergeCell ref="K194:K196"/>
    <mergeCell ref="A191:A193"/>
    <mergeCell ref="B191:B193"/>
    <mergeCell ref="C191:D193"/>
    <mergeCell ref="E191:F193"/>
    <mergeCell ref="G191:G193"/>
    <mergeCell ref="K185:K187"/>
    <mergeCell ref="A188:A190"/>
    <mergeCell ref="B188:B190"/>
    <mergeCell ref="C188:D190"/>
    <mergeCell ref="E188:F190"/>
    <mergeCell ref="G188:G190"/>
    <mergeCell ref="K188:K190"/>
    <mergeCell ref="A185:A187"/>
    <mergeCell ref="B185:B187"/>
    <mergeCell ref="C185:D187"/>
    <mergeCell ref="E185:F187"/>
    <mergeCell ref="G185:G187"/>
    <mergeCell ref="K179:K181"/>
    <mergeCell ref="A182:A184"/>
    <mergeCell ref="B182:B184"/>
    <mergeCell ref="C182:D184"/>
    <mergeCell ref="E182:F184"/>
    <mergeCell ref="G182:G184"/>
    <mergeCell ref="K182:K184"/>
    <mergeCell ref="A179:A181"/>
    <mergeCell ref="B179:B181"/>
    <mergeCell ref="C179:D181"/>
    <mergeCell ref="E179:F181"/>
    <mergeCell ref="G179:G181"/>
    <mergeCell ref="K173:K175"/>
    <mergeCell ref="A176:A178"/>
    <mergeCell ref="B176:B178"/>
    <mergeCell ref="C176:D178"/>
    <mergeCell ref="E176:F178"/>
    <mergeCell ref="G176:G178"/>
    <mergeCell ref="K176:K178"/>
    <mergeCell ref="A173:A175"/>
    <mergeCell ref="B173:B175"/>
    <mergeCell ref="C173:D175"/>
    <mergeCell ref="E173:F175"/>
    <mergeCell ref="G173:G175"/>
    <mergeCell ref="K167:K169"/>
    <mergeCell ref="A170:A172"/>
    <mergeCell ref="B170:B172"/>
    <mergeCell ref="C170:D172"/>
    <mergeCell ref="E170:F172"/>
    <mergeCell ref="G170:G172"/>
    <mergeCell ref="K170:K172"/>
    <mergeCell ref="A167:A169"/>
    <mergeCell ref="B167:B169"/>
    <mergeCell ref="C167:D169"/>
    <mergeCell ref="E167:F169"/>
    <mergeCell ref="G167:G169"/>
    <mergeCell ref="K161:K163"/>
    <mergeCell ref="A164:A166"/>
    <mergeCell ref="B164:B166"/>
    <mergeCell ref="C164:D166"/>
    <mergeCell ref="E164:F166"/>
    <mergeCell ref="G164:G166"/>
    <mergeCell ref="K164:K166"/>
    <mergeCell ref="A161:A163"/>
    <mergeCell ref="B161:B163"/>
    <mergeCell ref="C161:D163"/>
    <mergeCell ref="E161:F163"/>
    <mergeCell ref="G161:G163"/>
    <mergeCell ref="K155:K157"/>
    <mergeCell ref="A158:A160"/>
    <mergeCell ref="B158:B160"/>
    <mergeCell ref="C158:D160"/>
    <mergeCell ref="E158:F160"/>
    <mergeCell ref="G158:G160"/>
    <mergeCell ref="K158:K160"/>
    <mergeCell ref="A155:A157"/>
    <mergeCell ref="B155:B157"/>
    <mergeCell ref="C155:D157"/>
    <mergeCell ref="E155:F157"/>
    <mergeCell ref="G155:G157"/>
    <mergeCell ref="K149:K151"/>
    <mergeCell ref="A152:A154"/>
    <mergeCell ref="B152:B154"/>
    <mergeCell ref="C152:D154"/>
    <mergeCell ref="E152:F154"/>
    <mergeCell ref="G152:G154"/>
    <mergeCell ref="K152:K154"/>
    <mergeCell ref="A149:A151"/>
    <mergeCell ref="B149:B151"/>
    <mergeCell ref="C149:D151"/>
    <mergeCell ref="E149:F151"/>
    <mergeCell ref="G149:G151"/>
    <mergeCell ref="K143:K145"/>
    <mergeCell ref="A146:A148"/>
    <mergeCell ref="B146:B148"/>
    <mergeCell ref="C146:D148"/>
    <mergeCell ref="E146:F148"/>
    <mergeCell ref="G146:G148"/>
    <mergeCell ref="K146:K148"/>
    <mergeCell ref="A143:A145"/>
    <mergeCell ref="B143:B145"/>
    <mergeCell ref="C143:D145"/>
    <mergeCell ref="E143:F145"/>
    <mergeCell ref="G143:G145"/>
    <mergeCell ref="K137:K139"/>
    <mergeCell ref="A140:A142"/>
    <mergeCell ref="B140:B142"/>
    <mergeCell ref="C140:D142"/>
    <mergeCell ref="E140:F142"/>
    <mergeCell ref="G140:G142"/>
    <mergeCell ref="K140:K142"/>
    <mergeCell ref="A137:A139"/>
    <mergeCell ref="B137:B139"/>
    <mergeCell ref="C137:D139"/>
    <mergeCell ref="E137:F139"/>
    <mergeCell ref="G137:G139"/>
    <mergeCell ref="K131:K133"/>
    <mergeCell ref="A134:A136"/>
    <mergeCell ref="B134:B136"/>
    <mergeCell ref="C134:D136"/>
    <mergeCell ref="E134:F136"/>
    <mergeCell ref="G134:G136"/>
    <mergeCell ref="K134:K136"/>
    <mergeCell ref="A131:A133"/>
    <mergeCell ref="B131:B133"/>
    <mergeCell ref="C131:D133"/>
    <mergeCell ref="E131:F133"/>
    <mergeCell ref="G131:G133"/>
    <mergeCell ref="K125:K127"/>
    <mergeCell ref="A128:A130"/>
    <mergeCell ref="B128:B130"/>
    <mergeCell ref="C128:D130"/>
    <mergeCell ref="E128:F130"/>
    <mergeCell ref="G128:G130"/>
    <mergeCell ref="K128:K130"/>
    <mergeCell ref="A125:A127"/>
    <mergeCell ref="B125:B127"/>
    <mergeCell ref="C125:D127"/>
    <mergeCell ref="E125:F127"/>
    <mergeCell ref="G125:G127"/>
    <mergeCell ref="K119:K121"/>
    <mergeCell ref="A122:A124"/>
    <mergeCell ref="B122:B124"/>
    <mergeCell ref="C122:D124"/>
    <mergeCell ref="E122:F124"/>
    <mergeCell ref="G122:G124"/>
    <mergeCell ref="K122:K124"/>
    <mergeCell ref="A119:A121"/>
    <mergeCell ref="B119:B121"/>
    <mergeCell ref="C119:D121"/>
    <mergeCell ref="E119:F121"/>
    <mergeCell ref="G119:G121"/>
    <mergeCell ref="K113:K115"/>
    <mergeCell ref="A116:A118"/>
    <mergeCell ref="B116:B118"/>
    <mergeCell ref="C116:D118"/>
    <mergeCell ref="E116:F118"/>
    <mergeCell ref="G116:G118"/>
    <mergeCell ref="K116:K118"/>
    <mergeCell ref="A113:A115"/>
    <mergeCell ref="B113:B115"/>
    <mergeCell ref="C113:D115"/>
    <mergeCell ref="E113:F115"/>
    <mergeCell ref="G113:G115"/>
    <mergeCell ref="K107:K109"/>
    <mergeCell ref="A110:A112"/>
    <mergeCell ref="B110:B112"/>
    <mergeCell ref="C110:D112"/>
    <mergeCell ref="E110:F112"/>
    <mergeCell ref="G110:G112"/>
    <mergeCell ref="K110:K112"/>
    <mergeCell ref="A107:A109"/>
    <mergeCell ref="B107:B109"/>
    <mergeCell ref="C107:D109"/>
    <mergeCell ref="E107:F109"/>
    <mergeCell ref="G107:G109"/>
    <mergeCell ref="K101:K103"/>
    <mergeCell ref="A104:A106"/>
    <mergeCell ref="B104:B106"/>
    <mergeCell ref="C104:D106"/>
    <mergeCell ref="E104:F106"/>
    <mergeCell ref="G104:G106"/>
    <mergeCell ref="K104:K106"/>
    <mergeCell ref="A101:A103"/>
    <mergeCell ref="B101:B103"/>
    <mergeCell ref="C101:D103"/>
    <mergeCell ref="E101:F103"/>
    <mergeCell ref="G101:G103"/>
    <mergeCell ref="K95:K97"/>
    <mergeCell ref="A98:A100"/>
    <mergeCell ref="B98:B100"/>
    <mergeCell ref="C98:D100"/>
    <mergeCell ref="E98:F100"/>
    <mergeCell ref="G98:G100"/>
    <mergeCell ref="K98:K100"/>
    <mergeCell ref="A95:A97"/>
    <mergeCell ref="B95:B97"/>
    <mergeCell ref="C95:D97"/>
    <mergeCell ref="E95:F97"/>
    <mergeCell ref="G95:G97"/>
    <mergeCell ref="K89:K91"/>
    <mergeCell ref="A92:A94"/>
    <mergeCell ref="B92:B94"/>
    <mergeCell ref="C92:D94"/>
    <mergeCell ref="E92:F94"/>
    <mergeCell ref="G92:G94"/>
    <mergeCell ref="K92:K94"/>
    <mergeCell ref="A89:A91"/>
    <mergeCell ref="B89:B91"/>
    <mergeCell ref="C89:D91"/>
    <mergeCell ref="E89:F91"/>
    <mergeCell ref="G89:G91"/>
    <mergeCell ref="K83:K85"/>
    <mergeCell ref="A86:A88"/>
    <mergeCell ref="B86:B88"/>
    <mergeCell ref="C86:D88"/>
    <mergeCell ref="E86:F88"/>
    <mergeCell ref="G86:G88"/>
    <mergeCell ref="K86:K88"/>
    <mergeCell ref="A83:A85"/>
    <mergeCell ref="B83:B85"/>
    <mergeCell ref="C83:D85"/>
    <mergeCell ref="E83:F85"/>
    <mergeCell ref="G83:G85"/>
    <mergeCell ref="K77:K79"/>
    <mergeCell ref="A80:A82"/>
    <mergeCell ref="B80:B82"/>
    <mergeCell ref="C80:D82"/>
    <mergeCell ref="E80:F82"/>
    <mergeCell ref="G80:G82"/>
    <mergeCell ref="K80:K82"/>
    <mergeCell ref="A77:A79"/>
    <mergeCell ref="B77:B79"/>
    <mergeCell ref="C77:D79"/>
    <mergeCell ref="E77:F79"/>
    <mergeCell ref="G77:G79"/>
    <mergeCell ref="K71:K73"/>
    <mergeCell ref="A74:A76"/>
    <mergeCell ref="B74:B76"/>
    <mergeCell ref="C74:D76"/>
    <mergeCell ref="E74:F76"/>
    <mergeCell ref="G74:G76"/>
    <mergeCell ref="K74:K76"/>
    <mergeCell ref="A71:A73"/>
    <mergeCell ref="B71:B73"/>
    <mergeCell ref="C71:D73"/>
    <mergeCell ref="E71:F73"/>
    <mergeCell ref="G71:G73"/>
    <mergeCell ref="K65:K67"/>
    <mergeCell ref="A68:A70"/>
    <mergeCell ref="B68:B70"/>
    <mergeCell ref="C68:D70"/>
    <mergeCell ref="E68:F70"/>
    <mergeCell ref="G68:G70"/>
    <mergeCell ref="K68:K70"/>
    <mergeCell ref="A65:A67"/>
    <mergeCell ref="B65:B67"/>
    <mergeCell ref="C65:D67"/>
    <mergeCell ref="E65:F67"/>
    <mergeCell ref="G65:G67"/>
    <mergeCell ref="K59:K61"/>
    <mergeCell ref="A62:A64"/>
    <mergeCell ref="B62:B64"/>
    <mergeCell ref="C62:D64"/>
    <mergeCell ref="E62:F64"/>
    <mergeCell ref="G62:G64"/>
    <mergeCell ref="K62:K64"/>
    <mergeCell ref="A59:A61"/>
    <mergeCell ref="B59:B61"/>
    <mergeCell ref="C59:D61"/>
    <mergeCell ref="E59:F61"/>
    <mergeCell ref="G59:G61"/>
    <mergeCell ref="K53:K55"/>
    <mergeCell ref="A56:A58"/>
    <mergeCell ref="B56:B58"/>
    <mergeCell ref="C56:D58"/>
    <mergeCell ref="E56:F58"/>
    <mergeCell ref="G56:G58"/>
    <mergeCell ref="K56:K58"/>
    <mergeCell ref="A53:A55"/>
    <mergeCell ref="B53:B55"/>
    <mergeCell ref="C53:D55"/>
    <mergeCell ref="E53:F55"/>
    <mergeCell ref="G53:G55"/>
    <mergeCell ref="K47:K49"/>
    <mergeCell ref="A50:A52"/>
    <mergeCell ref="B50:B52"/>
    <mergeCell ref="C50:D52"/>
    <mergeCell ref="E50:F52"/>
    <mergeCell ref="G50:G52"/>
    <mergeCell ref="K50:K52"/>
    <mergeCell ref="A47:A49"/>
    <mergeCell ref="B47:B49"/>
    <mergeCell ref="C47:D49"/>
    <mergeCell ref="E47:F49"/>
    <mergeCell ref="G47:G49"/>
    <mergeCell ref="K41:K43"/>
    <mergeCell ref="A44:A46"/>
    <mergeCell ref="B44:B46"/>
    <mergeCell ref="C44:D46"/>
    <mergeCell ref="E44:F46"/>
    <mergeCell ref="G44:G46"/>
    <mergeCell ref="K44:K46"/>
    <mergeCell ref="A41:A43"/>
    <mergeCell ref="B41:B43"/>
    <mergeCell ref="C41:D43"/>
    <mergeCell ref="E41:F43"/>
    <mergeCell ref="G41:G43"/>
    <mergeCell ref="K35:K37"/>
    <mergeCell ref="A38:A40"/>
    <mergeCell ref="B38:B40"/>
    <mergeCell ref="C38:D40"/>
    <mergeCell ref="E38:F40"/>
    <mergeCell ref="G38:G40"/>
    <mergeCell ref="K38:K40"/>
    <mergeCell ref="A35:A37"/>
    <mergeCell ref="B35:B37"/>
    <mergeCell ref="C35:D37"/>
    <mergeCell ref="E35:F37"/>
    <mergeCell ref="G35:G37"/>
    <mergeCell ref="K29:K31"/>
    <mergeCell ref="A32:A34"/>
    <mergeCell ref="B32:B34"/>
    <mergeCell ref="C32:D34"/>
    <mergeCell ref="E32:F34"/>
    <mergeCell ref="G32:G34"/>
    <mergeCell ref="K32:K34"/>
    <mergeCell ref="A29:A31"/>
    <mergeCell ref="B29:B31"/>
    <mergeCell ref="C29:D31"/>
    <mergeCell ref="E29:F31"/>
    <mergeCell ref="G29:G31"/>
    <mergeCell ref="A26:A28"/>
    <mergeCell ref="B26:B28"/>
    <mergeCell ref="C26:D28"/>
    <mergeCell ref="E26:F28"/>
    <mergeCell ref="G26:G28"/>
    <mergeCell ref="K26:K28"/>
    <mergeCell ref="A23:A25"/>
    <mergeCell ref="B23:B25"/>
    <mergeCell ref="C23:D25"/>
    <mergeCell ref="E23:F25"/>
    <mergeCell ref="G23:G25"/>
    <mergeCell ref="E7:F7"/>
    <mergeCell ref="A1:B1"/>
    <mergeCell ref="A2:B2"/>
    <mergeCell ref="A3:B3"/>
    <mergeCell ref="C1:F1"/>
    <mergeCell ref="C2:F2"/>
    <mergeCell ref="C3:F3"/>
    <mergeCell ref="A8:B8"/>
    <mergeCell ref="K23:K25"/>
    <mergeCell ref="K20:K22"/>
    <mergeCell ref="A20:A22"/>
    <mergeCell ref="B20:B22"/>
    <mergeCell ref="C20:D22"/>
    <mergeCell ref="E20:F22"/>
    <mergeCell ref="G20:G22"/>
    <mergeCell ref="A11:A13"/>
    <mergeCell ref="K11:K13"/>
    <mergeCell ref="G11:G13"/>
    <mergeCell ref="B11:B13"/>
    <mergeCell ref="A9:B9"/>
    <mergeCell ref="C8:F8"/>
    <mergeCell ref="C9:F9"/>
    <mergeCell ref="C11:D13"/>
    <mergeCell ref="E11:F13"/>
    <mergeCell ref="K14:K16"/>
    <mergeCell ref="A17:A19"/>
    <mergeCell ref="B17:B19"/>
    <mergeCell ref="C17:D19"/>
    <mergeCell ref="E17:F19"/>
    <mergeCell ref="G17:G19"/>
    <mergeCell ref="K17:K19"/>
    <mergeCell ref="A14:A16"/>
    <mergeCell ref="B14:B16"/>
    <mergeCell ref="C14:D16"/>
    <mergeCell ref="E14:F16"/>
    <mergeCell ref="G14:G16"/>
  </mergeCells>
  <phoneticPr fontId="4"/>
  <conditionalFormatting sqref="L10:TZ10">
    <cfRule type="expression" dxfId="12" priority="7">
      <formula>INDIRECT(ADDRESS(ROW(),COLUMN()))="NG"</formula>
    </cfRule>
  </conditionalFormatting>
  <conditionalFormatting sqref="L11:TZ460">
    <cfRule type="expression" dxfId="11" priority="6">
      <formula>(INDIRECT(ADDRESS(ROW(),COLUMN()))="NG")+(ISNUMBER(INDIRECT(ADDRESS(ROW(),COLUMN())))*(INDIRECT("J"&amp;ROW()-MOD(ROW()+1,3))&lt;&gt;"")*((INDIRECT("J"&amp;ROW()-MOD(ROW()+1,3))&lt;INDIRECT(ADDRESS(ROW(),COLUMN())))+(INDIRECT("J"&amp;ROW()-MOD(ROW()+1,3)+1)&gt;INDIRECT(ADDRESS(ROW(),COLUMN())))))</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F23A2402-1E8B-498C-B03E-4A46026CC010}">
            <xm:f>IF(_xlfn.XLOOKUP(INDIRECT(ADDRESS(ROW(),1)),検査項目設定!$A$4:$A$103,検査項目設定!$M$4:$M$103,FALSE,1)="あり",TRUE,FALSE)</xm:f>
            <x14:dxf>
              <fill>
                <patternFill>
                  <bgColor theme="4" tint="0.59996337778862885"/>
                </patternFill>
              </fill>
            </x14:dxf>
          </x14:cfRule>
          <x14:cfRule type="expression" priority="2" id="{A4807275-0509-4662-84BC-72891DE70FD8}">
            <xm:f>IF(_xlfn.XLOOKUP(INDIRECT(ADDRESS(ROW(),1)),検査項目設定!$A$4:$A$103,検査項目設定!$N$4:$N$103,FALSE,1)="あり",TRUE,FALSE)</xm:f>
            <x14:dxf>
              <fill>
                <patternFill>
                  <bgColor theme="9" tint="0.59996337778862885"/>
                </patternFill>
              </fill>
            </x14:dxf>
          </x14:cfRule>
          <x14:cfRule type="expression" priority="3" id="{C32F91D6-A557-446C-80F9-FA7F688AA3B3}">
            <xm:f>IF(_xlfn.XLOOKUP(INDIRECT(ADDRESS(ROW(),1)),検査項目設定!$A$4:$A$103,検査項目設定!$O$4:$O$103,FALSE,1)="あり",TRUE,FALSE)</xm:f>
            <x14:dxf>
              <fill>
                <patternFill>
                  <bgColor theme="5" tint="0.59996337778862885"/>
                </patternFill>
              </fill>
            </x14:dxf>
          </x14:cfRule>
          <xm:sqref>A11:A460</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440C7A87-436F-4692-9305-AF644FE8147B}">
          <x14:formula1>
            <xm:f>DATA!$H$1:$H$4</xm:f>
          </x14:formula1>
          <xm:sqref>L10:SR10</xm:sqref>
        </x14:dataValidation>
        <x14:dataValidation type="list" allowBlank="1" showInputMessage="1" xr:uid="{E7D1FCE8-06B7-4D2B-9375-038F7AD231AD}">
          <x14:formula1>
            <xm:f>DATA!$H$1:$H$4</xm:f>
          </x14:formula1>
          <xm:sqref>L11:SR310</xm:sqref>
        </x14:dataValidation>
        <x14:dataValidation type="list" allowBlank="1" showInputMessage="1" showErrorMessage="1" xr:uid="{A52D6C83-5CBD-449E-94E3-7BEF1EADF637}">
          <x14:formula1>
            <xm:f>DATA!$H$14:$H$18</xm:f>
          </x14:formula1>
          <xm:sqref>C8:F8</xm:sqref>
        </x14:dataValidation>
        <x14:dataValidation type="list" allowBlank="1" showInputMessage="1" xr:uid="{7DDB7CDB-0FA3-4E1C-9E5E-18B4F151ED29}">
          <x14:formula1>
            <xm:f>DATA!$K:$K</xm:f>
          </x14:formula1>
          <xm:sqref>L8:SR8</xm:sqref>
        </x14:dataValidation>
        <x14:dataValidation type="list" allowBlank="1" showInputMessage="1" xr:uid="{CE254037-C76A-47A4-BBB9-216960613FDD}">
          <x14:formula1>
            <xm:f>DATA!$J:$J</xm:f>
          </x14:formula1>
          <xm:sqref>L9:SR9</xm:sqref>
        </x14:dataValidation>
        <x14:dataValidation type="list" allowBlank="1" showInputMessage="1" xr:uid="{C9D43630-C3EF-4793-BE01-445D17D1EB4A}">
          <x14:formula1>
            <xm:f>DATA!$G:$G</xm:f>
          </x14:formula1>
          <xm:sqref>L7:SR7</xm:sqref>
        </x14:dataValidation>
        <x14:dataValidation type="list" allowBlank="1" showInputMessage="1" xr:uid="{488642B8-220D-4743-B0B1-B8DDE00343B8}">
          <x14:formula1>
            <xm:f>DATA!$N:$N</xm:f>
          </x14:formula1>
          <xm:sqref>L6:SR6</xm:sqref>
        </x14:dataValidation>
        <x14:dataValidation type="list" allowBlank="1" showInputMessage="1" xr:uid="{D9A839D7-6457-4C3C-BFA8-68A62CC009F4}">
          <x14:formula1>
            <xm:f>DATA!$M:$M</xm:f>
          </x14:formula1>
          <xm:sqref>L5:SR5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D810-C658-47F7-9E9D-0413E613EA58}">
  <sheetPr codeName="Sheet6"/>
  <dimension ref="A1:V76"/>
  <sheetViews>
    <sheetView workbookViewId="0">
      <selection activeCell="A6" sqref="A6"/>
    </sheetView>
  </sheetViews>
  <sheetFormatPr defaultRowHeight="17.649999999999999" x14ac:dyDescent="0.7"/>
  <cols>
    <col min="1" max="3" width="14" customWidth="1"/>
    <col min="4" max="5" width="10.375" customWidth="1"/>
    <col min="6" max="6" width="8.6875" customWidth="1"/>
    <col min="7" max="7" width="11" hidden="1" customWidth="1"/>
    <col min="8" max="8" width="6.6875" hidden="1" customWidth="1"/>
    <col min="9" max="9" width="21.625" hidden="1" customWidth="1"/>
    <col min="10" max="10" width="8.6875" hidden="1" customWidth="1"/>
    <col min="11" max="11" width="7.125" hidden="1" customWidth="1"/>
    <col min="12" max="12" width="14.1875" hidden="1" customWidth="1"/>
    <col min="13" max="13" width="11" hidden="1" customWidth="1"/>
    <col min="14" max="14" width="6.6875" hidden="1" customWidth="1"/>
    <col min="15" max="15" width="10" hidden="1" customWidth="1"/>
    <col min="16" max="16" width="12.375" hidden="1" customWidth="1"/>
    <col min="17" max="17" width="7.125" hidden="1" customWidth="1"/>
    <col min="18" max="18" width="5.6875" hidden="1" customWidth="1"/>
    <col min="19" max="19" width="5.1875" hidden="1" customWidth="1"/>
    <col min="20" max="20" width="4.5" hidden="1" customWidth="1"/>
    <col min="21" max="21" width="6.375" hidden="1" customWidth="1"/>
    <col min="22" max="22" width="8.6875" hidden="1" customWidth="1"/>
  </cols>
  <sheetData>
    <row r="1" spans="1:22" x14ac:dyDescent="0.7">
      <c r="A1" s="1" t="s">
        <v>0</v>
      </c>
      <c r="B1" s="1"/>
      <c r="C1" s="1"/>
      <c r="D1" s="1"/>
      <c r="E1" s="1"/>
      <c r="G1" t="str">
        <f>IF([1]Sheet1!A1="","",[1]Sheet1!A1)</f>
        <v>高橋良</v>
      </c>
      <c r="H1" t="str">
        <f>IF([1]Sheet1!B1="","",[1]Sheet1!B1)</f>
        <v>OK</v>
      </c>
      <c r="I1" t="s">
        <v>1</v>
      </c>
      <c r="J1" t="s">
        <v>2</v>
      </c>
      <c r="K1" t="s">
        <v>236</v>
      </c>
      <c r="L1" t="s">
        <v>3</v>
      </c>
      <c r="M1" t="str">
        <f>IF([1]Sheet1!G1="","",[1]Sheet1!G1)</f>
        <v>工程内</v>
      </c>
      <c r="N1" t="str">
        <f>IF([1]Sheet1!H1="","",[1]Sheet1!H1)</f>
        <v>A-1</v>
      </c>
      <c r="O1" t="s">
        <v>4</v>
      </c>
      <c r="P1" t="s">
        <v>232</v>
      </c>
      <c r="Q1" t="s">
        <v>6</v>
      </c>
      <c r="R1" t="s">
        <v>7</v>
      </c>
      <c r="S1" t="s">
        <v>8</v>
      </c>
      <c r="T1">
        <v>0.8</v>
      </c>
      <c r="U1" t="b">
        <v>1</v>
      </c>
      <c r="V1" t="s">
        <v>219</v>
      </c>
    </row>
    <row r="2" spans="1:22" x14ac:dyDescent="0.7">
      <c r="A2" s="60" t="s">
        <v>9</v>
      </c>
      <c r="B2" s="60" t="s">
        <v>10</v>
      </c>
      <c r="G2" t="str">
        <f>IF([1]Sheet1!A2="","",[1]Sheet1!A2)</f>
        <v>楮本</v>
      </c>
      <c r="H2" t="str">
        <f>IF([1]Sheet1!B2="","",[1]Sheet1!B2)</f>
        <v>NG</v>
      </c>
      <c r="I2" t="s">
        <v>11</v>
      </c>
      <c r="J2" t="s">
        <v>12</v>
      </c>
      <c r="K2" t="str">
        <f>IF([1]Sheet1!E1="","",[1]Sheet1!E1)</f>
        <v>千葉</v>
      </c>
      <c r="L2" t="s">
        <v>13</v>
      </c>
      <c r="M2" t="str">
        <f>IF([1]Sheet1!G2="","",[1]Sheet1!G2)</f>
        <v>交換・修正</v>
      </c>
      <c r="N2" t="str">
        <f>IF([1]Sheet1!H2="","",[1]Sheet1!H2)</f>
        <v>A-2</v>
      </c>
      <c r="O2" t="s">
        <v>14</v>
      </c>
      <c r="P2" t="s">
        <v>5</v>
      </c>
      <c r="Q2" t="s">
        <v>16</v>
      </c>
      <c r="R2" t="s">
        <v>17</v>
      </c>
      <c r="S2" t="s">
        <v>18</v>
      </c>
      <c r="T2">
        <v>1</v>
      </c>
    </row>
    <row r="3" spans="1:22" x14ac:dyDescent="0.7">
      <c r="A3" s="64" t="s">
        <v>271</v>
      </c>
      <c r="B3" s="65">
        <v>43697</v>
      </c>
      <c r="G3" t="str">
        <f>IF([1]Sheet1!A3="","",[1]Sheet1!A3)</f>
        <v>新井洋</v>
      </c>
      <c r="H3" t="str">
        <f>IF([1]Sheet1!B3="","",[1]Sheet1!B3)</f>
        <v>依頼</v>
      </c>
      <c r="I3" t="s">
        <v>19</v>
      </c>
      <c r="J3" t="s">
        <v>20</v>
      </c>
      <c r="K3" t="str">
        <f>IF([1]Sheet1!E2="","",[1]Sheet1!E2)</f>
        <v>山中</v>
      </c>
      <c r="L3" t="s">
        <v>21</v>
      </c>
      <c r="M3" t="str">
        <f>IF([1]Sheet1!G3="","",[1]Sheet1!G3)</f>
        <v>段確</v>
      </c>
      <c r="N3" t="str">
        <f>IF([1]Sheet1!H3="","",[1]Sheet1!H3)</f>
        <v>A-3</v>
      </c>
      <c r="O3" t="s">
        <v>22</v>
      </c>
      <c r="P3" t="s">
        <v>15</v>
      </c>
      <c r="Q3" t="s">
        <v>24</v>
      </c>
      <c r="R3" t="s">
        <v>25</v>
      </c>
    </row>
    <row r="4" spans="1:22" x14ac:dyDescent="0.7">
      <c r="A4" s="60"/>
      <c r="B4" s="65"/>
      <c r="G4" t="str">
        <f>IF([1]Sheet1!A4="","",[1]Sheet1!A4)</f>
        <v>加藤貴</v>
      </c>
      <c r="H4" t="str">
        <f>IF([1]Sheet1!B4="","",[1]Sheet1!B4)</f>
        <v>-</v>
      </c>
      <c r="I4" t="s">
        <v>26</v>
      </c>
      <c r="J4" t="s">
        <v>27</v>
      </c>
      <c r="K4" t="str">
        <f>IF([1]Sheet1!E3="","",[1]Sheet1!E3)</f>
        <v>高橋初</v>
      </c>
      <c r="L4" t="s">
        <v>28</v>
      </c>
      <c r="M4" t="str">
        <f>IF([1]Sheet1!G4="","",[1]Sheet1!G4)</f>
        <v>終品</v>
      </c>
      <c r="N4" t="str">
        <f>IF([1]Sheet1!H4="","",[1]Sheet1!H4)</f>
        <v>A-4</v>
      </c>
      <c r="O4" t="s">
        <v>213</v>
      </c>
      <c r="P4" t="s">
        <v>23</v>
      </c>
      <c r="Q4" t="s">
        <v>31</v>
      </c>
      <c r="R4" t="s">
        <v>32</v>
      </c>
    </row>
    <row r="5" spans="1:22" x14ac:dyDescent="0.7">
      <c r="A5" s="60"/>
      <c r="B5" s="65"/>
      <c r="G5" t="str">
        <f>IF([1]Sheet1!A5="","",[1]Sheet1!A5)</f>
        <v>髙田</v>
      </c>
      <c r="H5" t="str">
        <f>IF([1]Sheet1!B5="","",[1]Sheet1!B5)</f>
        <v/>
      </c>
      <c r="I5" t="s">
        <v>33</v>
      </c>
      <c r="J5" t="s">
        <v>34</v>
      </c>
      <c r="K5" t="str">
        <f>IF([1]Sheet1!E4="","",[1]Sheet1!E4)</f>
        <v>新井春</v>
      </c>
      <c r="L5" t="s">
        <v>35</v>
      </c>
      <c r="M5" t="str">
        <f>IF([1]Sheet1!G5="","",[1]Sheet1!G5)</f>
        <v/>
      </c>
      <c r="N5" t="str">
        <f>IF([1]Sheet1!H5="","",[1]Sheet1!H5)</f>
        <v>A-5</v>
      </c>
      <c r="O5" t="s">
        <v>214</v>
      </c>
      <c r="P5" t="s">
        <v>30</v>
      </c>
      <c r="Q5" t="s">
        <v>36</v>
      </c>
      <c r="R5" t="s">
        <v>209</v>
      </c>
    </row>
    <row r="6" spans="1:22" x14ac:dyDescent="0.7">
      <c r="G6" t="str">
        <f>IF([1]Sheet1!A6="","",[1]Sheet1!A6)</f>
        <v>今井</v>
      </c>
      <c r="H6" t="str">
        <f>IF([1]Sheet1!B6="","",[1]Sheet1!B6)</f>
        <v/>
      </c>
      <c r="I6" t="s">
        <v>37</v>
      </c>
      <c r="J6" t="s">
        <v>38</v>
      </c>
      <c r="K6" t="str">
        <f>IF([1]Sheet1!E5="","",[1]Sheet1!E5)</f>
        <v>櫻井</v>
      </c>
      <c r="L6" t="s">
        <v>39</v>
      </c>
      <c r="M6" t="str">
        <f>IF([1]Sheet1!G6="","",[1]Sheet1!G6)</f>
        <v/>
      </c>
      <c r="N6" t="str">
        <f>IF([1]Sheet1!H6="","",[1]Sheet1!H6)</f>
        <v>A-6</v>
      </c>
      <c r="O6" t="s">
        <v>29</v>
      </c>
      <c r="Q6" t="s">
        <v>40</v>
      </c>
      <c r="R6" t="s">
        <v>238</v>
      </c>
    </row>
    <row r="7" spans="1:22" x14ac:dyDescent="0.7">
      <c r="G7" t="str">
        <f>IF([1]Sheet1!A7="","",[1]Sheet1!A7)</f>
        <v>斎藤</v>
      </c>
      <c r="H7" t="str">
        <f>IF([1]Sheet1!B7="","",[1]Sheet1!B7)</f>
        <v/>
      </c>
      <c r="I7" t="s">
        <v>41</v>
      </c>
      <c r="K7" t="str">
        <f>IF([1]Sheet1!E6="","",[1]Sheet1!E6)</f>
        <v>浅見</v>
      </c>
      <c r="L7" t="s">
        <v>42</v>
      </c>
      <c r="N7" t="str">
        <f>IF([1]Sheet1!H7="","",[1]Sheet1!H7)</f>
        <v>A-7</v>
      </c>
      <c r="O7" t="s">
        <v>215</v>
      </c>
      <c r="Q7" t="s">
        <v>317</v>
      </c>
      <c r="R7" t="s">
        <v>239</v>
      </c>
    </row>
    <row r="8" spans="1:22" x14ac:dyDescent="0.7">
      <c r="A8" s="3" t="s">
        <v>43</v>
      </c>
      <c r="B8" s="4"/>
      <c r="C8" s="4"/>
      <c r="D8" s="60" t="s">
        <v>44</v>
      </c>
      <c r="E8" s="60" t="s">
        <v>10</v>
      </c>
      <c r="G8" t="str">
        <f>IF([1]Sheet1!A8="","",[1]Sheet1!A8)</f>
        <v>髙橋剛</v>
      </c>
      <c r="H8" t="str">
        <f>IF([1]Sheet1!B8="","",[1]Sheet1!B8)</f>
        <v/>
      </c>
      <c r="I8" t="s">
        <v>45</v>
      </c>
      <c r="K8" t="str">
        <f>IF([1]Sheet1!E7="","",[1]Sheet1!E7)</f>
        <v>新井莉</v>
      </c>
      <c r="L8" t="s">
        <v>46</v>
      </c>
      <c r="N8" t="str">
        <f>IF([1]Sheet1!H8="","",[1]Sheet1!H8)</f>
        <v>B-1</v>
      </c>
      <c r="Q8" t="s">
        <v>237</v>
      </c>
      <c r="R8" t="s">
        <v>261</v>
      </c>
    </row>
    <row r="9" spans="1:22" x14ac:dyDescent="0.7">
      <c r="A9" s="196" t="s">
        <v>273</v>
      </c>
      <c r="B9" s="197"/>
      <c r="C9" s="198"/>
      <c r="D9" s="66" t="s">
        <v>271</v>
      </c>
      <c r="E9" s="67">
        <v>44505</v>
      </c>
      <c r="G9" t="str">
        <f>IF([1]Sheet1!A9="","",[1]Sheet1!A9)</f>
        <v>新井翔</v>
      </c>
      <c r="H9" t="str">
        <f>IF([1]Sheet1!B9="","",[1]Sheet1!B9)</f>
        <v/>
      </c>
      <c r="I9" t="s">
        <v>47</v>
      </c>
      <c r="K9" t="str">
        <f>IF([1]Sheet1!E8="","",[1]Sheet1!E8)</f>
        <v>坂本</v>
      </c>
      <c r="L9" t="s">
        <v>48</v>
      </c>
      <c r="N9" t="str">
        <f>IF([1]Sheet1!H9="","",[1]Sheet1!H9)</f>
        <v>B-2</v>
      </c>
    </row>
    <row r="10" spans="1:22" x14ac:dyDescent="0.7">
      <c r="A10" s="199" t="s">
        <v>274</v>
      </c>
      <c r="B10" s="200"/>
      <c r="C10" s="201"/>
      <c r="D10" s="192" t="s">
        <v>272</v>
      </c>
      <c r="E10" s="194">
        <v>46002</v>
      </c>
      <c r="G10" t="str">
        <f>IF([1]Sheet1!A10="","",[1]Sheet1!A10)</f>
        <v>矢島</v>
      </c>
      <c r="H10" t="str">
        <f>IF([1]Sheet1!B10="","",[1]Sheet1!B10)</f>
        <v/>
      </c>
      <c r="I10" t="s">
        <v>49</v>
      </c>
      <c r="K10" t="str">
        <f>IF([1]Sheet1!E9="","",[1]Sheet1!E9)</f>
        <v>川井</v>
      </c>
      <c r="L10" t="s">
        <v>50</v>
      </c>
      <c r="N10" t="str">
        <f>IF([1]Sheet1!H10="","",[1]Sheet1!H10)</f>
        <v>B-3</v>
      </c>
    </row>
    <row r="11" spans="1:22" x14ac:dyDescent="0.7">
      <c r="A11" s="202" t="s">
        <v>275</v>
      </c>
      <c r="B11" s="203"/>
      <c r="C11" s="204"/>
      <c r="D11" s="193"/>
      <c r="E11" s="195"/>
      <c r="G11" t="str">
        <f>IF([1]Sheet1!A11="","",[1]Sheet1!A11)</f>
        <v>高橋拓</v>
      </c>
      <c r="H11" t="str">
        <f>IF([1]Sheet1!B11="","",[1]Sheet1!B11)</f>
        <v/>
      </c>
      <c r="I11" t="s">
        <v>254</v>
      </c>
      <c r="K11" t="str">
        <f>IF([1]Sheet1!E10="","",[1]Sheet1!E10)</f>
        <v>坂上</v>
      </c>
      <c r="L11" t="s">
        <v>52</v>
      </c>
      <c r="N11" t="str">
        <f>IF([1]Sheet1!H11="","",[1]Sheet1!H11)</f>
        <v>B-4</v>
      </c>
    </row>
    <row r="12" spans="1:22" x14ac:dyDescent="0.7">
      <c r="A12" s="196"/>
      <c r="B12" s="197"/>
      <c r="C12" s="198"/>
      <c r="D12" s="68"/>
      <c r="E12" s="65"/>
      <c r="G12" t="str">
        <f>IF([1]Sheet1!A12="","",[1]Sheet1!A12)</f>
        <v>加隝</v>
      </c>
      <c r="H12" t="str">
        <f>IF([1]Sheet1!B12="","",[1]Sheet1!B12)</f>
        <v/>
      </c>
      <c r="I12" t="s">
        <v>51</v>
      </c>
      <c r="K12" t="str">
        <f>IF([1]Sheet1!E11="","",[1]Sheet1!E11)</f>
        <v>打木</v>
      </c>
      <c r="L12" t="s">
        <v>285</v>
      </c>
      <c r="N12" t="str">
        <f>IF([1]Sheet1!H12="","",[1]Sheet1!H12)</f>
        <v>B-5</v>
      </c>
    </row>
    <row r="13" spans="1:22" x14ac:dyDescent="0.7">
      <c r="A13" s="196"/>
      <c r="B13" s="197"/>
      <c r="C13" s="198"/>
      <c r="D13" s="68"/>
      <c r="E13" s="65"/>
      <c r="G13" t="str">
        <f>IF([1]Sheet1!A13="","",[1]Sheet1!A13)</f>
        <v>矢野</v>
      </c>
      <c r="H13" t="str">
        <f>IF([1]Sheet1!B13="","",[1]Sheet1!B13)</f>
        <v/>
      </c>
      <c r="I13" t="s">
        <v>53</v>
      </c>
      <c r="K13" t="str">
        <f>IF([1]Sheet1!E12="","",[1]Sheet1!E12)</f>
        <v/>
      </c>
      <c r="L13" t="s">
        <v>55</v>
      </c>
      <c r="N13" t="str">
        <f>IF([1]Sheet1!H13="","",[1]Sheet1!H13)</f>
        <v>B-6</v>
      </c>
    </row>
    <row r="14" spans="1:22" x14ac:dyDescent="0.7">
      <c r="A14" s="196"/>
      <c r="B14" s="197"/>
      <c r="C14" s="198"/>
      <c r="D14" s="68"/>
      <c r="E14" s="65"/>
      <c r="G14" t="str">
        <f>IF([1]Sheet1!A14="","",[1]Sheet1!A14)</f>
        <v>浅賀</v>
      </c>
      <c r="H14">
        <f>IF([1]Sheet1!B14="","",[1]Sheet1!B14)</f>
        <v>1</v>
      </c>
      <c r="I14" t="s">
        <v>240</v>
      </c>
      <c r="K14" t="str">
        <f>IF([1]Sheet1!E13="","",[1]Sheet1!E13)</f>
        <v/>
      </c>
      <c r="L14" t="s">
        <v>57</v>
      </c>
      <c r="N14" t="str">
        <f>IF([1]Sheet1!H14="","",[1]Sheet1!H14)</f>
        <v>B-7</v>
      </c>
    </row>
    <row r="15" spans="1:22" x14ac:dyDescent="0.7">
      <c r="A15" s="196"/>
      <c r="B15" s="197"/>
      <c r="C15" s="198"/>
      <c r="D15" s="68"/>
      <c r="E15" s="65"/>
      <c r="G15" t="str">
        <f>IF([1]Sheet1!A15="","",[1]Sheet1!A15)</f>
        <v>丸岡</v>
      </c>
      <c r="H15">
        <f>IF([1]Sheet1!B15="","",[1]Sheet1!B15)</f>
        <v>2</v>
      </c>
      <c r="I15" t="s">
        <v>54</v>
      </c>
      <c r="K15" t="str">
        <f>IF([1]Sheet1!E14="","",[1]Sheet1!E14)</f>
        <v/>
      </c>
      <c r="L15" t="s">
        <v>58</v>
      </c>
      <c r="N15" t="str">
        <f>IF([1]Sheet1!H15="","",[1]Sheet1!H15)</f>
        <v>C-1</v>
      </c>
    </row>
    <row r="16" spans="1:22" x14ac:dyDescent="0.7">
      <c r="A16" s="196"/>
      <c r="B16" s="197"/>
      <c r="C16" s="198"/>
      <c r="D16" s="68"/>
      <c r="E16" s="65"/>
      <c r="G16" t="str">
        <f>IF([1]Sheet1!A16="","",[1]Sheet1!A16)</f>
        <v>小林</v>
      </c>
      <c r="H16">
        <f>IF([1]Sheet1!B16="","",[1]Sheet1!B16)</f>
        <v>3</v>
      </c>
      <c r="I16" t="s">
        <v>56</v>
      </c>
      <c r="K16" t="str">
        <f>IF([1]Sheet1!E15="","",[1]Sheet1!E15)</f>
        <v/>
      </c>
      <c r="L16" t="s">
        <v>59</v>
      </c>
      <c r="N16" t="str">
        <f>IF([1]Sheet1!H16="","",[1]Sheet1!H16)</f>
        <v>C-2</v>
      </c>
    </row>
    <row r="17" spans="1:14" x14ac:dyDescent="0.7">
      <c r="A17" s="196"/>
      <c r="B17" s="197"/>
      <c r="C17" s="198"/>
      <c r="D17" s="68"/>
      <c r="E17" s="65"/>
      <c r="G17" t="str">
        <f>IF([1]Sheet1!A17="","",[1]Sheet1!A17)</f>
        <v>宮本</v>
      </c>
      <c r="H17" t="str">
        <f>IF([1]Sheet1!B17="","",[1]Sheet1!B17)</f>
        <v>1・2</v>
      </c>
      <c r="I17" t="str">
        <f>IF([1]Sheet1!C17="","",[1]Sheet1!C17)</f>
        <v/>
      </c>
      <c r="K17" t="str">
        <f>IF([1]Sheet1!E16="","",[1]Sheet1!E16)</f>
        <v/>
      </c>
      <c r="L17" t="s">
        <v>60</v>
      </c>
      <c r="N17" t="str">
        <f>IF([1]Sheet1!H17="","",[1]Sheet1!H17)</f>
        <v>C-3</v>
      </c>
    </row>
    <row r="18" spans="1:14" x14ac:dyDescent="0.7">
      <c r="A18" s="196"/>
      <c r="B18" s="197"/>
      <c r="C18" s="198"/>
      <c r="D18" s="68"/>
      <c r="E18" s="65"/>
      <c r="G18" t="str">
        <f>IF([1]Sheet1!A18="","",[1]Sheet1!A18)</f>
        <v>隝田</v>
      </c>
      <c r="H18" t="str">
        <f>IF([1]Sheet1!B18="","",[1]Sheet1!B18)</f>
        <v>1・2・3</v>
      </c>
      <c r="I18" t="str">
        <f>IF([1]Sheet1!C18="","",[1]Sheet1!C18)</f>
        <v/>
      </c>
      <c r="K18" t="str">
        <f>IF([1]Sheet1!E17="","",[1]Sheet1!E17)</f>
        <v/>
      </c>
      <c r="L18" t="s">
        <v>61</v>
      </c>
      <c r="N18" t="str">
        <f>IF([1]Sheet1!H18="","",[1]Sheet1!H18)</f>
        <v>C-4</v>
      </c>
    </row>
    <row r="19" spans="1:14" x14ac:dyDescent="0.7">
      <c r="A19" s="196"/>
      <c r="B19" s="197"/>
      <c r="C19" s="198"/>
      <c r="D19" s="68"/>
      <c r="E19" s="65"/>
      <c r="G19" t="str">
        <f>IF([1]Sheet1!A19="","",[1]Sheet1!A19)</f>
        <v>田中</v>
      </c>
      <c r="H19" t="str">
        <f>IF([1]Sheet1!B19="","",[1]Sheet1!B19)</f>
        <v/>
      </c>
      <c r="I19" t="str">
        <f>IF([1]Sheet1!C19="","",[1]Sheet1!C19)</f>
        <v/>
      </c>
      <c r="K19" t="str">
        <f>IF([1]Sheet1!E18="","",[1]Sheet1!E18)</f>
        <v/>
      </c>
      <c r="L19" t="s">
        <v>62</v>
      </c>
      <c r="N19" t="str">
        <f>IF([1]Sheet1!H19="","",[1]Sheet1!H19)</f>
        <v>C-5</v>
      </c>
    </row>
    <row r="20" spans="1:14" x14ac:dyDescent="0.7">
      <c r="A20" s="196"/>
      <c r="B20" s="197"/>
      <c r="C20" s="198"/>
      <c r="D20" s="68"/>
      <c r="E20" s="65"/>
      <c r="G20" t="str">
        <f>IF([1]Sheet1!A20="","",[1]Sheet1!A20)</f>
        <v>加藤凌</v>
      </c>
      <c r="H20" t="str">
        <f>IF([1]Sheet1!B20="","",[1]Sheet1!B20)</f>
        <v/>
      </c>
      <c r="I20" t="str">
        <f>IF([1]Sheet1!C20="","",[1]Sheet1!C20)</f>
        <v/>
      </c>
      <c r="K20" t="str">
        <f>IF([1]Sheet1!E19="","",[1]Sheet1!E19)</f>
        <v/>
      </c>
      <c r="L20" t="s">
        <v>63</v>
      </c>
      <c r="N20" t="str">
        <f>IF([1]Sheet1!H20="","",[1]Sheet1!H20)</f>
        <v>C-6</v>
      </c>
    </row>
    <row r="21" spans="1:14" x14ac:dyDescent="0.7">
      <c r="G21" t="str">
        <f>IF([1]Sheet1!A21="","",[1]Sheet1!A21)</f>
        <v>佐藤はるか</v>
      </c>
      <c r="H21" t="str">
        <f>IF([1]Sheet1!B21="","",[1]Sheet1!B21)</f>
        <v/>
      </c>
      <c r="I21" t="str">
        <f>IF([1]Sheet1!C21="","",[1]Sheet1!C21)</f>
        <v/>
      </c>
      <c r="K21" t="str">
        <f>IF([1]Sheet1!E20="","",[1]Sheet1!E20)</f>
        <v/>
      </c>
      <c r="L21" t="s">
        <v>64</v>
      </c>
      <c r="N21" t="str">
        <f>IF([1]Sheet1!H21="","",[1]Sheet1!H21)</f>
        <v>C-7</v>
      </c>
    </row>
    <row r="22" spans="1:14" x14ac:dyDescent="0.7">
      <c r="G22" t="str">
        <f>IF([1]Sheet1!A22="","",[1]Sheet1!A22)</f>
        <v>木村</v>
      </c>
      <c r="H22" t="str">
        <f>IF([1]Sheet1!B22="","",[1]Sheet1!B22)</f>
        <v/>
      </c>
      <c r="I22" t="str">
        <f>IF([1]Sheet1!C22="","",[1]Sheet1!C22)</f>
        <v/>
      </c>
      <c r="K22" t="str">
        <f>IF([1]Sheet1!E21="","",[1]Sheet1!E21)</f>
        <v/>
      </c>
      <c r="L22" t="s">
        <v>65</v>
      </c>
      <c r="N22" t="str">
        <f>IF([1]Sheet1!H22="","",[1]Sheet1!H22)</f>
        <v>C-8</v>
      </c>
    </row>
    <row r="23" spans="1:14" x14ac:dyDescent="0.7">
      <c r="G23" t="str">
        <f>IF([1]Sheet1!A23="","",[1]Sheet1!A23)</f>
        <v>浅見翔</v>
      </c>
      <c r="H23" t="str">
        <f>IF([1]Sheet1!B23="","",[1]Sheet1!B23)</f>
        <v/>
      </c>
      <c r="I23" t="str">
        <f>IF([1]Sheet1!C23="","",[1]Sheet1!C23)</f>
        <v/>
      </c>
      <c r="K23" t="str">
        <f>IF([1]Sheet1!E22="","",[1]Sheet1!E22)</f>
        <v/>
      </c>
      <c r="L23" t="s">
        <v>66</v>
      </c>
      <c r="N23" t="str">
        <f>IF([1]Sheet1!H23="","",[1]Sheet1!H23)</f>
        <v>C-9</v>
      </c>
    </row>
    <row r="24" spans="1:14" x14ac:dyDescent="0.7">
      <c r="G24" t="str">
        <f>IF([1]Sheet1!A24="","",[1]Sheet1!A24)</f>
        <v/>
      </c>
      <c r="H24" t="str">
        <f>IF([1]Sheet1!B24="","",[1]Sheet1!B24)</f>
        <v/>
      </c>
      <c r="I24" t="str">
        <f>IF([1]Sheet1!C24="","",[1]Sheet1!C24)</f>
        <v/>
      </c>
      <c r="K24" t="str">
        <f>IF([1]Sheet1!E23="","",[1]Sheet1!E23)</f>
        <v/>
      </c>
      <c r="L24" t="s">
        <v>67</v>
      </c>
      <c r="N24" t="str">
        <f>IF([1]Sheet1!H24="","",[1]Sheet1!H24)</f>
        <v>C-10</v>
      </c>
    </row>
    <row r="25" spans="1:14" x14ac:dyDescent="0.7">
      <c r="G25" t="str">
        <f>IF([1]Sheet1!A25="","",[1]Sheet1!A25)</f>
        <v/>
      </c>
      <c r="H25" t="str">
        <f>IF([1]Sheet1!B25="","",[1]Sheet1!B25)</f>
        <v/>
      </c>
      <c r="I25" t="str">
        <f>IF([1]Sheet1!C25="","",[1]Sheet1!C25)</f>
        <v/>
      </c>
      <c r="K25" t="str">
        <f>IF([1]Sheet1!E24="","",[1]Sheet1!E24)</f>
        <v/>
      </c>
      <c r="L25" t="s">
        <v>68</v>
      </c>
      <c r="N25" t="str">
        <f>IF([1]Sheet1!H25="","",[1]Sheet1!H25)</f>
        <v>C-11</v>
      </c>
    </row>
    <row r="26" spans="1:14" x14ac:dyDescent="0.7">
      <c r="G26" t="str">
        <f>IF([1]Sheet1!A26="","",[1]Sheet1!A26)</f>
        <v/>
      </c>
      <c r="K26" t="str">
        <f>IF([1]Sheet1!E25="","",[1]Sheet1!E25)</f>
        <v/>
      </c>
      <c r="L26" t="s">
        <v>69</v>
      </c>
      <c r="N26" t="str">
        <f>IF([1]Sheet1!H26="","",[1]Sheet1!H26)</f>
        <v>C-12</v>
      </c>
    </row>
    <row r="27" spans="1:14" x14ac:dyDescent="0.7">
      <c r="G27" t="str">
        <f>IF([1]Sheet1!A27="","",[1]Sheet1!A27)</f>
        <v/>
      </c>
      <c r="L27" t="s">
        <v>70</v>
      </c>
      <c r="N27" t="str">
        <f>IF([1]Sheet1!H27="","",[1]Sheet1!H27)</f>
        <v>C-13</v>
      </c>
    </row>
    <row r="28" spans="1:14" x14ac:dyDescent="0.7">
      <c r="G28" t="str">
        <f>IF([1]Sheet1!A28="","",[1]Sheet1!A28)</f>
        <v/>
      </c>
      <c r="L28" t="s">
        <v>71</v>
      </c>
      <c r="N28" t="str">
        <f>IF([1]Sheet1!H28="","",[1]Sheet1!H28)</f>
        <v>D-1</v>
      </c>
    </row>
    <row r="29" spans="1:14" x14ac:dyDescent="0.7">
      <c r="G29" t="str">
        <f>IF([1]Sheet1!A29="","",[1]Sheet1!A29)</f>
        <v/>
      </c>
      <c r="L29" t="s">
        <v>250</v>
      </c>
      <c r="N29" t="str">
        <f>IF([1]Sheet1!H29="","",[1]Sheet1!H29)</f>
        <v>D-2</v>
      </c>
    </row>
    <row r="30" spans="1:14" x14ac:dyDescent="0.7">
      <c r="G30" t="str">
        <f>IF([1]Sheet1!A30="","",[1]Sheet1!A30)</f>
        <v/>
      </c>
      <c r="L30" t="s">
        <v>251</v>
      </c>
      <c r="N30" t="str">
        <f>IF([1]Sheet1!H30="","",[1]Sheet1!H30)</f>
        <v>D-3</v>
      </c>
    </row>
    <row r="31" spans="1:14" x14ac:dyDescent="0.7">
      <c r="L31" t="s">
        <v>72</v>
      </c>
      <c r="N31" t="str">
        <f>IF([1]Sheet1!H31="","",[1]Sheet1!H31)</f>
        <v>D-4</v>
      </c>
    </row>
    <row r="32" spans="1:14" x14ac:dyDescent="0.7">
      <c r="L32" t="s">
        <v>73</v>
      </c>
      <c r="N32" t="str">
        <f>IF([1]Sheet1!H32="","",[1]Sheet1!H32)</f>
        <v>D-5</v>
      </c>
    </row>
    <row r="33" spans="12:14" x14ac:dyDescent="0.7">
      <c r="L33" t="s">
        <v>74</v>
      </c>
      <c r="N33" t="str">
        <f>IF([1]Sheet1!H33="","",[1]Sheet1!H33)</f>
        <v>D-6</v>
      </c>
    </row>
    <row r="34" spans="12:14" x14ac:dyDescent="0.7">
      <c r="L34" t="s">
        <v>75</v>
      </c>
      <c r="N34" t="str">
        <f>IF([1]Sheet1!H34="","",[1]Sheet1!H34)</f>
        <v>D-7</v>
      </c>
    </row>
    <row r="35" spans="12:14" x14ac:dyDescent="0.7">
      <c r="L35" t="s">
        <v>31</v>
      </c>
      <c r="N35" t="str">
        <f>IF([1]Sheet1!H35="","",[1]Sheet1!H35)</f>
        <v>D-8</v>
      </c>
    </row>
    <row r="36" spans="12:14" x14ac:dyDescent="0.7">
      <c r="L36" t="s">
        <v>76</v>
      </c>
      <c r="N36" t="str">
        <f>IF([1]Sheet1!H36="","",[1]Sheet1!H36)</f>
        <v>D-9</v>
      </c>
    </row>
    <row r="37" spans="12:14" x14ac:dyDescent="0.7">
      <c r="L37" t="s">
        <v>77</v>
      </c>
      <c r="N37" t="str">
        <f>IF([1]Sheet1!H37="","",[1]Sheet1!H37)</f>
        <v>D-10</v>
      </c>
    </row>
    <row r="38" spans="12:14" x14ac:dyDescent="0.7">
      <c r="L38" t="s">
        <v>301</v>
      </c>
      <c r="N38" t="str">
        <f>IF([1]Sheet1!H38="","",[1]Sheet1!H38)</f>
        <v>D-11</v>
      </c>
    </row>
    <row r="39" spans="12:14" x14ac:dyDescent="0.7">
      <c r="L39" t="s">
        <v>259</v>
      </c>
      <c r="N39" t="str">
        <f>IF([1]Sheet1!H39="","",[1]Sheet1!H39)</f>
        <v>D-12</v>
      </c>
    </row>
    <row r="40" spans="12:14" x14ac:dyDescent="0.7">
      <c r="L40" t="s">
        <v>260</v>
      </c>
      <c r="N40" t="str">
        <f>IF([1]Sheet1!H40="","",[1]Sheet1!H40)</f>
        <v>D-13</v>
      </c>
    </row>
    <row r="41" spans="12:14" x14ac:dyDescent="0.7">
      <c r="L41" t="s">
        <v>78</v>
      </c>
      <c r="N41" t="str">
        <f>IF([1]Sheet1!H41="","",[1]Sheet1!H41)</f>
        <v>E-1</v>
      </c>
    </row>
    <row r="42" spans="12:14" x14ac:dyDescent="0.7">
      <c r="L42" t="s">
        <v>262</v>
      </c>
      <c r="N42" t="str">
        <f>IF([1]Sheet1!H42="","",[1]Sheet1!H42)</f>
        <v>E-2</v>
      </c>
    </row>
    <row r="43" spans="12:14" x14ac:dyDescent="0.7">
      <c r="L43" t="s">
        <v>79</v>
      </c>
      <c r="N43" t="str">
        <f>IF([1]Sheet1!H43="","",[1]Sheet1!H43)</f>
        <v>E-3</v>
      </c>
    </row>
    <row r="44" spans="12:14" x14ac:dyDescent="0.7">
      <c r="L44" t="s">
        <v>80</v>
      </c>
      <c r="N44" t="str">
        <f>IF([1]Sheet1!H44="","",[1]Sheet1!H44)</f>
        <v>E-4</v>
      </c>
    </row>
    <row r="45" spans="12:14" x14ac:dyDescent="0.7">
      <c r="L45" t="s">
        <v>81</v>
      </c>
      <c r="N45" t="str">
        <f>IF([1]Sheet1!H45="","",[1]Sheet1!H45)</f>
        <v>E-5</v>
      </c>
    </row>
    <row r="46" spans="12:14" x14ac:dyDescent="0.7">
      <c r="L46" t="s">
        <v>82</v>
      </c>
      <c r="N46" t="str">
        <f>IF([1]Sheet1!H46="","",[1]Sheet1!H46)</f>
        <v>E-6</v>
      </c>
    </row>
    <row r="47" spans="12:14" x14ac:dyDescent="0.7">
      <c r="L47" t="s">
        <v>83</v>
      </c>
      <c r="N47" t="str">
        <f>IF([1]Sheet1!H47="","",[1]Sheet1!H47)</f>
        <v>E-7</v>
      </c>
    </row>
    <row r="48" spans="12:14" x14ac:dyDescent="0.7">
      <c r="L48" t="s">
        <v>84</v>
      </c>
      <c r="N48" t="str">
        <f>IF([1]Sheet1!H48="","",[1]Sheet1!H48)</f>
        <v>E-8</v>
      </c>
    </row>
    <row r="49" spans="12:14" x14ac:dyDescent="0.7">
      <c r="L49" t="s">
        <v>85</v>
      </c>
      <c r="N49" t="str">
        <f>IF([1]Sheet1!H49="","",[1]Sheet1!H49)</f>
        <v>E-9</v>
      </c>
    </row>
    <row r="50" spans="12:14" x14ac:dyDescent="0.7">
      <c r="L50" t="s">
        <v>86</v>
      </c>
      <c r="N50" t="str">
        <f>IF([1]Sheet1!H50="","",[1]Sheet1!H50)</f>
        <v>E-10</v>
      </c>
    </row>
    <row r="51" spans="12:14" x14ac:dyDescent="0.7">
      <c r="L51" t="s">
        <v>253</v>
      </c>
      <c r="N51" t="str">
        <f>IF([1]Sheet1!H51="","",[1]Sheet1!H51)</f>
        <v>E-11</v>
      </c>
    </row>
    <row r="52" spans="12:14" x14ac:dyDescent="0.7">
      <c r="L52" t="s">
        <v>87</v>
      </c>
      <c r="N52" t="str">
        <f>IF([1]Sheet1!H52="","",[1]Sheet1!H52)</f>
        <v>E-12</v>
      </c>
    </row>
    <row r="53" spans="12:14" x14ac:dyDescent="0.7">
      <c r="L53" t="s">
        <v>88</v>
      </c>
      <c r="N53" t="str">
        <f>IF([1]Sheet1!H53="","",[1]Sheet1!H53)</f>
        <v>E-13</v>
      </c>
    </row>
    <row r="54" spans="12:14" x14ac:dyDescent="0.7">
      <c r="L54" t="s">
        <v>89</v>
      </c>
      <c r="N54" t="str">
        <f>IF([1]Sheet1!H54="","",[1]Sheet1!H54)</f>
        <v>E-14</v>
      </c>
    </row>
    <row r="55" spans="12:14" x14ac:dyDescent="0.7">
      <c r="L55" t="s">
        <v>90</v>
      </c>
      <c r="N55" t="str">
        <f>IF([1]Sheet1!H55="","",[1]Sheet1!H55)</f>
        <v>E-15</v>
      </c>
    </row>
    <row r="56" spans="12:14" x14ac:dyDescent="0.7">
      <c r="L56" t="s">
        <v>91</v>
      </c>
      <c r="N56" t="str">
        <f>IF([1]Sheet1!H56="","",[1]Sheet1!H56)</f>
        <v>E-16</v>
      </c>
    </row>
    <row r="57" spans="12:14" x14ac:dyDescent="0.7">
      <c r="L57" t="s">
        <v>92</v>
      </c>
      <c r="N57" t="str">
        <f>IF([1]Sheet1!H57="","",[1]Sheet1!H57)</f>
        <v>F-1</v>
      </c>
    </row>
    <row r="58" spans="12:14" x14ac:dyDescent="0.7">
      <c r="L58" t="s">
        <v>252</v>
      </c>
      <c r="N58" t="str">
        <f>IF([1]Sheet1!H58="","",[1]Sheet1!H58)</f>
        <v>F-2</v>
      </c>
    </row>
    <row r="59" spans="12:14" x14ac:dyDescent="0.7">
      <c r="N59" t="str">
        <f>IF([1]Sheet1!H59="","",[1]Sheet1!H59)</f>
        <v>F-3</v>
      </c>
    </row>
    <row r="60" spans="12:14" x14ac:dyDescent="0.7">
      <c r="N60" t="str">
        <f>IF([1]Sheet1!H60="","",[1]Sheet1!H60)</f>
        <v>F-4</v>
      </c>
    </row>
    <row r="61" spans="12:14" x14ac:dyDescent="0.7">
      <c r="N61" t="str">
        <f>IF([1]Sheet1!H61="","",[1]Sheet1!H61)</f>
        <v>F-5</v>
      </c>
    </row>
    <row r="62" spans="12:14" x14ac:dyDescent="0.7">
      <c r="N62" t="str">
        <f>IF([1]Sheet1!H62="","",[1]Sheet1!H62)</f>
        <v>F-6</v>
      </c>
    </row>
    <row r="63" spans="12:14" x14ac:dyDescent="0.7">
      <c r="N63" t="str">
        <f>IF([1]Sheet1!H63="","",[1]Sheet1!H63)</f>
        <v>F-7</v>
      </c>
    </row>
    <row r="64" spans="12:14" x14ac:dyDescent="0.7">
      <c r="N64" t="str">
        <f>IF([1]Sheet1!H64="","",[1]Sheet1!H64)</f>
        <v>F-8</v>
      </c>
    </row>
    <row r="65" spans="14:14" x14ac:dyDescent="0.7">
      <c r="N65" t="str">
        <f>IF([1]Sheet1!H65="","",[1]Sheet1!H65)</f>
        <v>F-9</v>
      </c>
    </row>
    <row r="66" spans="14:14" x14ac:dyDescent="0.7">
      <c r="N66" t="str">
        <f>IF([1]Sheet1!H66="","",[1]Sheet1!H66)</f>
        <v>F-10</v>
      </c>
    </row>
    <row r="67" spans="14:14" x14ac:dyDescent="0.7">
      <c r="N67" t="str">
        <f>IF([1]Sheet1!H67="","",[1]Sheet1!H67)</f>
        <v>F-11</v>
      </c>
    </row>
    <row r="68" spans="14:14" x14ac:dyDescent="0.7">
      <c r="N68" t="str">
        <f>IF([1]Sheet1!H68="","",[1]Sheet1!H68)</f>
        <v>F-12</v>
      </c>
    </row>
    <row r="69" spans="14:14" x14ac:dyDescent="0.7">
      <c r="N69" t="str">
        <f>IF([1]Sheet1!H69="","",[1]Sheet1!H69)</f>
        <v>F-13</v>
      </c>
    </row>
    <row r="70" spans="14:14" x14ac:dyDescent="0.7">
      <c r="N70" t="str">
        <f>IF([1]Sheet1!H70="","",[1]Sheet1!H70)</f>
        <v>F-14</v>
      </c>
    </row>
    <row r="71" spans="14:14" x14ac:dyDescent="0.7">
      <c r="N71" t="str">
        <f>IF([1]Sheet1!H71="","",[1]Sheet1!H71)</f>
        <v>F-15</v>
      </c>
    </row>
    <row r="72" spans="14:14" x14ac:dyDescent="0.7">
      <c r="N72" t="str">
        <f>IF([1]Sheet1!H72="","",[1]Sheet1!H72)</f>
        <v/>
      </c>
    </row>
    <row r="73" spans="14:14" x14ac:dyDescent="0.7">
      <c r="N73" t="str">
        <f>IF([1]Sheet1!H73="","",[1]Sheet1!H73)</f>
        <v/>
      </c>
    </row>
    <row r="74" spans="14:14" x14ac:dyDescent="0.7">
      <c r="N74" t="str">
        <f>IF([1]Sheet1!H74="","",[1]Sheet1!H74)</f>
        <v/>
      </c>
    </row>
    <row r="75" spans="14:14" x14ac:dyDescent="0.7">
      <c r="N75" t="str">
        <f>IF([1]Sheet1!H75="","",[1]Sheet1!H75)</f>
        <v/>
      </c>
    </row>
    <row r="76" spans="14:14" x14ac:dyDescent="0.7">
      <c r="N76" t="str">
        <f>IF([1]Sheet1!H76="","",[1]Sheet1!H76)</f>
        <v/>
      </c>
    </row>
  </sheetData>
  <sheetProtection sheet="1" objects="1" scenarios="1"/>
  <mergeCells count="14">
    <mergeCell ref="D10:D11"/>
    <mergeCell ref="E10:E11"/>
    <mergeCell ref="A20:C20"/>
    <mergeCell ref="A9:C9"/>
    <mergeCell ref="A10:C10"/>
    <mergeCell ref="A11:C11"/>
    <mergeCell ref="A12:C12"/>
    <mergeCell ref="A13:C13"/>
    <mergeCell ref="A14:C14"/>
    <mergeCell ref="A15:C15"/>
    <mergeCell ref="A16:C16"/>
    <mergeCell ref="A17:C17"/>
    <mergeCell ref="A18:C18"/>
    <mergeCell ref="A19:C19"/>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59AA-7E53-4F98-8814-067450BEDBF0}">
  <sheetPr codeName="Sheet7"/>
  <dimension ref="A1:O103"/>
  <sheetViews>
    <sheetView zoomScaleNormal="100" workbookViewId="0">
      <pane ySplit="3" topLeftCell="A4" activePane="bottomLeft" state="frozen"/>
      <selection sqref="A1:G3"/>
      <selection pane="bottomLeft" sqref="A1:G3"/>
    </sheetView>
  </sheetViews>
  <sheetFormatPr defaultRowHeight="17.649999999999999" x14ac:dyDescent="0.7"/>
  <cols>
    <col min="1" max="1" width="4.5" customWidth="1"/>
    <col min="2" max="4" width="10.6875" customWidth="1"/>
    <col min="5" max="5" width="5.6875" customWidth="1"/>
    <col min="6" max="6" width="7.6875" customWidth="1"/>
    <col min="7" max="7" width="5.6875" customWidth="1"/>
    <col min="8" max="10" width="7.6875" customWidth="1"/>
    <col min="11" max="11" width="6.6875" bestFit="1" customWidth="1"/>
    <col min="12" max="12" width="25.1875" bestFit="1" customWidth="1"/>
    <col min="13" max="13" width="9.5" bestFit="1" customWidth="1"/>
    <col min="16" max="16" width="9.375" bestFit="1" customWidth="1"/>
  </cols>
  <sheetData>
    <row r="1" spans="1:15" x14ac:dyDescent="0.7">
      <c r="A1" s="96"/>
      <c r="B1" s="97" t="s">
        <v>94</v>
      </c>
      <c r="C1" s="98"/>
      <c r="D1" s="99"/>
      <c r="E1" s="97" t="s">
        <v>95</v>
      </c>
      <c r="F1" s="98"/>
      <c r="G1" s="98"/>
      <c r="H1" s="98"/>
      <c r="I1" s="98"/>
      <c r="J1" s="98"/>
      <c r="K1" s="99"/>
      <c r="L1" s="150"/>
      <c r="M1" s="150"/>
      <c r="N1" s="152"/>
      <c r="O1" s="153"/>
    </row>
    <row r="2" spans="1:15" x14ac:dyDescent="0.7">
      <c r="A2" s="96"/>
      <c r="B2" s="119"/>
      <c r="C2" s="119"/>
      <c r="D2" s="119"/>
      <c r="E2" s="120"/>
      <c r="F2" s="120"/>
      <c r="G2" s="119"/>
      <c r="H2" s="121" t="s">
        <v>146</v>
      </c>
      <c r="I2" s="122"/>
      <c r="J2" s="123"/>
      <c r="K2" s="100"/>
      <c r="L2" s="100" t="s">
        <v>108</v>
      </c>
      <c r="M2" s="151"/>
      <c r="O2" s="148"/>
    </row>
    <row r="3" spans="1:15" ht="18" thickBot="1" x14ac:dyDescent="0.75">
      <c r="A3" s="96" t="s">
        <v>93</v>
      </c>
      <c r="B3" s="124" t="s">
        <v>96</v>
      </c>
      <c r="C3" s="124" t="s">
        <v>97</v>
      </c>
      <c r="D3" s="124" t="s">
        <v>98</v>
      </c>
      <c r="E3" s="125" t="s">
        <v>100</v>
      </c>
      <c r="F3" s="125" t="s">
        <v>101</v>
      </c>
      <c r="G3" s="124" t="s">
        <v>145</v>
      </c>
      <c r="H3" s="125" t="s">
        <v>103</v>
      </c>
      <c r="I3" s="126" t="s">
        <v>104</v>
      </c>
      <c r="J3" s="123" t="s">
        <v>105</v>
      </c>
      <c r="K3" s="118" t="s">
        <v>106</v>
      </c>
      <c r="L3" s="100" t="s">
        <v>107</v>
      </c>
      <c r="M3" s="149" t="s">
        <v>256</v>
      </c>
      <c r="N3" s="154" t="s">
        <v>257</v>
      </c>
      <c r="O3" s="158" t="s">
        <v>258</v>
      </c>
    </row>
    <row r="4" spans="1:15" x14ac:dyDescent="0.7">
      <c r="A4" s="133">
        <v>1</v>
      </c>
      <c r="B4" s="101" t="s">
        <v>3</v>
      </c>
      <c r="C4" s="102"/>
      <c r="D4" s="102" t="s">
        <v>1</v>
      </c>
      <c r="E4" s="102" t="s">
        <v>6</v>
      </c>
      <c r="F4" s="103" t="s">
        <v>276</v>
      </c>
      <c r="G4" s="102"/>
      <c r="H4" s="103" t="s">
        <v>277</v>
      </c>
      <c r="I4" s="103" t="s">
        <v>278</v>
      </c>
      <c r="J4" s="104" t="s">
        <v>18</v>
      </c>
      <c r="K4" s="96">
        <f>IF($J4="","",_xlfn.XLOOKUP($J4,DATA!$S:$S,DATA!$T:$T,"",0,1))</f>
        <v>1</v>
      </c>
      <c r="L4" s="105"/>
      <c r="M4" s="145"/>
      <c r="N4" s="155"/>
      <c r="O4" s="156"/>
    </row>
    <row r="5" spans="1:15" x14ac:dyDescent="0.7">
      <c r="A5" s="133">
        <v>2</v>
      </c>
      <c r="B5" s="106" t="s">
        <v>3</v>
      </c>
      <c r="C5" s="107"/>
      <c r="D5" s="107" t="s">
        <v>1</v>
      </c>
      <c r="E5" s="107" t="s">
        <v>6</v>
      </c>
      <c r="F5" s="108" t="s">
        <v>279</v>
      </c>
      <c r="G5" s="107"/>
      <c r="H5" s="108" t="s">
        <v>280</v>
      </c>
      <c r="I5" s="108" t="s">
        <v>281</v>
      </c>
      <c r="J5" s="109" t="s">
        <v>18</v>
      </c>
      <c r="K5" s="96">
        <f>IF($J5="","",_xlfn.XLOOKUP($J5,DATA!$S:$S,DATA!$T:$T,"",0,1))</f>
        <v>1</v>
      </c>
      <c r="L5" s="110"/>
      <c r="M5" s="146"/>
      <c r="N5" s="157"/>
      <c r="O5" s="111"/>
    </row>
    <row r="6" spans="1:15" x14ac:dyDescent="0.7">
      <c r="A6" s="133">
        <v>3</v>
      </c>
      <c r="B6" s="106" t="s">
        <v>3</v>
      </c>
      <c r="C6" s="107"/>
      <c r="D6" s="107" t="s">
        <v>1</v>
      </c>
      <c r="E6" s="107" t="s">
        <v>6</v>
      </c>
      <c r="F6" s="108" t="s">
        <v>282</v>
      </c>
      <c r="G6" s="107"/>
      <c r="H6" s="108" t="s">
        <v>283</v>
      </c>
      <c r="I6" s="108" t="s">
        <v>284</v>
      </c>
      <c r="J6" s="109" t="s">
        <v>18</v>
      </c>
      <c r="K6" s="96">
        <f>IF($J6="","",_xlfn.XLOOKUP($J6,DATA!$S:$S,DATA!$T:$T,"",0,1))</f>
        <v>1</v>
      </c>
      <c r="L6" s="110"/>
      <c r="M6" s="146"/>
      <c r="N6" s="157"/>
      <c r="O6" s="111"/>
    </row>
    <row r="7" spans="1:15" x14ac:dyDescent="0.7">
      <c r="A7" s="133">
        <v>4</v>
      </c>
      <c r="B7" s="106" t="s">
        <v>285</v>
      </c>
      <c r="C7" s="107"/>
      <c r="D7" s="107" t="s">
        <v>1</v>
      </c>
      <c r="E7" s="107"/>
      <c r="F7" s="108" t="s">
        <v>286</v>
      </c>
      <c r="G7" s="107"/>
      <c r="H7" s="108" t="s">
        <v>277</v>
      </c>
      <c r="I7" s="108" t="s">
        <v>278</v>
      </c>
      <c r="J7" s="109" t="s">
        <v>18</v>
      </c>
      <c r="K7" s="96">
        <f>IF($J7="","",_xlfn.XLOOKUP($J7,DATA!$S:$S,DATA!$T:$T,"",0,1))</f>
        <v>1</v>
      </c>
      <c r="L7" s="110"/>
      <c r="M7" s="146"/>
      <c r="N7" s="157"/>
      <c r="O7" s="111"/>
    </row>
    <row r="8" spans="1:15" x14ac:dyDescent="0.7">
      <c r="A8" s="133">
        <v>5</v>
      </c>
      <c r="B8" s="106" t="s">
        <v>60</v>
      </c>
      <c r="C8" s="107"/>
      <c r="D8" s="107" t="s">
        <v>19</v>
      </c>
      <c r="E8" s="107"/>
      <c r="F8" s="108" t="s">
        <v>287</v>
      </c>
      <c r="G8" s="107"/>
      <c r="H8" s="108" t="s">
        <v>277</v>
      </c>
      <c r="I8" s="108" t="s">
        <v>278</v>
      </c>
      <c r="J8" s="109" t="s">
        <v>18</v>
      </c>
      <c r="K8" s="96">
        <f>IF($J8="","",_xlfn.XLOOKUP($J8,DATA!$S:$S,DATA!$T:$T,"",0,1))</f>
        <v>1</v>
      </c>
      <c r="L8" s="110"/>
      <c r="M8" s="146"/>
      <c r="N8" s="157"/>
      <c r="O8" s="111"/>
    </row>
    <row r="9" spans="1:15" x14ac:dyDescent="0.7">
      <c r="A9" s="133">
        <v>6</v>
      </c>
      <c r="B9" s="106" t="s">
        <v>61</v>
      </c>
      <c r="C9" s="107" t="s">
        <v>288</v>
      </c>
      <c r="D9" s="107" t="s">
        <v>19</v>
      </c>
      <c r="E9" s="107"/>
      <c r="F9" s="108" t="s">
        <v>289</v>
      </c>
      <c r="G9" s="107"/>
      <c r="H9" s="108" t="s">
        <v>290</v>
      </c>
      <c r="I9" s="108" t="s">
        <v>291</v>
      </c>
      <c r="J9" s="109" t="s">
        <v>18</v>
      </c>
      <c r="K9" s="96">
        <f>IF($J9="","",_xlfn.XLOOKUP($J9,DATA!$S:$S,DATA!$T:$T,"",0,1))</f>
        <v>1</v>
      </c>
      <c r="L9" s="110"/>
      <c r="M9" s="146"/>
      <c r="N9" s="157"/>
      <c r="O9" s="111"/>
    </row>
    <row r="10" spans="1:15" x14ac:dyDescent="0.7">
      <c r="A10" s="133">
        <v>7</v>
      </c>
      <c r="B10" s="106" t="s">
        <v>61</v>
      </c>
      <c r="C10" s="107"/>
      <c r="D10" s="107" t="s">
        <v>19</v>
      </c>
      <c r="E10" s="107" t="s">
        <v>292</v>
      </c>
      <c r="F10" s="108" t="s">
        <v>293</v>
      </c>
      <c r="G10" s="107" t="s">
        <v>294</v>
      </c>
      <c r="H10" s="108" t="s">
        <v>295</v>
      </c>
      <c r="I10" s="108" t="s">
        <v>296</v>
      </c>
      <c r="J10" s="109" t="s">
        <v>18</v>
      </c>
      <c r="K10" s="96">
        <f>IF($J10="","",_xlfn.XLOOKUP($J10,DATA!$S:$S,DATA!$T:$T,"",0,1))</f>
        <v>1</v>
      </c>
      <c r="L10" s="110"/>
      <c r="M10" s="146"/>
      <c r="N10" s="157"/>
      <c r="O10" s="111"/>
    </row>
    <row r="11" spans="1:15" x14ac:dyDescent="0.7">
      <c r="A11" s="133">
        <v>8</v>
      </c>
      <c r="B11" s="106" t="s">
        <v>61</v>
      </c>
      <c r="C11" s="107"/>
      <c r="D11" s="107" t="s">
        <v>19</v>
      </c>
      <c r="E11" s="107"/>
      <c r="F11" s="108" t="s">
        <v>297</v>
      </c>
      <c r="G11" s="107"/>
      <c r="H11" s="108" t="s">
        <v>277</v>
      </c>
      <c r="I11" s="108" t="s">
        <v>278</v>
      </c>
      <c r="J11" s="109" t="s">
        <v>18</v>
      </c>
      <c r="K11" s="96">
        <f>IF($J11="","",_xlfn.XLOOKUP($J11,DATA!$S:$S,DATA!$T:$T,"",0,1))</f>
        <v>1</v>
      </c>
      <c r="L11" s="110"/>
      <c r="M11" s="146"/>
      <c r="N11" s="157"/>
      <c r="O11" s="111"/>
    </row>
    <row r="12" spans="1:15" x14ac:dyDescent="0.7">
      <c r="A12" s="133">
        <v>9</v>
      </c>
      <c r="B12" s="106" t="s">
        <v>61</v>
      </c>
      <c r="C12" s="107"/>
      <c r="D12" s="107" t="s">
        <v>19</v>
      </c>
      <c r="E12" s="107"/>
      <c r="F12" s="108" t="s">
        <v>298</v>
      </c>
      <c r="G12" s="107"/>
      <c r="H12" s="108" t="s">
        <v>277</v>
      </c>
      <c r="I12" s="108" t="s">
        <v>278</v>
      </c>
      <c r="J12" s="109" t="s">
        <v>18</v>
      </c>
      <c r="K12" s="96">
        <f>IF($J12="","",_xlfn.XLOOKUP($J12,DATA!$S:$S,DATA!$T:$T,"",0,1))</f>
        <v>1</v>
      </c>
      <c r="L12" s="110"/>
      <c r="M12" s="146"/>
      <c r="N12" s="157"/>
      <c r="O12" s="111"/>
    </row>
    <row r="13" spans="1:15" x14ac:dyDescent="0.7">
      <c r="A13" s="133">
        <v>10</v>
      </c>
      <c r="B13" s="106" t="s">
        <v>66</v>
      </c>
      <c r="C13" s="107"/>
      <c r="D13" s="107" t="s">
        <v>33</v>
      </c>
      <c r="E13" s="107"/>
      <c r="F13" s="108" t="s">
        <v>299</v>
      </c>
      <c r="G13" s="107"/>
      <c r="H13" s="108" t="s">
        <v>277</v>
      </c>
      <c r="I13" s="108" t="s">
        <v>278</v>
      </c>
      <c r="J13" s="109" t="s">
        <v>18</v>
      </c>
      <c r="K13" s="96">
        <f>IF($J13="","",_xlfn.XLOOKUP($J13,DATA!$S:$S,DATA!$T:$T,"",0,1))</f>
        <v>1</v>
      </c>
      <c r="L13" s="110"/>
      <c r="M13" s="146"/>
      <c r="N13" s="157"/>
      <c r="O13" s="111"/>
    </row>
    <row r="14" spans="1:15" x14ac:dyDescent="0.7">
      <c r="A14" s="133">
        <v>11</v>
      </c>
      <c r="B14" s="106" t="s">
        <v>70</v>
      </c>
      <c r="C14" s="107"/>
      <c r="D14" s="107" t="s">
        <v>33</v>
      </c>
      <c r="E14" s="107"/>
      <c r="F14" s="108" t="s">
        <v>300</v>
      </c>
      <c r="G14" s="107"/>
      <c r="H14" s="108" t="s">
        <v>277</v>
      </c>
      <c r="I14" s="108" t="s">
        <v>278</v>
      </c>
      <c r="J14" s="109" t="s">
        <v>18</v>
      </c>
      <c r="K14" s="96">
        <f>IF($J14="","",_xlfn.XLOOKUP($J14,DATA!$S:$S,DATA!$T:$T,"",0,1))</f>
        <v>1</v>
      </c>
      <c r="L14" s="110"/>
      <c r="M14" s="146"/>
      <c r="N14" s="157"/>
      <c r="O14" s="111"/>
    </row>
    <row r="15" spans="1:15" x14ac:dyDescent="0.7">
      <c r="A15" s="133">
        <v>12</v>
      </c>
      <c r="B15" s="106" t="s">
        <v>64</v>
      </c>
      <c r="C15" s="107"/>
      <c r="D15" s="107" t="s">
        <v>33</v>
      </c>
      <c r="E15" s="107"/>
      <c r="F15" s="108" t="s">
        <v>297</v>
      </c>
      <c r="G15" s="107"/>
      <c r="H15" s="108" t="s">
        <v>277</v>
      </c>
      <c r="I15" s="108" t="s">
        <v>278</v>
      </c>
      <c r="J15" s="109" t="s">
        <v>18</v>
      </c>
      <c r="K15" s="96">
        <f>IF($J15="","",_xlfn.XLOOKUP($J15,DATA!$S:$S,DATA!$T:$T,"",0,1))</f>
        <v>1</v>
      </c>
      <c r="L15" s="110"/>
      <c r="M15" s="146"/>
      <c r="N15" s="157"/>
      <c r="O15" s="111"/>
    </row>
    <row r="16" spans="1:15" x14ac:dyDescent="0.7">
      <c r="A16" s="133">
        <v>13</v>
      </c>
      <c r="B16" s="106" t="s">
        <v>301</v>
      </c>
      <c r="C16" s="107"/>
      <c r="D16" s="107" t="s">
        <v>33</v>
      </c>
      <c r="E16" s="107"/>
      <c r="F16" s="108" t="s">
        <v>302</v>
      </c>
      <c r="G16" s="107" t="s">
        <v>303</v>
      </c>
      <c r="H16" s="108" t="s">
        <v>295</v>
      </c>
      <c r="I16" s="108" t="s">
        <v>296</v>
      </c>
      <c r="J16" s="109" t="s">
        <v>18</v>
      </c>
      <c r="K16" s="96">
        <f>IF($J16="","",_xlfn.XLOOKUP($J16,DATA!$S:$S,DATA!$T:$T,"",0,1))</f>
        <v>1</v>
      </c>
      <c r="L16" s="110"/>
      <c r="M16" s="146"/>
      <c r="N16" s="157"/>
      <c r="O16" s="111"/>
    </row>
    <row r="17" spans="1:15" x14ac:dyDescent="0.7">
      <c r="A17" s="133">
        <v>14</v>
      </c>
      <c r="B17" s="106" t="s">
        <v>304</v>
      </c>
      <c r="C17" s="107"/>
      <c r="D17" s="107" t="s">
        <v>33</v>
      </c>
      <c r="E17" s="107"/>
      <c r="F17" s="108" t="s">
        <v>305</v>
      </c>
      <c r="G17" s="107" t="s">
        <v>303</v>
      </c>
      <c r="H17" s="108" t="s">
        <v>295</v>
      </c>
      <c r="I17" s="108" t="s">
        <v>296</v>
      </c>
      <c r="J17" s="109" t="s">
        <v>18</v>
      </c>
      <c r="K17" s="96">
        <f>IF($J17="","",_xlfn.XLOOKUP($J17,DATA!$S:$S,DATA!$T:$T,"",0,1))</f>
        <v>1</v>
      </c>
      <c r="L17" s="110"/>
      <c r="M17" s="146"/>
      <c r="N17" s="157"/>
      <c r="O17" s="111"/>
    </row>
    <row r="18" spans="1:15" x14ac:dyDescent="0.7">
      <c r="A18" s="133">
        <v>15</v>
      </c>
      <c r="B18" s="106" t="s">
        <v>71</v>
      </c>
      <c r="C18" s="107" t="s">
        <v>308</v>
      </c>
      <c r="D18" s="107" t="s">
        <v>33</v>
      </c>
      <c r="E18" s="107" t="s">
        <v>16</v>
      </c>
      <c r="F18" s="108" t="s">
        <v>306</v>
      </c>
      <c r="G18" s="107"/>
      <c r="H18" s="108" t="s">
        <v>277</v>
      </c>
      <c r="I18" s="108" t="s">
        <v>278</v>
      </c>
      <c r="J18" s="109" t="s">
        <v>18</v>
      </c>
      <c r="K18" s="96">
        <f>IF($J18="","",_xlfn.XLOOKUP($J18,DATA!$S:$S,DATA!$T:$T,"",0,1))</f>
        <v>1</v>
      </c>
      <c r="L18" s="110"/>
      <c r="M18" s="146"/>
      <c r="N18" s="157"/>
      <c r="O18" s="111"/>
    </row>
    <row r="19" spans="1:15" x14ac:dyDescent="0.7">
      <c r="A19" s="133">
        <v>16</v>
      </c>
      <c r="B19" s="106" t="s">
        <v>307</v>
      </c>
      <c r="C19" s="107" t="s">
        <v>309</v>
      </c>
      <c r="D19" s="107" t="s">
        <v>33</v>
      </c>
      <c r="E19" s="107" t="s">
        <v>16</v>
      </c>
      <c r="F19" s="108" t="s">
        <v>306</v>
      </c>
      <c r="G19" s="107"/>
      <c r="H19" s="108" t="s">
        <v>277</v>
      </c>
      <c r="I19" s="108" t="s">
        <v>278</v>
      </c>
      <c r="J19" s="109" t="s">
        <v>18</v>
      </c>
      <c r="K19" s="96">
        <f>IF($J19="","",_xlfn.XLOOKUP($J19,DATA!$S:$S,DATA!$T:$T,"",0,1))</f>
        <v>1</v>
      </c>
      <c r="L19" s="110"/>
      <c r="M19" s="146"/>
      <c r="N19" s="157"/>
      <c r="O19" s="111"/>
    </row>
    <row r="20" spans="1:15" x14ac:dyDescent="0.7">
      <c r="A20" s="133">
        <v>17</v>
      </c>
      <c r="B20" s="106" t="s">
        <v>76</v>
      </c>
      <c r="C20" s="107"/>
      <c r="D20" s="107" t="s">
        <v>33</v>
      </c>
      <c r="E20" s="107" t="s">
        <v>31</v>
      </c>
      <c r="F20" s="108" t="s">
        <v>310</v>
      </c>
      <c r="G20" s="107"/>
      <c r="H20" s="108" t="s">
        <v>277</v>
      </c>
      <c r="I20" s="108" t="s">
        <v>278</v>
      </c>
      <c r="J20" s="109" t="s">
        <v>18</v>
      </c>
      <c r="K20" s="96">
        <f>IF($J20="","",_xlfn.XLOOKUP($J20,DATA!$S:$S,DATA!$T:$T,"",0,1))</f>
        <v>1</v>
      </c>
      <c r="L20" s="110"/>
      <c r="M20" s="146"/>
      <c r="N20" s="157"/>
      <c r="O20" s="111"/>
    </row>
    <row r="21" spans="1:15" x14ac:dyDescent="0.7">
      <c r="A21" s="133">
        <v>18</v>
      </c>
      <c r="B21" s="106" t="s">
        <v>73</v>
      </c>
      <c r="C21" s="107" t="s">
        <v>308</v>
      </c>
      <c r="D21" s="107" t="s">
        <v>37</v>
      </c>
      <c r="E21" s="107" t="s">
        <v>24</v>
      </c>
      <c r="F21" s="108" t="s">
        <v>310</v>
      </c>
      <c r="G21" s="107" t="s">
        <v>17</v>
      </c>
      <c r="H21" s="108" t="s">
        <v>311</v>
      </c>
      <c r="I21" s="108" t="s">
        <v>284</v>
      </c>
      <c r="J21" s="109" t="s">
        <v>18</v>
      </c>
      <c r="K21" s="96">
        <f>IF($J21="","",_xlfn.XLOOKUP($J21,DATA!$S:$S,DATA!$T:$T,"",0,1))</f>
        <v>1</v>
      </c>
      <c r="L21" s="110"/>
      <c r="M21" s="146"/>
      <c r="N21" s="157"/>
      <c r="O21" s="111"/>
    </row>
    <row r="22" spans="1:15" x14ac:dyDescent="0.7">
      <c r="A22" s="133">
        <v>19</v>
      </c>
      <c r="B22" s="106" t="s">
        <v>74</v>
      </c>
      <c r="C22" s="107" t="s">
        <v>320</v>
      </c>
      <c r="D22" s="107" t="s">
        <v>37</v>
      </c>
      <c r="E22" s="107" t="s">
        <v>24</v>
      </c>
      <c r="F22" s="108" t="s">
        <v>297</v>
      </c>
      <c r="G22" s="107"/>
      <c r="H22" s="108" t="s">
        <v>277</v>
      </c>
      <c r="I22" s="108" t="s">
        <v>278</v>
      </c>
      <c r="J22" s="109" t="s">
        <v>18</v>
      </c>
      <c r="K22" s="96">
        <f>IF($J22="","",_xlfn.XLOOKUP($J22,DATA!$S:$S,DATA!$T:$T,"",0,1))</f>
        <v>1</v>
      </c>
      <c r="L22" s="110"/>
      <c r="M22" s="146"/>
      <c r="N22" s="157"/>
      <c r="O22" s="111"/>
    </row>
    <row r="23" spans="1:15" x14ac:dyDescent="0.7">
      <c r="A23" s="133">
        <v>20</v>
      </c>
      <c r="B23" s="106" t="s">
        <v>313</v>
      </c>
      <c r="C23" s="107"/>
      <c r="D23" s="107" t="s">
        <v>37</v>
      </c>
      <c r="E23" s="107"/>
      <c r="F23" s="108" t="s">
        <v>314</v>
      </c>
      <c r="G23" s="107" t="s">
        <v>303</v>
      </c>
      <c r="H23" s="108" t="s">
        <v>295</v>
      </c>
      <c r="I23" s="108" t="s">
        <v>296</v>
      </c>
      <c r="J23" s="109" t="s">
        <v>18</v>
      </c>
      <c r="K23" s="96">
        <f>IF($J23="","",_xlfn.XLOOKUP($J23,DATA!$S:$S,DATA!$T:$T,"",0,1))</f>
        <v>1</v>
      </c>
      <c r="L23" s="110"/>
      <c r="M23" s="146"/>
      <c r="N23" s="157"/>
      <c r="O23" s="111"/>
    </row>
    <row r="24" spans="1:15" x14ac:dyDescent="0.7">
      <c r="A24" s="133">
        <v>21</v>
      </c>
      <c r="B24" s="106" t="s">
        <v>78</v>
      </c>
      <c r="C24" s="107" t="s">
        <v>315</v>
      </c>
      <c r="D24" s="107" t="s">
        <v>37</v>
      </c>
      <c r="E24" s="107" t="s">
        <v>316</v>
      </c>
      <c r="F24" s="108" t="s">
        <v>318</v>
      </c>
      <c r="G24" s="107"/>
      <c r="H24" s="108" t="s">
        <v>311</v>
      </c>
      <c r="I24" s="108" t="s">
        <v>319</v>
      </c>
      <c r="J24" s="109" t="s">
        <v>18</v>
      </c>
      <c r="K24" s="96">
        <f>IF($J24="","",_xlfn.XLOOKUP($J24,DATA!$S:$S,DATA!$T:$T,"",0,1))</f>
        <v>1</v>
      </c>
      <c r="L24" s="110"/>
      <c r="M24" s="146"/>
      <c r="N24" s="157"/>
      <c r="O24" s="111"/>
    </row>
    <row r="25" spans="1:15" x14ac:dyDescent="0.7">
      <c r="A25" s="133">
        <v>22</v>
      </c>
      <c r="B25" s="106" t="s">
        <v>74</v>
      </c>
      <c r="C25" s="107" t="s">
        <v>321</v>
      </c>
      <c r="D25" s="107" t="s">
        <v>37</v>
      </c>
      <c r="E25" s="107" t="s">
        <v>24</v>
      </c>
      <c r="F25" s="108" t="s">
        <v>322</v>
      </c>
      <c r="G25" s="107"/>
      <c r="H25" s="108" t="s">
        <v>323</v>
      </c>
      <c r="I25" s="108" t="s">
        <v>324</v>
      </c>
      <c r="J25" s="109" t="s">
        <v>18</v>
      </c>
      <c r="K25" s="96">
        <f>IF($J25="","",_xlfn.XLOOKUP($J25,DATA!$S:$S,DATA!$T:$T,"",0,1))</f>
        <v>1</v>
      </c>
      <c r="L25" s="110"/>
      <c r="M25" s="146"/>
      <c r="N25" s="157"/>
      <c r="O25" s="111"/>
    </row>
    <row r="26" spans="1:15" x14ac:dyDescent="0.7">
      <c r="A26" s="133">
        <v>23</v>
      </c>
      <c r="B26" s="106" t="s">
        <v>61</v>
      </c>
      <c r="C26" s="107" t="s">
        <v>325</v>
      </c>
      <c r="D26" s="107" t="s">
        <v>37</v>
      </c>
      <c r="E26" s="107"/>
      <c r="F26" s="108" t="s">
        <v>297</v>
      </c>
      <c r="G26" s="107"/>
      <c r="H26" s="108" t="s">
        <v>326</v>
      </c>
      <c r="I26" s="108" t="s">
        <v>327</v>
      </c>
      <c r="J26" s="109" t="s">
        <v>18</v>
      </c>
      <c r="K26" s="96">
        <f>IF($J26="","",_xlfn.XLOOKUP($J26,DATA!$S:$S,DATA!$T:$T,"",0,1))</f>
        <v>1</v>
      </c>
      <c r="L26" s="110"/>
      <c r="M26" s="146"/>
      <c r="N26" s="157"/>
      <c r="O26" s="111"/>
    </row>
    <row r="27" spans="1:15" x14ac:dyDescent="0.7">
      <c r="A27" s="133">
        <v>24</v>
      </c>
      <c r="B27" s="106" t="s">
        <v>78</v>
      </c>
      <c r="C27" s="107" t="s">
        <v>328</v>
      </c>
      <c r="D27" s="107" t="s">
        <v>37</v>
      </c>
      <c r="E27" s="107" t="s">
        <v>316</v>
      </c>
      <c r="F27" s="108" t="s">
        <v>318</v>
      </c>
      <c r="G27" s="107"/>
      <c r="H27" s="108" t="s">
        <v>311</v>
      </c>
      <c r="I27" s="108" t="s">
        <v>319</v>
      </c>
      <c r="J27" s="109" t="s">
        <v>18</v>
      </c>
      <c r="K27" s="96">
        <f>IF($J27="","",_xlfn.XLOOKUP($J27,DATA!$S:$S,DATA!$T:$T,"",0,1))</f>
        <v>1</v>
      </c>
      <c r="L27" s="110"/>
      <c r="M27" s="146"/>
      <c r="N27" s="157"/>
      <c r="O27" s="111"/>
    </row>
    <row r="28" spans="1:15" x14ac:dyDescent="0.7">
      <c r="A28" s="133">
        <v>25</v>
      </c>
      <c r="B28" s="106" t="s">
        <v>78</v>
      </c>
      <c r="C28" s="107" t="s">
        <v>312</v>
      </c>
      <c r="D28" s="107" t="s">
        <v>37</v>
      </c>
      <c r="E28" s="107" t="s">
        <v>316</v>
      </c>
      <c r="F28" s="108" t="s">
        <v>318</v>
      </c>
      <c r="G28" s="107"/>
      <c r="H28" s="108" t="s">
        <v>311</v>
      </c>
      <c r="I28" s="108" t="s">
        <v>319</v>
      </c>
      <c r="J28" s="109" t="s">
        <v>18</v>
      </c>
      <c r="K28" s="96">
        <f>IF($J28="","",_xlfn.XLOOKUP($J28,DATA!$S:$S,DATA!$T:$T,"",0,1))</f>
        <v>1</v>
      </c>
      <c r="L28" s="110"/>
      <c r="M28" s="146"/>
      <c r="N28" s="157"/>
      <c r="O28" s="111"/>
    </row>
    <row r="29" spans="1:15" x14ac:dyDescent="0.7">
      <c r="A29" s="133">
        <v>26</v>
      </c>
      <c r="B29" s="106" t="s">
        <v>262</v>
      </c>
      <c r="C29" s="107"/>
      <c r="D29" s="107" t="s">
        <v>37</v>
      </c>
      <c r="E29" s="107" t="s">
        <v>316</v>
      </c>
      <c r="F29" s="108" t="s">
        <v>329</v>
      </c>
      <c r="G29" s="107"/>
      <c r="H29" s="108" t="s">
        <v>311</v>
      </c>
      <c r="I29" s="108" t="s">
        <v>330</v>
      </c>
      <c r="J29" s="109" t="s">
        <v>18</v>
      </c>
      <c r="K29" s="96">
        <f>IF($J29="","",_xlfn.XLOOKUP($J29,DATA!$S:$S,DATA!$T:$T,"",0,1))</f>
        <v>1</v>
      </c>
      <c r="L29" s="110"/>
      <c r="M29" s="146"/>
      <c r="N29" s="157"/>
      <c r="O29" s="111"/>
    </row>
    <row r="30" spans="1:15" x14ac:dyDescent="0.7">
      <c r="A30" s="133">
        <v>27</v>
      </c>
      <c r="B30" s="106" t="s">
        <v>77</v>
      </c>
      <c r="C30" s="107"/>
      <c r="D30" s="107" t="s">
        <v>33</v>
      </c>
      <c r="E30" s="107" t="s">
        <v>31</v>
      </c>
      <c r="F30" s="108" t="s">
        <v>310</v>
      </c>
      <c r="G30" s="107"/>
      <c r="H30" s="108" t="s">
        <v>277</v>
      </c>
      <c r="I30" s="108" t="s">
        <v>278</v>
      </c>
      <c r="J30" s="109" t="s">
        <v>18</v>
      </c>
      <c r="K30" s="96">
        <f>IF($J30="","",_xlfn.XLOOKUP($J30,DATA!$S:$S,DATA!$T:$T,"",0,1))</f>
        <v>1</v>
      </c>
      <c r="L30" s="110"/>
      <c r="M30" s="146"/>
      <c r="N30" s="157"/>
      <c r="O30" s="111"/>
    </row>
    <row r="31" spans="1:15" x14ac:dyDescent="0.7">
      <c r="A31" s="133">
        <v>28</v>
      </c>
      <c r="B31" s="106" t="s">
        <v>13</v>
      </c>
      <c r="C31" s="107" t="s">
        <v>331</v>
      </c>
      <c r="D31" s="107" t="s">
        <v>332</v>
      </c>
      <c r="E31" s="107" t="s">
        <v>6</v>
      </c>
      <c r="F31" s="108" t="s">
        <v>333</v>
      </c>
      <c r="G31" s="107"/>
      <c r="H31" s="108" t="s">
        <v>277</v>
      </c>
      <c r="I31" s="108" t="s">
        <v>278</v>
      </c>
      <c r="J31" s="109" t="s">
        <v>18</v>
      </c>
      <c r="K31" s="96">
        <f>IF($J31="","",_xlfn.XLOOKUP($J31,DATA!$S:$S,DATA!$T:$T,"",0,1))</f>
        <v>1</v>
      </c>
      <c r="L31" s="110"/>
      <c r="M31" s="146"/>
      <c r="N31" s="157"/>
      <c r="O31" s="111"/>
    </row>
    <row r="32" spans="1:15" x14ac:dyDescent="0.7">
      <c r="A32" s="133">
        <v>29</v>
      </c>
      <c r="B32" s="106" t="s">
        <v>13</v>
      </c>
      <c r="C32" s="107"/>
      <c r="D32" s="107" t="s">
        <v>332</v>
      </c>
      <c r="E32" s="107" t="s">
        <v>6</v>
      </c>
      <c r="F32" s="108" t="s">
        <v>335</v>
      </c>
      <c r="G32" s="107"/>
      <c r="H32" s="108" t="s">
        <v>277</v>
      </c>
      <c r="I32" s="108" t="s">
        <v>278</v>
      </c>
      <c r="J32" s="109" t="s">
        <v>18</v>
      </c>
      <c r="K32" s="96">
        <f>IF($J32="","",_xlfn.XLOOKUP($J32,DATA!$S:$S,DATA!$T:$T,"",0,1))</f>
        <v>1</v>
      </c>
      <c r="L32" s="110"/>
      <c r="M32" s="146"/>
      <c r="N32" s="157"/>
      <c r="O32" s="111"/>
    </row>
    <row r="33" spans="1:15" x14ac:dyDescent="0.7">
      <c r="A33" s="133">
        <v>30</v>
      </c>
      <c r="B33" s="106" t="s">
        <v>13</v>
      </c>
      <c r="C33" s="107" t="s">
        <v>334</v>
      </c>
      <c r="D33" s="107" t="s">
        <v>332</v>
      </c>
      <c r="E33" s="107" t="s">
        <v>6</v>
      </c>
      <c r="F33" s="108" t="s">
        <v>336</v>
      </c>
      <c r="G33" s="107"/>
      <c r="H33" s="108" t="s">
        <v>326</v>
      </c>
      <c r="I33" s="108" t="s">
        <v>291</v>
      </c>
      <c r="J33" s="109" t="s">
        <v>18</v>
      </c>
      <c r="K33" s="96">
        <f>IF($J33="","",_xlfn.XLOOKUP($J33,DATA!$S:$S,DATA!$T:$T,"",0,1))</f>
        <v>1</v>
      </c>
      <c r="L33" s="110"/>
      <c r="M33" s="146"/>
      <c r="N33" s="157"/>
      <c r="O33" s="111"/>
    </row>
    <row r="34" spans="1:15" x14ac:dyDescent="0.7">
      <c r="A34" s="133">
        <v>31</v>
      </c>
      <c r="B34" s="106" t="s">
        <v>13</v>
      </c>
      <c r="C34" s="107"/>
      <c r="D34" s="107" t="s">
        <v>332</v>
      </c>
      <c r="E34" s="107" t="s">
        <v>6</v>
      </c>
      <c r="F34" s="108" t="s">
        <v>337</v>
      </c>
      <c r="G34" s="107"/>
      <c r="H34" s="108" t="s">
        <v>323</v>
      </c>
      <c r="I34" s="108" t="s">
        <v>311</v>
      </c>
      <c r="J34" s="109" t="s">
        <v>18</v>
      </c>
      <c r="K34" s="96">
        <f>IF($J34="","",_xlfn.XLOOKUP($J34,DATA!$S:$S,DATA!$T:$T,"",0,1))</f>
        <v>1</v>
      </c>
      <c r="L34" s="110"/>
      <c r="M34" s="146"/>
      <c r="N34" s="157"/>
      <c r="O34" s="111"/>
    </row>
    <row r="35" spans="1:15" x14ac:dyDescent="0.7">
      <c r="A35" s="133">
        <v>32</v>
      </c>
      <c r="B35" s="106" t="s">
        <v>50</v>
      </c>
      <c r="C35" s="107"/>
      <c r="D35" s="107" t="s">
        <v>49</v>
      </c>
      <c r="E35" s="107" t="s">
        <v>6</v>
      </c>
      <c r="F35" s="108" t="s">
        <v>338</v>
      </c>
      <c r="G35" s="107"/>
      <c r="H35" s="108" t="s">
        <v>323</v>
      </c>
      <c r="I35" s="108" t="s">
        <v>324</v>
      </c>
      <c r="J35" s="109" t="s">
        <v>18</v>
      </c>
      <c r="K35" s="96">
        <f>IF($J35="","",_xlfn.XLOOKUP($J35,DATA!$S:$S,DATA!$T:$T,"",0,1))</f>
        <v>1</v>
      </c>
      <c r="L35" s="110"/>
      <c r="M35" s="146"/>
      <c r="N35" s="157"/>
      <c r="O35" s="111"/>
    </row>
    <row r="36" spans="1:15" x14ac:dyDescent="0.7">
      <c r="A36" s="133">
        <v>33</v>
      </c>
      <c r="B36" s="106" t="s">
        <v>87</v>
      </c>
      <c r="C36" s="107" t="s">
        <v>308</v>
      </c>
      <c r="D36" s="107" t="s">
        <v>41</v>
      </c>
      <c r="E36" s="107"/>
      <c r="F36" s="108" t="s">
        <v>339</v>
      </c>
      <c r="G36" s="107"/>
      <c r="H36" s="108" t="s">
        <v>311</v>
      </c>
      <c r="I36" s="108" t="s">
        <v>291</v>
      </c>
      <c r="J36" s="109" t="s">
        <v>18</v>
      </c>
      <c r="K36" s="96">
        <f>IF($J36="","",_xlfn.XLOOKUP($J36,DATA!$S:$S,DATA!$T:$T,"",0,1))</f>
        <v>1</v>
      </c>
      <c r="L36" s="110"/>
      <c r="M36" s="146"/>
      <c r="N36" s="157"/>
      <c r="O36" s="111"/>
    </row>
    <row r="37" spans="1:15" x14ac:dyDescent="0.7">
      <c r="A37" s="133">
        <v>34</v>
      </c>
      <c r="B37" s="106" t="s">
        <v>85</v>
      </c>
      <c r="C37" s="107" t="s">
        <v>312</v>
      </c>
      <c r="D37" s="107" t="s">
        <v>41</v>
      </c>
      <c r="E37" s="107"/>
      <c r="F37" s="108" t="s">
        <v>339</v>
      </c>
      <c r="G37" s="107"/>
      <c r="H37" s="108" t="s">
        <v>311</v>
      </c>
      <c r="I37" s="108" t="s">
        <v>291</v>
      </c>
      <c r="J37" s="109" t="s">
        <v>18</v>
      </c>
      <c r="K37" s="96">
        <f>IF($J37="","",_xlfn.XLOOKUP($J37,DATA!$S:$S,DATA!$T:$T,"",0,1))</f>
        <v>1</v>
      </c>
      <c r="L37" s="110"/>
      <c r="M37" s="146"/>
      <c r="N37" s="157"/>
      <c r="O37" s="111"/>
    </row>
    <row r="38" spans="1:15" x14ac:dyDescent="0.7">
      <c r="A38" s="133">
        <v>35</v>
      </c>
      <c r="B38" s="106" t="s">
        <v>86</v>
      </c>
      <c r="C38" s="107" t="s">
        <v>340</v>
      </c>
      <c r="D38" s="107" t="s">
        <v>41</v>
      </c>
      <c r="E38" s="107" t="s">
        <v>6</v>
      </c>
      <c r="F38" s="108" t="s">
        <v>339</v>
      </c>
      <c r="G38" s="107"/>
      <c r="H38" s="108" t="s">
        <v>311</v>
      </c>
      <c r="I38" s="108" t="s">
        <v>291</v>
      </c>
      <c r="J38" s="109" t="s">
        <v>18</v>
      </c>
      <c r="K38" s="96">
        <f>IF($J38="","",_xlfn.XLOOKUP($J38,DATA!$S:$S,DATA!$T:$T,"",0,1))</f>
        <v>1</v>
      </c>
      <c r="L38" s="110"/>
      <c r="M38" s="146"/>
      <c r="N38" s="157"/>
      <c r="O38" s="111"/>
    </row>
    <row r="39" spans="1:15" x14ac:dyDescent="0.7">
      <c r="A39" s="133">
        <v>36</v>
      </c>
      <c r="B39" s="106" t="s">
        <v>89</v>
      </c>
      <c r="C39" s="107" t="s">
        <v>341</v>
      </c>
      <c r="D39" s="107" t="s">
        <v>41</v>
      </c>
      <c r="E39" s="107"/>
      <c r="F39" s="108" t="s">
        <v>339</v>
      </c>
      <c r="G39" s="107"/>
      <c r="H39" s="108" t="s">
        <v>311</v>
      </c>
      <c r="I39" s="108" t="s">
        <v>291</v>
      </c>
      <c r="J39" s="109" t="s">
        <v>18</v>
      </c>
      <c r="K39" s="96">
        <f>IF($J39="","",_xlfn.XLOOKUP($J39,DATA!$S:$S,DATA!$T:$T,"",0,1))</f>
        <v>1</v>
      </c>
      <c r="L39" s="110"/>
      <c r="M39" s="146"/>
      <c r="N39" s="157"/>
      <c r="O39" s="111"/>
    </row>
    <row r="40" spans="1:15" x14ac:dyDescent="0.7">
      <c r="A40" s="133">
        <v>37</v>
      </c>
      <c r="B40" s="106" t="s">
        <v>88</v>
      </c>
      <c r="C40" s="107" t="s">
        <v>342</v>
      </c>
      <c r="D40" s="107" t="s">
        <v>41</v>
      </c>
      <c r="E40" s="107"/>
      <c r="F40" s="108" t="s">
        <v>339</v>
      </c>
      <c r="G40" s="107"/>
      <c r="H40" s="108" t="s">
        <v>311</v>
      </c>
      <c r="I40" s="108" t="s">
        <v>291</v>
      </c>
      <c r="J40" s="109" t="s">
        <v>18</v>
      </c>
      <c r="K40" s="96">
        <f>IF($J40="","",_xlfn.XLOOKUP($J40,DATA!$S:$S,DATA!$T:$T,"",0,1))</f>
        <v>1</v>
      </c>
      <c r="L40" s="110"/>
      <c r="M40" s="146"/>
      <c r="N40" s="157"/>
      <c r="O40" s="111"/>
    </row>
    <row r="41" spans="1:15" x14ac:dyDescent="0.7">
      <c r="A41" s="133">
        <v>38</v>
      </c>
      <c r="B41" s="106" t="s">
        <v>252</v>
      </c>
      <c r="C41" s="107" t="s">
        <v>343</v>
      </c>
      <c r="D41" s="107" t="s">
        <v>41</v>
      </c>
      <c r="E41" s="107"/>
      <c r="F41" s="108" t="s">
        <v>339</v>
      </c>
      <c r="G41" s="107"/>
      <c r="H41" s="108" t="s">
        <v>311</v>
      </c>
      <c r="I41" s="108" t="s">
        <v>291</v>
      </c>
      <c r="J41" s="109" t="s">
        <v>18</v>
      </c>
      <c r="K41" s="96">
        <f>IF($J41="","",_xlfn.XLOOKUP($J41,DATA!$S:$S,DATA!$T:$T,"",0,1))</f>
        <v>1</v>
      </c>
      <c r="L41" s="110"/>
      <c r="M41" s="146"/>
      <c r="N41" s="157"/>
      <c r="O41" s="111"/>
    </row>
    <row r="42" spans="1:15" x14ac:dyDescent="0.7">
      <c r="A42" s="133">
        <v>39</v>
      </c>
      <c r="B42" s="106"/>
      <c r="C42" s="107"/>
      <c r="D42" s="107"/>
      <c r="E42" s="107"/>
      <c r="F42" s="108"/>
      <c r="G42" s="107"/>
      <c r="H42" s="108"/>
      <c r="I42" s="108"/>
      <c r="J42" s="109"/>
      <c r="K42" s="96" t="str">
        <f>IF($J42="","",_xlfn.XLOOKUP($J42,DATA!$S:$S,DATA!$T:$T,"",0,1))</f>
        <v/>
      </c>
      <c r="L42" s="110"/>
      <c r="M42" s="146"/>
      <c r="N42" s="157"/>
      <c r="O42" s="111"/>
    </row>
    <row r="43" spans="1:15" x14ac:dyDescent="0.7">
      <c r="A43" s="133">
        <v>40</v>
      </c>
      <c r="B43" s="106"/>
      <c r="C43" s="107"/>
      <c r="D43" s="107"/>
      <c r="E43" s="107"/>
      <c r="F43" s="108"/>
      <c r="G43" s="107"/>
      <c r="H43" s="108"/>
      <c r="I43" s="108"/>
      <c r="J43" s="109"/>
      <c r="K43" s="96" t="str">
        <f>IF($J43="","",_xlfn.XLOOKUP($J43,DATA!$S:$S,DATA!$T:$T,"",0,1))</f>
        <v/>
      </c>
      <c r="L43" s="110"/>
      <c r="M43" s="146"/>
      <c r="N43" s="157"/>
      <c r="O43" s="111"/>
    </row>
    <row r="44" spans="1:15" x14ac:dyDescent="0.7">
      <c r="A44" s="133">
        <v>41</v>
      </c>
      <c r="B44" s="106"/>
      <c r="C44" s="107"/>
      <c r="D44" s="107"/>
      <c r="E44" s="107"/>
      <c r="F44" s="108"/>
      <c r="G44" s="107"/>
      <c r="H44" s="108"/>
      <c r="I44" s="108"/>
      <c r="J44" s="109"/>
      <c r="K44" s="96" t="str">
        <f>IF($J44="","",_xlfn.XLOOKUP($J44,DATA!$S:$S,DATA!$T:$T,"",0,1))</f>
        <v/>
      </c>
      <c r="L44" s="110"/>
      <c r="M44" s="146"/>
      <c r="N44" s="157"/>
      <c r="O44" s="111"/>
    </row>
    <row r="45" spans="1:15" x14ac:dyDescent="0.7">
      <c r="A45" s="133">
        <v>42</v>
      </c>
      <c r="B45" s="106"/>
      <c r="C45" s="107"/>
      <c r="D45" s="107"/>
      <c r="E45" s="107"/>
      <c r="F45" s="108"/>
      <c r="G45" s="107"/>
      <c r="H45" s="108"/>
      <c r="I45" s="108"/>
      <c r="J45" s="109"/>
      <c r="K45" s="96" t="str">
        <f>IF($J45="","",_xlfn.XLOOKUP($J45,DATA!$S:$S,DATA!$T:$T,"",0,1))</f>
        <v/>
      </c>
      <c r="L45" s="110"/>
      <c r="M45" s="146"/>
      <c r="N45" s="157"/>
      <c r="O45" s="111"/>
    </row>
    <row r="46" spans="1:15" x14ac:dyDescent="0.7">
      <c r="A46" s="133">
        <v>43</v>
      </c>
      <c r="B46" s="106"/>
      <c r="C46" s="107"/>
      <c r="D46" s="107"/>
      <c r="E46" s="107"/>
      <c r="F46" s="108"/>
      <c r="G46" s="107"/>
      <c r="H46" s="108"/>
      <c r="I46" s="108"/>
      <c r="J46" s="109"/>
      <c r="K46" s="96" t="str">
        <f>IF($J46="","",_xlfn.XLOOKUP($J46,DATA!$S:$S,DATA!$T:$T,"",0,1))</f>
        <v/>
      </c>
      <c r="L46" s="110"/>
      <c r="M46" s="146"/>
      <c r="N46" s="157"/>
      <c r="O46" s="111"/>
    </row>
    <row r="47" spans="1:15" x14ac:dyDescent="0.7">
      <c r="A47" s="133">
        <v>44</v>
      </c>
      <c r="B47" s="106"/>
      <c r="C47" s="107"/>
      <c r="D47" s="107"/>
      <c r="E47" s="107"/>
      <c r="F47" s="108"/>
      <c r="G47" s="107"/>
      <c r="H47" s="108"/>
      <c r="I47" s="108"/>
      <c r="J47" s="109"/>
      <c r="K47" s="96" t="str">
        <f>IF($J47="","",_xlfn.XLOOKUP($J47,DATA!$S:$S,DATA!$T:$T,"",0,1))</f>
        <v/>
      </c>
      <c r="L47" s="110"/>
      <c r="M47" s="146"/>
      <c r="N47" s="157"/>
      <c r="O47" s="111"/>
    </row>
    <row r="48" spans="1:15" x14ac:dyDescent="0.7">
      <c r="A48" s="133">
        <v>45</v>
      </c>
      <c r="B48" s="106"/>
      <c r="C48" s="107"/>
      <c r="D48" s="107"/>
      <c r="E48" s="107"/>
      <c r="F48" s="108"/>
      <c r="G48" s="107"/>
      <c r="H48" s="108"/>
      <c r="I48" s="108"/>
      <c r="J48" s="109"/>
      <c r="K48" s="96" t="str">
        <f>IF($J48="","",_xlfn.XLOOKUP($J48,DATA!$S:$S,DATA!$T:$T,"",0,1))</f>
        <v/>
      </c>
      <c r="L48" s="110"/>
      <c r="M48" s="146"/>
      <c r="N48" s="157"/>
      <c r="O48" s="111"/>
    </row>
    <row r="49" spans="1:15" x14ac:dyDescent="0.7">
      <c r="A49" s="133">
        <v>46</v>
      </c>
      <c r="B49" s="106"/>
      <c r="C49" s="107"/>
      <c r="D49" s="107"/>
      <c r="E49" s="107"/>
      <c r="F49" s="108"/>
      <c r="G49" s="107"/>
      <c r="H49" s="108"/>
      <c r="I49" s="108"/>
      <c r="J49" s="109"/>
      <c r="K49" s="96" t="str">
        <f>IF($J49="","",_xlfn.XLOOKUP($J49,DATA!$S:$S,DATA!$T:$T,"",0,1))</f>
        <v/>
      </c>
      <c r="L49" s="110"/>
      <c r="M49" s="146"/>
      <c r="N49" s="157"/>
      <c r="O49" s="111"/>
    </row>
    <row r="50" spans="1:15" x14ac:dyDescent="0.7">
      <c r="A50" s="133">
        <v>47</v>
      </c>
      <c r="B50" s="106"/>
      <c r="C50" s="107"/>
      <c r="D50" s="107"/>
      <c r="E50" s="107"/>
      <c r="F50" s="108"/>
      <c r="G50" s="107"/>
      <c r="H50" s="108"/>
      <c r="I50" s="108"/>
      <c r="J50" s="109"/>
      <c r="K50" s="96" t="str">
        <f>IF($J50="","",_xlfn.XLOOKUP($J50,DATA!$S:$S,DATA!$T:$T,"",0,1))</f>
        <v/>
      </c>
      <c r="L50" s="110"/>
      <c r="M50" s="146"/>
      <c r="N50" s="157"/>
      <c r="O50" s="111"/>
    </row>
    <row r="51" spans="1:15" x14ac:dyDescent="0.7">
      <c r="A51" s="133">
        <v>48</v>
      </c>
      <c r="B51" s="106"/>
      <c r="C51" s="107"/>
      <c r="D51" s="107"/>
      <c r="E51" s="107"/>
      <c r="F51" s="108"/>
      <c r="G51" s="107"/>
      <c r="H51" s="108"/>
      <c r="I51" s="108"/>
      <c r="J51" s="109"/>
      <c r="K51" s="96" t="str">
        <f>IF($J51="","",_xlfn.XLOOKUP($J51,DATA!$S:$S,DATA!$T:$T,"",0,1))</f>
        <v/>
      </c>
      <c r="L51" s="110"/>
      <c r="M51" s="146"/>
      <c r="N51" s="157"/>
      <c r="O51" s="111"/>
    </row>
    <row r="52" spans="1:15" x14ac:dyDescent="0.7">
      <c r="A52" s="133">
        <v>49</v>
      </c>
      <c r="B52" s="106"/>
      <c r="C52" s="107"/>
      <c r="D52" s="107"/>
      <c r="E52" s="107"/>
      <c r="F52" s="108"/>
      <c r="G52" s="107"/>
      <c r="H52" s="108"/>
      <c r="I52" s="108"/>
      <c r="J52" s="109"/>
      <c r="K52" s="96" t="str">
        <f>IF($J52="","",_xlfn.XLOOKUP($J52,DATA!$S:$S,DATA!$T:$T,"",0,1))</f>
        <v/>
      </c>
      <c r="L52" s="110"/>
      <c r="M52" s="146"/>
      <c r="N52" s="157"/>
      <c r="O52" s="111"/>
    </row>
    <row r="53" spans="1:15" x14ac:dyDescent="0.7">
      <c r="A53" s="133">
        <v>50</v>
      </c>
      <c r="B53" s="106"/>
      <c r="C53" s="107"/>
      <c r="D53" s="107"/>
      <c r="E53" s="107"/>
      <c r="F53" s="108"/>
      <c r="G53" s="107"/>
      <c r="H53" s="108"/>
      <c r="I53" s="108"/>
      <c r="J53" s="109"/>
      <c r="K53" s="96" t="str">
        <f>IF($J53="","",_xlfn.XLOOKUP($J53,DATA!$S:$S,DATA!$T:$T,"",0,1))</f>
        <v/>
      </c>
      <c r="L53" s="110"/>
      <c r="M53" s="146"/>
      <c r="N53" s="157"/>
      <c r="O53" s="111"/>
    </row>
    <row r="54" spans="1:15" x14ac:dyDescent="0.7">
      <c r="A54" s="133">
        <v>51</v>
      </c>
      <c r="B54" s="106"/>
      <c r="C54" s="107"/>
      <c r="D54" s="107"/>
      <c r="E54" s="107"/>
      <c r="F54" s="108"/>
      <c r="G54" s="107"/>
      <c r="H54" s="108"/>
      <c r="I54" s="108"/>
      <c r="J54" s="109"/>
      <c r="K54" s="96" t="str">
        <f>IF($J54="","",_xlfn.XLOOKUP($J54,DATA!$S:$S,DATA!$T:$T,"",0,1))</f>
        <v/>
      </c>
      <c r="L54" s="110"/>
      <c r="M54" s="146"/>
      <c r="N54" s="157"/>
      <c r="O54" s="111"/>
    </row>
    <row r="55" spans="1:15" x14ac:dyDescent="0.7">
      <c r="A55" s="133">
        <v>52</v>
      </c>
      <c r="B55" s="106"/>
      <c r="C55" s="107"/>
      <c r="D55" s="107"/>
      <c r="E55" s="107"/>
      <c r="F55" s="108"/>
      <c r="G55" s="107"/>
      <c r="H55" s="108"/>
      <c r="I55" s="108"/>
      <c r="J55" s="109"/>
      <c r="K55" s="96" t="str">
        <f>IF($J55="","",_xlfn.XLOOKUP($J55,DATA!$S:$S,DATA!$T:$T,"",0,1))</f>
        <v/>
      </c>
      <c r="L55" s="110"/>
      <c r="M55" s="146"/>
      <c r="N55" s="157"/>
      <c r="O55" s="111"/>
    </row>
    <row r="56" spans="1:15" x14ac:dyDescent="0.7">
      <c r="A56" s="133">
        <v>53</v>
      </c>
      <c r="B56" s="106"/>
      <c r="C56" s="107"/>
      <c r="D56" s="107"/>
      <c r="E56" s="107"/>
      <c r="F56" s="108"/>
      <c r="G56" s="107"/>
      <c r="H56" s="108"/>
      <c r="I56" s="108"/>
      <c r="J56" s="109"/>
      <c r="K56" s="96" t="str">
        <f>IF($J56="","",_xlfn.XLOOKUP($J56,DATA!$S:$S,DATA!$T:$T,"",0,1))</f>
        <v/>
      </c>
      <c r="L56" s="110"/>
      <c r="M56" s="146"/>
      <c r="N56" s="157"/>
      <c r="O56" s="111"/>
    </row>
    <row r="57" spans="1:15" x14ac:dyDescent="0.7">
      <c r="A57" s="133">
        <v>54</v>
      </c>
      <c r="B57" s="106"/>
      <c r="C57" s="107"/>
      <c r="D57" s="107"/>
      <c r="E57" s="107"/>
      <c r="F57" s="108"/>
      <c r="G57" s="107"/>
      <c r="H57" s="108"/>
      <c r="I57" s="108"/>
      <c r="J57" s="109"/>
      <c r="K57" s="96" t="str">
        <f>IF($J57="","",_xlfn.XLOOKUP($J57,DATA!$S:$S,DATA!$T:$T,"",0,1))</f>
        <v/>
      </c>
      <c r="L57" s="110"/>
      <c r="M57" s="146"/>
      <c r="N57" s="157"/>
      <c r="O57" s="111"/>
    </row>
    <row r="58" spans="1:15" x14ac:dyDescent="0.7">
      <c r="A58" s="133">
        <v>55</v>
      </c>
      <c r="B58" s="106"/>
      <c r="C58" s="107"/>
      <c r="D58" s="107"/>
      <c r="E58" s="107"/>
      <c r="F58" s="108"/>
      <c r="G58" s="107"/>
      <c r="H58" s="108"/>
      <c r="I58" s="108"/>
      <c r="J58" s="109"/>
      <c r="K58" s="96" t="str">
        <f>IF($J58="","",_xlfn.XLOOKUP($J58,DATA!$S:$S,DATA!$T:$T,"",0,1))</f>
        <v/>
      </c>
      <c r="L58" s="110"/>
      <c r="M58" s="146"/>
      <c r="N58" s="157"/>
      <c r="O58" s="111"/>
    </row>
    <row r="59" spans="1:15" x14ac:dyDescent="0.7">
      <c r="A59" s="133">
        <v>56</v>
      </c>
      <c r="B59" s="106"/>
      <c r="C59" s="107"/>
      <c r="D59" s="107"/>
      <c r="E59" s="107"/>
      <c r="F59" s="108"/>
      <c r="G59" s="107"/>
      <c r="H59" s="108"/>
      <c r="I59" s="108"/>
      <c r="J59" s="109"/>
      <c r="K59" s="96" t="str">
        <f>IF($J59="","",_xlfn.XLOOKUP($J59,DATA!$S:$S,DATA!$T:$T,"",0,1))</f>
        <v/>
      </c>
      <c r="L59" s="110"/>
      <c r="M59" s="146"/>
      <c r="N59" s="157"/>
      <c r="O59" s="111"/>
    </row>
    <row r="60" spans="1:15" x14ac:dyDescent="0.7">
      <c r="A60" s="133">
        <v>57</v>
      </c>
      <c r="B60" s="106"/>
      <c r="C60" s="107"/>
      <c r="D60" s="107"/>
      <c r="E60" s="107"/>
      <c r="F60" s="108"/>
      <c r="G60" s="107"/>
      <c r="H60" s="108"/>
      <c r="I60" s="108"/>
      <c r="J60" s="109"/>
      <c r="K60" s="96" t="str">
        <f>IF($J60="","",_xlfn.XLOOKUP($J60,DATA!$S:$S,DATA!$T:$T,"",0,1))</f>
        <v/>
      </c>
      <c r="L60" s="110"/>
      <c r="M60" s="146"/>
      <c r="N60" s="157"/>
      <c r="O60" s="111"/>
    </row>
    <row r="61" spans="1:15" x14ac:dyDescent="0.7">
      <c r="A61" s="133">
        <v>58</v>
      </c>
      <c r="B61" s="106"/>
      <c r="C61" s="107"/>
      <c r="D61" s="107"/>
      <c r="E61" s="107"/>
      <c r="F61" s="108"/>
      <c r="G61" s="107"/>
      <c r="H61" s="108"/>
      <c r="I61" s="108"/>
      <c r="J61" s="109"/>
      <c r="K61" s="96" t="str">
        <f>IF($J61="","",_xlfn.XLOOKUP($J61,DATA!$S:$S,DATA!$T:$T,"",0,1))</f>
        <v/>
      </c>
      <c r="L61" s="110"/>
      <c r="M61" s="146"/>
      <c r="N61" s="157"/>
      <c r="O61" s="111"/>
    </row>
    <row r="62" spans="1:15" x14ac:dyDescent="0.7">
      <c r="A62" s="133">
        <v>59</v>
      </c>
      <c r="B62" s="106"/>
      <c r="C62" s="107"/>
      <c r="D62" s="107"/>
      <c r="E62" s="107"/>
      <c r="F62" s="108"/>
      <c r="G62" s="107"/>
      <c r="H62" s="108"/>
      <c r="I62" s="108"/>
      <c r="J62" s="109"/>
      <c r="K62" s="96" t="str">
        <f>IF($J62="","",_xlfn.XLOOKUP($J62,DATA!$S:$S,DATA!$T:$T,"",0,1))</f>
        <v/>
      </c>
      <c r="L62" s="110"/>
      <c r="M62" s="146"/>
      <c r="N62" s="157"/>
      <c r="O62" s="111"/>
    </row>
    <row r="63" spans="1:15" x14ac:dyDescent="0.7">
      <c r="A63" s="133">
        <v>60</v>
      </c>
      <c r="B63" s="106"/>
      <c r="C63" s="107"/>
      <c r="D63" s="107"/>
      <c r="E63" s="107"/>
      <c r="F63" s="108"/>
      <c r="G63" s="107"/>
      <c r="H63" s="108"/>
      <c r="I63" s="108"/>
      <c r="J63" s="109"/>
      <c r="K63" s="96" t="str">
        <f>IF($J63="","",_xlfn.XLOOKUP($J63,DATA!$S:$S,DATA!$T:$T,"",0,1))</f>
        <v/>
      </c>
      <c r="L63" s="110"/>
      <c r="M63" s="146"/>
      <c r="N63" s="157"/>
      <c r="O63" s="111"/>
    </row>
    <row r="64" spans="1:15" x14ac:dyDescent="0.7">
      <c r="A64" s="133">
        <v>61</v>
      </c>
      <c r="B64" s="106"/>
      <c r="C64" s="107"/>
      <c r="D64" s="107"/>
      <c r="E64" s="107"/>
      <c r="F64" s="108"/>
      <c r="G64" s="107"/>
      <c r="H64" s="108"/>
      <c r="I64" s="108"/>
      <c r="J64" s="109"/>
      <c r="K64" s="96" t="str">
        <f>IF($J64="","",_xlfn.XLOOKUP($J64,DATA!$S:$S,DATA!$T:$T,"",0,1))</f>
        <v/>
      </c>
      <c r="L64" s="110"/>
      <c r="M64" s="146"/>
      <c r="N64" s="157"/>
      <c r="O64" s="111"/>
    </row>
    <row r="65" spans="1:15" x14ac:dyDescent="0.7">
      <c r="A65" s="133">
        <v>62</v>
      </c>
      <c r="B65" s="106"/>
      <c r="C65" s="107"/>
      <c r="D65" s="107"/>
      <c r="E65" s="107"/>
      <c r="F65" s="108"/>
      <c r="G65" s="107"/>
      <c r="H65" s="108"/>
      <c r="I65" s="108"/>
      <c r="J65" s="109"/>
      <c r="K65" s="96" t="str">
        <f>IF($J65="","",_xlfn.XLOOKUP($J65,DATA!$S:$S,DATA!$T:$T,"",0,1))</f>
        <v/>
      </c>
      <c r="L65" s="110"/>
      <c r="M65" s="146"/>
      <c r="N65" s="157"/>
      <c r="O65" s="111"/>
    </row>
    <row r="66" spans="1:15" x14ac:dyDescent="0.7">
      <c r="A66" s="133">
        <v>63</v>
      </c>
      <c r="B66" s="106"/>
      <c r="C66" s="107"/>
      <c r="D66" s="107"/>
      <c r="E66" s="107"/>
      <c r="F66" s="108"/>
      <c r="G66" s="107"/>
      <c r="H66" s="108"/>
      <c r="I66" s="108"/>
      <c r="J66" s="109"/>
      <c r="K66" s="96" t="str">
        <f>IF($J66="","",_xlfn.XLOOKUP($J66,DATA!$S:$S,DATA!$T:$T,"",0,1))</f>
        <v/>
      </c>
      <c r="L66" s="110"/>
      <c r="M66" s="146"/>
      <c r="N66" s="157"/>
      <c r="O66" s="111"/>
    </row>
    <row r="67" spans="1:15" x14ac:dyDescent="0.7">
      <c r="A67" s="133">
        <v>64</v>
      </c>
      <c r="B67" s="106"/>
      <c r="C67" s="107"/>
      <c r="D67" s="107"/>
      <c r="E67" s="107"/>
      <c r="F67" s="108"/>
      <c r="G67" s="107"/>
      <c r="H67" s="108"/>
      <c r="I67" s="108"/>
      <c r="J67" s="109"/>
      <c r="K67" s="96" t="str">
        <f>IF($J67="","",_xlfn.XLOOKUP($J67,DATA!$S:$S,DATA!$T:$T,"",0,1))</f>
        <v/>
      </c>
      <c r="L67" s="110"/>
      <c r="M67" s="146"/>
      <c r="N67" s="157"/>
      <c r="O67" s="111"/>
    </row>
    <row r="68" spans="1:15" x14ac:dyDescent="0.7">
      <c r="A68" s="133">
        <v>65</v>
      </c>
      <c r="B68" s="106"/>
      <c r="C68" s="107"/>
      <c r="D68" s="107"/>
      <c r="E68" s="107"/>
      <c r="F68" s="108"/>
      <c r="G68" s="107"/>
      <c r="H68" s="108"/>
      <c r="I68" s="108"/>
      <c r="J68" s="109"/>
      <c r="K68" s="96" t="str">
        <f>IF($J68="","",_xlfn.XLOOKUP($J68,DATA!$S:$S,DATA!$T:$T,"",0,1))</f>
        <v/>
      </c>
      <c r="L68" s="110"/>
      <c r="M68" s="146"/>
      <c r="N68" s="157"/>
      <c r="O68" s="111"/>
    </row>
    <row r="69" spans="1:15" x14ac:dyDescent="0.7">
      <c r="A69" s="133">
        <v>66</v>
      </c>
      <c r="B69" s="106"/>
      <c r="C69" s="107"/>
      <c r="D69" s="107"/>
      <c r="E69" s="107"/>
      <c r="F69" s="108"/>
      <c r="G69" s="107"/>
      <c r="H69" s="108"/>
      <c r="I69" s="108"/>
      <c r="J69" s="109"/>
      <c r="K69" s="96" t="str">
        <f>IF($J69="","",_xlfn.XLOOKUP($J69,DATA!$S:$S,DATA!$T:$T,"",0,1))</f>
        <v/>
      </c>
      <c r="L69" s="110"/>
      <c r="M69" s="146"/>
      <c r="N69" s="157"/>
      <c r="O69" s="111"/>
    </row>
    <row r="70" spans="1:15" x14ac:dyDescent="0.7">
      <c r="A70" s="133">
        <v>67</v>
      </c>
      <c r="B70" s="106"/>
      <c r="C70" s="107"/>
      <c r="D70" s="107"/>
      <c r="E70" s="107"/>
      <c r="F70" s="108"/>
      <c r="G70" s="107"/>
      <c r="H70" s="108"/>
      <c r="I70" s="108"/>
      <c r="J70" s="109"/>
      <c r="K70" s="96" t="str">
        <f>IF($J70="","",_xlfn.XLOOKUP($J70,DATA!$S:$S,DATA!$T:$T,"",0,1))</f>
        <v/>
      </c>
      <c r="L70" s="110"/>
      <c r="M70" s="146"/>
      <c r="N70" s="157"/>
      <c r="O70" s="111"/>
    </row>
    <row r="71" spans="1:15" x14ac:dyDescent="0.7">
      <c r="A71" s="133">
        <v>68</v>
      </c>
      <c r="B71" s="106"/>
      <c r="C71" s="107"/>
      <c r="D71" s="107"/>
      <c r="E71" s="107"/>
      <c r="F71" s="108"/>
      <c r="G71" s="107"/>
      <c r="H71" s="108"/>
      <c r="I71" s="108"/>
      <c r="J71" s="109"/>
      <c r="K71" s="96" t="str">
        <f>IF($J71="","",_xlfn.XLOOKUP($J71,DATA!$S:$S,DATA!$T:$T,"",0,1))</f>
        <v/>
      </c>
      <c r="L71" s="110"/>
      <c r="M71" s="146"/>
      <c r="N71" s="157"/>
      <c r="O71" s="111"/>
    </row>
    <row r="72" spans="1:15" x14ac:dyDescent="0.7">
      <c r="A72" s="133">
        <v>69</v>
      </c>
      <c r="B72" s="106"/>
      <c r="C72" s="107"/>
      <c r="D72" s="107"/>
      <c r="E72" s="107"/>
      <c r="F72" s="108"/>
      <c r="G72" s="107"/>
      <c r="H72" s="108"/>
      <c r="I72" s="108"/>
      <c r="J72" s="109"/>
      <c r="K72" s="96" t="str">
        <f>IF($J72="","",_xlfn.XLOOKUP($J72,DATA!$S:$S,DATA!$T:$T,"",0,1))</f>
        <v/>
      </c>
      <c r="L72" s="110"/>
      <c r="M72" s="146"/>
      <c r="N72" s="157"/>
      <c r="O72" s="111"/>
    </row>
    <row r="73" spans="1:15" x14ac:dyDescent="0.7">
      <c r="A73" s="133">
        <v>70</v>
      </c>
      <c r="B73" s="106"/>
      <c r="C73" s="107"/>
      <c r="D73" s="107"/>
      <c r="E73" s="107"/>
      <c r="F73" s="108"/>
      <c r="G73" s="107"/>
      <c r="H73" s="108"/>
      <c r="I73" s="108"/>
      <c r="J73" s="109"/>
      <c r="K73" s="96" t="str">
        <f>IF($J73="","",_xlfn.XLOOKUP($J73,DATA!$S:$S,DATA!$T:$T,"",0,1))</f>
        <v/>
      </c>
      <c r="L73" s="110"/>
      <c r="M73" s="146"/>
      <c r="N73" s="157"/>
      <c r="O73" s="111"/>
    </row>
    <row r="74" spans="1:15" x14ac:dyDescent="0.7">
      <c r="A74" s="133">
        <v>71</v>
      </c>
      <c r="B74" s="106"/>
      <c r="C74" s="107"/>
      <c r="D74" s="107"/>
      <c r="E74" s="107"/>
      <c r="F74" s="108"/>
      <c r="G74" s="107"/>
      <c r="H74" s="108"/>
      <c r="I74" s="108"/>
      <c r="J74" s="109"/>
      <c r="K74" s="96" t="str">
        <f>IF($J74="","",_xlfn.XLOOKUP($J74,DATA!$S:$S,DATA!$T:$T,"",0,1))</f>
        <v/>
      </c>
      <c r="L74" s="110"/>
      <c r="M74" s="146"/>
      <c r="N74" s="157"/>
      <c r="O74" s="111"/>
    </row>
    <row r="75" spans="1:15" x14ac:dyDescent="0.7">
      <c r="A75" s="133">
        <v>72</v>
      </c>
      <c r="B75" s="106"/>
      <c r="C75" s="107"/>
      <c r="D75" s="107"/>
      <c r="E75" s="107"/>
      <c r="F75" s="108"/>
      <c r="G75" s="107"/>
      <c r="H75" s="108"/>
      <c r="I75" s="108"/>
      <c r="J75" s="109"/>
      <c r="K75" s="96" t="str">
        <f>IF($J75="","",_xlfn.XLOOKUP($J75,DATA!$S:$S,DATA!$T:$T,"",0,1))</f>
        <v/>
      </c>
      <c r="L75" s="110"/>
      <c r="M75" s="146"/>
      <c r="N75" s="157"/>
      <c r="O75" s="111"/>
    </row>
    <row r="76" spans="1:15" x14ac:dyDescent="0.7">
      <c r="A76" s="133">
        <v>73</v>
      </c>
      <c r="B76" s="106"/>
      <c r="C76" s="107"/>
      <c r="D76" s="107"/>
      <c r="E76" s="107"/>
      <c r="F76" s="108"/>
      <c r="G76" s="107"/>
      <c r="H76" s="108"/>
      <c r="I76" s="108"/>
      <c r="J76" s="109"/>
      <c r="K76" s="96" t="str">
        <f>IF($J76="","",_xlfn.XLOOKUP($J76,DATA!$S:$S,DATA!$T:$T,"",0,1))</f>
        <v/>
      </c>
      <c r="L76" s="110"/>
      <c r="M76" s="146"/>
      <c r="N76" s="157"/>
      <c r="O76" s="111"/>
    </row>
    <row r="77" spans="1:15" x14ac:dyDescent="0.7">
      <c r="A77" s="133">
        <v>74</v>
      </c>
      <c r="B77" s="106"/>
      <c r="C77" s="107"/>
      <c r="D77" s="107"/>
      <c r="E77" s="107"/>
      <c r="F77" s="108"/>
      <c r="G77" s="107"/>
      <c r="H77" s="108"/>
      <c r="I77" s="108"/>
      <c r="J77" s="109"/>
      <c r="K77" s="96" t="str">
        <f>IF($J77="","",_xlfn.XLOOKUP($J77,DATA!$S:$S,DATA!$T:$T,"",0,1))</f>
        <v/>
      </c>
      <c r="L77" s="110"/>
      <c r="M77" s="146"/>
      <c r="N77" s="157"/>
      <c r="O77" s="111"/>
    </row>
    <row r="78" spans="1:15" x14ac:dyDescent="0.7">
      <c r="A78" s="133">
        <v>75</v>
      </c>
      <c r="B78" s="106"/>
      <c r="C78" s="107"/>
      <c r="D78" s="107"/>
      <c r="E78" s="107"/>
      <c r="F78" s="108"/>
      <c r="G78" s="107"/>
      <c r="H78" s="108"/>
      <c r="I78" s="108"/>
      <c r="J78" s="109"/>
      <c r="K78" s="96" t="str">
        <f>IF($J78="","",_xlfn.XLOOKUP($J78,DATA!$S:$S,DATA!$T:$T,"",0,1))</f>
        <v/>
      </c>
      <c r="L78" s="110"/>
      <c r="M78" s="146"/>
      <c r="N78" s="157"/>
      <c r="O78" s="111"/>
    </row>
    <row r="79" spans="1:15" x14ac:dyDescent="0.7">
      <c r="A79" s="133">
        <v>76</v>
      </c>
      <c r="B79" s="106"/>
      <c r="C79" s="107"/>
      <c r="D79" s="107"/>
      <c r="E79" s="107"/>
      <c r="F79" s="108"/>
      <c r="G79" s="107"/>
      <c r="H79" s="108"/>
      <c r="I79" s="108"/>
      <c r="J79" s="109"/>
      <c r="K79" s="96" t="str">
        <f>IF($J79="","",_xlfn.XLOOKUP($J79,DATA!$S:$S,DATA!$T:$T,"",0,1))</f>
        <v/>
      </c>
      <c r="L79" s="110"/>
      <c r="M79" s="146"/>
      <c r="N79" s="157"/>
      <c r="O79" s="111"/>
    </row>
    <row r="80" spans="1:15" x14ac:dyDescent="0.7">
      <c r="A80" s="133">
        <v>77</v>
      </c>
      <c r="B80" s="106"/>
      <c r="C80" s="107"/>
      <c r="D80" s="107"/>
      <c r="E80" s="107"/>
      <c r="F80" s="108"/>
      <c r="G80" s="107"/>
      <c r="H80" s="108"/>
      <c r="I80" s="108"/>
      <c r="J80" s="109"/>
      <c r="K80" s="96" t="str">
        <f>IF($J80="","",_xlfn.XLOOKUP($J80,DATA!$S:$S,DATA!$T:$T,"",0,1))</f>
        <v/>
      </c>
      <c r="L80" s="110"/>
      <c r="M80" s="146"/>
      <c r="N80" s="157"/>
      <c r="O80" s="111"/>
    </row>
    <row r="81" spans="1:15" x14ac:dyDescent="0.7">
      <c r="A81" s="133">
        <v>78</v>
      </c>
      <c r="B81" s="106"/>
      <c r="C81" s="107"/>
      <c r="D81" s="107"/>
      <c r="E81" s="107"/>
      <c r="F81" s="108"/>
      <c r="G81" s="107"/>
      <c r="H81" s="108"/>
      <c r="I81" s="108"/>
      <c r="J81" s="109"/>
      <c r="K81" s="96" t="str">
        <f>IF($J81="","",_xlfn.XLOOKUP($J81,DATA!$S:$S,DATA!$T:$T,"",0,1))</f>
        <v/>
      </c>
      <c r="L81" s="110"/>
      <c r="M81" s="146"/>
      <c r="N81" s="157"/>
      <c r="O81" s="111"/>
    </row>
    <row r="82" spans="1:15" x14ac:dyDescent="0.7">
      <c r="A82" s="133">
        <v>79</v>
      </c>
      <c r="B82" s="106"/>
      <c r="C82" s="107"/>
      <c r="D82" s="107"/>
      <c r="E82" s="107"/>
      <c r="F82" s="108"/>
      <c r="G82" s="107"/>
      <c r="H82" s="108"/>
      <c r="I82" s="108"/>
      <c r="J82" s="109"/>
      <c r="K82" s="96" t="str">
        <f>IF($J82="","",_xlfn.XLOOKUP($J82,DATA!$S:$S,DATA!$T:$T,"",0,1))</f>
        <v/>
      </c>
      <c r="L82" s="110"/>
      <c r="M82" s="146"/>
      <c r="N82" s="157"/>
      <c r="O82" s="111"/>
    </row>
    <row r="83" spans="1:15" x14ac:dyDescent="0.7">
      <c r="A83" s="133">
        <v>80</v>
      </c>
      <c r="B83" s="106"/>
      <c r="C83" s="107"/>
      <c r="D83" s="107"/>
      <c r="E83" s="107"/>
      <c r="F83" s="108"/>
      <c r="G83" s="107"/>
      <c r="H83" s="108"/>
      <c r="I83" s="108"/>
      <c r="J83" s="109"/>
      <c r="K83" s="96" t="str">
        <f>IF($J83="","",_xlfn.XLOOKUP($J83,DATA!$S:$S,DATA!$T:$T,"",0,1))</f>
        <v/>
      </c>
      <c r="L83" s="110"/>
      <c r="M83" s="146"/>
      <c r="N83" s="157"/>
      <c r="O83" s="111"/>
    </row>
    <row r="84" spans="1:15" x14ac:dyDescent="0.7">
      <c r="A84" s="133">
        <v>81</v>
      </c>
      <c r="B84" s="106"/>
      <c r="C84" s="107"/>
      <c r="D84" s="107"/>
      <c r="E84" s="107"/>
      <c r="F84" s="108"/>
      <c r="G84" s="107"/>
      <c r="H84" s="108"/>
      <c r="I84" s="108"/>
      <c r="J84" s="109"/>
      <c r="K84" s="96" t="str">
        <f>IF($J84="","",_xlfn.XLOOKUP($J84,DATA!$S:$S,DATA!$T:$T,"",0,1))</f>
        <v/>
      </c>
      <c r="L84" s="110"/>
      <c r="M84" s="146"/>
      <c r="N84" s="157"/>
      <c r="O84" s="111"/>
    </row>
    <row r="85" spans="1:15" x14ac:dyDescent="0.7">
      <c r="A85" s="133">
        <v>82</v>
      </c>
      <c r="B85" s="106"/>
      <c r="C85" s="107"/>
      <c r="D85" s="107"/>
      <c r="E85" s="107"/>
      <c r="F85" s="108"/>
      <c r="G85" s="107"/>
      <c r="H85" s="108"/>
      <c r="I85" s="108"/>
      <c r="J85" s="109"/>
      <c r="K85" s="96" t="str">
        <f>IF($J85="","",_xlfn.XLOOKUP($J85,DATA!$S:$S,DATA!$T:$T,"",0,1))</f>
        <v/>
      </c>
      <c r="L85" s="110"/>
      <c r="M85" s="146"/>
      <c r="N85" s="157"/>
      <c r="O85" s="111"/>
    </row>
    <row r="86" spans="1:15" x14ac:dyDescent="0.7">
      <c r="A86" s="133">
        <v>83</v>
      </c>
      <c r="B86" s="106"/>
      <c r="C86" s="107"/>
      <c r="D86" s="107"/>
      <c r="E86" s="107"/>
      <c r="F86" s="108"/>
      <c r="G86" s="107"/>
      <c r="H86" s="108"/>
      <c r="I86" s="108"/>
      <c r="J86" s="109"/>
      <c r="K86" s="96" t="str">
        <f>IF($J86="","",_xlfn.XLOOKUP($J86,DATA!$S:$S,DATA!$T:$T,"",0,1))</f>
        <v/>
      </c>
      <c r="L86" s="110"/>
      <c r="M86" s="146"/>
      <c r="N86" s="157"/>
      <c r="O86" s="111"/>
    </row>
    <row r="87" spans="1:15" x14ac:dyDescent="0.7">
      <c r="A87" s="133">
        <v>84</v>
      </c>
      <c r="B87" s="106"/>
      <c r="C87" s="107"/>
      <c r="D87" s="107"/>
      <c r="E87" s="107"/>
      <c r="F87" s="108"/>
      <c r="G87" s="107"/>
      <c r="H87" s="108"/>
      <c r="I87" s="108"/>
      <c r="J87" s="109"/>
      <c r="K87" s="96" t="str">
        <f>IF($J87="","",_xlfn.XLOOKUP($J87,DATA!$S:$S,DATA!$T:$T,"",0,1))</f>
        <v/>
      </c>
      <c r="L87" s="110"/>
      <c r="M87" s="146"/>
      <c r="N87" s="157"/>
      <c r="O87" s="111"/>
    </row>
    <row r="88" spans="1:15" x14ac:dyDescent="0.7">
      <c r="A88" s="133">
        <v>85</v>
      </c>
      <c r="B88" s="106"/>
      <c r="C88" s="107"/>
      <c r="D88" s="107"/>
      <c r="E88" s="107"/>
      <c r="F88" s="108"/>
      <c r="G88" s="107"/>
      <c r="H88" s="108"/>
      <c r="I88" s="108"/>
      <c r="J88" s="109"/>
      <c r="K88" s="96" t="str">
        <f>IF($J88="","",_xlfn.XLOOKUP($J88,DATA!$S:$S,DATA!$T:$T,"",0,1))</f>
        <v/>
      </c>
      <c r="L88" s="110"/>
      <c r="M88" s="146"/>
      <c r="N88" s="157"/>
      <c r="O88" s="111"/>
    </row>
    <row r="89" spans="1:15" x14ac:dyDescent="0.7">
      <c r="A89" s="133">
        <v>86</v>
      </c>
      <c r="B89" s="106"/>
      <c r="C89" s="107"/>
      <c r="D89" s="107"/>
      <c r="E89" s="107"/>
      <c r="F89" s="108"/>
      <c r="G89" s="107"/>
      <c r="H89" s="108"/>
      <c r="I89" s="108"/>
      <c r="J89" s="109"/>
      <c r="K89" s="96" t="str">
        <f>IF($J89="","",_xlfn.XLOOKUP($J89,DATA!$S:$S,DATA!$T:$T,"",0,1))</f>
        <v/>
      </c>
      <c r="L89" s="110"/>
      <c r="M89" s="146"/>
      <c r="N89" s="157"/>
      <c r="O89" s="111"/>
    </row>
    <row r="90" spans="1:15" x14ac:dyDescent="0.7">
      <c r="A90" s="133">
        <v>87</v>
      </c>
      <c r="B90" s="106"/>
      <c r="C90" s="107"/>
      <c r="D90" s="107"/>
      <c r="E90" s="107"/>
      <c r="F90" s="108"/>
      <c r="G90" s="107"/>
      <c r="H90" s="108"/>
      <c r="I90" s="108"/>
      <c r="J90" s="109"/>
      <c r="K90" s="96" t="str">
        <f>IF($J90="","",_xlfn.XLOOKUP($J90,DATA!$S:$S,DATA!$T:$T,"",0,1))</f>
        <v/>
      </c>
      <c r="L90" s="110"/>
      <c r="M90" s="146"/>
      <c r="N90" s="157"/>
      <c r="O90" s="111"/>
    </row>
    <row r="91" spans="1:15" x14ac:dyDescent="0.7">
      <c r="A91" s="133">
        <v>88</v>
      </c>
      <c r="B91" s="106"/>
      <c r="C91" s="107"/>
      <c r="D91" s="107"/>
      <c r="E91" s="107"/>
      <c r="F91" s="108"/>
      <c r="G91" s="107"/>
      <c r="H91" s="108"/>
      <c r="I91" s="108"/>
      <c r="J91" s="109"/>
      <c r="K91" s="96" t="str">
        <f>IF($J91="","",_xlfn.XLOOKUP($J91,DATA!$S:$S,DATA!$T:$T,"",0,1))</f>
        <v/>
      </c>
      <c r="L91" s="110"/>
      <c r="M91" s="146"/>
      <c r="N91" s="157"/>
      <c r="O91" s="111"/>
    </row>
    <row r="92" spans="1:15" x14ac:dyDescent="0.7">
      <c r="A92" s="133">
        <v>89</v>
      </c>
      <c r="B92" s="106"/>
      <c r="C92" s="107"/>
      <c r="D92" s="107"/>
      <c r="E92" s="107"/>
      <c r="F92" s="108"/>
      <c r="G92" s="107"/>
      <c r="H92" s="108"/>
      <c r="I92" s="108"/>
      <c r="J92" s="109"/>
      <c r="K92" s="96" t="str">
        <f>IF($J92="","",_xlfn.XLOOKUP($J92,DATA!$S:$S,DATA!$T:$T,"",0,1))</f>
        <v/>
      </c>
      <c r="L92" s="110"/>
      <c r="M92" s="146"/>
      <c r="N92" s="157"/>
      <c r="O92" s="111"/>
    </row>
    <row r="93" spans="1:15" x14ac:dyDescent="0.7">
      <c r="A93" s="133">
        <v>90</v>
      </c>
      <c r="B93" s="106"/>
      <c r="C93" s="107"/>
      <c r="D93" s="107"/>
      <c r="E93" s="107"/>
      <c r="F93" s="108"/>
      <c r="G93" s="107"/>
      <c r="H93" s="108"/>
      <c r="I93" s="108"/>
      <c r="J93" s="109"/>
      <c r="K93" s="96" t="str">
        <f>IF($J93="","",_xlfn.XLOOKUP($J93,DATA!$S:$S,DATA!$T:$T,"",0,1))</f>
        <v/>
      </c>
      <c r="L93" s="110"/>
      <c r="M93" s="146"/>
      <c r="N93" s="157"/>
      <c r="O93" s="111"/>
    </row>
    <row r="94" spans="1:15" x14ac:dyDescent="0.7">
      <c r="A94" s="133">
        <v>91</v>
      </c>
      <c r="B94" s="106"/>
      <c r="C94" s="107"/>
      <c r="D94" s="107"/>
      <c r="E94" s="107"/>
      <c r="F94" s="108"/>
      <c r="G94" s="107"/>
      <c r="H94" s="108"/>
      <c r="I94" s="108"/>
      <c r="J94" s="109"/>
      <c r="K94" s="96" t="str">
        <f>IF($J94="","",_xlfn.XLOOKUP($J94,DATA!$S:$S,DATA!$T:$T,"",0,1))</f>
        <v/>
      </c>
      <c r="L94" s="110"/>
      <c r="M94" s="146"/>
      <c r="N94" s="157"/>
      <c r="O94" s="111"/>
    </row>
    <row r="95" spans="1:15" x14ac:dyDescent="0.7">
      <c r="A95" s="133">
        <v>92</v>
      </c>
      <c r="B95" s="106"/>
      <c r="C95" s="107"/>
      <c r="D95" s="107"/>
      <c r="E95" s="107"/>
      <c r="F95" s="108"/>
      <c r="G95" s="107"/>
      <c r="H95" s="108"/>
      <c r="I95" s="108"/>
      <c r="J95" s="109"/>
      <c r="K95" s="96" t="str">
        <f>IF($J95="","",_xlfn.XLOOKUP($J95,DATA!$S:$S,DATA!$T:$T,"",0,1))</f>
        <v/>
      </c>
      <c r="L95" s="110"/>
      <c r="M95" s="146"/>
      <c r="N95" s="157"/>
      <c r="O95" s="111"/>
    </row>
    <row r="96" spans="1:15" x14ac:dyDescent="0.7">
      <c r="A96" s="133">
        <v>93</v>
      </c>
      <c r="B96" s="106"/>
      <c r="C96" s="107"/>
      <c r="D96" s="107"/>
      <c r="E96" s="107"/>
      <c r="F96" s="108"/>
      <c r="G96" s="107"/>
      <c r="H96" s="108"/>
      <c r="I96" s="108"/>
      <c r="J96" s="109"/>
      <c r="K96" s="96" t="str">
        <f>IF($J96="","",_xlfn.XLOOKUP($J96,DATA!$S:$S,DATA!$T:$T,"",0,1))</f>
        <v/>
      </c>
      <c r="L96" s="110"/>
      <c r="M96" s="146"/>
      <c r="N96" s="157"/>
      <c r="O96" s="111"/>
    </row>
    <row r="97" spans="1:15" x14ac:dyDescent="0.7">
      <c r="A97" s="133">
        <v>94</v>
      </c>
      <c r="B97" s="106"/>
      <c r="C97" s="107"/>
      <c r="D97" s="107"/>
      <c r="E97" s="107"/>
      <c r="F97" s="108"/>
      <c r="G97" s="107"/>
      <c r="H97" s="108"/>
      <c r="I97" s="108"/>
      <c r="J97" s="109"/>
      <c r="K97" s="96" t="str">
        <f>IF($J97="","",_xlfn.XLOOKUP($J97,DATA!$S:$S,DATA!$T:$T,"",0,1))</f>
        <v/>
      </c>
      <c r="L97" s="110"/>
      <c r="M97" s="146"/>
      <c r="N97" s="157"/>
      <c r="O97" s="111"/>
    </row>
    <row r="98" spans="1:15" x14ac:dyDescent="0.7">
      <c r="A98" s="133">
        <v>95</v>
      </c>
      <c r="B98" s="106"/>
      <c r="C98" s="107"/>
      <c r="D98" s="107"/>
      <c r="E98" s="107"/>
      <c r="F98" s="108"/>
      <c r="G98" s="107"/>
      <c r="H98" s="108"/>
      <c r="I98" s="108"/>
      <c r="J98" s="109"/>
      <c r="K98" s="96" t="str">
        <f>IF($J98="","",_xlfn.XLOOKUP($J98,DATA!$S:$S,DATA!$T:$T,"",0,1))</f>
        <v/>
      </c>
      <c r="L98" s="110"/>
      <c r="M98" s="146"/>
      <c r="N98" s="157"/>
      <c r="O98" s="111"/>
    </row>
    <row r="99" spans="1:15" x14ac:dyDescent="0.7">
      <c r="A99" s="133">
        <v>96</v>
      </c>
      <c r="B99" s="106"/>
      <c r="C99" s="107"/>
      <c r="D99" s="107"/>
      <c r="E99" s="107"/>
      <c r="F99" s="108"/>
      <c r="G99" s="107"/>
      <c r="H99" s="108"/>
      <c r="I99" s="108"/>
      <c r="J99" s="109"/>
      <c r="K99" s="96" t="str">
        <f>IF($J99="","",_xlfn.XLOOKUP($J99,DATA!$S:$S,DATA!$T:$T,"",0,1))</f>
        <v/>
      </c>
      <c r="L99" s="110"/>
      <c r="M99" s="146"/>
      <c r="N99" s="157"/>
      <c r="O99" s="111"/>
    </row>
    <row r="100" spans="1:15" x14ac:dyDescent="0.7">
      <c r="A100" s="133">
        <v>97</v>
      </c>
      <c r="B100" s="106"/>
      <c r="C100" s="107"/>
      <c r="D100" s="107"/>
      <c r="E100" s="107"/>
      <c r="F100" s="108"/>
      <c r="G100" s="107"/>
      <c r="H100" s="108"/>
      <c r="I100" s="108"/>
      <c r="J100" s="109"/>
      <c r="K100" s="96" t="str">
        <f>IF($J100="","",_xlfn.XLOOKUP($J100,DATA!$S:$S,DATA!$T:$T,"",0,1))</f>
        <v/>
      </c>
      <c r="L100" s="110"/>
      <c r="M100" s="146"/>
      <c r="N100" s="157"/>
      <c r="O100" s="111"/>
    </row>
    <row r="101" spans="1:15" x14ac:dyDescent="0.7">
      <c r="A101" s="133">
        <v>98</v>
      </c>
      <c r="B101" s="106"/>
      <c r="C101" s="107"/>
      <c r="D101" s="107"/>
      <c r="E101" s="107"/>
      <c r="F101" s="108"/>
      <c r="G101" s="107"/>
      <c r="H101" s="108"/>
      <c r="I101" s="108"/>
      <c r="J101" s="109"/>
      <c r="K101" s="96" t="str">
        <f>IF($J101="","",_xlfn.XLOOKUP($J101,DATA!$S:$S,DATA!$T:$T,"",0,1))</f>
        <v/>
      </c>
      <c r="L101" s="110"/>
      <c r="M101" s="146"/>
      <c r="N101" s="157"/>
      <c r="O101" s="111"/>
    </row>
    <row r="102" spans="1:15" x14ac:dyDescent="0.7">
      <c r="A102" s="133">
        <v>99</v>
      </c>
      <c r="B102" s="106"/>
      <c r="C102" s="107"/>
      <c r="D102" s="107"/>
      <c r="E102" s="107"/>
      <c r="F102" s="108"/>
      <c r="G102" s="107"/>
      <c r="H102" s="108"/>
      <c r="I102" s="108"/>
      <c r="J102" s="109"/>
      <c r="K102" s="96" t="str">
        <f>IF($J102="","",_xlfn.XLOOKUP($J102,DATA!$S:$S,DATA!$T:$T,"",0,1))</f>
        <v/>
      </c>
      <c r="L102" s="110"/>
      <c r="M102" s="146"/>
      <c r="N102" s="157"/>
      <c r="O102" s="111"/>
    </row>
    <row r="103" spans="1:15" ht="18" thickBot="1" x14ac:dyDescent="0.75">
      <c r="A103" s="133">
        <v>100</v>
      </c>
      <c r="B103" s="112"/>
      <c r="C103" s="113"/>
      <c r="D103" s="113"/>
      <c r="E103" s="113"/>
      <c r="F103" s="114"/>
      <c r="G103" s="113"/>
      <c r="H103" s="114"/>
      <c r="I103" s="114"/>
      <c r="J103" s="115"/>
      <c r="K103" s="96" t="str">
        <f>IF($J103="","",_xlfn.XLOOKUP($J103,DATA!$S:$S,DATA!$T:$T,"",0,1))</f>
        <v/>
      </c>
      <c r="L103" s="116"/>
      <c r="M103" s="147"/>
      <c r="N103" s="147"/>
      <c r="O103" s="117"/>
    </row>
  </sheetData>
  <sheetProtection sheet="1" objects="1" scenarios="1"/>
  <dataConsolidate/>
  <phoneticPr fontId="1"/>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09932CFC-0AE6-4DE9-85C1-0042B42ADB46}">
          <x14:formula1>
            <xm:f>DATA!$L$1:$L$58</xm:f>
          </x14:formula1>
          <xm:sqref>B4:B103</xm:sqref>
        </x14:dataValidation>
        <x14:dataValidation type="list" allowBlank="1" showInputMessage="1" showErrorMessage="1" xr:uid="{6CDF20FE-3593-4061-BB5D-065E2CC6E991}">
          <x14:formula1>
            <xm:f>DATA!$Q$1:$Q$12</xm:f>
          </x14:formula1>
          <xm:sqref>E7:E103</xm:sqref>
        </x14:dataValidation>
        <x14:dataValidation type="list" allowBlank="1" showInputMessage="1" showErrorMessage="1" xr:uid="{AA17290C-9A1E-4F89-B940-208A7DEF7798}">
          <x14:formula1>
            <xm:f>DATA!$I$1:$I$16</xm:f>
          </x14:formula1>
          <xm:sqref>D4:D103</xm:sqref>
        </x14:dataValidation>
        <x14:dataValidation type="list" allowBlank="1" showInputMessage="1" showErrorMessage="1" xr:uid="{0553CAAA-BE5C-4C58-B4D1-42C6F9EFA683}">
          <x14:formula1>
            <xm:f>DATA!$R:$R</xm:f>
          </x14:formula1>
          <xm:sqref>G4:G103</xm:sqref>
        </x14:dataValidation>
        <x14:dataValidation type="list" allowBlank="1" showInputMessage="1" showErrorMessage="1" xr:uid="{80ED26C3-92DC-42E8-90C2-68F471A97012}">
          <x14:formula1>
            <xm:f>DATA!$S:$S</xm:f>
          </x14:formula1>
          <xm:sqref>J4:J103</xm:sqref>
        </x14:dataValidation>
        <x14:dataValidation type="list" allowBlank="1" showInputMessage="1" showErrorMessage="1" xr:uid="{6504E3E2-AAE4-40EF-9C9E-792930E06BAD}">
          <x14:formula1>
            <xm:f>DATA!$U:$U</xm:f>
          </x14:formula1>
          <xm:sqref>L4:L103</xm:sqref>
        </x14:dataValidation>
        <x14:dataValidation type="list" allowBlank="1" showInputMessage="1" showErrorMessage="1" xr:uid="{34BAA5E4-2A1A-4273-83A2-EECF3C7A582A}">
          <x14:formula1>
            <xm:f>DATA!$Q:$Q</xm:f>
          </x14:formula1>
          <xm:sqref>E4:E6</xm:sqref>
        </x14:dataValidation>
        <x14:dataValidation type="list" showInputMessage="1" showErrorMessage="1" xr:uid="{F568D5AE-1FA1-4C2F-A24A-BDE9A0652B55}">
          <x14:formula1>
            <xm:f>DATA!$V:$V</xm:f>
          </x14:formula1>
          <xm:sqref>M4:M103</xm:sqref>
        </x14:dataValidation>
        <x14:dataValidation type="list" allowBlank="1" showInputMessage="1" showErrorMessage="1" xr:uid="{F7F7E546-01B6-4786-9E1B-B4D148872D41}">
          <x14:formula1>
            <xm:f>DATA!$V:$V</xm:f>
          </x14:formula1>
          <xm:sqref>N4:O103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8C44-1428-45E3-82FC-9C4FA70C38DF}">
  <sheetPr codeName="Sheet9"/>
  <dimension ref="A1:CX507"/>
  <sheetViews>
    <sheetView zoomScaleNormal="100" workbookViewId="0">
      <pane xSplit="2" ySplit="11" topLeftCell="C12" activePane="bottomRight" state="frozen"/>
      <selection sqref="A1:G3"/>
      <selection pane="topRight" sqref="A1:G3"/>
      <selection pane="bottomLeft" sqref="A1:G3"/>
      <selection pane="bottomRight" sqref="A1:G3"/>
    </sheetView>
  </sheetViews>
  <sheetFormatPr defaultColWidth="9" defaultRowHeight="16.5" x14ac:dyDescent="0.7"/>
  <cols>
    <col min="1" max="1" width="20" style="22" customWidth="1"/>
    <col min="2" max="2" width="20" style="28" customWidth="1"/>
    <col min="3" max="102" width="13.6875" style="22" customWidth="1"/>
    <col min="103" max="16384" width="9" style="22"/>
  </cols>
  <sheetData>
    <row r="1" spans="1:102" s="30" customFormat="1" x14ac:dyDescent="0.7">
      <c r="A1" s="87" t="s">
        <v>210</v>
      </c>
      <c r="B1" s="31" t="s">
        <v>180</v>
      </c>
      <c r="C1" s="32">
        <v>1</v>
      </c>
      <c r="D1" s="32">
        <v>2</v>
      </c>
      <c r="E1" s="33">
        <v>3</v>
      </c>
      <c r="F1" s="33">
        <v>4</v>
      </c>
      <c r="G1" s="33">
        <v>5</v>
      </c>
      <c r="H1" s="33">
        <v>6</v>
      </c>
      <c r="I1" s="33">
        <v>7</v>
      </c>
      <c r="J1" s="33">
        <v>8</v>
      </c>
      <c r="K1" s="33">
        <v>9</v>
      </c>
      <c r="L1" s="33">
        <v>10</v>
      </c>
      <c r="M1" s="33">
        <v>11</v>
      </c>
      <c r="N1" s="33">
        <v>12</v>
      </c>
      <c r="O1" s="33">
        <v>13</v>
      </c>
      <c r="P1" s="33">
        <v>14</v>
      </c>
      <c r="Q1" s="33">
        <v>15</v>
      </c>
      <c r="R1" s="33">
        <v>16</v>
      </c>
      <c r="S1" s="33">
        <v>17</v>
      </c>
      <c r="T1" s="33">
        <v>18</v>
      </c>
      <c r="U1" s="33">
        <v>19</v>
      </c>
      <c r="V1" s="33">
        <v>20</v>
      </c>
      <c r="W1" s="33">
        <v>21</v>
      </c>
      <c r="X1" s="33">
        <v>22</v>
      </c>
      <c r="Y1" s="33">
        <v>23</v>
      </c>
      <c r="Z1" s="33">
        <v>24</v>
      </c>
      <c r="AA1" s="33">
        <v>25</v>
      </c>
      <c r="AB1" s="33">
        <v>26</v>
      </c>
      <c r="AC1" s="33">
        <v>27</v>
      </c>
      <c r="AD1" s="33">
        <v>28</v>
      </c>
      <c r="AE1" s="33">
        <v>29</v>
      </c>
      <c r="AF1" s="33">
        <v>30</v>
      </c>
      <c r="AG1" s="33">
        <v>31</v>
      </c>
      <c r="AH1" s="33">
        <v>32</v>
      </c>
      <c r="AI1" s="33">
        <v>33</v>
      </c>
      <c r="AJ1" s="33">
        <v>34</v>
      </c>
      <c r="AK1" s="33">
        <v>35</v>
      </c>
      <c r="AL1" s="33">
        <v>36</v>
      </c>
      <c r="AM1" s="33">
        <v>37</v>
      </c>
      <c r="AN1" s="33">
        <v>38</v>
      </c>
      <c r="AO1" s="33">
        <v>39</v>
      </c>
      <c r="AP1" s="33">
        <v>40</v>
      </c>
      <c r="AQ1" s="33">
        <v>41</v>
      </c>
      <c r="AR1" s="33">
        <v>42</v>
      </c>
      <c r="AS1" s="33">
        <v>43</v>
      </c>
      <c r="AT1" s="33">
        <v>44</v>
      </c>
      <c r="AU1" s="33">
        <v>45</v>
      </c>
      <c r="AV1" s="33">
        <v>46</v>
      </c>
      <c r="AW1" s="33">
        <v>47</v>
      </c>
      <c r="AX1" s="33">
        <v>48</v>
      </c>
      <c r="AY1" s="33">
        <v>49</v>
      </c>
      <c r="AZ1" s="33">
        <v>50</v>
      </c>
      <c r="BA1" s="33">
        <v>51</v>
      </c>
      <c r="BB1" s="33">
        <v>52</v>
      </c>
      <c r="BC1" s="33">
        <v>53</v>
      </c>
      <c r="BD1" s="33">
        <v>54</v>
      </c>
      <c r="BE1" s="33">
        <v>55</v>
      </c>
      <c r="BF1" s="33">
        <v>56</v>
      </c>
      <c r="BG1" s="33">
        <v>57</v>
      </c>
      <c r="BH1" s="33">
        <v>58</v>
      </c>
      <c r="BI1" s="33">
        <v>59</v>
      </c>
      <c r="BJ1" s="33">
        <v>60</v>
      </c>
      <c r="BK1" s="33">
        <v>61</v>
      </c>
      <c r="BL1" s="33">
        <v>62</v>
      </c>
      <c r="BM1" s="33">
        <v>63</v>
      </c>
      <c r="BN1" s="33">
        <v>64</v>
      </c>
      <c r="BO1" s="33">
        <v>65</v>
      </c>
      <c r="BP1" s="33">
        <v>66</v>
      </c>
      <c r="BQ1" s="33">
        <v>67</v>
      </c>
      <c r="BR1" s="33">
        <v>68</v>
      </c>
      <c r="BS1" s="33">
        <v>69</v>
      </c>
      <c r="BT1" s="33">
        <v>70</v>
      </c>
      <c r="BU1" s="33">
        <v>71</v>
      </c>
      <c r="BV1" s="33">
        <v>72</v>
      </c>
      <c r="BW1" s="33">
        <v>73</v>
      </c>
      <c r="BX1" s="33">
        <v>74</v>
      </c>
      <c r="BY1" s="33">
        <v>75</v>
      </c>
      <c r="BZ1" s="33">
        <v>76</v>
      </c>
      <c r="CA1" s="33">
        <v>77</v>
      </c>
      <c r="CB1" s="33">
        <v>78</v>
      </c>
      <c r="CC1" s="33">
        <v>79</v>
      </c>
      <c r="CD1" s="33">
        <v>80</v>
      </c>
      <c r="CE1" s="33">
        <v>81</v>
      </c>
      <c r="CF1" s="33">
        <v>82</v>
      </c>
      <c r="CG1" s="33">
        <v>83</v>
      </c>
      <c r="CH1" s="33">
        <v>84</v>
      </c>
      <c r="CI1" s="33">
        <v>85</v>
      </c>
      <c r="CJ1" s="33">
        <v>86</v>
      </c>
      <c r="CK1" s="33">
        <v>87</v>
      </c>
      <c r="CL1" s="33">
        <v>88</v>
      </c>
      <c r="CM1" s="33">
        <v>89</v>
      </c>
      <c r="CN1" s="33">
        <v>90</v>
      </c>
      <c r="CO1" s="33">
        <v>91</v>
      </c>
      <c r="CP1" s="33">
        <v>92</v>
      </c>
      <c r="CQ1" s="33">
        <v>93</v>
      </c>
      <c r="CR1" s="33">
        <v>94</v>
      </c>
      <c r="CS1" s="33">
        <v>95</v>
      </c>
      <c r="CT1" s="33">
        <v>96</v>
      </c>
      <c r="CU1" s="33">
        <v>97</v>
      </c>
      <c r="CV1" s="33">
        <v>98</v>
      </c>
      <c r="CW1" s="33">
        <v>99</v>
      </c>
      <c r="CX1" s="33">
        <v>100</v>
      </c>
    </row>
    <row r="2" spans="1:102" s="30" customFormat="1" x14ac:dyDescent="0.7">
      <c r="A2" s="85" t="str" cm="1">
        <f t="array" aca="1" ref="A2" ca="1">RIGHT(CELL("filename",$A$1),LEN(CELL("filename",$A$1))-FIND("]",CELL("filename",$A$1)))</f>
        <v>D-2</v>
      </c>
      <c r="B2" s="31" t="s">
        <v>181</v>
      </c>
      <c r="C2" s="32" t="str" cm="1">
        <f t="array" ref="C2:CX2">IF(TRANSPOSE(集計2!$B$1:$B$100)="","",TRANSPOSE(集計2!$B$1:$B$100))</f>
        <v/>
      </c>
      <c r="D2" s="32" t="str">
        <v/>
      </c>
      <c r="E2" s="33" t="str">
        <v/>
      </c>
      <c r="F2" s="33" t="str">
        <v/>
      </c>
      <c r="G2" s="33" t="str">
        <v/>
      </c>
      <c r="H2" s="33" t="str">
        <v/>
      </c>
      <c r="I2" s="33" t="str">
        <v/>
      </c>
      <c r="J2" s="33" t="str">
        <v/>
      </c>
      <c r="K2" s="33" t="str">
        <v/>
      </c>
      <c r="L2" s="33" t="str">
        <v/>
      </c>
      <c r="M2" s="33" t="str">
        <v/>
      </c>
      <c r="N2" s="33" t="str">
        <v/>
      </c>
      <c r="O2" s="33" t="str">
        <v/>
      </c>
      <c r="P2" s="33" t="str">
        <v/>
      </c>
      <c r="Q2" s="33" t="str">
        <v/>
      </c>
      <c r="R2" s="33" t="str">
        <v/>
      </c>
      <c r="S2" s="33" t="str">
        <v/>
      </c>
      <c r="T2" s="33" t="str">
        <v/>
      </c>
      <c r="U2" s="33" t="str">
        <v/>
      </c>
      <c r="V2" s="33" t="str">
        <v/>
      </c>
      <c r="W2" s="33" t="str">
        <v/>
      </c>
      <c r="X2" s="33" t="str">
        <v/>
      </c>
      <c r="Y2" s="33" t="str">
        <v/>
      </c>
      <c r="Z2" s="33" t="str">
        <v/>
      </c>
      <c r="AA2" s="33" t="str">
        <v/>
      </c>
      <c r="AB2" s="33" t="str">
        <v/>
      </c>
      <c r="AC2" s="33" t="str">
        <v/>
      </c>
      <c r="AD2" s="33" t="str">
        <v/>
      </c>
      <c r="AE2" s="33" t="str">
        <v/>
      </c>
      <c r="AF2" s="33" t="str">
        <v/>
      </c>
      <c r="AG2" s="33" t="str">
        <v/>
      </c>
      <c r="AH2" s="33" t="str">
        <v/>
      </c>
      <c r="AI2" s="33" t="str">
        <v/>
      </c>
      <c r="AJ2" s="33" t="str">
        <v/>
      </c>
      <c r="AK2" s="33" t="str">
        <v/>
      </c>
      <c r="AL2" s="33" t="str">
        <v/>
      </c>
      <c r="AM2" s="33" t="str">
        <v/>
      </c>
      <c r="AN2" s="33" t="str">
        <v/>
      </c>
      <c r="AO2" s="33" t="str">
        <v/>
      </c>
      <c r="AP2" s="33" t="str">
        <v/>
      </c>
      <c r="AQ2" s="33" t="str">
        <v/>
      </c>
      <c r="AR2" s="33" t="str">
        <v/>
      </c>
      <c r="AS2" s="33" t="str">
        <v/>
      </c>
      <c r="AT2" s="33" t="str">
        <v/>
      </c>
      <c r="AU2" s="33" t="str">
        <v/>
      </c>
      <c r="AV2" s="33" t="str">
        <v/>
      </c>
      <c r="AW2" s="33" t="str">
        <v/>
      </c>
      <c r="AX2" s="33" t="str">
        <v/>
      </c>
      <c r="AY2" s="33" t="str">
        <v/>
      </c>
      <c r="AZ2" s="33" t="str">
        <v/>
      </c>
      <c r="BA2" s="33" t="str">
        <v/>
      </c>
      <c r="BB2" s="33" t="str">
        <v/>
      </c>
      <c r="BC2" s="33" t="str">
        <v/>
      </c>
      <c r="BD2" s="33" t="str">
        <v/>
      </c>
      <c r="BE2" s="33" t="str">
        <v/>
      </c>
      <c r="BF2" s="33" t="str">
        <v/>
      </c>
      <c r="BG2" s="33" t="str">
        <v/>
      </c>
      <c r="BH2" s="33" t="str">
        <v/>
      </c>
      <c r="BI2" s="33" t="str">
        <v/>
      </c>
      <c r="BJ2" s="33" t="str">
        <v/>
      </c>
      <c r="BK2" s="33" t="str">
        <v/>
      </c>
      <c r="BL2" s="33" t="str">
        <v/>
      </c>
      <c r="BM2" s="33" t="str">
        <v/>
      </c>
      <c r="BN2" s="33" t="str">
        <v/>
      </c>
      <c r="BO2" s="33" t="str">
        <v/>
      </c>
      <c r="BP2" s="33" t="str">
        <v/>
      </c>
      <c r="BQ2" s="33" t="str">
        <v/>
      </c>
      <c r="BR2" s="33" t="str">
        <v/>
      </c>
      <c r="BS2" s="33" t="str">
        <v/>
      </c>
      <c r="BT2" s="33" t="str">
        <v/>
      </c>
      <c r="BU2" s="33" t="str">
        <v/>
      </c>
      <c r="BV2" s="33" t="str">
        <v/>
      </c>
      <c r="BW2" s="33" t="str">
        <v/>
      </c>
      <c r="BX2" s="33" t="str">
        <v/>
      </c>
      <c r="BY2" s="33" t="str">
        <v/>
      </c>
      <c r="BZ2" s="33" t="str">
        <v/>
      </c>
      <c r="CA2" s="33" t="str">
        <v/>
      </c>
      <c r="CB2" s="33" t="str">
        <v/>
      </c>
      <c r="CC2" s="33" t="str">
        <v/>
      </c>
      <c r="CD2" s="33" t="str">
        <v/>
      </c>
      <c r="CE2" s="33" t="str">
        <v/>
      </c>
      <c r="CF2" s="33" t="str">
        <v/>
      </c>
      <c r="CG2" s="33" t="str">
        <v/>
      </c>
      <c r="CH2" s="33" t="str">
        <v/>
      </c>
      <c r="CI2" s="33" t="str">
        <v/>
      </c>
      <c r="CJ2" s="33" t="str">
        <v/>
      </c>
      <c r="CK2" s="33" t="str">
        <v/>
      </c>
      <c r="CL2" s="33" t="str">
        <v/>
      </c>
      <c r="CM2" s="33" t="str">
        <v/>
      </c>
      <c r="CN2" s="33" t="str">
        <v/>
      </c>
      <c r="CO2" s="33" t="str">
        <v/>
      </c>
      <c r="CP2" s="33" t="str">
        <v/>
      </c>
      <c r="CQ2" s="33" t="str">
        <v/>
      </c>
      <c r="CR2" s="33" t="str">
        <v/>
      </c>
      <c r="CS2" s="33" t="str">
        <v/>
      </c>
      <c r="CT2" s="33" t="str">
        <v/>
      </c>
      <c r="CU2" s="33" t="str">
        <v/>
      </c>
      <c r="CV2" s="33" t="str">
        <v/>
      </c>
      <c r="CW2" s="33" t="str">
        <v/>
      </c>
      <c r="CX2" s="33" t="str">
        <v/>
      </c>
    </row>
    <row r="3" spans="1:102" s="34" customFormat="1" x14ac:dyDescent="0.7">
      <c r="B3" s="35" t="s">
        <v>179</v>
      </c>
      <c r="C3" s="36" t="str" cm="1">
        <f t="array" ref="C3:CX3">IF(TRANSPOSE(集計2!$D$1:$D$100)="","",TRANSPOSE(集計2!$D$1:$D$100))</f>
        <v/>
      </c>
      <c r="D3" s="36" t="str">
        <v/>
      </c>
      <c r="E3" s="37" t="str">
        <v/>
      </c>
      <c r="F3" s="37" t="str">
        <v/>
      </c>
      <c r="G3" s="37" t="str">
        <v/>
      </c>
      <c r="H3" s="37" t="str">
        <v/>
      </c>
      <c r="I3" s="37" t="str">
        <v/>
      </c>
      <c r="J3" s="37" t="str">
        <v/>
      </c>
      <c r="K3" s="37" t="str">
        <v/>
      </c>
      <c r="L3" s="37" t="str">
        <v/>
      </c>
      <c r="M3" s="37" t="str">
        <v/>
      </c>
      <c r="N3" s="37" t="str">
        <v/>
      </c>
      <c r="O3" s="37" t="str">
        <v/>
      </c>
      <c r="P3" s="37" t="str">
        <v/>
      </c>
      <c r="Q3" s="37" t="str">
        <v/>
      </c>
      <c r="R3" s="37" t="str">
        <v/>
      </c>
      <c r="S3" s="37" t="str">
        <v/>
      </c>
      <c r="T3" s="37" t="str">
        <v/>
      </c>
      <c r="U3" s="37" t="str">
        <v/>
      </c>
      <c r="V3" s="37" t="str">
        <v/>
      </c>
      <c r="W3" s="37" t="str">
        <v/>
      </c>
      <c r="X3" s="37" t="str">
        <v/>
      </c>
      <c r="Y3" s="37" t="str">
        <v/>
      </c>
      <c r="Z3" s="37" t="str">
        <v/>
      </c>
      <c r="AA3" s="37" t="str">
        <v/>
      </c>
      <c r="AB3" s="37" t="str">
        <v/>
      </c>
      <c r="AC3" s="37" t="str">
        <v/>
      </c>
      <c r="AD3" s="37" t="str">
        <v/>
      </c>
      <c r="AE3" s="37" t="str">
        <v/>
      </c>
      <c r="AF3" s="37" t="str">
        <v/>
      </c>
      <c r="AG3" s="37" t="str">
        <v/>
      </c>
      <c r="AH3" s="37" t="str">
        <v/>
      </c>
      <c r="AI3" s="37" t="str">
        <v/>
      </c>
      <c r="AJ3" s="37" t="str">
        <v/>
      </c>
      <c r="AK3" s="37" t="str">
        <v/>
      </c>
      <c r="AL3" s="37" t="str">
        <v/>
      </c>
      <c r="AM3" s="37" t="str">
        <v/>
      </c>
      <c r="AN3" s="37" t="str">
        <v/>
      </c>
      <c r="AO3" s="37" t="str">
        <v/>
      </c>
      <c r="AP3" s="37" t="str">
        <v/>
      </c>
      <c r="AQ3" s="37" t="str">
        <v/>
      </c>
      <c r="AR3" s="37" t="str">
        <v/>
      </c>
      <c r="AS3" s="37" t="str">
        <v/>
      </c>
      <c r="AT3" s="37" t="str">
        <v/>
      </c>
      <c r="AU3" s="37" t="str">
        <v/>
      </c>
      <c r="AV3" s="37" t="str">
        <v/>
      </c>
      <c r="AW3" s="37" t="str">
        <v/>
      </c>
      <c r="AX3" s="37" t="str">
        <v/>
      </c>
      <c r="AY3" s="37" t="str">
        <v/>
      </c>
      <c r="AZ3" s="37" t="str">
        <v/>
      </c>
      <c r="BA3" s="37" t="str">
        <v/>
      </c>
      <c r="BB3" s="37" t="str">
        <v/>
      </c>
      <c r="BC3" s="37" t="str">
        <v/>
      </c>
      <c r="BD3" s="37" t="str">
        <v/>
      </c>
      <c r="BE3" s="37" t="str">
        <v/>
      </c>
      <c r="BF3" s="37" t="str">
        <v/>
      </c>
      <c r="BG3" s="37" t="str">
        <v/>
      </c>
      <c r="BH3" s="37" t="str">
        <v/>
      </c>
      <c r="BI3" s="37" t="str">
        <v/>
      </c>
      <c r="BJ3" s="37" t="str">
        <v/>
      </c>
      <c r="BK3" s="37" t="str">
        <v/>
      </c>
      <c r="BL3" s="37" t="str">
        <v/>
      </c>
      <c r="BM3" s="37" t="str">
        <v/>
      </c>
      <c r="BN3" s="37" t="str">
        <v/>
      </c>
      <c r="BO3" s="37" t="str">
        <v/>
      </c>
      <c r="BP3" s="37" t="str">
        <v/>
      </c>
      <c r="BQ3" s="37" t="str">
        <v/>
      </c>
      <c r="BR3" s="37" t="str">
        <v/>
      </c>
      <c r="BS3" s="37" t="str">
        <v/>
      </c>
      <c r="BT3" s="37" t="str">
        <v/>
      </c>
      <c r="BU3" s="37" t="str">
        <v/>
      </c>
      <c r="BV3" s="37" t="str">
        <v/>
      </c>
      <c r="BW3" s="37" t="str">
        <v/>
      </c>
      <c r="BX3" s="37" t="str">
        <v/>
      </c>
      <c r="BY3" s="37" t="str">
        <v/>
      </c>
      <c r="BZ3" s="37" t="str">
        <v/>
      </c>
      <c r="CA3" s="37" t="str">
        <v/>
      </c>
      <c r="CB3" s="37" t="str">
        <v/>
      </c>
      <c r="CC3" s="37" t="str">
        <v/>
      </c>
      <c r="CD3" s="37" t="str">
        <v/>
      </c>
      <c r="CE3" s="37" t="str">
        <v/>
      </c>
      <c r="CF3" s="37" t="str">
        <v/>
      </c>
      <c r="CG3" s="37" t="str">
        <v/>
      </c>
      <c r="CH3" s="37" t="str">
        <v/>
      </c>
      <c r="CI3" s="37" t="str">
        <v/>
      </c>
      <c r="CJ3" s="37" t="str">
        <v/>
      </c>
      <c r="CK3" s="37" t="str">
        <v/>
      </c>
      <c r="CL3" s="37" t="str">
        <v/>
      </c>
      <c r="CM3" s="37" t="str">
        <v/>
      </c>
      <c r="CN3" s="37" t="str">
        <v/>
      </c>
      <c r="CO3" s="37" t="str">
        <v/>
      </c>
      <c r="CP3" s="37" t="str">
        <v/>
      </c>
      <c r="CQ3" s="37" t="str">
        <v/>
      </c>
      <c r="CR3" s="37" t="str">
        <v/>
      </c>
      <c r="CS3" s="37" t="str">
        <v/>
      </c>
      <c r="CT3" s="37" t="str">
        <v/>
      </c>
      <c r="CU3" s="37" t="str">
        <v/>
      </c>
      <c r="CV3" s="37" t="str">
        <v/>
      </c>
      <c r="CW3" s="37" t="str">
        <v/>
      </c>
      <c r="CX3" s="37" t="str">
        <v/>
      </c>
    </row>
    <row r="4" spans="1:102" s="30" customFormat="1" x14ac:dyDescent="0.7">
      <c r="B4" s="31" t="s">
        <v>182</v>
      </c>
      <c r="C4" s="29" t="str" cm="1">
        <f t="array" ref="C4:CX4">IF(TRANSPOSE(集計2!$F$1:$F$100)="","",TRANSPOSE(集計2!$M$1:$M$100))</f>
        <v/>
      </c>
      <c r="D4" s="32" t="str">
        <v/>
      </c>
      <c r="E4" s="33" t="str">
        <v/>
      </c>
      <c r="F4" s="33" t="str">
        <v/>
      </c>
      <c r="G4" s="33" t="str">
        <v/>
      </c>
      <c r="H4" s="33" t="str">
        <v/>
      </c>
      <c r="I4" s="33" t="str">
        <v/>
      </c>
      <c r="J4" s="33" t="str">
        <v/>
      </c>
      <c r="K4" s="33" t="str">
        <v/>
      </c>
      <c r="L4" s="33" t="str">
        <v/>
      </c>
      <c r="M4" s="33" t="str">
        <v/>
      </c>
      <c r="N4" s="33" t="str">
        <v/>
      </c>
      <c r="O4" s="33" t="str">
        <v/>
      </c>
      <c r="P4" s="33" t="str">
        <v/>
      </c>
      <c r="Q4" s="33" t="str">
        <v/>
      </c>
      <c r="R4" s="33" t="str">
        <v/>
      </c>
      <c r="S4" s="33" t="str">
        <v/>
      </c>
      <c r="T4" s="33" t="str">
        <v/>
      </c>
      <c r="U4" s="33" t="str">
        <v/>
      </c>
      <c r="V4" s="33" t="str">
        <v/>
      </c>
      <c r="W4" s="33" t="str">
        <v/>
      </c>
      <c r="X4" s="33" t="str">
        <v/>
      </c>
      <c r="Y4" s="33" t="str">
        <v/>
      </c>
      <c r="Z4" s="33" t="str">
        <v/>
      </c>
      <c r="AA4" s="33" t="str">
        <v/>
      </c>
      <c r="AB4" s="33" t="str">
        <v/>
      </c>
      <c r="AC4" s="33" t="str">
        <v/>
      </c>
      <c r="AD4" s="33" t="str">
        <v/>
      </c>
      <c r="AE4" s="33" t="str">
        <v/>
      </c>
      <c r="AF4" s="33" t="str">
        <v/>
      </c>
      <c r="AG4" s="33" t="str">
        <v/>
      </c>
      <c r="AH4" s="33" t="str">
        <v/>
      </c>
      <c r="AI4" s="33" t="str">
        <v/>
      </c>
      <c r="AJ4" s="33" t="str">
        <v/>
      </c>
      <c r="AK4" s="33" t="str">
        <v/>
      </c>
      <c r="AL4" s="33" t="str">
        <v/>
      </c>
      <c r="AM4" s="33" t="str">
        <v/>
      </c>
      <c r="AN4" s="33" t="str">
        <v/>
      </c>
      <c r="AO4" s="33" t="str">
        <v/>
      </c>
      <c r="AP4" s="33" t="str">
        <v/>
      </c>
      <c r="AQ4" s="33" t="str">
        <v/>
      </c>
      <c r="AR4" s="33" t="str">
        <v/>
      </c>
      <c r="AS4" s="33" t="str">
        <v/>
      </c>
      <c r="AT4" s="33" t="str">
        <v/>
      </c>
      <c r="AU4" s="33" t="str">
        <v/>
      </c>
      <c r="AV4" s="33" t="str">
        <v/>
      </c>
      <c r="AW4" s="33" t="str">
        <v/>
      </c>
      <c r="AX4" s="33" t="str">
        <v/>
      </c>
      <c r="AY4" s="33" t="str">
        <v/>
      </c>
      <c r="AZ4" s="33" t="str">
        <v/>
      </c>
      <c r="BA4" s="33" t="str">
        <v/>
      </c>
      <c r="BB4" s="33" t="str">
        <v/>
      </c>
      <c r="BC4" s="33" t="str">
        <v/>
      </c>
      <c r="BD4" s="33" t="str">
        <v/>
      </c>
      <c r="BE4" s="33" t="str">
        <v/>
      </c>
      <c r="BF4" s="33" t="str">
        <v/>
      </c>
      <c r="BG4" s="33" t="str">
        <v/>
      </c>
      <c r="BH4" s="33" t="str">
        <v/>
      </c>
      <c r="BI4" s="33" t="str">
        <v/>
      </c>
      <c r="BJ4" s="33" t="str">
        <v/>
      </c>
      <c r="BK4" s="33" t="str">
        <v/>
      </c>
      <c r="BL4" s="33" t="str">
        <v/>
      </c>
      <c r="BM4" s="33" t="str">
        <v/>
      </c>
      <c r="BN4" s="33" t="str">
        <v/>
      </c>
      <c r="BO4" s="33" t="str">
        <v/>
      </c>
      <c r="BP4" s="33" t="str">
        <v/>
      </c>
      <c r="BQ4" s="33" t="str">
        <v/>
      </c>
      <c r="BR4" s="33" t="str">
        <v/>
      </c>
      <c r="BS4" s="33" t="str">
        <v/>
      </c>
      <c r="BT4" s="33" t="str">
        <v/>
      </c>
      <c r="BU4" s="33" t="str">
        <v/>
      </c>
      <c r="BV4" s="33" t="str">
        <v/>
      </c>
      <c r="BW4" s="33" t="str">
        <v/>
      </c>
      <c r="BX4" s="33" t="str">
        <v/>
      </c>
      <c r="BY4" s="33" t="str">
        <v/>
      </c>
      <c r="BZ4" s="33" t="str">
        <v/>
      </c>
      <c r="CA4" s="33" t="str">
        <v/>
      </c>
      <c r="CB4" s="33" t="str">
        <v/>
      </c>
      <c r="CC4" s="33" t="str">
        <v/>
      </c>
      <c r="CD4" s="33" t="str">
        <v/>
      </c>
      <c r="CE4" s="33" t="str">
        <v/>
      </c>
      <c r="CF4" s="33" t="str">
        <v/>
      </c>
      <c r="CG4" s="33" t="str">
        <v/>
      </c>
      <c r="CH4" s="33" t="str">
        <v/>
      </c>
      <c r="CI4" s="33" t="str">
        <v/>
      </c>
      <c r="CJ4" s="33" t="str">
        <v/>
      </c>
      <c r="CK4" s="33" t="str">
        <v/>
      </c>
      <c r="CL4" s="33" t="str">
        <v/>
      </c>
      <c r="CM4" s="33" t="str">
        <v/>
      </c>
      <c r="CN4" s="33" t="str">
        <v/>
      </c>
      <c r="CO4" s="33" t="str">
        <v/>
      </c>
      <c r="CP4" s="33" t="str">
        <v/>
      </c>
      <c r="CQ4" s="33" t="str">
        <v/>
      </c>
      <c r="CR4" s="33" t="str">
        <v/>
      </c>
      <c r="CS4" s="33" t="str">
        <v/>
      </c>
      <c r="CT4" s="33" t="str">
        <v/>
      </c>
      <c r="CU4" s="33" t="str">
        <v/>
      </c>
      <c r="CV4" s="33" t="str">
        <v/>
      </c>
      <c r="CW4" s="33" t="str">
        <v/>
      </c>
      <c r="CX4" s="33" t="str">
        <v/>
      </c>
    </row>
    <row r="5" spans="1:102" s="30" customFormat="1" x14ac:dyDescent="0.7">
      <c r="B5" s="31" t="s">
        <v>183</v>
      </c>
      <c r="C5" s="32" t="str" cm="1">
        <f t="array" ref="C5:CX5">IF(TRANSPOSE(集計2!$H$1:$H$100)="","",TRANSPOSE(集計2!$H$1:$H$100))</f>
        <v/>
      </c>
      <c r="D5" s="32" t="str">
        <v/>
      </c>
      <c r="E5" s="33" t="str">
        <v/>
      </c>
      <c r="F5" s="33" t="str">
        <v/>
      </c>
      <c r="G5" s="33" t="str">
        <v/>
      </c>
      <c r="H5" s="33" t="str">
        <v/>
      </c>
      <c r="I5" s="33" t="str">
        <v/>
      </c>
      <c r="J5" s="33" t="str">
        <v/>
      </c>
      <c r="K5" s="33" t="str">
        <v/>
      </c>
      <c r="L5" s="33" t="str">
        <v/>
      </c>
      <c r="M5" s="33" t="str">
        <v/>
      </c>
      <c r="N5" s="33" t="str">
        <v/>
      </c>
      <c r="O5" s="33" t="str">
        <v/>
      </c>
      <c r="P5" s="33" t="str">
        <v/>
      </c>
      <c r="Q5" s="33" t="str">
        <v/>
      </c>
      <c r="R5" s="33" t="str">
        <v/>
      </c>
      <c r="S5" s="33" t="str">
        <v/>
      </c>
      <c r="T5" s="33" t="str">
        <v/>
      </c>
      <c r="U5" s="33" t="str">
        <v/>
      </c>
      <c r="V5" s="33" t="str">
        <v/>
      </c>
      <c r="W5" s="33" t="str">
        <v/>
      </c>
      <c r="X5" s="33" t="str">
        <v/>
      </c>
      <c r="Y5" s="33" t="str">
        <v/>
      </c>
      <c r="Z5" s="33" t="str">
        <v/>
      </c>
      <c r="AA5" s="33" t="str">
        <v/>
      </c>
      <c r="AB5" s="33" t="str">
        <v/>
      </c>
      <c r="AC5" s="33" t="str">
        <v/>
      </c>
      <c r="AD5" s="33" t="str">
        <v/>
      </c>
      <c r="AE5" s="33" t="str">
        <v/>
      </c>
      <c r="AF5" s="33" t="str">
        <v/>
      </c>
      <c r="AG5" s="33" t="str">
        <v/>
      </c>
      <c r="AH5" s="33" t="str">
        <v/>
      </c>
      <c r="AI5" s="33" t="str">
        <v/>
      </c>
      <c r="AJ5" s="33" t="str">
        <v/>
      </c>
      <c r="AK5" s="33" t="str">
        <v/>
      </c>
      <c r="AL5" s="33" t="str">
        <v/>
      </c>
      <c r="AM5" s="33" t="str">
        <v/>
      </c>
      <c r="AN5" s="33" t="str">
        <v/>
      </c>
      <c r="AO5" s="33" t="str">
        <v/>
      </c>
      <c r="AP5" s="33" t="str">
        <v/>
      </c>
      <c r="AQ5" s="33" t="str">
        <v/>
      </c>
      <c r="AR5" s="33" t="str">
        <v/>
      </c>
      <c r="AS5" s="33" t="str">
        <v/>
      </c>
      <c r="AT5" s="33" t="str">
        <v/>
      </c>
      <c r="AU5" s="33" t="str">
        <v/>
      </c>
      <c r="AV5" s="33" t="str">
        <v/>
      </c>
      <c r="AW5" s="33" t="str">
        <v/>
      </c>
      <c r="AX5" s="33" t="str">
        <v/>
      </c>
      <c r="AY5" s="33" t="str">
        <v/>
      </c>
      <c r="AZ5" s="33" t="str">
        <v/>
      </c>
      <c r="BA5" s="33" t="str">
        <v/>
      </c>
      <c r="BB5" s="33" t="str">
        <v/>
      </c>
      <c r="BC5" s="33" t="str">
        <v/>
      </c>
      <c r="BD5" s="33" t="str">
        <v/>
      </c>
      <c r="BE5" s="33" t="str">
        <v/>
      </c>
      <c r="BF5" s="33" t="str">
        <v/>
      </c>
      <c r="BG5" s="33" t="str">
        <v/>
      </c>
      <c r="BH5" s="33" t="str">
        <v/>
      </c>
      <c r="BI5" s="33" t="str">
        <v/>
      </c>
      <c r="BJ5" s="33" t="str">
        <v/>
      </c>
      <c r="BK5" s="33" t="str">
        <v/>
      </c>
      <c r="BL5" s="33" t="str">
        <v/>
      </c>
      <c r="BM5" s="33" t="str">
        <v/>
      </c>
      <c r="BN5" s="33" t="str">
        <v/>
      </c>
      <c r="BO5" s="33" t="str">
        <v/>
      </c>
      <c r="BP5" s="33" t="str">
        <v/>
      </c>
      <c r="BQ5" s="33" t="str">
        <v/>
      </c>
      <c r="BR5" s="33" t="str">
        <v/>
      </c>
      <c r="BS5" s="33" t="str">
        <v/>
      </c>
      <c r="BT5" s="33" t="str">
        <v/>
      </c>
      <c r="BU5" s="33" t="str">
        <v/>
      </c>
      <c r="BV5" s="33" t="str">
        <v/>
      </c>
      <c r="BW5" s="33" t="str">
        <v/>
      </c>
      <c r="BX5" s="33" t="str">
        <v/>
      </c>
      <c r="BY5" s="33" t="str">
        <v/>
      </c>
      <c r="BZ5" s="33" t="str">
        <v/>
      </c>
      <c r="CA5" s="33" t="str">
        <v/>
      </c>
      <c r="CB5" s="33" t="str">
        <v/>
      </c>
      <c r="CC5" s="33" t="str">
        <v/>
      </c>
      <c r="CD5" s="33" t="str">
        <v/>
      </c>
      <c r="CE5" s="33" t="str">
        <v/>
      </c>
      <c r="CF5" s="33" t="str">
        <v/>
      </c>
      <c r="CG5" s="33" t="str">
        <v/>
      </c>
      <c r="CH5" s="33" t="str">
        <v/>
      </c>
      <c r="CI5" s="33" t="str">
        <v/>
      </c>
      <c r="CJ5" s="33" t="str">
        <v/>
      </c>
      <c r="CK5" s="33" t="str">
        <v/>
      </c>
      <c r="CL5" s="33" t="str">
        <v/>
      </c>
      <c r="CM5" s="33" t="str">
        <v/>
      </c>
      <c r="CN5" s="33" t="str">
        <v/>
      </c>
      <c r="CO5" s="33" t="str">
        <v/>
      </c>
      <c r="CP5" s="33" t="str">
        <v/>
      </c>
      <c r="CQ5" s="33" t="str">
        <v/>
      </c>
      <c r="CR5" s="33" t="str">
        <v/>
      </c>
      <c r="CS5" s="33" t="str">
        <v/>
      </c>
      <c r="CT5" s="33" t="str">
        <v/>
      </c>
      <c r="CU5" s="33" t="str">
        <v/>
      </c>
      <c r="CV5" s="33" t="str">
        <v/>
      </c>
      <c r="CW5" s="33" t="str">
        <v/>
      </c>
      <c r="CX5" s="33" t="str">
        <v/>
      </c>
    </row>
    <row r="6" spans="1:102" s="30" customFormat="1" x14ac:dyDescent="0.7">
      <c r="B6" s="31" t="s">
        <v>184</v>
      </c>
      <c r="C6" s="32" t="str" cm="1">
        <f t="array" ref="C6:CX6">IF(TRANSPOSE(集計2!$I$1:$I$100)="","",TRANSPOSE(集計2!$I$1:$I$100))</f>
        <v/>
      </c>
      <c r="D6" s="32" t="str">
        <v/>
      </c>
      <c r="E6" s="33" t="str">
        <v/>
      </c>
      <c r="F6" s="33" t="str">
        <v/>
      </c>
      <c r="G6" s="33" t="str">
        <v/>
      </c>
      <c r="H6" s="33" t="str">
        <v/>
      </c>
      <c r="I6" s="33" t="str">
        <v/>
      </c>
      <c r="J6" s="33" t="str">
        <v/>
      </c>
      <c r="K6" s="33" t="str">
        <v/>
      </c>
      <c r="L6" s="33" t="str">
        <v/>
      </c>
      <c r="M6" s="33" t="str">
        <v/>
      </c>
      <c r="N6" s="33" t="str">
        <v/>
      </c>
      <c r="O6" s="33" t="str">
        <v/>
      </c>
      <c r="P6" s="33" t="str">
        <v/>
      </c>
      <c r="Q6" s="33" t="str">
        <v/>
      </c>
      <c r="R6" s="33" t="str">
        <v/>
      </c>
      <c r="S6" s="33" t="str">
        <v/>
      </c>
      <c r="T6" s="33" t="str">
        <v/>
      </c>
      <c r="U6" s="33" t="str">
        <v/>
      </c>
      <c r="V6" s="33" t="str">
        <v/>
      </c>
      <c r="W6" s="33" t="str">
        <v/>
      </c>
      <c r="X6" s="33" t="str">
        <v/>
      </c>
      <c r="Y6" s="33" t="str">
        <v/>
      </c>
      <c r="Z6" s="33" t="str">
        <v/>
      </c>
      <c r="AA6" s="33" t="str">
        <v/>
      </c>
      <c r="AB6" s="33" t="str">
        <v/>
      </c>
      <c r="AC6" s="33" t="str">
        <v/>
      </c>
      <c r="AD6" s="33" t="str">
        <v/>
      </c>
      <c r="AE6" s="33" t="str">
        <v/>
      </c>
      <c r="AF6" s="33" t="str">
        <v/>
      </c>
      <c r="AG6" s="33" t="str">
        <v/>
      </c>
      <c r="AH6" s="33" t="str">
        <v/>
      </c>
      <c r="AI6" s="33" t="str">
        <v/>
      </c>
      <c r="AJ6" s="33" t="str">
        <v/>
      </c>
      <c r="AK6" s="33" t="str">
        <v/>
      </c>
      <c r="AL6" s="33" t="str">
        <v/>
      </c>
      <c r="AM6" s="33" t="str">
        <v/>
      </c>
      <c r="AN6" s="33" t="str">
        <v/>
      </c>
      <c r="AO6" s="33" t="str">
        <v/>
      </c>
      <c r="AP6" s="33" t="str">
        <v/>
      </c>
      <c r="AQ6" s="33" t="str">
        <v/>
      </c>
      <c r="AR6" s="33" t="str">
        <v/>
      </c>
      <c r="AS6" s="33" t="str">
        <v/>
      </c>
      <c r="AT6" s="33" t="str">
        <v/>
      </c>
      <c r="AU6" s="33" t="str">
        <v/>
      </c>
      <c r="AV6" s="33" t="str">
        <v/>
      </c>
      <c r="AW6" s="33" t="str">
        <v/>
      </c>
      <c r="AX6" s="33" t="str">
        <v/>
      </c>
      <c r="AY6" s="33" t="str">
        <v/>
      </c>
      <c r="AZ6" s="33" t="str">
        <v/>
      </c>
      <c r="BA6" s="33" t="str">
        <v/>
      </c>
      <c r="BB6" s="33" t="str">
        <v/>
      </c>
      <c r="BC6" s="33" t="str">
        <v/>
      </c>
      <c r="BD6" s="33" t="str">
        <v/>
      </c>
      <c r="BE6" s="33" t="str">
        <v/>
      </c>
      <c r="BF6" s="33" t="str">
        <v/>
      </c>
      <c r="BG6" s="33" t="str">
        <v/>
      </c>
      <c r="BH6" s="33" t="str">
        <v/>
      </c>
      <c r="BI6" s="33" t="str">
        <v/>
      </c>
      <c r="BJ6" s="33" t="str">
        <v/>
      </c>
      <c r="BK6" s="33" t="str">
        <v/>
      </c>
      <c r="BL6" s="33" t="str">
        <v/>
      </c>
      <c r="BM6" s="33" t="str">
        <v/>
      </c>
      <c r="BN6" s="33" t="str">
        <v/>
      </c>
      <c r="BO6" s="33" t="str">
        <v/>
      </c>
      <c r="BP6" s="33" t="str">
        <v/>
      </c>
      <c r="BQ6" s="33" t="str">
        <v/>
      </c>
      <c r="BR6" s="33" t="str">
        <v/>
      </c>
      <c r="BS6" s="33" t="str">
        <v/>
      </c>
      <c r="BT6" s="33" t="str">
        <v/>
      </c>
      <c r="BU6" s="33" t="str">
        <v/>
      </c>
      <c r="BV6" s="33" t="str">
        <v/>
      </c>
      <c r="BW6" s="33" t="str">
        <v/>
      </c>
      <c r="BX6" s="33" t="str">
        <v/>
      </c>
      <c r="BY6" s="33" t="str">
        <v/>
      </c>
      <c r="BZ6" s="33" t="str">
        <v/>
      </c>
      <c r="CA6" s="33" t="str">
        <v/>
      </c>
      <c r="CB6" s="33" t="str">
        <v/>
      </c>
      <c r="CC6" s="33" t="str">
        <v/>
      </c>
      <c r="CD6" s="33" t="str">
        <v/>
      </c>
      <c r="CE6" s="33" t="str">
        <v/>
      </c>
      <c r="CF6" s="33" t="str">
        <v/>
      </c>
      <c r="CG6" s="33" t="str">
        <v/>
      </c>
      <c r="CH6" s="33" t="str">
        <v/>
      </c>
      <c r="CI6" s="33" t="str">
        <v/>
      </c>
      <c r="CJ6" s="33" t="str">
        <v/>
      </c>
      <c r="CK6" s="33" t="str">
        <v/>
      </c>
      <c r="CL6" s="33" t="str">
        <v/>
      </c>
      <c r="CM6" s="33" t="str">
        <v/>
      </c>
      <c r="CN6" s="33" t="str">
        <v/>
      </c>
      <c r="CO6" s="33" t="str">
        <v/>
      </c>
      <c r="CP6" s="33" t="str">
        <v/>
      </c>
      <c r="CQ6" s="33" t="str">
        <v/>
      </c>
      <c r="CR6" s="33" t="str">
        <v/>
      </c>
      <c r="CS6" s="33" t="str">
        <v/>
      </c>
      <c r="CT6" s="33" t="str">
        <v/>
      </c>
      <c r="CU6" s="33" t="str">
        <v/>
      </c>
      <c r="CV6" s="33" t="str">
        <v/>
      </c>
      <c r="CW6" s="33" t="str">
        <v/>
      </c>
      <c r="CX6" s="33" t="str">
        <v/>
      </c>
    </row>
    <row r="7" spans="1:102" s="30" customFormat="1" x14ac:dyDescent="0.7">
      <c r="B7" s="41" t="s">
        <v>185</v>
      </c>
      <c r="C7" s="129" t="str" cm="1">
        <f t="array" ref="C7:CX7">IFERROR(IF(TRANSPOSE(集計2!$F$1:$F$100)="","",IF($C$5:$CX$5="",TRANSPOSE(集計2!$F$1:$F$100),$C$5:$CX$5+TRANSPOSE(集計2!$F$1:$F$100))),"")</f>
        <v/>
      </c>
      <c r="D7" s="129" t="str">
        <v/>
      </c>
      <c r="E7" s="130" t="str">
        <v/>
      </c>
      <c r="F7" s="130" t="str">
        <v/>
      </c>
      <c r="G7" s="130" t="str">
        <v/>
      </c>
      <c r="H7" s="130" t="str">
        <v/>
      </c>
      <c r="I7" s="130" t="str">
        <v/>
      </c>
      <c r="J7" s="130" t="str">
        <v/>
      </c>
      <c r="K7" s="130" t="str">
        <v/>
      </c>
      <c r="L7" s="130" t="str">
        <v/>
      </c>
      <c r="M7" s="130" t="str">
        <v/>
      </c>
      <c r="N7" s="130" t="str">
        <v/>
      </c>
      <c r="O7" s="130" t="str">
        <v/>
      </c>
      <c r="P7" s="130" t="str">
        <v/>
      </c>
      <c r="Q7" s="130" t="str">
        <v/>
      </c>
      <c r="R7" s="130" t="str">
        <v/>
      </c>
      <c r="S7" s="130" t="str">
        <v/>
      </c>
      <c r="T7" s="130" t="str">
        <v/>
      </c>
      <c r="U7" s="130" t="str">
        <v/>
      </c>
      <c r="V7" s="130" t="str">
        <v/>
      </c>
      <c r="W7" s="130" t="str">
        <v/>
      </c>
      <c r="X7" s="130" t="str">
        <v/>
      </c>
      <c r="Y7" s="130" t="str">
        <v/>
      </c>
      <c r="Z7" s="130" t="str">
        <v/>
      </c>
      <c r="AA7" s="130" t="str">
        <v/>
      </c>
      <c r="AB7" s="130" t="str">
        <v/>
      </c>
      <c r="AC7" s="130" t="str">
        <v/>
      </c>
      <c r="AD7" s="130" t="str">
        <v/>
      </c>
      <c r="AE7" s="130" t="str">
        <v/>
      </c>
      <c r="AF7" s="130" t="str">
        <v/>
      </c>
      <c r="AG7" s="130" t="str">
        <v/>
      </c>
      <c r="AH7" s="130" t="str">
        <v/>
      </c>
      <c r="AI7" s="130" t="str">
        <v/>
      </c>
      <c r="AJ7" s="130" t="str">
        <v/>
      </c>
      <c r="AK7" s="130" t="str">
        <v/>
      </c>
      <c r="AL7" s="130" t="str">
        <v/>
      </c>
      <c r="AM7" s="130" t="str">
        <v/>
      </c>
      <c r="AN7" s="130" t="str">
        <v/>
      </c>
      <c r="AO7" s="130" t="str">
        <v/>
      </c>
      <c r="AP7" s="130" t="str">
        <v/>
      </c>
      <c r="AQ7" s="130" t="str">
        <v/>
      </c>
      <c r="AR7" s="130" t="str">
        <v/>
      </c>
      <c r="AS7" s="130" t="str">
        <v/>
      </c>
      <c r="AT7" s="130" t="str">
        <v/>
      </c>
      <c r="AU7" s="130" t="str">
        <v/>
      </c>
      <c r="AV7" s="130" t="str">
        <v/>
      </c>
      <c r="AW7" s="130" t="str">
        <v/>
      </c>
      <c r="AX7" s="130" t="str">
        <v/>
      </c>
      <c r="AY7" s="130" t="str">
        <v/>
      </c>
      <c r="AZ7" s="130" t="str">
        <v/>
      </c>
      <c r="BA7" s="130" t="str">
        <v/>
      </c>
      <c r="BB7" s="130" t="str">
        <v/>
      </c>
      <c r="BC7" s="130" t="str">
        <v/>
      </c>
      <c r="BD7" s="130" t="str">
        <v/>
      </c>
      <c r="BE7" s="130" t="str">
        <v/>
      </c>
      <c r="BF7" s="130" t="str">
        <v/>
      </c>
      <c r="BG7" s="130" t="str">
        <v/>
      </c>
      <c r="BH7" s="130" t="str">
        <v/>
      </c>
      <c r="BI7" s="130" t="str">
        <v/>
      </c>
      <c r="BJ7" s="130" t="str">
        <v/>
      </c>
      <c r="BK7" s="130" t="str">
        <v/>
      </c>
      <c r="BL7" s="130" t="str">
        <v/>
      </c>
      <c r="BM7" s="130" t="str">
        <v/>
      </c>
      <c r="BN7" s="130" t="str">
        <v/>
      </c>
      <c r="BO7" s="130" t="str">
        <v/>
      </c>
      <c r="BP7" s="130" t="str">
        <v/>
      </c>
      <c r="BQ7" s="130" t="str">
        <v/>
      </c>
      <c r="BR7" s="130" t="str">
        <v/>
      </c>
      <c r="BS7" s="130" t="str">
        <v/>
      </c>
      <c r="BT7" s="130" t="str">
        <v/>
      </c>
      <c r="BU7" s="130" t="str">
        <v/>
      </c>
      <c r="BV7" s="130" t="str">
        <v/>
      </c>
      <c r="BW7" s="130" t="str">
        <v/>
      </c>
      <c r="BX7" s="130" t="str">
        <v/>
      </c>
      <c r="BY7" s="130" t="str">
        <v/>
      </c>
      <c r="BZ7" s="130" t="str">
        <v/>
      </c>
      <c r="CA7" s="130" t="str">
        <v/>
      </c>
      <c r="CB7" s="130" t="str">
        <v/>
      </c>
      <c r="CC7" s="130" t="str">
        <v/>
      </c>
      <c r="CD7" s="130" t="str">
        <v/>
      </c>
      <c r="CE7" s="130" t="str">
        <v/>
      </c>
      <c r="CF7" s="130" t="str">
        <v/>
      </c>
      <c r="CG7" s="130" t="str">
        <v/>
      </c>
      <c r="CH7" s="130" t="str">
        <v/>
      </c>
      <c r="CI7" s="130" t="str">
        <v/>
      </c>
      <c r="CJ7" s="130" t="str">
        <v/>
      </c>
      <c r="CK7" s="130" t="str">
        <v/>
      </c>
      <c r="CL7" s="130" t="str">
        <v/>
      </c>
      <c r="CM7" s="130" t="str">
        <v/>
      </c>
      <c r="CN7" s="130" t="str">
        <v/>
      </c>
      <c r="CO7" s="130" t="str">
        <v/>
      </c>
      <c r="CP7" s="130" t="str">
        <v/>
      </c>
      <c r="CQ7" s="130" t="str">
        <v/>
      </c>
      <c r="CR7" s="130" t="str">
        <v/>
      </c>
      <c r="CS7" s="130" t="str">
        <v/>
      </c>
      <c r="CT7" s="130" t="str">
        <v/>
      </c>
      <c r="CU7" s="130" t="str">
        <v/>
      </c>
      <c r="CV7" s="130" t="str">
        <v/>
      </c>
      <c r="CW7" s="130" t="str">
        <v/>
      </c>
      <c r="CX7" s="130" t="str">
        <v/>
      </c>
    </row>
    <row r="8" spans="1:102" s="30" customFormat="1" ht="16.899999999999999" thickBot="1" x14ac:dyDescent="0.75">
      <c r="B8" s="41" t="s">
        <v>186</v>
      </c>
      <c r="C8" s="129" t="str" cm="1">
        <f t="array" ref="C8:CX8">IFERROR(IF(TRANSPOSE(集計2!$F$1:$F$100)="","",IF($C$6:$CX$6="",TRANSPOSE(集計2!$F$1:$F$100),$C$6:$CX$6+TRANSPOSE(集計2!$F$1:$F$100))),"")</f>
        <v/>
      </c>
      <c r="D8" s="129" t="str">
        <v/>
      </c>
      <c r="E8" s="130" t="str">
        <v/>
      </c>
      <c r="F8" s="130" t="str">
        <v/>
      </c>
      <c r="G8" s="130" t="str">
        <v/>
      </c>
      <c r="H8" s="130" t="str">
        <v/>
      </c>
      <c r="I8" s="130" t="str">
        <v/>
      </c>
      <c r="J8" s="130" t="str">
        <v/>
      </c>
      <c r="K8" s="130" t="str">
        <v/>
      </c>
      <c r="L8" s="130" t="str">
        <v/>
      </c>
      <c r="M8" s="130" t="str">
        <v/>
      </c>
      <c r="N8" s="130" t="str">
        <v/>
      </c>
      <c r="O8" s="130" t="str">
        <v/>
      </c>
      <c r="P8" s="130" t="str">
        <v/>
      </c>
      <c r="Q8" s="130" t="str">
        <v/>
      </c>
      <c r="R8" s="130" t="str">
        <v/>
      </c>
      <c r="S8" s="130" t="str">
        <v/>
      </c>
      <c r="T8" s="130" t="str">
        <v/>
      </c>
      <c r="U8" s="130" t="str">
        <v/>
      </c>
      <c r="V8" s="130" t="str">
        <v/>
      </c>
      <c r="W8" s="130" t="str">
        <v/>
      </c>
      <c r="X8" s="130" t="str">
        <v/>
      </c>
      <c r="Y8" s="130" t="str">
        <v/>
      </c>
      <c r="Z8" s="130" t="str">
        <v/>
      </c>
      <c r="AA8" s="130" t="str">
        <v/>
      </c>
      <c r="AB8" s="130" t="str">
        <v/>
      </c>
      <c r="AC8" s="130" t="str">
        <v/>
      </c>
      <c r="AD8" s="130" t="str">
        <v/>
      </c>
      <c r="AE8" s="130" t="str">
        <v/>
      </c>
      <c r="AF8" s="130" t="str">
        <v/>
      </c>
      <c r="AG8" s="130" t="str">
        <v/>
      </c>
      <c r="AH8" s="130" t="str">
        <v/>
      </c>
      <c r="AI8" s="130" t="str">
        <v/>
      </c>
      <c r="AJ8" s="130" t="str">
        <v/>
      </c>
      <c r="AK8" s="130" t="str">
        <v/>
      </c>
      <c r="AL8" s="130" t="str">
        <v/>
      </c>
      <c r="AM8" s="130" t="str">
        <v/>
      </c>
      <c r="AN8" s="130" t="str">
        <v/>
      </c>
      <c r="AO8" s="130" t="str">
        <v/>
      </c>
      <c r="AP8" s="130" t="str">
        <v/>
      </c>
      <c r="AQ8" s="130" t="str">
        <v/>
      </c>
      <c r="AR8" s="130" t="str">
        <v/>
      </c>
      <c r="AS8" s="130" t="str">
        <v/>
      </c>
      <c r="AT8" s="130" t="str">
        <v/>
      </c>
      <c r="AU8" s="130" t="str">
        <v/>
      </c>
      <c r="AV8" s="130" t="str">
        <v/>
      </c>
      <c r="AW8" s="130" t="str">
        <v/>
      </c>
      <c r="AX8" s="130" t="str">
        <v/>
      </c>
      <c r="AY8" s="130" t="str">
        <v/>
      </c>
      <c r="AZ8" s="130" t="str">
        <v/>
      </c>
      <c r="BA8" s="130" t="str">
        <v/>
      </c>
      <c r="BB8" s="130" t="str">
        <v/>
      </c>
      <c r="BC8" s="130" t="str">
        <v/>
      </c>
      <c r="BD8" s="130" t="str">
        <v/>
      </c>
      <c r="BE8" s="130" t="str">
        <v/>
      </c>
      <c r="BF8" s="130" t="str">
        <v/>
      </c>
      <c r="BG8" s="130" t="str">
        <v/>
      </c>
      <c r="BH8" s="130" t="str">
        <v/>
      </c>
      <c r="BI8" s="130" t="str">
        <v/>
      </c>
      <c r="BJ8" s="130" t="str">
        <v/>
      </c>
      <c r="BK8" s="130" t="str">
        <v/>
      </c>
      <c r="BL8" s="130" t="str">
        <v/>
      </c>
      <c r="BM8" s="130" t="str">
        <v/>
      </c>
      <c r="BN8" s="130" t="str">
        <v/>
      </c>
      <c r="BO8" s="130" t="str">
        <v/>
      </c>
      <c r="BP8" s="130" t="str">
        <v/>
      </c>
      <c r="BQ8" s="130" t="str">
        <v/>
      </c>
      <c r="BR8" s="130" t="str">
        <v/>
      </c>
      <c r="BS8" s="130" t="str">
        <v/>
      </c>
      <c r="BT8" s="130" t="str">
        <v/>
      </c>
      <c r="BU8" s="130" t="str">
        <v/>
      </c>
      <c r="BV8" s="130" t="str">
        <v/>
      </c>
      <c r="BW8" s="130" t="str">
        <v/>
      </c>
      <c r="BX8" s="130" t="str">
        <v/>
      </c>
      <c r="BY8" s="130" t="str">
        <v/>
      </c>
      <c r="BZ8" s="130" t="str">
        <v/>
      </c>
      <c r="CA8" s="130" t="str">
        <v/>
      </c>
      <c r="CB8" s="130" t="str">
        <v/>
      </c>
      <c r="CC8" s="130" t="str">
        <v/>
      </c>
      <c r="CD8" s="130" t="str">
        <v/>
      </c>
      <c r="CE8" s="130" t="str">
        <v/>
      </c>
      <c r="CF8" s="130" t="str">
        <v/>
      </c>
      <c r="CG8" s="130" t="str">
        <v/>
      </c>
      <c r="CH8" s="130" t="str">
        <v/>
      </c>
      <c r="CI8" s="130" t="str">
        <v/>
      </c>
      <c r="CJ8" s="130" t="str">
        <v/>
      </c>
      <c r="CK8" s="130" t="str">
        <v/>
      </c>
      <c r="CL8" s="130" t="str">
        <v/>
      </c>
      <c r="CM8" s="130" t="str">
        <v/>
      </c>
      <c r="CN8" s="130" t="str">
        <v/>
      </c>
      <c r="CO8" s="130" t="str">
        <v/>
      </c>
      <c r="CP8" s="130" t="str">
        <v/>
      </c>
      <c r="CQ8" s="130" t="str">
        <v/>
      </c>
      <c r="CR8" s="130" t="str">
        <v/>
      </c>
      <c r="CS8" s="130" t="str">
        <v/>
      </c>
      <c r="CT8" s="130" t="str">
        <v/>
      </c>
      <c r="CU8" s="130" t="str">
        <v/>
      </c>
      <c r="CV8" s="130" t="str">
        <v/>
      </c>
      <c r="CW8" s="130" t="str">
        <v/>
      </c>
      <c r="CX8" s="130" t="str">
        <v/>
      </c>
    </row>
    <row r="9" spans="1:102" s="30" customFormat="1" hidden="1" x14ac:dyDescent="0.7">
      <c r="A9" s="38" t="s">
        <v>211</v>
      </c>
      <c r="B9" s="31" t="s">
        <v>189</v>
      </c>
      <c r="C9" s="39" t="str" cm="1">
        <f t="array" ref="C9:CX9">IF(TRANSPOSE(集計2!$K$1:$K$100)="","",TRANSPOSE(集計2!$K$1:$K$100))</f>
        <v/>
      </c>
      <c r="D9" s="39" t="str">
        <v/>
      </c>
      <c r="E9" s="40" t="str">
        <v/>
      </c>
      <c r="F9" s="40" t="str">
        <v/>
      </c>
      <c r="G9" s="40" t="str">
        <v/>
      </c>
      <c r="H9" s="40" t="str">
        <v/>
      </c>
      <c r="I9" s="40" t="str">
        <v/>
      </c>
      <c r="J9" s="40" t="str">
        <v/>
      </c>
      <c r="K9" s="40" t="str">
        <v/>
      </c>
      <c r="L9" s="40" t="str">
        <v/>
      </c>
      <c r="M9" s="40" t="str">
        <v/>
      </c>
      <c r="N9" s="40" t="str">
        <v/>
      </c>
      <c r="O9" s="40" t="str">
        <v/>
      </c>
      <c r="P9" s="40" t="str">
        <v/>
      </c>
      <c r="Q9" s="40" t="str">
        <v/>
      </c>
      <c r="R9" s="40" t="str">
        <v/>
      </c>
      <c r="S9" s="40" t="str">
        <v/>
      </c>
      <c r="T9" s="40" t="str">
        <v/>
      </c>
      <c r="U9" s="40" t="str">
        <v/>
      </c>
      <c r="V9" s="40" t="str">
        <v/>
      </c>
      <c r="W9" s="40" t="str">
        <v/>
      </c>
      <c r="X9" s="40" t="str">
        <v/>
      </c>
      <c r="Y9" s="40" t="str">
        <v/>
      </c>
      <c r="Z9" s="40" t="str">
        <v/>
      </c>
      <c r="AA9" s="40" t="str">
        <v/>
      </c>
      <c r="AB9" s="40" t="str">
        <v/>
      </c>
      <c r="AC9" s="40" t="str">
        <v/>
      </c>
      <c r="AD9" s="40" t="str">
        <v/>
      </c>
      <c r="AE9" s="40" t="str">
        <v/>
      </c>
      <c r="AF9" s="40" t="str">
        <v/>
      </c>
      <c r="AG9" s="40" t="str">
        <v/>
      </c>
      <c r="AH9" s="40" t="str">
        <v/>
      </c>
      <c r="AI9" s="40" t="str">
        <v/>
      </c>
      <c r="AJ9" s="40" t="str">
        <v/>
      </c>
      <c r="AK9" s="40" t="str">
        <v/>
      </c>
      <c r="AL9" s="40" t="str">
        <v/>
      </c>
      <c r="AM9" s="40" t="str">
        <v/>
      </c>
      <c r="AN9" s="40" t="str">
        <v/>
      </c>
      <c r="AO9" s="40" t="str">
        <v/>
      </c>
      <c r="AP9" s="40" t="str">
        <v/>
      </c>
      <c r="AQ9" s="40" t="str">
        <v/>
      </c>
      <c r="AR9" s="40" t="str">
        <v/>
      </c>
      <c r="AS9" s="40" t="str">
        <v/>
      </c>
      <c r="AT9" s="40" t="str">
        <v/>
      </c>
      <c r="AU9" s="40" t="str">
        <v/>
      </c>
      <c r="AV9" s="40" t="str">
        <v/>
      </c>
      <c r="AW9" s="40" t="str">
        <v/>
      </c>
      <c r="AX9" s="40" t="str">
        <v/>
      </c>
      <c r="AY9" s="40" t="str">
        <v/>
      </c>
      <c r="AZ9" s="40" t="str">
        <v/>
      </c>
      <c r="BA9" s="40" t="str">
        <v/>
      </c>
      <c r="BB9" s="40" t="str">
        <v/>
      </c>
      <c r="BC9" s="40" t="str">
        <v/>
      </c>
      <c r="BD9" s="40" t="str">
        <v/>
      </c>
      <c r="BE9" s="40" t="str">
        <v/>
      </c>
      <c r="BF9" s="40" t="str">
        <v/>
      </c>
      <c r="BG9" s="40" t="str">
        <v/>
      </c>
      <c r="BH9" s="40" t="str">
        <v/>
      </c>
      <c r="BI9" s="40" t="str">
        <v/>
      </c>
      <c r="BJ9" s="40" t="str">
        <v/>
      </c>
      <c r="BK9" s="40" t="str">
        <v/>
      </c>
      <c r="BL9" s="40" t="str">
        <v/>
      </c>
      <c r="BM9" s="40" t="str">
        <v/>
      </c>
      <c r="BN9" s="40" t="str">
        <v/>
      </c>
      <c r="BO9" s="40" t="str">
        <v/>
      </c>
      <c r="BP9" s="40" t="str">
        <v/>
      </c>
      <c r="BQ9" s="40" t="str">
        <v/>
      </c>
      <c r="BR9" s="40" t="str">
        <v/>
      </c>
      <c r="BS9" s="40" t="str">
        <v/>
      </c>
      <c r="BT9" s="40" t="str">
        <v/>
      </c>
      <c r="BU9" s="40" t="str">
        <v/>
      </c>
      <c r="BV9" s="40" t="str">
        <v/>
      </c>
      <c r="BW9" s="40" t="str">
        <v/>
      </c>
      <c r="BX9" s="40" t="str">
        <v/>
      </c>
      <c r="BY9" s="40" t="str">
        <v/>
      </c>
      <c r="BZ9" s="40" t="str">
        <v/>
      </c>
      <c r="CA9" s="40" t="str">
        <v/>
      </c>
      <c r="CB9" s="40" t="str">
        <v/>
      </c>
      <c r="CC9" s="40" t="str">
        <v/>
      </c>
      <c r="CD9" s="40" t="str">
        <v/>
      </c>
      <c r="CE9" s="40" t="str">
        <v/>
      </c>
      <c r="CF9" s="40" t="str">
        <v/>
      </c>
      <c r="CG9" s="40" t="str">
        <v/>
      </c>
      <c r="CH9" s="40" t="str">
        <v/>
      </c>
      <c r="CI9" s="40" t="str">
        <v/>
      </c>
      <c r="CJ9" s="40" t="str">
        <v/>
      </c>
      <c r="CK9" s="40" t="str">
        <v/>
      </c>
      <c r="CL9" s="40" t="str">
        <v/>
      </c>
      <c r="CM9" s="40" t="str">
        <v/>
      </c>
      <c r="CN9" s="40" t="str">
        <v/>
      </c>
      <c r="CO9" s="40" t="str">
        <v/>
      </c>
      <c r="CP9" s="40" t="str">
        <v/>
      </c>
      <c r="CQ9" s="40" t="str">
        <v/>
      </c>
      <c r="CR9" s="40" t="str">
        <v/>
      </c>
      <c r="CS9" s="40" t="str">
        <v/>
      </c>
      <c r="CT9" s="40" t="str">
        <v/>
      </c>
      <c r="CU9" s="40" t="str">
        <v/>
      </c>
      <c r="CV9" s="40" t="str">
        <v/>
      </c>
      <c r="CW9" s="40" t="str">
        <v/>
      </c>
      <c r="CX9" s="40" t="str">
        <v/>
      </c>
    </row>
    <row r="10" spans="1:102" s="30" customFormat="1" hidden="1" x14ac:dyDescent="0.7">
      <c r="B10" s="41" t="s">
        <v>194</v>
      </c>
      <c r="C10" s="42" t="str" cm="1">
        <f t="array" ref="C10:CX10">IFERROR(IF(TRANSPOSE(集計2!$F$1:$F$100)="","",IF($C$5:$CX$5="",TRANSPOSE(集計2!$F$1:$F$100),TRANSPOSE(集計2!$F$1:$F$100))+IF($C$5:$CX$5="",0,$C$5:$CX$5)*$C$9:$CX$9),"")</f>
        <v/>
      </c>
      <c r="D10" s="42" t="str">
        <v/>
      </c>
      <c r="E10" s="43" t="str">
        <v/>
      </c>
      <c r="F10" s="43" t="str">
        <v/>
      </c>
      <c r="G10" s="43" t="str">
        <v/>
      </c>
      <c r="H10" s="43" t="str">
        <v/>
      </c>
      <c r="I10" s="43" t="str">
        <v/>
      </c>
      <c r="J10" s="43" t="str">
        <v/>
      </c>
      <c r="K10" s="43" t="str">
        <v/>
      </c>
      <c r="L10" s="43" t="str">
        <v/>
      </c>
      <c r="M10" s="43" t="str">
        <v/>
      </c>
      <c r="N10" s="43" t="str">
        <v/>
      </c>
      <c r="O10" s="43" t="str">
        <v/>
      </c>
      <c r="P10" s="43" t="str">
        <v/>
      </c>
      <c r="Q10" s="43" t="str">
        <v/>
      </c>
      <c r="R10" s="43" t="str">
        <v/>
      </c>
      <c r="S10" s="43" t="str">
        <v/>
      </c>
      <c r="T10" s="43" t="str">
        <v/>
      </c>
      <c r="U10" s="43" t="str">
        <v/>
      </c>
      <c r="V10" s="43" t="str">
        <v/>
      </c>
      <c r="W10" s="43" t="str">
        <v/>
      </c>
      <c r="X10" s="43" t="str">
        <v/>
      </c>
      <c r="Y10" s="43" t="str">
        <v/>
      </c>
      <c r="Z10" s="43" t="str">
        <v/>
      </c>
      <c r="AA10" s="43" t="str">
        <v/>
      </c>
      <c r="AB10" s="43" t="str">
        <v/>
      </c>
      <c r="AC10" s="43" t="str">
        <v/>
      </c>
      <c r="AD10" s="43" t="str">
        <v/>
      </c>
      <c r="AE10" s="43" t="str">
        <v/>
      </c>
      <c r="AF10" s="43" t="str">
        <v/>
      </c>
      <c r="AG10" s="43" t="str">
        <v/>
      </c>
      <c r="AH10" s="43" t="str">
        <v/>
      </c>
      <c r="AI10" s="43" t="str">
        <v/>
      </c>
      <c r="AJ10" s="43" t="str">
        <v/>
      </c>
      <c r="AK10" s="43" t="str">
        <v/>
      </c>
      <c r="AL10" s="43" t="str">
        <v/>
      </c>
      <c r="AM10" s="43" t="str">
        <v/>
      </c>
      <c r="AN10" s="43" t="str">
        <v/>
      </c>
      <c r="AO10" s="43" t="str">
        <v/>
      </c>
      <c r="AP10" s="43" t="str">
        <v/>
      </c>
      <c r="AQ10" s="43" t="str">
        <v/>
      </c>
      <c r="AR10" s="43" t="str">
        <v/>
      </c>
      <c r="AS10" s="43" t="str">
        <v/>
      </c>
      <c r="AT10" s="43" t="str">
        <v/>
      </c>
      <c r="AU10" s="43" t="str">
        <v/>
      </c>
      <c r="AV10" s="43" t="str">
        <v/>
      </c>
      <c r="AW10" s="43" t="str">
        <v/>
      </c>
      <c r="AX10" s="43" t="str">
        <v/>
      </c>
      <c r="AY10" s="43" t="str">
        <v/>
      </c>
      <c r="AZ10" s="43" t="str">
        <v/>
      </c>
      <c r="BA10" s="43" t="str">
        <v/>
      </c>
      <c r="BB10" s="43" t="str">
        <v/>
      </c>
      <c r="BC10" s="43" t="str">
        <v/>
      </c>
      <c r="BD10" s="43" t="str">
        <v/>
      </c>
      <c r="BE10" s="43" t="str">
        <v/>
      </c>
      <c r="BF10" s="43" t="str">
        <v/>
      </c>
      <c r="BG10" s="43" t="str">
        <v/>
      </c>
      <c r="BH10" s="43" t="str">
        <v/>
      </c>
      <c r="BI10" s="43" t="str">
        <v/>
      </c>
      <c r="BJ10" s="43" t="str">
        <v/>
      </c>
      <c r="BK10" s="43" t="str">
        <v/>
      </c>
      <c r="BL10" s="43" t="str">
        <v/>
      </c>
      <c r="BM10" s="43" t="str">
        <v/>
      </c>
      <c r="BN10" s="43" t="str">
        <v/>
      </c>
      <c r="BO10" s="43" t="str">
        <v/>
      </c>
      <c r="BP10" s="43" t="str">
        <v/>
      </c>
      <c r="BQ10" s="43" t="str">
        <v/>
      </c>
      <c r="BR10" s="43" t="str">
        <v/>
      </c>
      <c r="BS10" s="43" t="str">
        <v/>
      </c>
      <c r="BT10" s="43" t="str">
        <v/>
      </c>
      <c r="BU10" s="43" t="str">
        <v/>
      </c>
      <c r="BV10" s="43" t="str">
        <v/>
      </c>
      <c r="BW10" s="43" t="str">
        <v/>
      </c>
      <c r="BX10" s="43" t="str">
        <v/>
      </c>
      <c r="BY10" s="43" t="str">
        <v/>
      </c>
      <c r="BZ10" s="43" t="str">
        <v/>
      </c>
      <c r="CA10" s="43" t="str">
        <v/>
      </c>
      <c r="CB10" s="43" t="str">
        <v/>
      </c>
      <c r="CC10" s="43" t="str">
        <v/>
      </c>
      <c r="CD10" s="43" t="str">
        <v/>
      </c>
      <c r="CE10" s="43" t="str">
        <v/>
      </c>
      <c r="CF10" s="43" t="str">
        <v/>
      </c>
      <c r="CG10" s="43" t="str">
        <v/>
      </c>
      <c r="CH10" s="43" t="str">
        <v/>
      </c>
      <c r="CI10" s="43" t="str">
        <v/>
      </c>
      <c r="CJ10" s="43" t="str">
        <v/>
      </c>
      <c r="CK10" s="43" t="str">
        <v/>
      </c>
      <c r="CL10" s="43" t="str">
        <v/>
      </c>
      <c r="CM10" s="43" t="str">
        <v/>
      </c>
      <c r="CN10" s="43" t="str">
        <v/>
      </c>
      <c r="CO10" s="43" t="str">
        <v/>
      </c>
      <c r="CP10" s="43" t="str">
        <v/>
      </c>
      <c r="CQ10" s="43" t="str">
        <v/>
      </c>
      <c r="CR10" s="43" t="str">
        <v/>
      </c>
      <c r="CS10" s="43" t="str">
        <v/>
      </c>
      <c r="CT10" s="43" t="str">
        <v/>
      </c>
      <c r="CU10" s="43" t="str">
        <v/>
      </c>
      <c r="CV10" s="43" t="str">
        <v/>
      </c>
      <c r="CW10" s="43" t="str">
        <v/>
      </c>
      <c r="CX10" s="43" t="str">
        <v/>
      </c>
    </row>
    <row r="11" spans="1:102" s="30" customFormat="1" ht="16.899999999999999" hidden="1" thickBot="1" x14ac:dyDescent="0.75">
      <c r="B11" s="44" t="s">
        <v>195</v>
      </c>
      <c r="C11" s="45" t="str" cm="1">
        <f t="array" ref="C11:CX11">IFERROR(IF(TRANSPOSE(集計2!$F$1:$F$100)="","",IF($C$6:$CX$6="",TRANSPOSE(集計2!$F$1:$F$100),TRANSPOSE(集計2!$F$1:$F$100))+IF($C$6:$CX$6="",0,$C$6:$CX$6)*$C$9:$CX$9),"")</f>
        <v/>
      </c>
      <c r="D11" s="45" t="str">
        <v/>
      </c>
      <c r="E11" s="46" t="str">
        <v/>
      </c>
      <c r="F11" s="46" t="str">
        <v/>
      </c>
      <c r="G11" s="46" t="str">
        <v/>
      </c>
      <c r="H11" s="46" t="str">
        <v/>
      </c>
      <c r="I11" s="46" t="str">
        <v/>
      </c>
      <c r="J11" s="46" t="str">
        <v/>
      </c>
      <c r="K11" s="46" t="str">
        <v/>
      </c>
      <c r="L11" s="46" t="str">
        <v/>
      </c>
      <c r="M11" s="46" t="str">
        <v/>
      </c>
      <c r="N11" s="46" t="str">
        <v/>
      </c>
      <c r="O11" s="46" t="str">
        <v/>
      </c>
      <c r="P11" s="46" t="str">
        <v/>
      </c>
      <c r="Q11" s="46" t="str">
        <v/>
      </c>
      <c r="R11" s="46" t="str">
        <v/>
      </c>
      <c r="S11" s="46" t="str">
        <v/>
      </c>
      <c r="T11" s="46" t="str">
        <v/>
      </c>
      <c r="U11" s="46" t="str">
        <v/>
      </c>
      <c r="V11" s="46" t="str">
        <v/>
      </c>
      <c r="W11" s="46" t="str">
        <v/>
      </c>
      <c r="X11" s="46" t="str">
        <v/>
      </c>
      <c r="Y11" s="46" t="str">
        <v/>
      </c>
      <c r="Z11" s="46" t="str">
        <v/>
      </c>
      <c r="AA11" s="46" t="str">
        <v/>
      </c>
      <c r="AB11" s="46" t="str">
        <v/>
      </c>
      <c r="AC11" s="46" t="str">
        <v/>
      </c>
      <c r="AD11" s="46" t="str">
        <v/>
      </c>
      <c r="AE11" s="46" t="str">
        <v/>
      </c>
      <c r="AF11" s="46" t="str">
        <v/>
      </c>
      <c r="AG11" s="46" t="str">
        <v/>
      </c>
      <c r="AH11" s="46" t="str">
        <v/>
      </c>
      <c r="AI11" s="46" t="str">
        <v/>
      </c>
      <c r="AJ11" s="46" t="str">
        <v/>
      </c>
      <c r="AK11" s="46" t="str">
        <v/>
      </c>
      <c r="AL11" s="46" t="str">
        <v/>
      </c>
      <c r="AM11" s="46" t="str">
        <v/>
      </c>
      <c r="AN11" s="46" t="str">
        <v/>
      </c>
      <c r="AO11" s="46" t="str">
        <v/>
      </c>
      <c r="AP11" s="46" t="str">
        <v/>
      </c>
      <c r="AQ11" s="46" t="str">
        <v/>
      </c>
      <c r="AR11" s="46" t="str">
        <v/>
      </c>
      <c r="AS11" s="46" t="str">
        <v/>
      </c>
      <c r="AT11" s="46" t="str">
        <v/>
      </c>
      <c r="AU11" s="46" t="str">
        <v/>
      </c>
      <c r="AV11" s="46" t="str">
        <v/>
      </c>
      <c r="AW11" s="46" t="str">
        <v/>
      </c>
      <c r="AX11" s="46" t="str">
        <v/>
      </c>
      <c r="AY11" s="46" t="str">
        <v/>
      </c>
      <c r="AZ11" s="46" t="str">
        <v/>
      </c>
      <c r="BA11" s="46" t="str">
        <v/>
      </c>
      <c r="BB11" s="46" t="str">
        <v/>
      </c>
      <c r="BC11" s="46" t="str">
        <v/>
      </c>
      <c r="BD11" s="46" t="str">
        <v/>
      </c>
      <c r="BE11" s="46" t="str">
        <v/>
      </c>
      <c r="BF11" s="46" t="str">
        <v/>
      </c>
      <c r="BG11" s="46" t="str">
        <v/>
      </c>
      <c r="BH11" s="46" t="str">
        <v/>
      </c>
      <c r="BI11" s="46" t="str">
        <v/>
      </c>
      <c r="BJ11" s="46" t="str">
        <v/>
      </c>
      <c r="BK11" s="46" t="str">
        <v/>
      </c>
      <c r="BL11" s="46" t="str">
        <v/>
      </c>
      <c r="BM11" s="46" t="str">
        <v/>
      </c>
      <c r="BN11" s="46" t="str">
        <v/>
      </c>
      <c r="BO11" s="46" t="str">
        <v/>
      </c>
      <c r="BP11" s="46" t="str">
        <v/>
      </c>
      <c r="BQ11" s="46" t="str">
        <v/>
      </c>
      <c r="BR11" s="46" t="str">
        <v/>
      </c>
      <c r="BS11" s="46" t="str">
        <v/>
      </c>
      <c r="BT11" s="46" t="str">
        <v/>
      </c>
      <c r="BU11" s="46" t="str">
        <v/>
      </c>
      <c r="BV11" s="46" t="str">
        <v/>
      </c>
      <c r="BW11" s="46" t="str">
        <v/>
      </c>
      <c r="BX11" s="46" t="str">
        <v/>
      </c>
      <c r="BY11" s="46" t="str">
        <v/>
      </c>
      <c r="BZ11" s="46" t="str">
        <v/>
      </c>
      <c r="CA11" s="46" t="str">
        <v/>
      </c>
      <c r="CB11" s="46" t="str">
        <v/>
      </c>
      <c r="CC11" s="46" t="str">
        <v/>
      </c>
      <c r="CD11" s="46" t="str">
        <v/>
      </c>
      <c r="CE11" s="46" t="str">
        <v/>
      </c>
      <c r="CF11" s="46" t="str">
        <v/>
      </c>
      <c r="CG11" s="46" t="str">
        <v/>
      </c>
      <c r="CH11" s="46" t="str">
        <v/>
      </c>
      <c r="CI11" s="46" t="str">
        <v/>
      </c>
      <c r="CJ11" s="46" t="str">
        <v/>
      </c>
      <c r="CK11" s="46" t="str">
        <v/>
      </c>
      <c r="CL11" s="46" t="str">
        <v/>
      </c>
      <c r="CM11" s="46" t="str">
        <v/>
      </c>
      <c r="CN11" s="46" t="str">
        <v/>
      </c>
      <c r="CO11" s="46" t="str">
        <v/>
      </c>
      <c r="CP11" s="46" t="str">
        <v/>
      </c>
      <c r="CQ11" s="46" t="str">
        <v/>
      </c>
      <c r="CR11" s="46" t="str">
        <v/>
      </c>
      <c r="CS11" s="46" t="str">
        <v/>
      </c>
      <c r="CT11" s="46" t="str">
        <v/>
      </c>
      <c r="CU11" s="46" t="str">
        <v/>
      </c>
      <c r="CV11" s="46" t="str">
        <v/>
      </c>
      <c r="CW11" s="46" t="str">
        <v/>
      </c>
      <c r="CX11" s="46" t="str">
        <v/>
      </c>
    </row>
    <row r="12" spans="1:102" ht="16.899999999999999" thickTop="1" x14ac:dyDescent="0.7">
      <c r="A12" s="86" t="str">
        <f ca="1">$A$2</f>
        <v>D-2</v>
      </c>
      <c r="B12" s="128" t="s">
        <v>234</v>
      </c>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row>
    <row r="13" spans="1:102" x14ac:dyDescent="0.7">
      <c r="A13" s="63" t="s">
        <v>233</v>
      </c>
      <c r="B13" s="127" t="s">
        <v>235</v>
      </c>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row>
    <row r="14" spans="1:102" ht="16.899999999999999" thickBot="1" x14ac:dyDescent="0.75">
      <c r="A14" s="25" t="s">
        <v>232</v>
      </c>
      <c r="B14" s="26" t="s">
        <v>231</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row>
    <row r="15" spans="1:102" ht="16.899999999999999" thickTop="1" x14ac:dyDescent="0.7">
      <c r="A15" s="86" t="str">
        <f ca="1">$A$2</f>
        <v>D-2</v>
      </c>
      <c r="B15" s="128" t="s">
        <v>234</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row>
    <row r="16" spans="1:102" x14ac:dyDescent="0.7">
      <c r="A16" s="63" t="s">
        <v>233</v>
      </c>
      <c r="B16" s="127" t="s">
        <v>235</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row>
    <row r="17" spans="1:102" ht="16.899999999999999" thickBot="1" x14ac:dyDescent="0.75">
      <c r="A17" s="25" t="s">
        <v>232</v>
      </c>
      <c r="B17" s="26" t="s">
        <v>231</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row>
    <row r="18" spans="1:102" ht="16.899999999999999" thickTop="1" x14ac:dyDescent="0.7">
      <c r="A18" s="86" t="str">
        <f ca="1">$A$2</f>
        <v>D-2</v>
      </c>
      <c r="B18" s="128" t="s">
        <v>234</v>
      </c>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row>
    <row r="19" spans="1:102" x14ac:dyDescent="0.7">
      <c r="A19" s="63" t="s">
        <v>233</v>
      </c>
      <c r="B19" s="127" t="s">
        <v>235</v>
      </c>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row>
    <row r="20" spans="1:102" ht="16.899999999999999" thickBot="1" x14ac:dyDescent="0.75">
      <c r="A20" s="25" t="s">
        <v>232</v>
      </c>
      <c r="B20" s="26" t="s">
        <v>231</v>
      </c>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row>
    <row r="21" spans="1:102" ht="16.899999999999999" thickTop="1" x14ac:dyDescent="0.7">
      <c r="A21" s="86" t="str">
        <f ca="1">$A$2</f>
        <v>D-2</v>
      </c>
      <c r="B21" s="128" t="s">
        <v>234</v>
      </c>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row>
    <row r="22" spans="1:102" x14ac:dyDescent="0.7">
      <c r="A22" s="63" t="s">
        <v>233</v>
      </c>
      <c r="B22" s="127" t="s">
        <v>235</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row>
    <row r="23" spans="1:102" ht="16.899999999999999" thickBot="1" x14ac:dyDescent="0.75">
      <c r="A23" s="25" t="s">
        <v>232</v>
      </c>
      <c r="B23" s="26" t="s">
        <v>231</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row>
    <row r="24" spans="1:102" ht="16.899999999999999" thickTop="1" x14ac:dyDescent="0.7">
      <c r="A24" s="86" t="str">
        <f ca="1">$A$2</f>
        <v>D-2</v>
      </c>
      <c r="B24" s="128" t="s">
        <v>234</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row>
    <row r="25" spans="1:102" x14ac:dyDescent="0.7">
      <c r="A25" s="63" t="s">
        <v>233</v>
      </c>
      <c r="B25" s="127" t="s">
        <v>235</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row>
    <row r="26" spans="1:102" ht="16.899999999999999" thickBot="1" x14ac:dyDescent="0.75">
      <c r="A26" s="25" t="s">
        <v>232</v>
      </c>
      <c r="B26" s="26" t="s">
        <v>231</v>
      </c>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row>
    <row r="27" spans="1:102" ht="16.899999999999999" thickTop="1" x14ac:dyDescent="0.7">
      <c r="A27" s="86" t="str">
        <f t="shared" ref="A27" ca="1" si="0">$A$2</f>
        <v>D-2</v>
      </c>
      <c r="B27" s="128" t="s">
        <v>234</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row>
    <row r="28" spans="1:102" x14ac:dyDescent="0.7">
      <c r="A28" s="63" t="s">
        <v>233</v>
      </c>
      <c r="B28" s="127" t="s">
        <v>235</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row>
    <row r="29" spans="1:102" ht="16.899999999999999" thickBot="1" x14ac:dyDescent="0.75">
      <c r="A29" s="25" t="s">
        <v>232</v>
      </c>
      <c r="B29" s="26" t="s">
        <v>231</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row>
    <row r="30" spans="1:102" ht="16.899999999999999" thickTop="1" x14ac:dyDescent="0.7">
      <c r="A30" s="86" t="str">
        <f t="shared" ref="A30" ca="1" si="1">$A$2</f>
        <v>D-2</v>
      </c>
      <c r="B30" s="128" t="s">
        <v>234</v>
      </c>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row>
    <row r="31" spans="1:102" x14ac:dyDescent="0.7">
      <c r="A31" s="63" t="s">
        <v>233</v>
      </c>
      <c r="B31" s="127" t="s">
        <v>235</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row>
    <row r="32" spans="1:102" ht="16.899999999999999" thickBot="1" x14ac:dyDescent="0.75">
      <c r="A32" s="25" t="s">
        <v>232</v>
      </c>
      <c r="B32" s="26" t="s">
        <v>231</v>
      </c>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row>
    <row r="33" spans="1:102" ht="16.899999999999999" thickTop="1" x14ac:dyDescent="0.7">
      <c r="A33" s="86" t="str">
        <f t="shared" ref="A33" ca="1" si="2">$A$2</f>
        <v>D-2</v>
      </c>
      <c r="B33" s="128" t="s">
        <v>234</v>
      </c>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row>
    <row r="34" spans="1:102" x14ac:dyDescent="0.7">
      <c r="A34" s="63" t="s">
        <v>233</v>
      </c>
      <c r="B34" s="127" t="s">
        <v>235</v>
      </c>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row>
    <row r="35" spans="1:102" ht="16.899999999999999" thickBot="1" x14ac:dyDescent="0.75">
      <c r="A35" s="25" t="s">
        <v>232</v>
      </c>
      <c r="B35" s="26" t="s">
        <v>231</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row>
    <row r="36" spans="1:102" ht="16.899999999999999" thickTop="1" x14ac:dyDescent="0.7">
      <c r="A36" s="86" t="str">
        <f t="shared" ref="A36" ca="1" si="3">$A$2</f>
        <v>D-2</v>
      </c>
      <c r="B36" s="128" t="s">
        <v>234</v>
      </c>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row>
    <row r="37" spans="1:102" x14ac:dyDescent="0.7">
      <c r="A37" s="63" t="s">
        <v>233</v>
      </c>
      <c r="B37" s="127" t="s">
        <v>235</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row>
    <row r="38" spans="1:102" ht="16.899999999999999" thickBot="1" x14ac:dyDescent="0.75">
      <c r="A38" s="25" t="s">
        <v>232</v>
      </c>
      <c r="B38" s="26" t="s">
        <v>231</v>
      </c>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row>
    <row r="39" spans="1:102" ht="16.899999999999999" thickTop="1" x14ac:dyDescent="0.7">
      <c r="A39" s="86" t="str">
        <f t="shared" ref="A39" ca="1" si="4">$A$2</f>
        <v>D-2</v>
      </c>
      <c r="B39" s="128" t="s">
        <v>234</v>
      </c>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row>
    <row r="40" spans="1:102" x14ac:dyDescent="0.7">
      <c r="A40" s="63" t="s">
        <v>233</v>
      </c>
      <c r="B40" s="127" t="s">
        <v>235</v>
      </c>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row>
    <row r="41" spans="1:102" ht="16.899999999999999" thickBot="1" x14ac:dyDescent="0.75">
      <c r="A41" s="25" t="s">
        <v>232</v>
      </c>
      <c r="B41" s="26" t="s">
        <v>231</v>
      </c>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row>
    <row r="42" spans="1:102" ht="16.899999999999999" thickTop="1" x14ac:dyDescent="0.7">
      <c r="A42" s="86" t="str">
        <f t="shared" ref="A42" ca="1" si="5">$A$2</f>
        <v>D-2</v>
      </c>
      <c r="B42" s="128" t="s">
        <v>234</v>
      </c>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row>
    <row r="43" spans="1:102" x14ac:dyDescent="0.7">
      <c r="A43" s="63" t="s">
        <v>233</v>
      </c>
      <c r="B43" s="127" t="s">
        <v>235</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row>
    <row r="44" spans="1:102" ht="16.899999999999999" thickBot="1" x14ac:dyDescent="0.75">
      <c r="A44" s="25" t="s">
        <v>232</v>
      </c>
      <c r="B44" s="26" t="s">
        <v>231</v>
      </c>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row>
    <row r="45" spans="1:102" ht="16.899999999999999" thickTop="1" x14ac:dyDescent="0.7">
      <c r="A45" s="86" t="str">
        <f t="shared" ref="A45" ca="1" si="6">$A$2</f>
        <v>D-2</v>
      </c>
      <c r="B45" s="128" t="s">
        <v>234</v>
      </c>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row>
    <row r="46" spans="1:102" x14ac:dyDescent="0.7">
      <c r="A46" s="63" t="s">
        <v>233</v>
      </c>
      <c r="B46" s="127" t="s">
        <v>235</v>
      </c>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row>
    <row r="47" spans="1:102" ht="16.899999999999999" thickBot="1" x14ac:dyDescent="0.75">
      <c r="A47" s="25" t="s">
        <v>232</v>
      </c>
      <c r="B47" s="26" t="s">
        <v>231</v>
      </c>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row>
    <row r="48" spans="1:102" ht="16.899999999999999" thickTop="1" x14ac:dyDescent="0.7">
      <c r="A48" s="86" t="str">
        <f t="shared" ref="A48" ca="1" si="7">$A$2</f>
        <v>D-2</v>
      </c>
      <c r="B48" s="128" t="s">
        <v>234</v>
      </c>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row>
    <row r="49" spans="1:102" x14ac:dyDescent="0.7">
      <c r="A49" s="63" t="s">
        <v>233</v>
      </c>
      <c r="B49" s="127" t="s">
        <v>235</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row>
    <row r="50" spans="1:102" ht="16.899999999999999" thickBot="1" x14ac:dyDescent="0.75">
      <c r="A50" s="25" t="s">
        <v>232</v>
      </c>
      <c r="B50" s="26" t="s">
        <v>231</v>
      </c>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row>
    <row r="51" spans="1:102" ht="16.899999999999999" thickTop="1" x14ac:dyDescent="0.7">
      <c r="A51" s="86" t="str">
        <f t="shared" ref="A51" ca="1" si="8">$A$2</f>
        <v>D-2</v>
      </c>
      <c r="B51" s="128" t="s">
        <v>234</v>
      </c>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row>
    <row r="52" spans="1:102" x14ac:dyDescent="0.7">
      <c r="A52" s="63" t="s">
        <v>233</v>
      </c>
      <c r="B52" s="127" t="s">
        <v>235</v>
      </c>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row>
    <row r="53" spans="1:102" ht="16.899999999999999" thickBot="1" x14ac:dyDescent="0.75">
      <c r="A53" s="25" t="s">
        <v>232</v>
      </c>
      <c r="B53" s="26" t="s">
        <v>231</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row>
    <row r="54" spans="1:102" ht="16.899999999999999" thickTop="1" x14ac:dyDescent="0.7">
      <c r="A54" s="86" t="str">
        <f t="shared" ref="A54" ca="1" si="9">$A$2</f>
        <v>D-2</v>
      </c>
      <c r="B54" s="128" t="s">
        <v>234</v>
      </c>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row>
    <row r="55" spans="1:102" x14ac:dyDescent="0.7">
      <c r="A55" s="63" t="s">
        <v>233</v>
      </c>
      <c r="B55" s="127" t="s">
        <v>235</v>
      </c>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row>
    <row r="56" spans="1:102" ht="16.899999999999999" thickBot="1" x14ac:dyDescent="0.75">
      <c r="A56" s="25" t="s">
        <v>232</v>
      </c>
      <c r="B56" s="26" t="s">
        <v>231</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row>
    <row r="57" spans="1:102" ht="16.899999999999999" thickTop="1" x14ac:dyDescent="0.7">
      <c r="A57" s="86" t="str">
        <f t="shared" ref="A57" ca="1" si="10">$A$2</f>
        <v>D-2</v>
      </c>
      <c r="B57" s="128" t="s">
        <v>234</v>
      </c>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row>
    <row r="58" spans="1:102" x14ac:dyDescent="0.7">
      <c r="A58" s="63" t="s">
        <v>233</v>
      </c>
      <c r="B58" s="127" t="s">
        <v>235</v>
      </c>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row>
    <row r="59" spans="1:102" ht="16.899999999999999" thickBot="1" x14ac:dyDescent="0.75">
      <c r="A59" s="25" t="s">
        <v>232</v>
      </c>
      <c r="B59" s="26" t="s">
        <v>231</v>
      </c>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row>
    <row r="60" spans="1:102" ht="16.899999999999999" thickTop="1" x14ac:dyDescent="0.7">
      <c r="A60" s="86" t="str">
        <f t="shared" ref="A60" ca="1" si="11">$A$2</f>
        <v>D-2</v>
      </c>
      <c r="B60" s="128" t="s">
        <v>234</v>
      </c>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row>
    <row r="61" spans="1:102" x14ac:dyDescent="0.7">
      <c r="A61" s="63" t="s">
        <v>233</v>
      </c>
      <c r="B61" s="127" t="s">
        <v>235</v>
      </c>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row>
    <row r="62" spans="1:102" ht="16.899999999999999" thickBot="1" x14ac:dyDescent="0.75">
      <c r="A62" s="25" t="s">
        <v>232</v>
      </c>
      <c r="B62" s="26" t="s">
        <v>231</v>
      </c>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row>
    <row r="63" spans="1:102" ht="16.899999999999999" thickTop="1" x14ac:dyDescent="0.7">
      <c r="A63" s="86" t="str">
        <f t="shared" ref="A63" ca="1" si="12">$A$2</f>
        <v>D-2</v>
      </c>
      <c r="B63" s="128" t="s">
        <v>234</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row>
    <row r="64" spans="1:102" x14ac:dyDescent="0.7">
      <c r="A64" s="63" t="s">
        <v>233</v>
      </c>
      <c r="B64" s="127" t="s">
        <v>235</v>
      </c>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row>
    <row r="65" spans="1:102" ht="16.899999999999999" thickBot="1" x14ac:dyDescent="0.75">
      <c r="A65" s="25" t="s">
        <v>232</v>
      </c>
      <c r="B65" s="26" t="s">
        <v>231</v>
      </c>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row>
    <row r="66" spans="1:102" ht="16.899999999999999" thickTop="1" x14ac:dyDescent="0.7">
      <c r="A66" s="86" t="str">
        <f t="shared" ref="A66" ca="1" si="13">$A$2</f>
        <v>D-2</v>
      </c>
      <c r="B66" s="128" t="s">
        <v>234</v>
      </c>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row>
    <row r="67" spans="1:102" x14ac:dyDescent="0.7">
      <c r="A67" s="63" t="s">
        <v>233</v>
      </c>
      <c r="B67" s="127" t="s">
        <v>235</v>
      </c>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row>
    <row r="68" spans="1:102" ht="16.899999999999999" thickBot="1" x14ac:dyDescent="0.75">
      <c r="A68" s="25" t="s">
        <v>232</v>
      </c>
      <c r="B68" s="26" t="s">
        <v>231</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row>
    <row r="69" spans="1:102" ht="16.899999999999999" thickTop="1" x14ac:dyDescent="0.7">
      <c r="A69" s="86" t="str">
        <f t="shared" ref="A69" ca="1" si="14">$A$2</f>
        <v>D-2</v>
      </c>
      <c r="B69" s="128" t="s">
        <v>234</v>
      </c>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row>
    <row r="70" spans="1:102" x14ac:dyDescent="0.7">
      <c r="A70" s="63" t="s">
        <v>233</v>
      </c>
      <c r="B70" s="127" t="s">
        <v>235</v>
      </c>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row>
    <row r="71" spans="1:102" ht="16.899999999999999" thickBot="1" x14ac:dyDescent="0.75">
      <c r="A71" s="25" t="s">
        <v>232</v>
      </c>
      <c r="B71" s="26" t="s">
        <v>231</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row>
    <row r="72" spans="1:102" ht="16.899999999999999" thickTop="1" x14ac:dyDescent="0.7">
      <c r="A72" s="86" t="str">
        <f t="shared" ref="A72" ca="1" si="15">$A$2</f>
        <v>D-2</v>
      </c>
      <c r="B72" s="128" t="s">
        <v>234</v>
      </c>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row>
    <row r="73" spans="1:102" x14ac:dyDescent="0.7">
      <c r="A73" s="63" t="s">
        <v>233</v>
      </c>
      <c r="B73" s="127" t="s">
        <v>235</v>
      </c>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row>
    <row r="74" spans="1:102" ht="16.899999999999999" thickBot="1" x14ac:dyDescent="0.75">
      <c r="A74" s="25" t="s">
        <v>232</v>
      </c>
      <c r="B74" s="26" t="s">
        <v>231</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row>
    <row r="75" spans="1:102" ht="16.899999999999999" thickTop="1" x14ac:dyDescent="0.7">
      <c r="A75" s="86" t="str">
        <f t="shared" ref="A75" ca="1" si="16">$A$2</f>
        <v>D-2</v>
      </c>
      <c r="B75" s="128" t="s">
        <v>234</v>
      </c>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row>
    <row r="76" spans="1:102" x14ac:dyDescent="0.7">
      <c r="A76" s="63" t="s">
        <v>233</v>
      </c>
      <c r="B76" s="127" t="s">
        <v>235</v>
      </c>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row>
    <row r="77" spans="1:102" ht="16.899999999999999" thickBot="1" x14ac:dyDescent="0.75">
      <c r="A77" s="25" t="s">
        <v>232</v>
      </c>
      <c r="B77" s="26" t="s">
        <v>231</v>
      </c>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row>
    <row r="78" spans="1:102" ht="16.899999999999999" thickTop="1" x14ac:dyDescent="0.7">
      <c r="A78" s="86" t="str">
        <f t="shared" ref="A78" ca="1" si="17">$A$2</f>
        <v>D-2</v>
      </c>
      <c r="B78" s="128" t="s">
        <v>234</v>
      </c>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row>
    <row r="79" spans="1:102" x14ac:dyDescent="0.7">
      <c r="A79" s="63" t="s">
        <v>233</v>
      </c>
      <c r="B79" s="127" t="s">
        <v>235</v>
      </c>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row>
    <row r="80" spans="1:102" ht="16.899999999999999" thickBot="1" x14ac:dyDescent="0.75">
      <c r="A80" s="25" t="s">
        <v>232</v>
      </c>
      <c r="B80" s="26" t="s">
        <v>231</v>
      </c>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row>
    <row r="81" spans="1:102" ht="16.899999999999999" thickTop="1" x14ac:dyDescent="0.7">
      <c r="A81" s="86" t="str">
        <f t="shared" ref="A81" ca="1" si="18">$A$2</f>
        <v>D-2</v>
      </c>
      <c r="B81" s="128" t="s">
        <v>234</v>
      </c>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row>
    <row r="82" spans="1:102" x14ac:dyDescent="0.7">
      <c r="A82" s="63" t="s">
        <v>233</v>
      </c>
      <c r="B82" s="127" t="s">
        <v>235</v>
      </c>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row>
    <row r="83" spans="1:102" ht="16.899999999999999" thickBot="1" x14ac:dyDescent="0.75">
      <c r="A83" s="25" t="s">
        <v>232</v>
      </c>
      <c r="B83" s="26" t="s">
        <v>231</v>
      </c>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row>
    <row r="84" spans="1:102" ht="16.899999999999999" thickTop="1" x14ac:dyDescent="0.7">
      <c r="A84" s="86" t="str">
        <f t="shared" ref="A84" ca="1" si="19">$A$2</f>
        <v>D-2</v>
      </c>
      <c r="B84" s="128" t="s">
        <v>234</v>
      </c>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row>
    <row r="85" spans="1:102" x14ac:dyDescent="0.7">
      <c r="A85" s="63" t="s">
        <v>233</v>
      </c>
      <c r="B85" s="127" t="s">
        <v>235</v>
      </c>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row>
    <row r="86" spans="1:102" ht="16.899999999999999" thickBot="1" x14ac:dyDescent="0.75">
      <c r="A86" s="25" t="s">
        <v>232</v>
      </c>
      <c r="B86" s="26" t="s">
        <v>231</v>
      </c>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c r="CV86" s="27"/>
      <c r="CW86" s="27"/>
      <c r="CX86" s="27"/>
    </row>
    <row r="87" spans="1:102" ht="16.899999999999999" thickTop="1" x14ac:dyDescent="0.7">
      <c r="A87" s="86" t="str">
        <f t="shared" ref="A87" ca="1" si="20">$A$2</f>
        <v>D-2</v>
      </c>
      <c r="B87" s="128" t="s">
        <v>234</v>
      </c>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row>
    <row r="88" spans="1:102" x14ac:dyDescent="0.7">
      <c r="A88" s="63" t="s">
        <v>233</v>
      </c>
      <c r="B88" s="127" t="s">
        <v>235</v>
      </c>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row>
    <row r="89" spans="1:102" ht="16.899999999999999" thickBot="1" x14ac:dyDescent="0.75">
      <c r="A89" s="25" t="s">
        <v>232</v>
      </c>
      <c r="B89" s="26" t="s">
        <v>231</v>
      </c>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c r="CV89" s="27"/>
      <c r="CW89" s="27"/>
      <c r="CX89" s="27"/>
    </row>
    <row r="90" spans="1:102" ht="16.899999999999999" thickTop="1" x14ac:dyDescent="0.7">
      <c r="A90" s="86" t="str">
        <f t="shared" ref="A90" ca="1" si="21">$A$2</f>
        <v>D-2</v>
      </c>
      <c r="B90" s="128" t="s">
        <v>234</v>
      </c>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row>
    <row r="91" spans="1:102" x14ac:dyDescent="0.7">
      <c r="A91" s="63" t="s">
        <v>233</v>
      </c>
      <c r="B91" s="127" t="s">
        <v>235</v>
      </c>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row>
    <row r="92" spans="1:102" ht="16.899999999999999" thickBot="1" x14ac:dyDescent="0.75">
      <c r="A92" s="25" t="s">
        <v>232</v>
      </c>
      <c r="B92" s="26" t="s">
        <v>231</v>
      </c>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row>
    <row r="93" spans="1:102" ht="16.899999999999999" thickTop="1" x14ac:dyDescent="0.7">
      <c r="A93" s="86" t="str">
        <f t="shared" ref="A93" ca="1" si="22">$A$2</f>
        <v>D-2</v>
      </c>
      <c r="B93" s="128" t="s">
        <v>234</v>
      </c>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row>
    <row r="94" spans="1:102" x14ac:dyDescent="0.7">
      <c r="A94" s="63" t="s">
        <v>233</v>
      </c>
      <c r="B94" s="127" t="s">
        <v>235</v>
      </c>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row>
    <row r="95" spans="1:102" ht="16.899999999999999" thickBot="1" x14ac:dyDescent="0.75">
      <c r="A95" s="25" t="s">
        <v>232</v>
      </c>
      <c r="B95" s="26" t="s">
        <v>231</v>
      </c>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row>
    <row r="96" spans="1:102" ht="16.899999999999999" thickTop="1" x14ac:dyDescent="0.7">
      <c r="A96" s="86" t="str">
        <f t="shared" ref="A96" ca="1" si="23">$A$2</f>
        <v>D-2</v>
      </c>
      <c r="B96" s="128" t="s">
        <v>234</v>
      </c>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row>
    <row r="97" spans="1:102" x14ac:dyDescent="0.7">
      <c r="A97" s="63" t="s">
        <v>233</v>
      </c>
      <c r="B97" s="127" t="s">
        <v>235</v>
      </c>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row>
    <row r="98" spans="1:102" ht="16.899999999999999" thickBot="1" x14ac:dyDescent="0.75">
      <c r="A98" s="25" t="s">
        <v>232</v>
      </c>
      <c r="B98" s="26" t="s">
        <v>231</v>
      </c>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row>
    <row r="99" spans="1:102" ht="16.899999999999999" thickTop="1" x14ac:dyDescent="0.7">
      <c r="A99" s="86" t="str">
        <f t="shared" ref="A99" ca="1" si="24">$A$2</f>
        <v>D-2</v>
      </c>
      <c r="B99" s="128" t="s">
        <v>234</v>
      </c>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row>
    <row r="100" spans="1:102" x14ac:dyDescent="0.7">
      <c r="A100" s="63" t="s">
        <v>233</v>
      </c>
      <c r="B100" s="127" t="s">
        <v>235</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row>
    <row r="101" spans="1:102" ht="16.899999999999999" thickBot="1" x14ac:dyDescent="0.75">
      <c r="A101" s="25" t="s">
        <v>232</v>
      </c>
      <c r="B101" s="26" t="s">
        <v>231</v>
      </c>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c r="CV101" s="27"/>
      <c r="CW101" s="27"/>
      <c r="CX101" s="27"/>
    </row>
    <row r="102" spans="1:102" ht="16.899999999999999" thickTop="1" x14ac:dyDescent="0.7">
      <c r="A102" s="86" t="str">
        <f t="shared" ref="A102" ca="1" si="25">$A$2</f>
        <v>D-2</v>
      </c>
      <c r="B102" s="128" t="s">
        <v>234</v>
      </c>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row>
    <row r="103" spans="1:102" x14ac:dyDescent="0.7">
      <c r="A103" s="63" t="s">
        <v>233</v>
      </c>
      <c r="B103" s="127" t="s">
        <v>235</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row>
    <row r="104" spans="1:102" ht="16.899999999999999" thickBot="1" x14ac:dyDescent="0.75">
      <c r="A104" s="25" t="s">
        <v>232</v>
      </c>
      <c r="B104" s="26" t="s">
        <v>231</v>
      </c>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row>
    <row r="105" spans="1:102" ht="16.899999999999999" thickTop="1" x14ac:dyDescent="0.7">
      <c r="A105" s="86" t="str">
        <f t="shared" ref="A105" ca="1" si="26">$A$2</f>
        <v>D-2</v>
      </c>
      <c r="B105" s="128" t="s">
        <v>234</v>
      </c>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row>
    <row r="106" spans="1:102" x14ac:dyDescent="0.7">
      <c r="A106" s="63" t="s">
        <v>233</v>
      </c>
      <c r="B106" s="127" t="s">
        <v>235</v>
      </c>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row>
    <row r="107" spans="1:102" ht="16.899999999999999" thickBot="1" x14ac:dyDescent="0.75">
      <c r="A107" s="25" t="s">
        <v>232</v>
      </c>
      <c r="B107" s="26" t="s">
        <v>231</v>
      </c>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row>
    <row r="108" spans="1:102" ht="16.899999999999999" thickTop="1" x14ac:dyDescent="0.7">
      <c r="A108" s="86" t="str">
        <f t="shared" ref="A108" ca="1" si="27">$A$2</f>
        <v>D-2</v>
      </c>
      <c r="B108" s="128" t="s">
        <v>234</v>
      </c>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row>
    <row r="109" spans="1:102" x14ac:dyDescent="0.7">
      <c r="A109" s="63" t="s">
        <v>233</v>
      </c>
      <c r="B109" s="127" t="s">
        <v>235</v>
      </c>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row>
    <row r="110" spans="1:102" ht="16.899999999999999" thickBot="1" x14ac:dyDescent="0.75">
      <c r="A110" s="25" t="s">
        <v>232</v>
      </c>
      <c r="B110" s="26" t="s">
        <v>231</v>
      </c>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row>
    <row r="111" spans="1:102" ht="16.899999999999999" thickTop="1" x14ac:dyDescent="0.7">
      <c r="A111" s="86" t="str">
        <f t="shared" ref="A111" ca="1" si="28">$A$2</f>
        <v>D-2</v>
      </c>
      <c r="B111" s="128" t="s">
        <v>234</v>
      </c>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row>
    <row r="112" spans="1:102" x14ac:dyDescent="0.7">
      <c r="A112" s="63" t="s">
        <v>233</v>
      </c>
      <c r="B112" s="127" t="s">
        <v>235</v>
      </c>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row>
    <row r="113" spans="1:102" ht="16.899999999999999" thickBot="1" x14ac:dyDescent="0.75">
      <c r="A113" s="25" t="s">
        <v>232</v>
      </c>
      <c r="B113" s="26" t="s">
        <v>231</v>
      </c>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row>
    <row r="114" spans="1:102" ht="16.899999999999999" thickTop="1" x14ac:dyDescent="0.7">
      <c r="A114" s="86" t="str">
        <f t="shared" ref="A114" ca="1" si="29">$A$2</f>
        <v>D-2</v>
      </c>
      <c r="B114" s="128" t="s">
        <v>234</v>
      </c>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row>
    <row r="115" spans="1:102" x14ac:dyDescent="0.7">
      <c r="A115" s="63" t="s">
        <v>233</v>
      </c>
      <c r="B115" s="127" t="s">
        <v>235</v>
      </c>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row>
    <row r="116" spans="1:102" ht="16.899999999999999" thickBot="1" x14ac:dyDescent="0.75">
      <c r="A116" s="25" t="s">
        <v>232</v>
      </c>
      <c r="B116" s="26" t="s">
        <v>231</v>
      </c>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c r="CV116" s="27"/>
      <c r="CW116" s="27"/>
      <c r="CX116" s="27"/>
    </row>
    <row r="117" spans="1:102" ht="16.899999999999999" thickTop="1" x14ac:dyDescent="0.7">
      <c r="A117" s="86" t="str">
        <f t="shared" ref="A117" ca="1" si="30">$A$2</f>
        <v>D-2</v>
      </c>
      <c r="B117" s="128" t="s">
        <v>234</v>
      </c>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row>
    <row r="118" spans="1:102" x14ac:dyDescent="0.7">
      <c r="A118" s="63" t="s">
        <v>233</v>
      </c>
      <c r="B118" s="127" t="s">
        <v>235</v>
      </c>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row>
    <row r="119" spans="1:102" ht="16.899999999999999" thickBot="1" x14ac:dyDescent="0.75">
      <c r="A119" s="25" t="s">
        <v>232</v>
      </c>
      <c r="B119" s="26" t="s">
        <v>231</v>
      </c>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row>
    <row r="120" spans="1:102" ht="16.899999999999999" thickTop="1" x14ac:dyDescent="0.7">
      <c r="A120" s="86" t="str">
        <f t="shared" ref="A120" ca="1" si="31">$A$2</f>
        <v>D-2</v>
      </c>
      <c r="B120" s="128" t="s">
        <v>234</v>
      </c>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row>
    <row r="121" spans="1:102" x14ac:dyDescent="0.7">
      <c r="A121" s="63" t="s">
        <v>233</v>
      </c>
      <c r="B121" s="127" t="s">
        <v>235</v>
      </c>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row>
    <row r="122" spans="1:102" ht="16.899999999999999" thickBot="1" x14ac:dyDescent="0.75">
      <c r="A122" s="25" t="s">
        <v>232</v>
      </c>
      <c r="B122" s="26" t="s">
        <v>231</v>
      </c>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row>
    <row r="123" spans="1:102" ht="16.899999999999999" thickTop="1" x14ac:dyDescent="0.7">
      <c r="A123" s="86" t="str">
        <f t="shared" ref="A123" ca="1" si="32">$A$2</f>
        <v>D-2</v>
      </c>
      <c r="B123" s="128" t="s">
        <v>234</v>
      </c>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row>
    <row r="124" spans="1:102" x14ac:dyDescent="0.7">
      <c r="A124" s="63" t="s">
        <v>233</v>
      </c>
      <c r="B124" s="127" t="s">
        <v>235</v>
      </c>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row>
    <row r="125" spans="1:102" ht="16.899999999999999" thickBot="1" x14ac:dyDescent="0.75">
      <c r="A125" s="25" t="s">
        <v>232</v>
      </c>
      <c r="B125" s="26" t="s">
        <v>231</v>
      </c>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c r="CV125" s="27"/>
      <c r="CW125" s="27"/>
      <c r="CX125" s="27"/>
    </row>
    <row r="126" spans="1:102" ht="16.899999999999999" thickTop="1" x14ac:dyDescent="0.7">
      <c r="A126" s="86" t="str">
        <f t="shared" ref="A126" ca="1" si="33">$A$2</f>
        <v>D-2</v>
      </c>
      <c r="B126" s="128" t="s">
        <v>234</v>
      </c>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row>
    <row r="127" spans="1:102" x14ac:dyDescent="0.7">
      <c r="A127" s="63" t="s">
        <v>233</v>
      </c>
      <c r="B127" s="127" t="s">
        <v>235</v>
      </c>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row>
    <row r="128" spans="1:102" ht="16.899999999999999" thickBot="1" x14ac:dyDescent="0.75">
      <c r="A128" s="25" t="s">
        <v>232</v>
      </c>
      <c r="B128" s="26" t="s">
        <v>231</v>
      </c>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row>
    <row r="129" spans="1:102" ht="16.899999999999999" thickTop="1" x14ac:dyDescent="0.7">
      <c r="A129" s="86" t="str">
        <f t="shared" ref="A129" ca="1" si="34">$A$2</f>
        <v>D-2</v>
      </c>
      <c r="B129" s="128" t="s">
        <v>234</v>
      </c>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row>
    <row r="130" spans="1:102" x14ac:dyDescent="0.7">
      <c r="A130" s="63" t="s">
        <v>233</v>
      </c>
      <c r="B130" s="127" t="s">
        <v>235</v>
      </c>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row>
    <row r="131" spans="1:102" ht="16.899999999999999" thickBot="1" x14ac:dyDescent="0.75">
      <c r="A131" s="25" t="s">
        <v>232</v>
      </c>
      <c r="B131" s="26" t="s">
        <v>231</v>
      </c>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c r="CV131" s="27"/>
      <c r="CW131" s="27"/>
      <c r="CX131" s="27"/>
    </row>
    <row r="132" spans="1:102" ht="16.899999999999999" thickTop="1" x14ac:dyDescent="0.7">
      <c r="A132" s="86" t="str">
        <f t="shared" ref="A132" ca="1" si="35">$A$2</f>
        <v>D-2</v>
      </c>
      <c r="B132" s="128" t="s">
        <v>234</v>
      </c>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row>
    <row r="133" spans="1:102" x14ac:dyDescent="0.7">
      <c r="A133" s="63" t="s">
        <v>233</v>
      </c>
      <c r="B133" s="127" t="s">
        <v>235</v>
      </c>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row>
    <row r="134" spans="1:102" ht="16.899999999999999" thickBot="1" x14ac:dyDescent="0.75">
      <c r="A134" s="25" t="s">
        <v>232</v>
      </c>
      <c r="B134" s="26" t="s">
        <v>231</v>
      </c>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row>
    <row r="135" spans="1:102" ht="16.899999999999999" thickTop="1" x14ac:dyDescent="0.7">
      <c r="A135" s="86" t="str">
        <f t="shared" ref="A135" ca="1" si="36">$A$2</f>
        <v>D-2</v>
      </c>
      <c r="B135" s="128" t="s">
        <v>234</v>
      </c>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row>
    <row r="136" spans="1:102" x14ac:dyDescent="0.7">
      <c r="A136" s="63" t="s">
        <v>233</v>
      </c>
      <c r="B136" s="127" t="s">
        <v>235</v>
      </c>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row>
    <row r="137" spans="1:102" ht="16.899999999999999" thickBot="1" x14ac:dyDescent="0.75">
      <c r="A137" s="25" t="s">
        <v>232</v>
      </c>
      <c r="B137" s="26" t="s">
        <v>231</v>
      </c>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row>
    <row r="138" spans="1:102" ht="16.899999999999999" thickTop="1" x14ac:dyDescent="0.7">
      <c r="A138" s="86" t="str">
        <f t="shared" ref="A138" ca="1" si="37">$A$2</f>
        <v>D-2</v>
      </c>
      <c r="B138" s="128" t="s">
        <v>234</v>
      </c>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row>
    <row r="139" spans="1:102" x14ac:dyDescent="0.7">
      <c r="A139" s="63" t="s">
        <v>233</v>
      </c>
      <c r="B139" s="127" t="s">
        <v>235</v>
      </c>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row>
    <row r="140" spans="1:102" ht="16.899999999999999" thickBot="1" x14ac:dyDescent="0.75">
      <c r="A140" s="25" t="s">
        <v>232</v>
      </c>
      <c r="B140" s="26" t="s">
        <v>231</v>
      </c>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c r="CV140" s="27"/>
      <c r="CW140" s="27"/>
      <c r="CX140" s="27"/>
    </row>
    <row r="141" spans="1:102" ht="16.899999999999999" thickTop="1" x14ac:dyDescent="0.7">
      <c r="A141" s="86" t="str">
        <f t="shared" ref="A141" ca="1" si="38">$A$2</f>
        <v>D-2</v>
      </c>
      <c r="B141" s="128" t="s">
        <v>234</v>
      </c>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row>
    <row r="142" spans="1:102" x14ac:dyDescent="0.7">
      <c r="A142" s="63" t="s">
        <v>233</v>
      </c>
      <c r="B142" s="127" t="s">
        <v>235</v>
      </c>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row>
    <row r="143" spans="1:102" ht="16.899999999999999" thickBot="1" x14ac:dyDescent="0.75">
      <c r="A143" s="25" t="s">
        <v>232</v>
      </c>
      <c r="B143" s="26" t="s">
        <v>231</v>
      </c>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row>
    <row r="144" spans="1:102" ht="16.899999999999999" thickTop="1" x14ac:dyDescent="0.7">
      <c r="A144" s="86" t="str">
        <f t="shared" ref="A144" ca="1" si="39">$A$2</f>
        <v>D-2</v>
      </c>
      <c r="B144" s="128" t="s">
        <v>234</v>
      </c>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row>
    <row r="145" spans="1:102" x14ac:dyDescent="0.7">
      <c r="A145" s="63" t="s">
        <v>233</v>
      </c>
      <c r="B145" s="127" t="s">
        <v>235</v>
      </c>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row>
    <row r="146" spans="1:102" ht="16.899999999999999" thickBot="1" x14ac:dyDescent="0.75">
      <c r="A146" s="25" t="s">
        <v>232</v>
      </c>
      <c r="B146" s="26" t="s">
        <v>231</v>
      </c>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row>
    <row r="147" spans="1:102" ht="16.899999999999999" thickTop="1" x14ac:dyDescent="0.7">
      <c r="A147" s="86" t="str">
        <f t="shared" ref="A147" ca="1" si="40">$A$2</f>
        <v>D-2</v>
      </c>
      <c r="B147" s="128" t="s">
        <v>234</v>
      </c>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row>
    <row r="148" spans="1:102" x14ac:dyDescent="0.7">
      <c r="A148" s="63" t="s">
        <v>233</v>
      </c>
      <c r="B148" s="127" t="s">
        <v>235</v>
      </c>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row>
    <row r="149" spans="1:102" ht="16.899999999999999" thickBot="1" x14ac:dyDescent="0.75">
      <c r="A149" s="25" t="s">
        <v>232</v>
      </c>
      <c r="B149" s="26" t="s">
        <v>231</v>
      </c>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row>
    <row r="150" spans="1:102" ht="16.899999999999999" thickTop="1" x14ac:dyDescent="0.7">
      <c r="A150" s="86" t="str">
        <f t="shared" ref="A150" ca="1" si="41">$A$2</f>
        <v>D-2</v>
      </c>
      <c r="B150" s="128" t="s">
        <v>234</v>
      </c>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row>
    <row r="151" spans="1:102" x14ac:dyDescent="0.7">
      <c r="A151" s="63" t="s">
        <v>233</v>
      </c>
      <c r="B151" s="127" t="s">
        <v>235</v>
      </c>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row>
    <row r="152" spans="1:102" ht="16.899999999999999" thickBot="1" x14ac:dyDescent="0.75">
      <c r="A152" s="25" t="s">
        <v>232</v>
      </c>
      <c r="B152" s="26" t="s">
        <v>231</v>
      </c>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row>
    <row r="153" spans="1:102" ht="16.899999999999999" thickTop="1" x14ac:dyDescent="0.7">
      <c r="A153" s="86" t="str">
        <f t="shared" ref="A153" ca="1" si="42">$A$2</f>
        <v>D-2</v>
      </c>
      <c r="B153" s="128" t="s">
        <v>234</v>
      </c>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row>
    <row r="154" spans="1:102" x14ac:dyDescent="0.7">
      <c r="A154" s="63" t="s">
        <v>233</v>
      </c>
      <c r="B154" s="127" t="s">
        <v>235</v>
      </c>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row>
    <row r="155" spans="1:102" ht="16.899999999999999" thickBot="1" x14ac:dyDescent="0.75">
      <c r="A155" s="25" t="s">
        <v>232</v>
      </c>
      <c r="B155" s="26" t="s">
        <v>231</v>
      </c>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row>
    <row r="156" spans="1:102" ht="16.899999999999999" thickTop="1" x14ac:dyDescent="0.7">
      <c r="A156" s="86" t="str">
        <f t="shared" ref="A156" ca="1" si="43">$A$2</f>
        <v>D-2</v>
      </c>
      <c r="B156" s="128" t="s">
        <v>234</v>
      </c>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row>
    <row r="157" spans="1:102" x14ac:dyDescent="0.7">
      <c r="A157" s="63" t="s">
        <v>233</v>
      </c>
      <c r="B157" s="127" t="s">
        <v>235</v>
      </c>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row>
    <row r="158" spans="1:102" ht="16.899999999999999" thickBot="1" x14ac:dyDescent="0.75">
      <c r="A158" s="25" t="s">
        <v>232</v>
      </c>
      <c r="B158" s="26" t="s">
        <v>231</v>
      </c>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row>
    <row r="159" spans="1:102" ht="16.899999999999999" thickTop="1" x14ac:dyDescent="0.7">
      <c r="A159" s="86" t="str">
        <f t="shared" ref="A159" ca="1" si="44">$A$2</f>
        <v>D-2</v>
      </c>
      <c r="B159" s="128" t="s">
        <v>234</v>
      </c>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row>
    <row r="160" spans="1:102" x14ac:dyDescent="0.7">
      <c r="A160" s="63" t="s">
        <v>233</v>
      </c>
      <c r="B160" s="127" t="s">
        <v>235</v>
      </c>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row>
    <row r="161" spans="1:102" ht="16.899999999999999" thickBot="1" x14ac:dyDescent="0.75">
      <c r="A161" s="25" t="s">
        <v>232</v>
      </c>
      <c r="B161" s="26" t="s">
        <v>231</v>
      </c>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c r="CU161" s="27"/>
      <c r="CV161" s="27"/>
      <c r="CW161" s="27"/>
      <c r="CX161" s="27"/>
    </row>
    <row r="162" spans="1:102" ht="16.899999999999999" thickTop="1" x14ac:dyDescent="0.7">
      <c r="A162" s="86" t="str">
        <f t="shared" ref="A162" ca="1" si="45">$A$2</f>
        <v>D-2</v>
      </c>
      <c r="B162" s="128" t="s">
        <v>234</v>
      </c>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row>
    <row r="163" spans="1:102" x14ac:dyDescent="0.7">
      <c r="A163" s="63" t="s">
        <v>233</v>
      </c>
      <c r="B163" s="127" t="s">
        <v>235</v>
      </c>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row>
    <row r="164" spans="1:102" ht="16.899999999999999" thickBot="1" x14ac:dyDescent="0.75">
      <c r="A164" s="25" t="s">
        <v>232</v>
      </c>
      <c r="B164" s="26" t="s">
        <v>231</v>
      </c>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c r="CV164" s="27"/>
      <c r="CW164" s="27"/>
      <c r="CX164" s="27"/>
    </row>
    <row r="165" spans="1:102" ht="16.899999999999999" thickTop="1" x14ac:dyDescent="0.7">
      <c r="A165" s="86" t="str">
        <f t="shared" ref="A165" ca="1" si="46">$A$2</f>
        <v>D-2</v>
      </c>
      <c r="B165" s="128" t="s">
        <v>234</v>
      </c>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row>
    <row r="166" spans="1:102" x14ac:dyDescent="0.7">
      <c r="A166" s="63" t="s">
        <v>233</v>
      </c>
      <c r="B166" s="127" t="s">
        <v>235</v>
      </c>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row>
    <row r="167" spans="1:102" ht="16.899999999999999" thickBot="1" x14ac:dyDescent="0.75">
      <c r="A167" s="25" t="s">
        <v>232</v>
      </c>
      <c r="B167" s="26" t="s">
        <v>231</v>
      </c>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c r="CD167" s="27"/>
      <c r="CE167" s="27"/>
      <c r="CF167" s="27"/>
      <c r="CG167" s="27"/>
      <c r="CH167" s="27"/>
      <c r="CI167" s="27"/>
      <c r="CJ167" s="27"/>
      <c r="CK167" s="27"/>
      <c r="CL167" s="27"/>
      <c r="CM167" s="27"/>
      <c r="CN167" s="27"/>
      <c r="CO167" s="27"/>
      <c r="CP167" s="27"/>
      <c r="CQ167" s="27"/>
      <c r="CR167" s="27"/>
      <c r="CS167" s="27"/>
      <c r="CT167" s="27"/>
      <c r="CU167" s="27"/>
      <c r="CV167" s="27"/>
      <c r="CW167" s="27"/>
      <c r="CX167" s="27"/>
    </row>
    <row r="168" spans="1:102" ht="16.899999999999999" thickTop="1" x14ac:dyDescent="0.7">
      <c r="A168" s="86" t="str">
        <f t="shared" ref="A168" ca="1" si="47">$A$2</f>
        <v>D-2</v>
      </c>
      <c r="B168" s="128" t="s">
        <v>234</v>
      </c>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row>
    <row r="169" spans="1:102" x14ac:dyDescent="0.7">
      <c r="A169" s="63" t="s">
        <v>233</v>
      </c>
      <c r="B169" s="127" t="s">
        <v>235</v>
      </c>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row>
    <row r="170" spans="1:102" ht="16.899999999999999" thickBot="1" x14ac:dyDescent="0.75">
      <c r="A170" s="25" t="s">
        <v>232</v>
      </c>
      <c r="B170" s="26" t="s">
        <v>231</v>
      </c>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row>
    <row r="171" spans="1:102" ht="16.899999999999999" thickTop="1" x14ac:dyDescent="0.7">
      <c r="A171" s="86" t="str">
        <f t="shared" ref="A171" ca="1" si="48">$A$2</f>
        <v>D-2</v>
      </c>
      <c r="B171" s="128" t="s">
        <v>234</v>
      </c>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row>
    <row r="172" spans="1:102" x14ac:dyDescent="0.7">
      <c r="A172" s="63" t="s">
        <v>233</v>
      </c>
      <c r="B172" s="127" t="s">
        <v>235</v>
      </c>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row>
    <row r="173" spans="1:102" ht="16.899999999999999" thickBot="1" x14ac:dyDescent="0.75">
      <c r="A173" s="25" t="s">
        <v>232</v>
      </c>
      <c r="B173" s="26" t="s">
        <v>231</v>
      </c>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row>
    <row r="174" spans="1:102" ht="16.899999999999999" thickTop="1" x14ac:dyDescent="0.7">
      <c r="A174" s="86" t="str">
        <f t="shared" ref="A174" ca="1" si="49">$A$2</f>
        <v>D-2</v>
      </c>
      <c r="B174" s="128" t="s">
        <v>234</v>
      </c>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row>
    <row r="175" spans="1:102" x14ac:dyDescent="0.7">
      <c r="A175" s="63" t="s">
        <v>233</v>
      </c>
      <c r="B175" s="127" t="s">
        <v>235</v>
      </c>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row>
    <row r="176" spans="1:102" ht="16.899999999999999" thickBot="1" x14ac:dyDescent="0.75">
      <c r="A176" s="25" t="s">
        <v>232</v>
      </c>
      <c r="B176" s="26" t="s">
        <v>231</v>
      </c>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row>
    <row r="177" spans="1:102" ht="16.899999999999999" thickTop="1" x14ac:dyDescent="0.7">
      <c r="A177" s="86" t="str">
        <f t="shared" ref="A177" ca="1" si="50">$A$2</f>
        <v>D-2</v>
      </c>
      <c r="B177" s="128" t="s">
        <v>234</v>
      </c>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row>
    <row r="178" spans="1:102" x14ac:dyDescent="0.7">
      <c r="A178" s="63" t="s">
        <v>233</v>
      </c>
      <c r="B178" s="127" t="s">
        <v>235</v>
      </c>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row>
    <row r="179" spans="1:102" ht="16.899999999999999" thickBot="1" x14ac:dyDescent="0.75">
      <c r="A179" s="25" t="s">
        <v>232</v>
      </c>
      <c r="B179" s="26" t="s">
        <v>231</v>
      </c>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c r="CL179" s="27"/>
      <c r="CM179" s="27"/>
      <c r="CN179" s="27"/>
      <c r="CO179" s="27"/>
      <c r="CP179" s="27"/>
      <c r="CQ179" s="27"/>
      <c r="CR179" s="27"/>
      <c r="CS179" s="27"/>
      <c r="CT179" s="27"/>
      <c r="CU179" s="27"/>
      <c r="CV179" s="27"/>
      <c r="CW179" s="27"/>
      <c r="CX179" s="27"/>
    </row>
    <row r="180" spans="1:102" ht="16.899999999999999" thickTop="1" x14ac:dyDescent="0.7">
      <c r="A180" s="86" t="str">
        <f t="shared" ref="A180" ca="1" si="51">$A$2</f>
        <v>D-2</v>
      </c>
      <c r="B180" s="128" t="s">
        <v>234</v>
      </c>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row>
    <row r="181" spans="1:102" x14ac:dyDescent="0.7">
      <c r="A181" s="63" t="s">
        <v>233</v>
      </c>
      <c r="B181" s="127" t="s">
        <v>235</v>
      </c>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row>
    <row r="182" spans="1:102" ht="16.899999999999999" thickBot="1" x14ac:dyDescent="0.75">
      <c r="A182" s="25" t="s">
        <v>232</v>
      </c>
      <c r="B182" s="26" t="s">
        <v>231</v>
      </c>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row>
    <row r="183" spans="1:102" ht="16.899999999999999" thickTop="1" x14ac:dyDescent="0.7">
      <c r="A183" s="86" t="str">
        <f t="shared" ref="A183" ca="1" si="52">$A$2</f>
        <v>D-2</v>
      </c>
      <c r="B183" s="128" t="s">
        <v>234</v>
      </c>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row>
    <row r="184" spans="1:102" x14ac:dyDescent="0.7">
      <c r="A184" s="63" t="s">
        <v>233</v>
      </c>
      <c r="B184" s="127" t="s">
        <v>235</v>
      </c>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row>
    <row r="185" spans="1:102" ht="16.899999999999999" thickBot="1" x14ac:dyDescent="0.75">
      <c r="A185" s="25" t="s">
        <v>232</v>
      </c>
      <c r="B185" s="26" t="s">
        <v>231</v>
      </c>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c r="CU185" s="27"/>
      <c r="CV185" s="27"/>
      <c r="CW185" s="27"/>
      <c r="CX185" s="27"/>
    </row>
    <row r="186" spans="1:102" ht="16.899999999999999" thickTop="1" x14ac:dyDescent="0.7">
      <c r="A186" s="86" t="str">
        <f t="shared" ref="A186" ca="1" si="53">$A$2</f>
        <v>D-2</v>
      </c>
      <c r="B186" s="128" t="s">
        <v>234</v>
      </c>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row>
    <row r="187" spans="1:102" x14ac:dyDescent="0.7">
      <c r="A187" s="63" t="s">
        <v>233</v>
      </c>
      <c r="B187" s="127" t="s">
        <v>235</v>
      </c>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row>
    <row r="188" spans="1:102" ht="16.899999999999999" thickBot="1" x14ac:dyDescent="0.75">
      <c r="A188" s="25" t="s">
        <v>232</v>
      </c>
      <c r="B188" s="26" t="s">
        <v>231</v>
      </c>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row>
    <row r="189" spans="1:102" ht="16.899999999999999" thickTop="1" x14ac:dyDescent="0.7">
      <c r="A189" s="86" t="str">
        <f t="shared" ref="A189" ca="1" si="54">$A$2</f>
        <v>D-2</v>
      </c>
      <c r="B189" s="128" t="s">
        <v>234</v>
      </c>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row>
    <row r="190" spans="1:102" x14ac:dyDescent="0.7">
      <c r="A190" s="63" t="s">
        <v>233</v>
      </c>
      <c r="B190" s="127" t="s">
        <v>235</v>
      </c>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row>
    <row r="191" spans="1:102" ht="16.899999999999999" thickBot="1" x14ac:dyDescent="0.75">
      <c r="A191" s="25" t="s">
        <v>232</v>
      </c>
      <c r="B191" s="26" t="s">
        <v>231</v>
      </c>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c r="CV191" s="27"/>
      <c r="CW191" s="27"/>
      <c r="CX191" s="27"/>
    </row>
    <row r="192" spans="1:102" ht="16.899999999999999" thickTop="1" x14ac:dyDescent="0.7">
      <c r="A192" s="86" t="str">
        <f t="shared" ref="A192" ca="1" si="55">$A$2</f>
        <v>D-2</v>
      </c>
      <c r="B192" s="128" t="s">
        <v>234</v>
      </c>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row>
    <row r="193" spans="1:102" x14ac:dyDescent="0.7">
      <c r="A193" s="63" t="s">
        <v>233</v>
      </c>
      <c r="B193" s="127" t="s">
        <v>235</v>
      </c>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row>
    <row r="194" spans="1:102" ht="16.899999999999999" thickBot="1" x14ac:dyDescent="0.75">
      <c r="A194" s="25" t="s">
        <v>232</v>
      </c>
      <c r="B194" s="26" t="s">
        <v>231</v>
      </c>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c r="CV194" s="27"/>
      <c r="CW194" s="27"/>
      <c r="CX194" s="27"/>
    </row>
    <row r="195" spans="1:102" ht="16.899999999999999" thickTop="1" x14ac:dyDescent="0.7">
      <c r="A195" s="86" t="str">
        <f t="shared" ref="A195" ca="1" si="56">$A$2</f>
        <v>D-2</v>
      </c>
      <c r="B195" s="128" t="s">
        <v>234</v>
      </c>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row>
    <row r="196" spans="1:102" x14ac:dyDescent="0.7">
      <c r="A196" s="63" t="s">
        <v>233</v>
      </c>
      <c r="B196" s="127" t="s">
        <v>235</v>
      </c>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row>
    <row r="197" spans="1:102" ht="16.899999999999999" thickBot="1" x14ac:dyDescent="0.75">
      <c r="A197" s="25" t="s">
        <v>232</v>
      </c>
      <c r="B197" s="26" t="s">
        <v>231</v>
      </c>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row>
    <row r="198" spans="1:102" ht="16.899999999999999" thickTop="1" x14ac:dyDescent="0.7">
      <c r="A198" s="86" t="str">
        <f t="shared" ref="A198" ca="1" si="57">$A$2</f>
        <v>D-2</v>
      </c>
      <c r="B198" s="128" t="s">
        <v>234</v>
      </c>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row>
    <row r="199" spans="1:102" x14ac:dyDescent="0.7">
      <c r="A199" s="63" t="s">
        <v>233</v>
      </c>
      <c r="B199" s="127" t="s">
        <v>235</v>
      </c>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row>
    <row r="200" spans="1:102" ht="16.899999999999999" thickBot="1" x14ac:dyDescent="0.75">
      <c r="A200" s="25" t="s">
        <v>232</v>
      </c>
      <c r="B200" s="26" t="s">
        <v>231</v>
      </c>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row>
    <row r="201" spans="1:102" ht="16.899999999999999" thickTop="1" x14ac:dyDescent="0.7">
      <c r="A201" s="86" t="str">
        <f t="shared" ref="A201" ca="1" si="58">$A$2</f>
        <v>D-2</v>
      </c>
      <c r="B201" s="128" t="s">
        <v>234</v>
      </c>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row>
    <row r="202" spans="1:102" x14ac:dyDescent="0.7">
      <c r="A202" s="63" t="s">
        <v>233</v>
      </c>
      <c r="B202" s="127" t="s">
        <v>235</v>
      </c>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row>
    <row r="203" spans="1:102" ht="16.899999999999999" thickBot="1" x14ac:dyDescent="0.75">
      <c r="A203" s="25" t="s">
        <v>232</v>
      </c>
      <c r="B203" s="26" t="s">
        <v>231</v>
      </c>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row>
    <row r="204" spans="1:102" ht="16.899999999999999" thickTop="1" x14ac:dyDescent="0.7">
      <c r="A204" s="86" t="str">
        <f t="shared" ref="A204" ca="1" si="59">$A$2</f>
        <v>D-2</v>
      </c>
      <c r="B204" s="128" t="s">
        <v>234</v>
      </c>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row>
    <row r="205" spans="1:102" x14ac:dyDescent="0.7">
      <c r="A205" s="63" t="s">
        <v>233</v>
      </c>
      <c r="B205" s="127" t="s">
        <v>235</v>
      </c>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row>
    <row r="206" spans="1:102" ht="16.899999999999999" thickBot="1" x14ac:dyDescent="0.75">
      <c r="A206" s="25" t="s">
        <v>232</v>
      </c>
      <c r="B206" s="26" t="s">
        <v>231</v>
      </c>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row>
    <row r="207" spans="1:102" ht="16.899999999999999" thickTop="1" x14ac:dyDescent="0.7">
      <c r="A207" s="86" t="str">
        <f t="shared" ref="A207" ca="1" si="60">$A$2</f>
        <v>D-2</v>
      </c>
      <c r="B207" s="128" t="s">
        <v>234</v>
      </c>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row>
    <row r="208" spans="1:102" x14ac:dyDescent="0.7">
      <c r="A208" s="63" t="s">
        <v>233</v>
      </c>
      <c r="B208" s="127" t="s">
        <v>235</v>
      </c>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row>
    <row r="209" spans="1:102" ht="16.899999999999999" thickBot="1" x14ac:dyDescent="0.75">
      <c r="A209" s="25" t="s">
        <v>232</v>
      </c>
      <c r="B209" s="26" t="s">
        <v>231</v>
      </c>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row>
    <row r="210" spans="1:102" ht="16.899999999999999" thickTop="1" x14ac:dyDescent="0.7">
      <c r="A210" s="86" t="str">
        <f t="shared" ref="A210" ca="1" si="61">$A$2</f>
        <v>D-2</v>
      </c>
      <c r="B210" s="128" t="s">
        <v>234</v>
      </c>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row>
    <row r="211" spans="1:102" x14ac:dyDescent="0.7">
      <c r="A211" s="63" t="s">
        <v>233</v>
      </c>
      <c r="B211" s="127" t="s">
        <v>235</v>
      </c>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row>
    <row r="212" spans="1:102" ht="16.899999999999999" thickBot="1" x14ac:dyDescent="0.75">
      <c r="A212" s="25" t="s">
        <v>232</v>
      </c>
      <c r="B212" s="26" t="s">
        <v>231</v>
      </c>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row>
    <row r="213" spans="1:102" ht="16.899999999999999" thickTop="1" x14ac:dyDescent="0.7">
      <c r="A213" s="86" t="str">
        <f t="shared" ref="A213" ca="1" si="62">$A$2</f>
        <v>D-2</v>
      </c>
      <c r="B213" s="128" t="s">
        <v>234</v>
      </c>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row>
    <row r="214" spans="1:102" x14ac:dyDescent="0.7">
      <c r="A214" s="63" t="s">
        <v>233</v>
      </c>
      <c r="B214" s="127" t="s">
        <v>235</v>
      </c>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row>
    <row r="215" spans="1:102" ht="16.899999999999999" thickBot="1" x14ac:dyDescent="0.75">
      <c r="A215" s="25" t="s">
        <v>232</v>
      </c>
      <c r="B215" s="26" t="s">
        <v>231</v>
      </c>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row>
    <row r="216" spans="1:102" ht="16.899999999999999" thickTop="1" x14ac:dyDescent="0.7">
      <c r="A216" s="86" t="str">
        <f t="shared" ref="A216" ca="1" si="63">$A$2</f>
        <v>D-2</v>
      </c>
      <c r="B216" s="128" t="s">
        <v>234</v>
      </c>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row>
    <row r="217" spans="1:102" x14ac:dyDescent="0.7">
      <c r="A217" s="63" t="s">
        <v>233</v>
      </c>
      <c r="B217" s="127" t="s">
        <v>235</v>
      </c>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row>
    <row r="218" spans="1:102" ht="16.899999999999999" thickBot="1" x14ac:dyDescent="0.75">
      <c r="A218" s="25" t="s">
        <v>232</v>
      </c>
      <c r="B218" s="26" t="s">
        <v>231</v>
      </c>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row>
    <row r="219" spans="1:102" ht="16.899999999999999" thickTop="1" x14ac:dyDescent="0.7">
      <c r="A219" s="86" t="str">
        <f t="shared" ref="A219" ca="1" si="64">$A$2</f>
        <v>D-2</v>
      </c>
      <c r="B219" s="128" t="s">
        <v>234</v>
      </c>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row>
    <row r="220" spans="1:102" x14ac:dyDescent="0.7">
      <c r="A220" s="63" t="s">
        <v>233</v>
      </c>
      <c r="B220" s="127" t="s">
        <v>235</v>
      </c>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row>
    <row r="221" spans="1:102" ht="16.899999999999999" thickBot="1" x14ac:dyDescent="0.75">
      <c r="A221" s="25" t="s">
        <v>232</v>
      </c>
      <c r="B221" s="26" t="s">
        <v>231</v>
      </c>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row>
    <row r="222" spans="1:102" ht="16.899999999999999" thickTop="1" x14ac:dyDescent="0.7">
      <c r="A222" s="86" t="str">
        <f t="shared" ref="A222" ca="1" si="65">$A$2</f>
        <v>D-2</v>
      </c>
      <c r="B222" s="128" t="s">
        <v>234</v>
      </c>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row>
    <row r="223" spans="1:102" x14ac:dyDescent="0.7">
      <c r="A223" s="63" t="s">
        <v>233</v>
      </c>
      <c r="B223" s="127" t="s">
        <v>235</v>
      </c>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row>
    <row r="224" spans="1:102" ht="16.899999999999999" thickBot="1" x14ac:dyDescent="0.75">
      <c r="A224" s="25" t="s">
        <v>232</v>
      </c>
      <c r="B224" s="26" t="s">
        <v>231</v>
      </c>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row>
    <row r="225" spans="1:102" ht="16.899999999999999" thickTop="1" x14ac:dyDescent="0.7">
      <c r="A225" s="86" t="str">
        <f t="shared" ref="A225" ca="1" si="66">$A$2</f>
        <v>D-2</v>
      </c>
      <c r="B225" s="128" t="s">
        <v>234</v>
      </c>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row>
    <row r="226" spans="1:102" x14ac:dyDescent="0.7">
      <c r="A226" s="63" t="s">
        <v>233</v>
      </c>
      <c r="B226" s="127" t="s">
        <v>235</v>
      </c>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row>
    <row r="227" spans="1:102" ht="16.899999999999999" thickBot="1" x14ac:dyDescent="0.75">
      <c r="A227" s="25" t="s">
        <v>232</v>
      </c>
      <c r="B227" s="26" t="s">
        <v>231</v>
      </c>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row>
    <row r="228" spans="1:102" ht="16.899999999999999" thickTop="1" x14ac:dyDescent="0.7">
      <c r="A228" s="86" t="str">
        <f t="shared" ref="A228" ca="1" si="67">$A$2</f>
        <v>D-2</v>
      </c>
      <c r="B228" s="128" t="s">
        <v>234</v>
      </c>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row>
    <row r="229" spans="1:102" x14ac:dyDescent="0.7">
      <c r="A229" s="63" t="s">
        <v>233</v>
      </c>
      <c r="B229" s="127" t="s">
        <v>235</v>
      </c>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row>
    <row r="230" spans="1:102" ht="16.899999999999999" thickBot="1" x14ac:dyDescent="0.75">
      <c r="A230" s="25" t="s">
        <v>232</v>
      </c>
      <c r="B230" s="26" t="s">
        <v>231</v>
      </c>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row>
    <row r="231" spans="1:102" ht="16.899999999999999" thickTop="1" x14ac:dyDescent="0.7">
      <c r="A231" s="86" t="str">
        <f t="shared" ref="A231" ca="1" si="68">$A$2</f>
        <v>D-2</v>
      </c>
      <c r="B231" s="128" t="s">
        <v>234</v>
      </c>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row>
    <row r="232" spans="1:102" x14ac:dyDescent="0.7">
      <c r="A232" s="63" t="s">
        <v>233</v>
      </c>
      <c r="B232" s="127" t="s">
        <v>235</v>
      </c>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row>
    <row r="233" spans="1:102" ht="16.899999999999999" thickBot="1" x14ac:dyDescent="0.75">
      <c r="A233" s="25" t="s">
        <v>232</v>
      </c>
      <c r="B233" s="26" t="s">
        <v>231</v>
      </c>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row>
    <row r="234" spans="1:102" ht="16.899999999999999" thickTop="1" x14ac:dyDescent="0.7">
      <c r="A234" s="86" t="str">
        <f t="shared" ref="A234" ca="1" si="69">$A$2</f>
        <v>D-2</v>
      </c>
      <c r="B234" s="128" t="s">
        <v>234</v>
      </c>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row>
    <row r="235" spans="1:102" x14ac:dyDescent="0.7">
      <c r="A235" s="63" t="s">
        <v>233</v>
      </c>
      <c r="B235" s="127" t="s">
        <v>235</v>
      </c>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row>
    <row r="236" spans="1:102" ht="16.899999999999999" thickBot="1" x14ac:dyDescent="0.75">
      <c r="A236" s="25" t="s">
        <v>232</v>
      </c>
      <c r="B236" s="26" t="s">
        <v>231</v>
      </c>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c r="CU236" s="27"/>
      <c r="CV236" s="27"/>
      <c r="CW236" s="27"/>
      <c r="CX236" s="27"/>
    </row>
    <row r="237" spans="1:102" ht="16.899999999999999" thickTop="1" x14ac:dyDescent="0.7">
      <c r="A237" s="86" t="str">
        <f t="shared" ref="A237" ca="1" si="70">$A$2</f>
        <v>D-2</v>
      </c>
      <c r="B237" s="128" t="s">
        <v>234</v>
      </c>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row>
    <row r="238" spans="1:102" x14ac:dyDescent="0.7">
      <c r="A238" s="63" t="s">
        <v>233</v>
      </c>
      <c r="B238" s="127" t="s">
        <v>235</v>
      </c>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row>
    <row r="239" spans="1:102" ht="16.899999999999999" thickBot="1" x14ac:dyDescent="0.75">
      <c r="A239" s="25" t="s">
        <v>232</v>
      </c>
      <c r="B239" s="26" t="s">
        <v>231</v>
      </c>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c r="CU239" s="27"/>
      <c r="CV239" s="27"/>
      <c r="CW239" s="27"/>
      <c r="CX239" s="27"/>
    </row>
    <row r="240" spans="1:102" ht="16.899999999999999" thickTop="1" x14ac:dyDescent="0.7">
      <c r="A240" s="86" t="str">
        <f t="shared" ref="A240" ca="1" si="71">$A$2</f>
        <v>D-2</v>
      </c>
      <c r="B240" s="128" t="s">
        <v>234</v>
      </c>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row>
    <row r="241" spans="1:102" x14ac:dyDescent="0.7">
      <c r="A241" s="63" t="s">
        <v>233</v>
      </c>
      <c r="B241" s="127" t="s">
        <v>235</v>
      </c>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row>
    <row r="242" spans="1:102" ht="16.899999999999999" thickBot="1" x14ac:dyDescent="0.75">
      <c r="A242" s="25" t="s">
        <v>232</v>
      </c>
      <c r="B242" s="26" t="s">
        <v>231</v>
      </c>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row>
    <row r="243" spans="1:102" ht="16.899999999999999" thickTop="1" x14ac:dyDescent="0.7">
      <c r="A243" s="86" t="str">
        <f t="shared" ref="A243" ca="1" si="72">$A$2</f>
        <v>D-2</v>
      </c>
      <c r="B243" s="128" t="s">
        <v>234</v>
      </c>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row>
    <row r="244" spans="1:102" x14ac:dyDescent="0.7">
      <c r="A244" s="63" t="s">
        <v>233</v>
      </c>
      <c r="B244" s="127" t="s">
        <v>235</v>
      </c>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row>
    <row r="245" spans="1:102" ht="16.899999999999999" thickBot="1" x14ac:dyDescent="0.75">
      <c r="A245" s="25" t="s">
        <v>232</v>
      </c>
      <c r="B245" s="26" t="s">
        <v>231</v>
      </c>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row>
    <row r="246" spans="1:102" ht="16.899999999999999" thickTop="1" x14ac:dyDescent="0.7">
      <c r="A246" s="86" t="str">
        <f t="shared" ref="A246" ca="1" si="73">$A$2</f>
        <v>D-2</v>
      </c>
      <c r="B246" s="128" t="s">
        <v>234</v>
      </c>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row>
    <row r="247" spans="1:102" x14ac:dyDescent="0.7">
      <c r="A247" s="63" t="s">
        <v>233</v>
      </c>
      <c r="B247" s="127" t="s">
        <v>235</v>
      </c>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row>
    <row r="248" spans="1:102" ht="16.899999999999999" thickBot="1" x14ac:dyDescent="0.75">
      <c r="A248" s="25" t="s">
        <v>232</v>
      </c>
      <c r="B248" s="26" t="s">
        <v>231</v>
      </c>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row>
    <row r="249" spans="1:102" ht="16.899999999999999" thickTop="1" x14ac:dyDescent="0.7">
      <c r="A249" s="86" t="str">
        <f t="shared" ref="A249" ca="1" si="74">$A$2</f>
        <v>D-2</v>
      </c>
      <c r="B249" s="128" t="s">
        <v>234</v>
      </c>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row>
    <row r="250" spans="1:102" x14ac:dyDescent="0.7">
      <c r="A250" s="63" t="s">
        <v>233</v>
      </c>
      <c r="B250" s="127" t="s">
        <v>235</v>
      </c>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row>
    <row r="251" spans="1:102" ht="16.899999999999999" thickBot="1" x14ac:dyDescent="0.75">
      <c r="A251" s="25" t="s">
        <v>232</v>
      </c>
      <c r="B251" s="26" t="s">
        <v>231</v>
      </c>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c r="CU251" s="27"/>
      <c r="CV251" s="27"/>
      <c r="CW251" s="27"/>
      <c r="CX251" s="27"/>
    </row>
    <row r="252" spans="1:102" ht="16.899999999999999" thickTop="1" x14ac:dyDescent="0.7">
      <c r="A252" s="86" t="str">
        <f t="shared" ref="A252" ca="1" si="75">$A$2</f>
        <v>D-2</v>
      </c>
      <c r="B252" s="128" t="s">
        <v>234</v>
      </c>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row>
    <row r="253" spans="1:102" x14ac:dyDescent="0.7">
      <c r="A253" s="63" t="s">
        <v>233</v>
      </c>
      <c r="B253" s="127" t="s">
        <v>235</v>
      </c>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row>
    <row r="254" spans="1:102" ht="16.899999999999999" thickBot="1" x14ac:dyDescent="0.75">
      <c r="A254" s="25" t="s">
        <v>232</v>
      </c>
      <c r="B254" s="26" t="s">
        <v>231</v>
      </c>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row>
    <row r="255" spans="1:102" ht="16.899999999999999" thickTop="1" x14ac:dyDescent="0.7">
      <c r="A255" s="86" t="str">
        <f t="shared" ref="A255" ca="1" si="76">$A$2</f>
        <v>D-2</v>
      </c>
      <c r="B255" s="128" t="s">
        <v>234</v>
      </c>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row>
    <row r="256" spans="1:102" x14ac:dyDescent="0.7">
      <c r="A256" s="63" t="s">
        <v>233</v>
      </c>
      <c r="B256" s="127" t="s">
        <v>235</v>
      </c>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row>
    <row r="257" spans="1:102" ht="16.899999999999999" thickBot="1" x14ac:dyDescent="0.75">
      <c r="A257" s="25" t="s">
        <v>232</v>
      </c>
      <c r="B257" s="26" t="s">
        <v>231</v>
      </c>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row>
    <row r="258" spans="1:102" ht="16.899999999999999" thickTop="1" x14ac:dyDescent="0.7">
      <c r="A258" s="86" t="str">
        <f t="shared" ref="A258" ca="1" si="77">$A$2</f>
        <v>D-2</v>
      </c>
      <c r="B258" s="128" t="s">
        <v>234</v>
      </c>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row>
    <row r="259" spans="1:102" x14ac:dyDescent="0.7">
      <c r="A259" s="63" t="s">
        <v>233</v>
      </c>
      <c r="B259" s="127" t="s">
        <v>235</v>
      </c>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row>
    <row r="260" spans="1:102" ht="16.899999999999999" thickBot="1" x14ac:dyDescent="0.75">
      <c r="A260" s="25" t="s">
        <v>232</v>
      </c>
      <c r="B260" s="26" t="s">
        <v>231</v>
      </c>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row>
    <row r="261" spans="1:102" ht="16.899999999999999" thickTop="1" x14ac:dyDescent="0.7">
      <c r="A261" s="86" t="str">
        <f t="shared" ref="A261" ca="1" si="78">$A$2</f>
        <v>D-2</v>
      </c>
      <c r="B261" s="128" t="s">
        <v>234</v>
      </c>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row>
    <row r="262" spans="1:102" x14ac:dyDescent="0.7">
      <c r="A262" s="63" t="s">
        <v>233</v>
      </c>
      <c r="B262" s="127" t="s">
        <v>235</v>
      </c>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row>
    <row r="263" spans="1:102" ht="16.899999999999999" thickBot="1" x14ac:dyDescent="0.75">
      <c r="A263" s="25" t="s">
        <v>232</v>
      </c>
      <c r="B263" s="26" t="s">
        <v>231</v>
      </c>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c r="CU263" s="27"/>
      <c r="CV263" s="27"/>
      <c r="CW263" s="27"/>
      <c r="CX263" s="27"/>
    </row>
    <row r="264" spans="1:102" ht="16.899999999999999" thickTop="1" x14ac:dyDescent="0.7">
      <c r="A264" s="86" t="str">
        <f t="shared" ref="A264" ca="1" si="79">$A$2</f>
        <v>D-2</v>
      </c>
      <c r="B264" s="128" t="s">
        <v>234</v>
      </c>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row>
    <row r="265" spans="1:102" x14ac:dyDescent="0.7">
      <c r="A265" s="63" t="s">
        <v>233</v>
      </c>
      <c r="B265" s="127" t="s">
        <v>235</v>
      </c>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row>
    <row r="266" spans="1:102" ht="16.899999999999999" thickBot="1" x14ac:dyDescent="0.75">
      <c r="A266" s="25" t="s">
        <v>232</v>
      </c>
      <c r="B266" s="26" t="s">
        <v>231</v>
      </c>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c r="CU266" s="27"/>
      <c r="CV266" s="27"/>
      <c r="CW266" s="27"/>
      <c r="CX266" s="27"/>
    </row>
    <row r="267" spans="1:102" ht="16.899999999999999" thickTop="1" x14ac:dyDescent="0.7">
      <c r="A267" s="86" t="str">
        <f t="shared" ref="A267" ca="1" si="80">$A$2</f>
        <v>D-2</v>
      </c>
      <c r="B267" s="128" t="s">
        <v>234</v>
      </c>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row>
    <row r="268" spans="1:102" x14ac:dyDescent="0.7">
      <c r="A268" s="63" t="s">
        <v>233</v>
      </c>
      <c r="B268" s="127" t="s">
        <v>235</v>
      </c>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row>
    <row r="269" spans="1:102" ht="16.899999999999999" thickBot="1" x14ac:dyDescent="0.75">
      <c r="A269" s="25" t="s">
        <v>232</v>
      </c>
      <c r="B269" s="26" t="s">
        <v>231</v>
      </c>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c r="CU269" s="27"/>
      <c r="CV269" s="27"/>
      <c r="CW269" s="27"/>
      <c r="CX269" s="27"/>
    </row>
    <row r="270" spans="1:102" ht="16.899999999999999" thickTop="1" x14ac:dyDescent="0.7">
      <c r="A270" s="86" t="str">
        <f t="shared" ref="A270" ca="1" si="81">$A$2</f>
        <v>D-2</v>
      </c>
      <c r="B270" s="128" t="s">
        <v>234</v>
      </c>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row>
    <row r="271" spans="1:102" x14ac:dyDescent="0.7">
      <c r="A271" s="63" t="s">
        <v>233</v>
      </c>
      <c r="B271" s="127" t="s">
        <v>235</v>
      </c>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row>
    <row r="272" spans="1:102" ht="16.899999999999999" thickBot="1" x14ac:dyDescent="0.75">
      <c r="A272" s="25" t="s">
        <v>232</v>
      </c>
      <c r="B272" s="26" t="s">
        <v>231</v>
      </c>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c r="CU272" s="27"/>
      <c r="CV272" s="27"/>
      <c r="CW272" s="27"/>
      <c r="CX272" s="27"/>
    </row>
    <row r="273" spans="1:102" ht="16.899999999999999" thickTop="1" x14ac:dyDescent="0.7">
      <c r="A273" s="86" t="str">
        <f t="shared" ref="A273" ca="1" si="82">$A$2</f>
        <v>D-2</v>
      </c>
      <c r="B273" s="128" t="s">
        <v>234</v>
      </c>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row>
    <row r="274" spans="1:102" x14ac:dyDescent="0.7">
      <c r="A274" s="63" t="s">
        <v>233</v>
      </c>
      <c r="B274" s="127" t="s">
        <v>235</v>
      </c>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row>
    <row r="275" spans="1:102" ht="16.899999999999999" thickBot="1" x14ac:dyDescent="0.75">
      <c r="A275" s="25" t="s">
        <v>232</v>
      </c>
      <c r="B275" s="26" t="s">
        <v>231</v>
      </c>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row>
    <row r="276" spans="1:102" ht="16.899999999999999" thickTop="1" x14ac:dyDescent="0.7">
      <c r="A276" s="86" t="str">
        <f t="shared" ref="A276" ca="1" si="83">$A$2</f>
        <v>D-2</v>
      </c>
      <c r="B276" s="128" t="s">
        <v>234</v>
      </c>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row>
    <row r="277" spans="1:102" x14ac:dyDescent="0.7">
      <c r="A277" s="63" t="s">
        <v>233</v>
      </c>
      <c r="B277" s="127" t="s">
        <v>235</v>
      </c>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row>
    <row r="278" spans="1:102" ht="16.899999999999999" thickBot="1" x14ac:dyDescent="0.75">
      <c r="A278" s="25" t="s">
        <v>232</v>
      </c>
      <c r="B278" s="26" t="s">
        <v>231</v>
      </c>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row>
    <row r="279" spans="1:102" ht="16.899999999999999" thickTop="1" x14ac:dyDescent="0.7">
      <c r="A279" s="86" t="str">
        <f t="shared" ref="A279" ca="1" si="84">$A$2</f>
        <v>D-2</v>
      </c>
      <c r="B279" s="128" t="s">
        <v>234</v>
      </c>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row>
    <row r="280" spans="1:102" x14ac:dyDescent="0.7">
      <c r="A280" s="63" t="s">
        <v>233</v>
      </c>
      <c r="B280" s="127" t="s">
        <v>235</v>
      </c>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row>
    <row r="281" spans="1:102" ht="16.899999999999999" thickBot="1" x14ac:dyDescent="0.75">
      <c r="A281" s="25" t="s">
        <v>232</v>
      </c>
      <c r="B281" s="26" t="s">
        <v>231</v>
      </c>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row>
    <row r="282" spans="1:102" ht="16.899999999999999" thickTop="1" x14ac:dyDescent="0.7">
      <c r="A282" s="86" t="str">
        <f t="shared" ref="A282" ca="1" si="85">$A$2</f>
        <v>D-2</v>
      </c>
      <c r="B282" s="128" t="s">
        <v>234</v>
      </c>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row>
    <row r="283" spans="1:102" x14ac:dyDescent="0.7">
      <c r="A283" s="63" t="s">
        <v>233</v>
      </c>
      <c r="B283" s="127" t="s">
        <v>235</v>
      </c>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row>
    <row r="284" spans="1:102" ht="16.899999999999999" thickBot="1" x14ac:dyDescent="0.75">
      <c r="A284" s="25" t="s">
        <v>232</v>
      </c>
      <c r="B284" s="26" t="s">
        <v>231</v>
      </c>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c r="CU284" s="27"/>
      <c r="CV284" s="27"/>
      <c r="CW284" s="27"/>
      <c r="CX284" s="27"/>
    </row>
    <row r="285" spans="1:102" ht="16.899999999999999" thickTop="1" x14ac:dyDescent="0.7">
      <c r="A285" s="86" t="str">
        <f t="shared" ref="A285" ca="1" si="86">$A$2</f>
        <v>D-2</v>
      </c>
      <c r="B285" s="128" t="s">
        <v>234</v>
      </c>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row>
    <row r="286" spans="1:102" x14ac:dyDescent="0.7">
      <c r="A286" s="63" t="s">
        <v>233</v>
      </c>
      <c r="B286" s="127" t="s">
        <v>235</v>
      </c>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row>
    <row r="287" spans="1:102" ht="16.899999999999999" thickBot="1" x14ac:dyDescent="0.75">
      <c r="A287" s="25" t="s">
        <v>232</v>
      </c>
      <c r="B287" s="26" t="s">
        <v>231</v>
      </c>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row>
    <row r="288" spans="1:102" ht="16.899999999999999" thickTop="1" x14ac:dyDescent="0.7">
      <c r="A288" s="86" t="str">
        <f t="shared" ref="A288" ca="1" si="87">$A$2</f>
        <v>D-2</v>
      </c>
      <c r="B288" s="128" t="s">
        <v>234</v>
      </c>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row>
    <row r="289" spans="1:102" x14ac:dyDescent="0.7">
      <c r="A289" s="63" t="s">
        <v>233</v>
      </c>
      <c r="B289" s="127" t="s">
        <v>235</v>
      </c>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row>
    <row r="290" spans="1:102" ht="16.899999999999999" thickBot="1" x14ac:dyDescent="0.75">
      <c r="A290" s="25" t="s">
        <v>232</v>
      </c>
      <c r="B290" s="26" t="s">
        <v>231</v>
      </c>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row>
    <row r="291" spans="1:102" ht="16.899999999999999" thickTop="1" x14ac:dyDescent="0.7">
      <c r="A291" s="86" t="str">
        <f t="shared" ref="A291" ca="1" si="88">$A$2</f>
        <v>D-2</v>
      </c>
      <c r="B291" s="128" t="s">
        <v>234</v>
      </c>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row>
    <row r="292" spans="1:102" x14ac:dyDescent="0.7">
      <c r="A292" s="63" t="s">
        <v>233</v>
      </c>
      <c r="B292" s="127" t="s">
        <v>235</v>
      </c>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row>
    <row r="293" spans="1:102" ht="16.899999999999999" thickBot="1" x14ac:dyDescent="0.75">
      <c r="A293" s="25" t="s">
        <v>232</v>
      </c>
      <c r="B293" s="26" t="s">
        <v>231</v>
      </c>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row>
    <row r="294" spans="1:102" ht="16.899999999999999" thickTop="1" x14ac:dyDescent="0.7">
      <c r="A294" s="86" t="str">
        <f t="shared" ref="A294" ca="1" si="89">$A$2</f>
        <v>D-2</v>
      </c>
      <c r="B294" s="128" t="s">
        <v>234</v>
      </c>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row>
    <row r="295" spans="1:102" x14ac:dyDescent="0.7">
      <c r="A295" s="63" t="s">
        <v>233</v>
      </c>
      <c r="B295" s="127" t="s">
        <v>235</v>
      </c>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row>
    <row r="296" spans="1:102" ht="16.899999999999999" thickBot="1" x14ac:dyDescent="0.75">
      <c r="A296" s="25" t="s">
        <v>232</v>
      </c>
      <c r="B296" s="26" t="s">
        <v>231</v>
      </c>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row>
    <row r="297" spans="1:102" ht="16.899999999999999" thickTop="1" x14ac:dyDescent="0.7">
      <c r="A297" s="86" t="str">
        <f t="shared" ref="A297" ca="1" si="90">$A$2</f>
        <v>D-2</v>
      </c>
      <c r="B297" s="128" t="s">
        <v>234</v>
      </c>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row>
    <row r="298" spans="1:102" x14ac:dyDescent="0.7">
      <c r="A298" s="63" t="s">
        <v>233</v>
      </c>
      <c r="B298" s="127" t="s">
        <v>235</v>
      </c>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row>
    <row r="299" spans="1:102" ht="16.899999999999999" thickBot="1" x14ac:dyDescent="0.75">
      <c r="A299" s="25" t="s">
        <v>232</v>
      </c>
      <c r="B299" s="26" t="s">
        <v>231</v>
      </c>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row>
    <row r="300" spans="1:102" ht="16.899999999999999" thickTop="1" x14ac:dyDescent="0.7">
      <c r="A300" s="86" t="str">
        <f t="shared" ref="A300" ca="1" si="91">$A$2</f>
        <v>D-2</v>
      </c>
      <c r="B300" s="128" t="s">
        <v>234</v>
      </c>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row>
    <row r="301" spans="1:102" x14ac:dyDescent="0.7">
      <c r="A301" s="63" t="s">
        <v>233</v>
      </c>
      <c r="B301" s="127" t="s">
        <v>235</v>
      </c>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row>
    <row r="302" spans="1:102" ht="16.899999999999999" thickBot="1" x14ac:dyDescent="0.75">
      <c r="A302" s="25" t="s">
        <v>232</v>
      </c>
      <c r="B302" s="26" t="s">
        <v>231</v>
      </c>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row>
    <row r="303" spans="1:102" ht="16.899999999999999" thickTop="1" x14ac:dyDescent="0.7">
      <c r="A303" s="86" t="str">
        <f t="shared" ref="A303" ca="1" si="92">$A$2</f>
        <v>D-2</v>
      </c>
      <c r="B303" s="128" t="s">
        <v>234</v>
      </c>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row>
    <row r="304" spans="1:102" x14ac:dyDescent="0.7">
      <c r="A304" s="63" t="s">
        <v>233</v>
      </c>
      <c r="B304" s="127" t="s">
        <v>235</v>
      </c>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row>
    <row r="305" spans="1:102" ht="16.899999999999999" thickBot="1" x14ac:dyDescent="0.75">
      <c r="A305" s="25" t="s">
        <v>232</v>
      </c>
      <c r="B305" s="26" t="s">
        <v>231</v>
      </c>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row>
    <row r="306" spans="1:102" ht="16.899999999999999" thickTop="1" x14ac:dyDescent="0.7">
      <c r="A306" s="86" t="str">
        <f t="shared" ref="A306" ca="1" si="93">$A$2</f>
        <v>D-2</v>
      </c>
      <c r="B306" s="128" t="s">
        <v>234</v>
      </c>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row>
    <row r="307" spans="1:102" x14ac:dyDescent="0.7">
      <c r="A307" s="63" t="s">
        <v>233</v>
      </c>
      <c r="B307" s="127" t="s">
        <v>235</v>
      </c>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row>
    <row r="308" spans="1:102" ht="16.899999999999999" thickBot="1" x14ac:dyDescent="0.75">
      <c r="A308" s="25" t="s">
        <v>232</v>
      </c>
      <c r="B308" s="26" t="s">
        <v>231</v>
      </c>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row>
    <row r="309" spans="1:102" ht="16.899999999999999" thickTop="1" x14ac:dyDescent="0.7">
      <c r="A309" s="86" t="str">
        <f t="shared" ref="A309" ca="1" si="94">$A$2</f>
        <v>D-2</v>
      </c>
      <c r="B309" s="128" t="s">
        <v>234</v>
      </c>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row>
    <row r="310" spans="1:102" x14ac:dyDescent="0.7">
      <c r="A310" s="63" t="s">
        <v>233</v>
      </c>
      <c r="B310" s="127" t="s">
        <v>235</v>
      </c>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row>
    <row r="311" spans="1:102" ht="16.899999999999999" thickBot="1" x14ac:dyDescent="0.75">
      <c r="A311" s="25" t="s">
        <v>232</v>
      </c>
      <c r="B311" s="26" t="s">
        <v>231</v>
      </c>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row>
    <row r="312" spans="1:102" ht="16.899999999999999" thickTop="1" x14ac:dyDescent="0.7">
      <c r="A312" s="86" t="str">
        <f t="shared" ref="A312" ca="1" si="95">$A$2</f>
        <v>D-2</v>
      </c>
      <c r="B312" s="128" t="s">
        <v>234</v>
      </c>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row>
    <row r="313" spans="1:102" x14ac:dyDescent="0.7">
      <c r="A313" s="63" t="s">
        <v>233</v>
      </c>
      <c r="B313" s="127" t="s">
        <v>235</v>
      </c>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row>
    <row r="314" spans="1:102" ht="16.899999999999999" thickBot="1" x14ac:dyDescent="0.75">
      <c r="A314" s="25" t="s">
        <v>232</v>
      </c>
      <c r="B314" s="26" t="s">
        <v>231</v>
      </c>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row>
    <row r="315" spans="1:102" ht="16.899999999999999" thickTop="1" x14ac:dyDescent="0.7">
      <c r="A315" s="86" t="str">
        <f t="shared" ref="A315" ca="1" si="96">$A$2</f>
        <v>D-2</v>
      </c>
      <c r="B315" s="128" t="s">
        <v>234</v>
      </c>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row>
    <row r="316" spans="1:102" x14ac:dyDescent="0.7">
      <c r="A316" s="63" t="s">
        <v>233</v>
      </c>
      <c r="B316" s="127" t="s">
        <v>235</v>
      </c>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row>
    <row r="317" spans="1:102" ht="16.899999999999999" thickBot="1" x14ac:dyDescent="0.75">
      <c r="A317" s="25" t="s">
        <v>232</v>
      </c>
      <c r="B317" s="26" t="s">
        <v>231</v>
      </c>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row>
    <row r="318" spans="1:102" ht="16.899999999999999" thickTop="1" x14ac:dyDescent="0.7">
      <c r="A318" s="86" t="str">
        <f t="shared" ref="A318" ca="1" si="97">$A$2</f>
        <v>D-2</v>
      </c>
      <c r="B318" s="128" t="s">
        <v>234</v>
      </c>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row>
    <row r="319" spans="1:102" x14ac:dyDescent="0.7">
      <c r="A319" s="63" t="s">
        <v>233</v>
      </c>
      <c r="B319" s="127" t="s">
        <v>235</v>
      </c>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row>
    <row r="320" spans="1:102" ht="16.899999999999999" thickBot="1" x14ac:dyDescent="0.75">
      <c r="A320" s="25" t="s">
        <v>232</v>
      </c>
      <c r="B320" s="26" t="s">
        <v>231</v>
      </c>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row>
    <row r="321" spans="1:102" ht="16.899999999999999" thickTop="1" x14ac:dyDescent="0.7">
      <c r="A321" s="86" t="str">
        <f t="shared" ref="A321" ca="1" si="98">$A$2</f>
        <v>D-2</v>
      </c>
      <c r="B321" s="128" t="s">
        <v>234</v>
      </c>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row>
    <row r="322" spans="1:102" x14ac:dyDescent="0.7">
      <c r="A322" s="63" t="s">
        <v>233</v>
      </c>
      <c r="B322" s="127" t="s">
        <v>235</v>
      </c>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row>
    <row r="323" spans="1:102" ht="16.899999999999999" thickBot="1" x14ac:dyDescent="0.75">
      <c r="A323" s="25" t="s">
        <v>232</v>
      </c>
      <c r="B323" s="26" t="s">
        <v>231</v>
      </c>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row>
    <row r="324" spans="1:102" ht="16.899999999999999" thickTop="1" x14ac:dyDescent="0.7">
      <c r="A324" s="86" t="str">
        <f t="shared" ref="A324" ca="1" si="99">$A$2</f>
        <v>D-2</v>
      </c>
      <c r="B324" s="128" t="s">
        <v>234</v>
      </c>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row>
    <row r="325" spans="1:102" x14ac:dyDescent="0.7">
      <c r="A325" s="63" t="s">
        <v>233</v>
      </c>
      <c r="B325" s="127" t="s">
        <v>235</v>
      </c>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row>
    <row r="326" spans="1:102" ht="16.899999999999999" thickBot="1" x14ac:dyDescent="0.75">
      <c r="A326" s="25" t="s">
        <v>232</v>
      </c>
      <c r="B326" s="26" t="s">
        <v>231</v>
      </c>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row>
    <row r="327" spans="1:102" ht="16.899999999999999" thickTop="1" x14ac:dyDescent="0.7">
      <c r="A327" s="86" t="str">
        <f t="shared" ref="A327" ca="1" si="100">$A$2</f>
        <v>D-2</v>
      </c>
      <c r="B327" s="128" t="s">
        <v>234</v>
      </c>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row>
    <row r="328" spans="1:102" x14ac:dyDescent="0.7">
      <c r="A328" s="63" t="s">
        <v>233</v>
      </c>
      <c r="B328" s="127" t="s">
        <v>235</v>
      </c>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row>
    <row r="329" spans="1:102" ht="16.899999999999999" thickBot="1" x14ac:dyDescent="0.75">
      <c r="A329" s="25" t="s">
        <v>232</v>
      </c>
      <c r="B329" s="26" t="s">
        <v>231</v>
      </c>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row>
    <row r="330" spans="1:102" ht="16.899999999999999" thickTop="1" x14ac:dyDescent="0.7">
      <c r="A330" s="86" t="str">
        <f t="shared" ref="A330" ca="1" si="101">$A$2</f>
        <v>D-2</v>
      </c>
      <c r="B330" s="128" t="s">
        <v>234</v>
      </c>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row>
    <row r="331" spans="1:102" x14ac:dyDescent="0.7">
      <c r="A331" s="63" t="s">
        <v>233</v>
      </c>
      <c r="B331" s="127" t="s">
        <v>235</v>
      </c>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row>
    <row r="332" spans="1:102" ht="16.899999999999999" thickBot="1" x14ac:dyDescent="0.75">
      <c r="A332" s="25" t="s">
        <v>232</v>
      </c>
      <c r="B332" s="26" t="s">
        <v>231</v>
      </c>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row>
    <row r="333" spans="1:102" ht="16.899999999999999" thickTop="1" x14ac:dyDescent="0.7">
      <c r="A333" s="86" t="str">
        <f t="shared" ref="A333" ca="1" si="102">$A$2</f>
        <v>D-2</v>
      </c>
      <c r="B333" s="128" t="s">
        <v>234</v>
      </c>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row>
    <row r="334" spans="1:102" x14ac:dyDescent="0.7">
      <c r="A334" s="63" t="s">
        <v>233</v>
      </c>
      <c r="B334" s="127" t="s">
        <v>235</v>
      </c>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row>
    <row r="335" spans="1:102" ht="16.899999999999999" thickBot="1" x14ac:dyDescent="0.75">
      <c r="A335" s="25" t="s">
        <v>232</v>
      </c>
      <c r="B335" s="26" t="s">
        <v>231</v>
      </c>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row>
    <row r="336" spans="1:102" ht="16.899999999999999" thickTop="1" x14ac:dyDescent="0.7">
      <c r="A336" s="86" t="str">
        <f t="shared" ref="A336" ca="1" si="103">$A$2</f>
        <v>D-2</v>
      </c>
      <c r="B336" s="128" t="s">
        <v>234</v>
      </c>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row>
    <row r="337" spans="1:102" x14ac:dyDescent="0.7">
      <c r="A337" s="63" t="s">
        <v>233</v>
      </c>
      <c r="B337" s="127" t="s">
        <v>235</v>
      </c>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row>
    <row r="338" spans="1:102" ht="16.899999999999999" thickBot="1" x14ac:dyDescent="0.75">
      <c r="A338" s="25" t="s">
        <v>232</v>
      </c>
      <c r="B338" s="26" t="s">
        <v>231</v>
      </c>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row>
    <row r="339" spans="1:102" ht="16.899999999999999" thickTop="1" x14ac:dyDescent="0.7">
      <c r="A339" s="86" t="str">
        <f t="shared" ref="A339" ca="1" si="104">$A$2</f>
        <v>D-2</v>
      </c>
      <c r="B339" s="128" t="s">
        <v>234</v>
      </c>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row>
    <row r="340" spans="1:102" x14ac:dyDescent="0.7">
      <c r="A340" s="63" t="s">
        <v>233</v>
      </c>
      <c r="B340" s="127" t="s">
        <v>235</v>
      </c>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row>
    <row r="341" spans="1:102" ht="16.899999999999999" thickBot="1" x14ac:dyDescent="0.75">
      <c r="A341" s="25" t="s">
        <v>232</v>
      </c>
      <c r="B341" s="26" t="s">
        <v>231</v>
      </c>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row>
    <row r="342" spans="1:102" ht="16.899999999999999" thickTop="1" x14ac:dyDescent="0.7">
      <c r="A342" s="86" t="str">
        <f t="shared" ref="A342" ca="1" si="105">$A$2</f>
        <v>D-2</v>
      </c>
      <c r="B342" s="128" t="s">
        <v>234</v>
      </c>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row>
    <row r="343" spans="1:102" x14ac:dyDescent="0.7">
      <c r="A343" s="63" t="s">
        <v>233</v>
      </c>
      <c r="B343" s="127" t="s">
        <v>235</v>
      </c>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row>
    <row r="344" spans="1:102" ht="16.899999999999999" thickBot="1" x14ac:dyDescent="0.75">
      <c r="A344" s="25" t="s">
        <v>232</v>
      </c>
      <c r="B344" s="26" t="s">
        <v>231</v>
      </c>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row>
    <row r="345" spans="1:102" ht="16.899999999999999" thickTop="1" x14ac:dyDescent="0.7">
      <c r="A345" s="86" t="str">
        <f t="shared" ref="A345" ca="1" si="106">$A$2</f>
        <v>D-2</v>
      </c>
      <c r="B345" s="128" t="s">
        <v>234</v>
      </c>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row>
    <row r="346" spans="1:102" x14ac:dyDescent="0.7">
      <c r="A346" s="63" t="s">
        <v>233</v>
      </c>
      <c r="B346" s="127" t="s">
        <v>235</v>
      </c>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row>
    <row r="347" spans="1:102" ht="16.899999999999999" thickBot="1" x14ac:dyDescent="0.75">
      <c r="A347" s="25" t="s">
        <v>232</v>
      </c>
      <c r="B347" s="26" t="s">
        <v>231</v>
      </c>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row>
    <row r="348" spans="1:102" ht="16.899999999999999" thickTop="1" x14ac:dyDescent="0.7">
      <c r="A348" s="86" t="str">
        <f t="shared" ref="A348" ca="1" si="107">$A$2</f>
        <v>D-2</v>
      </c>
      <c r="B348" s="128" t="s">
        <v>234</v>
      </c>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row>
    <row r="349" spans="1:102" x14ac:dyDescent="0.7">
      <c r="A349" s="63" t="s">
        <v>233</v>
      </c>
      <c r="B349" s="127" t="s">
        <v>235</v>
      </c>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row>
    <row r="350" spans="1:102" ht="16.899999999999999" thickBot="1" x14ac:dyDescent="0.75">
      <c r="A350" s="25" t="s">
        <v>232</v>
      </c>
      <c r="B350" s="26" t="s">
        <v>231</v>
      </c>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row>
    <row r="351" spans="1:102" ht="16.899999999999999" thickTop="1" x14ac:dyDescent="0.7">
      <c r="A351" s="86" t="str">
        <f t="shared" ref="A351" ca="1" si="108">$A$2</f>
        <v>D-2</v>
      </c>
      <c r="B351" s="128" t="s">
        <v>234</v>
      </c>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row>
    <row r="352" spans="1:102" x14ac:dyDescent="0.7">
      <c r="A352" s="63" t="s">
        <v>233</v>
      </c>
      <c r="B352" s="127" t="s">
        <v>235</v>
      </c>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row>
    <row r="353" spans="1:102" ht="16.899999999999999" thickBot="1" x14ac:dyDescent="0.75">
      <c r="A353" s="25" t="s">
        <v>232</v>
      </c>
      <c r="B353" s="26" t="s">
        <v>231</v>
      </c>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row>
    <row r="354" spans="1:102" ht="16.899999999999999" thickTop="1" x14ac:dyDescent="0.7">
      <c r="A354" s="86" t="str">
        <f t="shared" ref="A354" ca="1" si="109">$A$2</f>
        <v>D-2</v>
      </c>
      <c r="B354" s="128" t="s">
        <v>234</v>
      </c>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row>
    <row r="355" spans="1:102" x14ac:dyDescent="0.7">
      <c r="A355" s="63" t="s">
        <v>233</v>
      </c>
      <c r="B355" s="127" t="s">
        <v>235</v>
      </c>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row>
    <row r="356" spans="1:102" ht="16.899999999999999" thickBot="1" x14ac:dyDescent="0.75">
      <c r="A356" s="25" t="s">
        <v>232</v>
      </c>
      <c r="B356" s="26" t="s">
        <v>231</v>
      </c>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row>
    <row r="357" spans="1:102" ht="16.899999999999999" thickTop="1" x14ac:dyDescent="0.7">
      <c r="A357" s="86" t="str">
        <f t="shared" ref="A357" ca="1" si="110">$A$2</f>
        <v>D-2</v>
      </c>
      <c r="B357" s="128" t="s">
        <v>234</v>
      </c>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row>
    <row r="358" spans="1:102" x14ac:dyDescent="0.7">
      <c r="A358" s="63" t="s">
        <v>233</v>
      </c>
      <c r="B358" s="127" t="s">
        <v>235</v>
      </c>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row>
    <row r="359" spans="1:102" ht="16.899999999999999" thickBot="1" x14ac:dyDescent="0.75">
      <c r="A359" s="25" t="s">
        <v>232</v>
      </c>
      <c r="B359" s="26" t="s">
        <v>231</v>
      </c>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row>
    <row r="360" spans="1:102" ht="16.899999999999999" thickTop="1" x14ac:dyDescent="0.7">
      <c r="A360" s="86" t="str">
        <f t="shared" ref="A360" ca="1" si="111">$A$2</f>
        <v>D-2</v>
      </c>
      <c r="B360" s="128" t="s">
        <v>234</v>
      </c>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row>
    <row r="361" spans="1:102" x14ac:dyDescent="0.7">
      <c r="A361" s="63" t="s">
        <v>233</v>
      </c>
      <c r="B361" s="127" t="s">
        <v>235</v>
      </c>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row>
    <row r="362" spans="1:102" ht="16.899999999999999" thickBot="1" x14ac:dyDescent="0.75">
      <c r="A362" s="25" t="s">
        <v>232</v>
      </c>
      <c r="B362" s="26" t="s">
        <v>231</v>
      </c>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row>
    <row r="363" spans="1:102" ht="16.899999999999999" thickTop="1" x14ac:dyDescent="0.7">
      <c r="A363" s="86" t="str">
        <f t="shared" ref="A363" ca="1" si="112">$A$2</f>
        <v>D-2</v>
      </c>
      <c r="B363" s="128" t="s">
        <v>234</v>
      </c>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row>
    <row r="364" spans="1:102" x14ac:dyDescent="0.7">
      <c r="A364" s="63" t="s">
        <v>233</v>
      </c>
      <c r="B364" s="127" t="s">
        <v>235</v>
      </c>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row>
    <row r="365" spans="1:102" ht="16.899999999999999" thickBot="1" x14ac:dyDescent="0.75">
      <c r="A365" s="25" t="s">
        <v>232</v>
      </c>
      <c r="B365" s="26" t="s">
        <v>231</v>
      </c>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row>
    <row r="366" spans="1:102" ht="16.899999999999999" thickTop="1" x14ac:dyDescent="0.7">
      <c r="A366" s="86" t="str">
        <f t="shared" ref="A366" ca="1" si="113">$A$2</f>
        <v>D-2</v>
      </c>
      <c r="B366" s="128" t="s">
        <v>234</v>
      </c>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row>
    <row r="367" spans="1:102" x14ac:dyDescent="0.7">
      <c r="A367" s="63" t="s">
        <v>233</v>
      </c>
      <c r="B367" s="127" t="s">
        <v>235</v>
      </c>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row>
    <row r="368" spans="1:102" ht="16.899999999999999" thickBot="1" x14ac:dyDescent="0.75">
      <c r="A368" s="25" t="s">
        <v>232</v>
      </c>
      <c r="B368" s="26" t="s">
        <v>231</v>
      </c>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row>
    <row r="369" spans="1:102" ht="16.899999999999999" thickTop="1" x14ac:dyDescent="0.7">
      <c r="A369" s="86" t="str">
        <f t="shared" ref="A369" ca="1" si="114">$A$2</f>
        <v>D-2</v>
      </c>
      <c r="B369" s="128" t="s">
        <v>234</v>
      </c>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row>
    <row r="370" spans="1:102" x14ac:dyDescent="0.7">
      <c r="A370" s="63" t="s">
        <v>233</v>
      </c>
      <c r="B370" s="127" t="s">
        <v>235</v>
      </c>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row>
    <row r="371" spans="1:102" ht="16.899999999999999" thickBot="1" x14ac:dyDescent="0.75">
      <c r="A371" s="25" t="s">
        <v>232</v>
      </c>
      <c r="B371" s="26" t="s">
        <v>231</v>
      </c>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row>
    <row r="372" spans="1:102" ht="16.899999999999999" thickTop="1" x14ac:dyDescent="0.7">
      <c r="A372" s="86" t="str">
        <f t="shared" ref="A372" ca="1" si="115">$A$2</f>
        <v>D-2</v>
      </c>
      <c r="B372" s="128" t="s">
        <v>234</v>
      </c>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row>
    <row r="373" spans="1:102" x14ac:dyDescent="0.7">
      <c r="A373" s="63" t="s">
        <v>233</v>
      </c>
      <c r="B373" s="127" t="s">
        <v>235</v>
      </c>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row>
    <row r="374" spans="1:102" ht="16.899999999999999" thickBot="1" x14ac:dyDescent="0.75">
      <c r="A374" s="25" t="s">
        <v>232</v>
      </c>
      <c r="B374" s="26" t="s">
        <v>231</v>
      </c>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row>
    <row r="375" spans="1:102" ht="16.899999999999999" thickTop="1" x14ac:dyDescent="0.7">
      <c r="A375" s="86" t="str">
        <f t="shared" ref="A375" ca="1" si="116">$A$2</f>
        <v>D-2</v>
      </c>
      <c r="B375" s="128" t="s">
        <v>234</v>
      </c>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row>
    <row r="376" spans="1:102" x14ac:dyDescent="0.7">
      <c r="A376" s="63" t="s">
        <v>233</v>
      </c>
      <c r="B376" s="127" t="s">
        <v>235</v>
      </c>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row>
    <row r="377" spans="1:102" ht="16.899999999999999" thickBot="1" x14ac:dyDescent="0.75">
      <c r="A377" s="25" t="s">
        <v>232</v>
      </c>
      <c r="B377" s="26" t="s">
        <v>231</v>
      </c>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row>
    <row r="378" spans="1:102" ht="16.899999999999999" thickTop="1" x14ac:dyDescent="0.7">
      <c r="A378" s="86" t="str">
        <f t="shared" ref="A378" ca="1" si="117">$A$2</f>
        <v>D-2</v>
      </c>
      <c r="B378" s="128" t="s">
        <v>234</v>
      </c>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row>
    <row r="379" spans="1:102" x14ac:dyDescent="0.7">
      <c r="A379" s="63" t="s">
        <v>233</v>
      </c>
      <c r="B379" s="127" t="s">
        <v>235</v>
      </c>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row>
    <row r="380" spans="1:102" ht="16.899999999999999" thickBot="1" x14ac:dyDescent="0.75">
      <c r="A380" s="25" t="s">
        <v>232</v>
      </c>
      <c r="B380" s="26" t="s">
        <v>231</v>
      </c>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row>
    <row r="381" spans="1:102" ht="16.899999999999999" thickTop="1" x14ac:dyDescent="0.7">
      <c r="A381" s="86" t="str">
        <f t="shared" ref="A381" ca="1" si="118">$A$2</f>
        <v>D-2</v>
      </c>
      <c r="B381" s="128" t="s">
        <v>234</v>
      </c>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row>
    <row r="382" spans="1:102" x14ac:dyDescent="0.7">
      <c r="A382" s="63" t="s">
        <v>233</v>
      </c>
      <c r="B382" s="127" t="s">
        <v>235</v>
      </c>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row>
    <row r="383" spans="1:102" ht="16.899999999999999" thickBot="1" x14ac:dyDescent="0.75">
      <c r="A383" s="25" t="s">
        <v>232</v>
      </c>
      <c r="B383" s="26" t="s">
        <v>231</v>
      </c>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row>
    <row r="384" spans="1:102" ht="16.899999999999999" thickTop="1" x14ac:dyDescent="0.7">
      <c r="A384" s="86" t="str">
        <f t="shared" ref="A384" ca="1" si="119">$A$2</f>
        <v>D-2</v>
      </c>
      <c r="B384" s="128" t="s">
        <v>234</v>
      </c>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row>
    <row r="385" spans="1:102" x14ac:dyDescent="0.7">
      <c r="A385" s="63" t="s">
        <v>233</v>
      </c>
      <c r="B385" s="127" t="s">
        <v>235</v>
      </c>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row>
    <row r="386" spans="1:102" ht="16.899999999999999" thickBot="1" x14ac:dyDescent="0.75">
      <c r="A386" s="25" t="s">
        <v>232</v>
      </c>
      <c r="B386" s="26" t="s">
        <v>231</v>
      </c>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row>
    <row r="387" spans="1:102" ht="16.899999999999999" thickTop="1" x14ac:dyDescent="0.7">
      <c r="A387" s="86" t="str">
        <f t="shared" ref="A387" ca="1" si="120">$A$2</f>
        <v>D-2</v>
      </c>
      <c r="B387" s="128" t="s">
        <v>234</v>
      </c>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row>
    <row r="388" spans="1:102" x14ac:dyDescent="0.7">
      <c r="A388" s="63" t="s">
        <v>233</v>
      </c>
      <c r="B388" s="127" t="s">
        <v>235</v>
      </c>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row>
    <row r="389" spans="1:102" ht="16.899999999999999" thickBot="1" x14ac:dyDescent="0.75">
      <c r="A389" s="25" t="s">
        <v>232</v>
      </c>
      <c r="B389" s="26" t="s">
        <v>231</v>
      </c>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c r="CU389" s="27"/>
      <c r="CV389" s="27"/>
      <c r="CW389" s="27"/>
      <c r="CX389" s="27"/>
    </row>
    <row r="390" spans="1:102" ht="16.899999999999999" thickTop="1" x14ac:dyDescent="0.7">
      <c r="A390" s="86" t="str">
        <f t="shared" ref="A390" ca="1" si="121">$A$2</f>
        <v>D-2</v>
      </c>
      <c r="B390" s="128" t="s">
        <v>234</v>
      </c>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row>
    <row r="391" spans="1:102" x14ac:dyDescent="0.7">
      <c r="A391" s="63" t="s">
        <v>233</v>
      </c>
      <c r="B391" s="127" t="s">
        <v>235</v>
      </c>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row>
    <row r="392" spans="1:102" ht="16.899999999999999" thickBot="1" x14ac:dyDescent="0.75">
      <c r="A392" s="25" t="s">
        <v>232</v>
      </c>
      <c r="B392" s="26" t="s">
        <v>231</v>
      </c>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c r="CU392" s="27"/>
      <c r="CV392" s="27"/>
      <c r="CW392" s="27"/>
      <c r="CX392" s="27"/>
    </row>
    <row r="393" spans="1:102" ht="16.899999999999999" thickTop="1" x14ac:dyDescent="0.7">
      <c r="A393" s="86" t="str">
        <f t="shared" ref="A393" ca="1" si="122">$A$2</f>
        <v>D-2</v>
      </c>
      <c r="B393" s="128" t="s">
        <v>234</v>
      </c>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row>
    <row r="394" spans="1:102" x14ac:dyDescent="0.7">
      <c r="A394" s="63" t="s">
        <v>233</v>
      </c>
      <c r="B394" s="127" t="s">
        <v>235</v>
      </c>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row>
    <row r="395" spans="1:102" ht="16.899999999999999" thickBot="1" x14ac:dyDescent="0.75">
      <c r="A395" s="25" t="s">
        <v>232</v>
      </c>
      <c r="B395" s="26" t="s">
        <v>231</v>
      </c>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c r="CU395" s="27"/>
      <c r="CV395" s="27"/>
      <c r="CW395" s="27"/>
      <c r="CX395" s="27"/>
    </row>
    <row r="396" spans="1:102" ht="16.899999999999999" thickTop="1" x14ac:dyDescent="0.7">
      <c r="A396" s="86" t="str">
        <f t="shared" ref="A396" ca="1" si="123">$A$2</f>
        <v>D-2</v>
      </c>
      <c r="B396" s="128" t="s">
        <v>234</v>
      </c>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row>
    <row r="397" spans="1:102" x14ac:dyDescent="0.7">
      <c r="A397" s="63" t="s">
        <v>233</v>
      </c>
      <c r="B397" s="127" t="s">
        <v>235</v>
      </c>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row>
    <row r="398" spans="1:102" ht="16.899999999999999" thickBot="1" x14ac:dyDescent="0.75">
      <c r="A398" s="25" t="s">
        <v>232</v>
      </c>
      <c r="B398" s="26" t="s">
        <v>231</v>
      </c>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c r="CN398" s="27"/>
      <c r="CO398" s="27"/>
      <c r="CP398" s="27"/>
      <c r="CQ398" s="27"/>
      <c r="CR398" s="27"/>
      <c r="CS398" s="27"/>
      <c r="CT398" s="27"/>
      <c r="CU398" s="27"/>
      <c r="CV398" s="27"/>
      <c r="CW398" s="27"/>
      <c r="CX398" s="27"/>
    </row>
    <row r="399" spans="1:102" ht="16.899999999999999" thickTop="1" x14ac:dyDescent="0.7">
      <c r="A399" s="86" t="str">
        <f t="shared" ref="A399" ca="1" si="124">$A$2</f>
        <v>D-2</v>
      </c>
      <c r="B399" s="128" t="s">
        <v>234</v>
      </c>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row>
    <row r="400" spans="1:102" x14ac:dyDescent="0.7">
      <c r="A400" s="63" t="s">
        <v>233</v>
      </c>
      <c r="B400" s="127" t="s">
        <v>235</v>
      </c>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row>
    <row r="401" spans="1:102" ht="16.899999999999999" thickBot="1" x14ac:dyDescent="0.75">
      <c r="A401" s="25" t="s">
        <v>232</v>
      </c>
      <c r="B401" s="26" t="s">
        <v>231</v>
      </c>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row>
    <row r="402" spans="1:102" ht="16.899999999999999" thickTop="1" x14ac:dyDescent="0.7">
      <c r="A402" s="86" t="str">
        <f t="shared" ref="A402" ca="1" si="125">$A$2</f>
        <v>D-2</v>
      </c>
      <c r="B402" s="128" t="s">
        <v>234</v>
      </c>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row>
    <row r="403" spans="1:102" x14ac:dyDescent="0.7">
      <c r="A403" s="63" t="s">
        <v>233</v>
      </c>
      <c r="B403" s="127" t="s">
        <v>235</v>
      </c>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row>
    <row r="404" spans="1:102" ht="16.899999999999999" thickBot="1" x14ac:dyDescent="0.75">
      <c r="A404" s="25" t="s">
        <v>232</v>
      </c>
      <c r="B404" s="26" t="s">
        <v>231</v>
      </c>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row>
    <row r="405" spans="1:102" ht="16.899999999999999" thickTop="1" x14ac:dyDescent="0.7">
      <c r="A405" s="86" t="str">
        <f t="shared" ref="A405" ca="1" si="126">$A$2</f>
        <v>D-2</v>
      </c>
      <c r="B405" s="128" t="s">
        <v>234</v>
      </c>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row>
    <row r="406" spans="1:102" x14ac:dyDescent="0.7">
      <c r="A406" s="63" t="s">
        <v>233</v>
      </c>
      <c r="B406" s="127" t="s">
        <v>235</v>
      </c>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row>
    <row r="407" spans="1:102" ht="16.899999999999999" thickBot="1" x14ac:dyDescent="0.75">
      <c r="A407" s="25" t="s">
        <v>232</v>
      </c>
      <c r="B407" s="26" t="s">
        <v>231</v>
      </c>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row>
    <row r="408" spans="1:102" ht="16.899999999999999" thickTop="1" x14ac:dyDescent="0.7">
      <c r="A408" s="86" t="str">
        <f t="shared" ref="A408" ca="1" si="127">$A$2</f>
        <v>D-2</v>
      </c>
      <c r="B408" s="128" t="s">
        <v>234</v>
      </c>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row>
    <row r="409" spans="1:102" x14ac:dyDescent="0.7">
      <c r="A409" s="63" t="s">
        <v>233</v>
      </c>
      <c r="B409" s="127" t="s">
        <v>235</v>
      </c>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row>
    <row r="410" spans="1:102" ht="16.899999999999999" thickBot="1" x14ac:dyDescent="0.75">
      <c r="A410" s="25" t="s">
        <v>232</v>
      </c>
      <c r="B410" s="26" t="s">
        <v>231</v>
      </c>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c r="BP410" s="27"/>
      <c r="BQ410" s="27"/>
      <c r="BR410" s="27"/>
      <c r="BS410" s="27"/>
      <c r="BT410" s="27"/>
      <c r="BU410" s="27"/>
      <c r="BV410" s="27"/>
      <c r="BW410" s="27"/>
      <c r="BX410" s="27"/>
      <c r="BY410" s="27"/>
      <c r="BZ410" s="27"/>
      <c r="CA410" s="27"/>
      <c r="CB410" s="27"/>
      <c r="CC410" s="27"/>
      <c r="CD410" s="27"/>
      <c r="CE410" s="27"/>
      <c r="CF410" s="27"/>
      <c r="CG410" s="27"/>
      <c r="CH410" s="27"/>
      <c r="CI410" s="27"/>
      <c r="CJ410" s="27"/>
      <c r="CK410" s="27"/>
      <c r="CL410" s="27"/>
      <c r="CM410" s="27"/>
      <c r="CN410" s="27"/>
      <c r="CO410" s="27"/>
      <c r="CP410" s="27"/>
      <c r="CQ410" s="27"/>
      <c r="CR410" s="27"/>
      <c r="CS410" s="27"/>
      <c r="CT410" s="27"/>
      <c r="CU410" s="27"/>
      <c r="CV410" s="27"/>
      <c r="CW410" s="27"/>
      <c r="CX410" s="27"/>
    </row>
    <row r="411" spans="1:102" ht="16.899999999999999" thickTop="1" x14ac:dyDescent="0.7">
      <c r="A411" s="86" t="str">
        <f t="shared" ref="A411" ca="1" si="128">$A$2</f>
        <v>D-2</v>
      </c>
      <c r="B411" s="128" t="s">
        <v>234</v>
      </c>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row>
    <row r="412" spans="1:102" x14ac:dyDescent="0.7">
      <c r="A412" s="63" t="s">
        <v>233</v>
      </c>
      <c r="B412" s="127" t="s">
        <v>235</v>
      </c>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row>
    <row r="413" spans="1:102" ht="16.899999999999999" thickBot="1" x14ac:dyDescent="0.75">
      <c r="A413" s="25" t="s">
        <v>232</v>
      </c>
      <c r="B413" s="26" t="s">
        <v>231</v>
      </c>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c r="BP413" s="27"/>
      <c r="BQ413" s="27"/>
      <c r="BR413" s="27"/>
      <c r="BS413" s="27"/>
      <c r="BT413" s="27"/>
      <c r="BU413" s="27"/>
      <c r="BV413" s="27"/>
      <c r="BW413" s="27"/>
      <c r="BX413" s="27"/>
      <c r="BY413" s="27"/>
      <c r="BZ413" s="27"/>
      <c r="CA413" s="27"/>
      <c r="CB413" s="27"/>
      <c r="CC413" s="27"/>
      <c r="CD413" s="27"/>
      <c r="CE413" s="27"/>
      <c r="CF413" s="27"/>
      <c r="CG413" s="27"/>
      <c r="CH413" s="27"/>
      <c r="CI413" s="27"/>
      <c r="CJ413" s="27"/>
      <c r="CK413" s="27"/>
      <c r="CL413" s="27"/>
      <c r="CM413" s="27"/>
      <c r="CN413" s="27"/>
      <c r="CO413" s="27"/>
      <c r="CP413" s="27"/>
      <c r="CQ413" s="27"/>
      <c r="CR413" s="27"/>
      <c r="CS413" s="27"/>
      <c r="CT413" s="27"/>
      <c r="CU413" s="27"/>
      <c r="CV413" s="27"/>
      <c r="CW413" s="27"/>
      <c r="CX413" s="27"/>
    </row>
    <row r="414" spans="1:102" ht="16.899999999999999" thickTop="1" x14ac:dyDescent="0.7">
      <c r="A414" s="86" t="str">
        <f t="shared" ref="A414" ca="1" si="129">$A$2</f>
        <v>D-2</v>
      </c>
      <c r="B414" s="128" t="s">
        <v>234</v>
      </c>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row>
    <row r="415" spans="1:102" x14ac:dyDescent="0.7">
      <c r="A415" s="63" t="s">
        <v>233</v>
      </c>
      <c r="B415" s="127" t="s">
        <v>235</v>
      </c>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row>
    <row r="416" spans="1:102" ht="16.899999999999999" thickBot="1" x14ac:dyDescent="0.75">
      <c r="A416" s="25" t="s">
        <v>232</v>
      </c>
      <c r="B416" s="26" t="s">
        <v>231</v>
      </c>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c r="BP416" s="27"/>
      <c r="BQ416" s="27"/>
      <c r="BR416" s="27"/>
      <c r="BS416" s="27"/>
      <c r="BT416" s="27"/>
      <c r="BU416" s="27"/>
      <c r="BV416" s="27"/>
      <c r="BW416" s="27"/>
      <c r="BX416" s="27"/>
      <c r="BY416" s="27"/>
      <c r="BZ416" s="27"/>
      <c r="CA416" s="27"/>
      <c r="CB416" s="27"/>
      <c r="CC416" s="27"/>
      <c r="CD416" s="27"/>
      <c r="CE416" s="27"/>
      <c r="CF416" s="27"/>
      <c r="CG416" s="27"/>
      <c r="CH416" s="27"/>
      <c r="CI416" s="27"/>
      <c r="CJ416" s="27"/>
      <c r="CK416" s="27"/>
      <c r="CL416" s="27"/>
      <c r="CM416" s="27"/>
      <c r="CN416" s="27"/>
      <c r="CO416" s="27"/>
      <c r="CP416" s="27"/>
      <c r="CQ416" s="27"/>
      <c r="CR416" s="27"/>
      <c r="CS416" s="27"/>
      <c r="CT416" s="27"/>
      <c r="CU416" s="27"/>
      <c r="CV416" s="27"/>
      <c r="CW416" s="27"/>
      <c r="CX416" s="27"/>
    </row>
    <row r="417" spans="1:102" ht="16.899999999999999" thickTop="1" x14ac:dyDescent="0.7">
      <c r="A417" s="86" t="str">
        <f t="shared" ref="A417" ca="1" si="130">$A$2</f>
        <v>D-2</v>
      </c>
      <c r="B417" s="128" t="s">
        <v>234</v>
      </c>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row>
    <row r="418" spans="1:102" x14ac:dyDescent="0.7">
      <c r="A418" s="63" t="s">
        <v>233</v>
      </c>
      <c r="B418" s="127" t="s">
        <v>235</v>
      </c>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row>
    <row r="419" spans="1:102" ht="16.899999999999999" thickBot="1" x14ac:dyDescent="0.75">
      <c r="A419" s="25" t="s">
        <v>232</v>
      </c>
      <c r="B419" s="26" t="s">
        <v>231</v>
      </c>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c r="BP419" s="27"/>
      <c r="BQ419" s="27"/>
      <c r="BR419" s="27"/>
      <c r="BS419" s="27"/>
      <c r="BT419" s="27"/>
      <c r="BU419" s="27"/>
      <c r="BV419" s="27"/>
      <c r="BW419" s="27"/>
      <c r="BX419" s="27"/>
      <c r="BY419" s="27"/>
      <c r="BZ419" s="27"/>
      <c r="CA419" s="27"/>
      <c r="CB419" s="27"/>
      <c r="CC419" s="27"/>
      <c r="CD419" s="27"/>
      <c r="CE419" s="27"/>
      <c r="CF419" s="27"/>
      <c r="CG419" s="27"/>
      <c r="CH419" s="27"/>
      <c r="CI419" s="27"/>
      <c r="CJ419" s="27"/>
      <c r="CK419" s="27"/>
      <c r="CL419" s="27"/>
      <c r="CM419" s="27"/>
      <c r="CN419" s="27"/>
      <c r="CO419" s="27"/>
      <c r="CP419" s="27"/>
      <c r="CQ419" s="27"/>
      <c r="CR419" s="27"/>
      <c r="CS419" s="27"/>
      <c r="CT419" s="27"/>
      <c r="CU419" s="27"/>
      <c r="CV419" s="27"/>
      <c r="CW419" s="27"/>
      <c r="CX419" s="27"/>
    </row>
    <row r="420" spans="1:102" ht="16.899999999999999" thickTop="1" x14ac:dyDescent="0.7">
      <c r="A420" s="86" t="str">
        <f t="shared" ref="A420" ca="1" si="131">$A$2</f>
        <v>D-2</v>
      </c>
      <c r="B420" s="128" t="s">
        <v>234</v>
      </c>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row>
    <row r="421" spans="1:102" x14ac:dyDescent="0.7">
      <c r="A421" s="63" t="s">
        <v>233</v>
      </c>
      <c r="B421" s="127" t="s">
        <v>235</v>
      </c>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row>
    <row r="422" spans="1:102" ht="16.899999999999999" thickBot="1" x14ac:dyDescent="0.75">
      <c r="A422" s="25" t="s">
        <v>232</v>
      </c>
      <c r="B422" s="26" t="s">
        <v>231</v>
      </c>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c r="BP422" s="27"/>
      <c r="BQ422" s="27"/>
      <c r="BR422" s="27"/>
      <c r="BS422" s="27"/>
      <c r="BT422" s="27"/>
      <c r="BU422" s="27"/>
      <c r="BV422" s="27"/>
      <c r="BW422" s="27"/>
      <c r="BX422" s="27"/>
      <c r="BY422" s="27"/>
      <c r="BZ422" s="27"/>
      <c r="CA422" s="27"/>
      <c r="CB422" s="27"/>
      <c r="CC422" s="27"/>
      <c r="CD422" s="27"/>
      <c r="CE422" s="27"/>
      <c r="CF422" s="27"/>
      <c r="CG422" s="27"/>
      <c r="CH422" s="27"/>
      <c r="CI422" s="27"/>
      <c r="CJ422" s="27"/>
      <c r="CK422" s="27"/>
      <c r="CL422" s="27"/>
      <c r="CM422" s="27"/>
      <c r="CN422" s="27"/>
      <c r="CO422" s="27"/>
      <c r="CP422" s="27"/>
      <c r="CQ422" s="27"/>
      <c r="CR422" s="27"/>
      <c r="CS422" s="27"/>
      <c r="CT422" s="27"/>
      <c r="CU422" s="27"/>
      <c r="CV422" s="27"/>
      <c r="CW422" s="27"/>
      <c r="CX422" s="27"/>
    </row>
    <row r="423" spans="1:102" ht="16.899999999999999" thickTop="1" x14ac:dyDescent="0.7">
      <c r="A423" s="86" t="str">
        <f t="shared" ref="A423" ca="1" si="132">$A$2</f>
        <v>D-2</v>
      </c>
      <c r="B423" s="128" t="s">
        <v>234</v>
      </c>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row>
    <row r="424" spans="1:102" x14ac:dyDescent="0.7">
      <c r="A424" s="63" t="s">
        <v>233</v>
      </c>
      <c r="B424" s="127" t="s">
        <v>235</v>
      </c>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row>
    <row r="425" spans="1:102" ht="16.899999999999999" thickBot="1" x14ac:dyDescent="0.75">
      <c r="A425" s="25" t="s">
        <v>232</v>
      </c>
      <c r="B425" s="26" t="s">
        <v>231</v>
      </c>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c r="BP425" s="27"/>
      <c r="BQ425" s="27"/>
      <c r="BR425" s="27"/>
      <c r="BS425" s="27"/>
      <c r="BT425" s="27"/>
      <c r="BU425" s="27"/>
      <c r="BV425" s="27"/>
      <c r="BW425" s="27"/>
      <c r="BX425" s="27"/>
      <c r="BY425" s="27"/>
      <c r="BZ425" s="27"/>
      <c r="CA425" s="27"/>
      <c r="CB425" s="27"/>
      <c r="CC425" s="27"/>
      <c r="CD425" s="27"/>
      <c r="CE425" s="27"/>
      <c r="CF425" s="27"/>
      <c r="CG425" s="27"/>
      <c r="CH425" s="27"/>
      <c r="CI425" s="27"/>
      <c r="CJ425" s="27"/>
      <c r="CK425" s="27"/>
      <c r="CL425" s="27"/>
      <c r="CM425" s="27"/>
      <c r="CN425" s="27"/>
      <c r="CO425" s="27"/>
      <c r="CP425" s="27"/>
      <c r="CQ425" s="27"/>
      <c r="CR425" s="27"/>
      <c r="CS425" s="27"/>
      <c r="CT425" s="27"/>
      <c r="CU425" s="27"/>
      <c r="CV425" s="27"/>
      <c r="CW425" s="27"/>
      <c r="CX425" s="27"/>
    </row>
    <row r="426" spans="1:102" ht="16.899999999999999" thickTop="1" x14ac:dyDescent="0.7">
      <c r="A426" s="86" t="str">
        <f t="shared" ref="A426" ca="1" si="133">$A$2</f>
        <v>D-2</v>
      </c>
      <c r="B426" s="128" t="s">
        <v>234</v>
      </c>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row>
    <row r="427" spans="1:102" x14ac:dyDescent="0.7">
      <c r="A427" s="63" t="s">
        <v>233</v>
      </c>
      <c r="B427" s="127" t="s">
        <v>235</v>
      </c>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row>
    <row r="428" spans="1:102" ht="16.899999999999999" thickBot="1" x14ac:dyDescent="0.75">
      <c r="A428" s="25" t="s">
        <v>232</v>
      </c>
      <c r="B428" s="26" t="s">
        <v>231</v>
      </c>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c r="BP428" s="27"/>
      <c r="BQ428" s="27"/>
      <c r="BR428" s="27"/>
      <c r="BS428" s="27"/>
      <c r="BT428" s="27"/>
      <c r="BU428" s="27"/>
      <c r="BV428" s="27"/>
      <c r="BW428" s="27"/>
      <c r="BX428" s="27"/>
      <c r="BY428" s="27"/>
      <c r="BZ428" s="27"/>
      <c r="CA428" s="27"/>
      <c r="CB428" s="27"/>
      <c r="CC428" s="27"/>
      <c r="CD428" s="27"/>
      <c r="CE428" s="27"/>
      <c r="CF428" s="27"/>
      <c r="CG428" s="27"/>
      <c r="CH428" s="27"/>
      <c r="CI428" s="27"/>
      <c r="CJ428" s="27"/>
      <c r="CK428" s="27"/>
      <c r="CL428" s="27"/>
      <c r="CM428" s="27"/>
      <c r="CN428" s="27"/>
      <c r="CO428" s="27"/>
      <c r="CP428" s="27"/>
      <c r="CQ428" s="27"/>
      <c r="CR428" s="27"/>
      <c r="CS428" s="27"/>
      <c r="CT428" s="27"/>
      <c r="CU428" s="27"/>
      <c r="CV428" s="27"/>
      <c r="CW428" s="27"/>
      <c r="CX428" s="27"/>
    </row>
    <row r="429" spans="1:102" ht="16.899999999999999" thickTop="1" x14ac:dyDescent="0.7">
      <c r="A429" s="86" t="str">
        <f t="shared" ref="A429" ca="1" si="134">$A$2</f>
        <v>D-2</v>
      </c>
      <c r="B429" s="128" t="s">
        <v>234</v>
      </c>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row>
    <row r="430" spans="1:102" x14ac:dyDescent="0.7">
      <c r="A430" s="63" t="s">
        <v>233</v>
      </c>
      <c r="B430" s="127" t="s">
        <v>235</v>
      </c>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row>
    <row r="431" spans="1:102" ht="16.899999999999999" thickBot="1" x14ac:dyDescent="0.75">
      <c r="A431" s="25" t="s">
        <v>232</v>
      </c>
      <c r="B431" s="26" t="s">
        <v>231</v>
      </c>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c r="BP431" s="27"/>
      <c r="BQ431" s="27"/>
      <c r="BR431" s="27"/>
      <c r="BS431" s="27"/>
      <c r="BT431" s="27"/>
      <c r="BU431" s="27"/>
      <c r="BV431" s="27"/>
      <c r="BW431" s="27"/>
      <c r="BX431" s="27"/>
      <c r="BY431" s="27"/>
      <c r="BZ431" s="27"/>
      <c r="CA431" s="27"/>
      <c r="CB431" s="27"/>
      <c r="CC431" s="27"/>
      <c r="CD431" s="27"/>
      <c r="CE431" s="27"/>
      <c r="CF431" s="27"/>
      <c r="CG431" s="27"/>
      <c r="CH431" s="27"/>
      <c r="CI431" s="27"/>
      <c r="CJ431" s="27"/>
      <c r="CK431" s="27"/>
      <c r="CL431" s="27"/>
      <c r="CM431" s="27"/>
      <c r="CN431" s="27"/>
      <c r="CO431" s="27"/>
      <c r="CP431" s="27"/>
      <c r="CQ431" s="27"/>
      <c r="CR431" s="27"/>
      <c r="CS431" s="27"/>
      <c r="CT431" s="27"/>
      <c r="CU431" s="27"/>
      <c r="CV431" s="27"/>
      <c r="CW431" s="27"/>
      <c r="CX431" s="27"/>
    </row>
    <row r="432" spans="1:102" ht="16.899999999999999" thickTop="1" x14ac:dyDescent="0.7">
      <c r="A432" s="86" t="str">
        <f t="shared" ref="A432" ca="1" si="135">$A$2</f>
        <v>D-2</v>
      </c>
      <c r="B432" s="128" t="s">
        <v>234</v>
      </c>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row>
    <row r="433" spans="1:102" x14ac:dyDescent="0.7">
      <c r="A433" s="63" t="s">
        <v>233</v>
      </c>
      <c r="B433" s="127" t="s">
        <v>235</v>
      </c>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row>
    <row r="434" spans="1:102" ht="16.899999999999999" thickBot="1" x14ac:dyDescent="0.75">
      <c r="A434" s="25" t="s">
        <v>232</v>
      </c>
      <c r="B434" s="26" t="s">
        <v>231</v>
      </c>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c r="BP434" s="27"/>
      <c r="BQ434" s="27"/>
      <c r="BR434" s="27"/>
      <c r="BS434" s="27"/>
      <c r="BT434" s="27"/>
      <c r="BU434" s="27"/>
      <c r="BV434" s="27"/>
      <c r="BW434" s="27"/>
      <c r="BX434" s="27"/>
      <c r="BY434" s="27"/>
      <c r="BZ434" s="27"/>
      <c r="CA434" s="27"/>
      <c r="CB434" s="27"/>
      <c r="CC434" s="27"/>
      <c r="CD434" s="27"/>
      <c r="CE434" s="27"/>
      <c r="CF434" s="27"/>
      <c r="CG434" s="27"/>
      <c r="CH434" s="27"/>
      <c r="CI434" s="27"/>
      <c r="CJ434" s="27"/>
      <c r="CK434" s="27"/>
      <c r="CL434" s="27"/>
      <c r="CM434" s="27"/>
      <c r="CN434" s="27"/>
      <c r="CO434" s="27"/>
      <c r="CP434" s="27"/>
      <c r="CQ434" s="27"/>
      <c r="CR434" s="27"/>
      <c r="CS434" s="27"/>
      <c r="CT434" s="27"/>
      <c r="CU434" s="27"/>
      <c r="CV434" s="27"/>
      <c r="CW434" s="27"/>
      <c r="CX434" s="27"/>
    </row>
    <row r="435" spans="1:102" ht="16.899999999999999" thickTop="1" x14ac:dyDescent="0.7">
      <c r="A435" s="86" t="str">
        <f t="shared" ref="A435" ca="1" si="136">$A$2</f>
        <v>D-2</v>
      </c>
      <c r="B435" s="128" t="s">
        <v>234</v>
      </c>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row>
    <row r="436" spans="1:102" x14ac:dyDescent="0.7">
      <c r="A436" s="63" t="s">
        <v>233</v>
      </c>
      <c r="B436" s="127" t="s">
        <v>235</v>
      </c>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row>
    <row r="437" spans="1:102" ht="16.899999999999999" thickBot="1" x14ac:dyDescent="0.75">
      <c r="A437" s="25" t="s">
        <v>232</v>
      </c>
      <c r="B437" s="26" t="s">
        <v>231</v>
      </c>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c r="BP437" s="27"/>
      <c r="BQ437" s="27"/>
      <c r="BR437" s="27"/>
      <c r="BS437" s="27"/>
      <c r="BT437" s="27"/>
      <c r="BU437" s="27"/>
      <c r="BV437" s="27"/>
      <c r="BW437" s="27"/>
      <c r="BX437" s="27"/>
      <c r="BY437" s="27"/>
      <c r="BZ437" s="27"/>
      <c r="CA437" s="27"/>
      <c r="CB437" s="27"/>
      <c r="CC437" s="27"/>
      <c r="CD437" s="27"/>
      <c r="CE437" s="27"/>
      <c r="CF437" s="27"/>
      <c r="CG437" s="27"/>
      <c r="CH437" s="27"/>
      <c r="CI437" s="27"/>
      <c r="CJ437" s="27"/>
      <c r="CK437" s="27"/>
      <c r="CL437" s="27"/>
      <c r="CM437" s="27"/>
      <c r="CN437" s="27"/>
      <c r="CO437" s="27"/>
      <c r="CP437" s="27"/>
      <c r="CQ437" s="27"/>
      <c r="CR437" s="27"/>
      <c r="CS437" s="27"/>
      <c r="CT437" s="27"/>
      <c r="CU437" s="27"/>
      <c r="CV437" s="27"/>
      <c r="CW437" s="27"/>
      <c r="CX437" s="27"/>
    </row>
    <row r="438" spans="1:102" ht="16.899999999999999" thickTop="1" x14ac:dyDescent="0.7">
      <c r="A438" s="86" t="str">
        <f t="shared" ref="A438" ca="1" si="137">$A$2</f>
        <v>D-2</v>
      </c>
      <c r="B438" s="128" t="s">
        <v>234</v>
      </c>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row>
    <row r="439" spans="1:102" x14ac:dyDescent="0.7">
      <c r="A439" s="63" t="s">
        <v>233</v>
      </c>
      <c r="B439" s="127" t="s">
        <v>235</v>
      </c>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row>
    <row r="440" spans="1:102" ht="16.899999999999999" thickBot="1" x14ac:dyDescent="0.75">
      <c r="A440" s="25" t="s">
        <v>232</v>
      </c>
      <c r="B440" s="26" t="s">
        <v>231</v>
      </c>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c r="BP440" s="27"/>
      <c r="BQ440" s="27"/>
      <c r="BR440" s="27"/>
      <c r="BS440" s="27"/>
      <c r="BT440" s="27"/>
      <c r="BU440" s="27"/>
      <c r="BV440" s="27"/>
      <c r="BW440" s="27"/>
      <c r="BX440" s="27"/>
      <c r="BY440" s="27"/>
      <c r="BZ440" s="27"/>
      <c r="CA440" s="27"/>
      <c r="CB440" s="27"/>
      <c r="CC440" s="27"/>
      <c r="CD440" s="27"/>
      <c r="CE440" s="27"/>
      <c r="CF440" s="27"/>
      <c r="CG440" s="27"/>
      <c r="CH440" s="27"/>
      <c r="CI440" s="27"/>
      <c r="CJ440" s="27"/>
      <c r="CK440" s="27"/>
      <c r="CL440" s="27"/>
      <c r="CM440" s="27"/>
      <c r="CN440" s="27"/>
      <c r="CO440" s="27"/>
      <c r="CP440" s="27"/>
      <c r="CQ440" s="27"/>
      <c r="CR440" s="27"/>
      <c r="CS440" s="27"/>
      <c r="CT440" s="27"/>
      <c r="CU440" s="27"/>
      <c r="CV440" s="27"/>
      <c r="CW440" s="27"/>
      <c r="CX440" s="27"/>
    </row>
    <row r="441" spans="1:102" ht="16.899999999999999" thickTop="1" x14ac:dyDescent="0.7">
      <c r="A441" s="86" t="str">
        <f t="shared" ref="A441" ca="1" si="138">$A$2</f>
        <v>D-2</v>
      </c>
      <c r="B441" s="128" t="s">
        <v>234</v>
      </c>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row>
    <row r="442" spans="1:102" x14ac:dyDescent="0.7">
      <c r="A442" s="63" t="s">
        <v>233</v>
      </c>
      <c r="B442" s="127" t="s">
        <v>235</v>
      </c>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row>
    <row r="443" spans="1:102" ht="16.899999999999999" thickBot="1" x14ac:dyDescent="0.75">
      <c r="A443" s="25" t="s">
        <v>232</v>
      </c>
      <c r="B443" s="26" t="s">
        <v>231</v>
      </c>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c r="BP443" s="27"/>
      <c r="BQ443" s="27"/>
      <c r="BR443" s="27"/>
      <c r="BS443" s="27"/>
      <c r="BT443" s="27"/>
      <c r="BU443" s="27"/>
      <c r="BV443" s="27"/>
      <c r="BW443" s="27"/>
      <c r="BX443" s="27"/>
      <c r="BY443" s="27"/>
      <c r="BZ443" s="27"/>
      <c r="CA443" s="27"/>
      <c r="CB443" s="27"/>
      <c r="CC443" s="27"/>
      <c r="CD443" s="27"/>
      <c r="CE443" s="27"/>
      <c r="CF443" s="27"/>
      <c r="CG443" s="27"/>
      <c r="CH443" s="27"/>
      <c r="CI443" s="27"/>
      <c r="CJ443" s="27"/>
      <c r="CK443" s="27"/>
      <c r="CL443" s="27"/>
      <c r="CM443" s="27"/>
      <c r="CN443" s="27"/>
      <c r="CO443" s="27"/>
      <c r="CP443" s="27"/>
      <c r="CQ443" s="27"/>
      <c r="CR443" s="27"/>
      <c r="CS443" s="27"/>
      <c r="CT443" s="27"/>
      <c r="CU443" s="27"/>
      <c r="CV443" s="27"/>
      <c r="CW443" s="27"/>
      <c r="CX443" s="27"/>
    </row>
    <row r="444" spans="1:102" ht="16.899999999999999" thickTop="1" x14ac:dyDescent="0.7">
      <c r="A444" s="86" t="str">
        <f t="shared" ref="A444" ca="1" si="139">$A$2</f>
        <v>D-2</v>
      </c>
      <c r="B444" s="128" t="s">
        <v>234</v>
      </c>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row>
    <row r="445" spans="1:102" x14ac:dyDescent="0.7">
      <c r="A445" s="63" t="s">
        <v>233</v>
      </c>
      <c r="B445" s="127" t="s">
        <v>235</v>
      </c>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row>
    <row r="446" spans="1:102" ht="16.899999999999999" thickBot="1" x14ac:dyDescent="0.75">
      <c r="A446" s="25" t="s">
        <v>232</v>
      </c>
      <c r="B446" s="26" t="s">
        <v>231</v>
      </c>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c r="BP446" s="27"/>
      <c r="BQ446" s="27"/>
      <c r="BR446" s="27"/>
      <c r="BS446" s="27"/>
      <c r="BT446" s="27"/>
      <c r="BU446" s="27"/>
      <c r="BV446" s="27"/>
      <c r="BW446" s="27"/>
      <c r="BX446" s="27"/>
      <c r="BY446" s="27"/>
      <c r="BZ446" s="27"/>
      <c r="CA446" s="27"/>
      <c r="CB446" s="27"/>
      <c r="CC446" s="27"/>
      <c r="CD446" s="27"/>
      <c r="CE446" s="27"/>
      <c r="CF446" s="27"/>
      <c r="CG446" s="27"/>
      <c r="CH446" s="27"/>
      <c r="CI446" s="27"/>
      <c r="CJ446" s="27"/>
      <c r="CK446" s="27"/>
      <c r="CL446" s="27"/>
      <c r="CM446" s="27"/>
      <c r="CN446" s="27"/>
      <c r="CO446" s="27"/>
      <c r="CP446" s="27"/>
      <c r="CQ446" s="27"/>
      <c r="CR446" s="27"/>
      <c r="CS446" s="27"/>
      <c r="CT446" s="27"/>
      <c r="CU446" s="27"/>
      <c r="CV446" s="27"/>
      <c r="CW446" s="27"/>
      <c r="CX446" s="27"/>
    </row>
    <row r="447" spans="1:102" ht="16.899999999999999" thickTop="1" x14ac:dyDescent="0.7">
      <c r="A447" s="86" t="str">
        <f t="shared" ref="A447" ca="1" si="140">$A$2</f>
        <v>D-2</v>
      </c>
      <c r="B447" s="128" t="s">
        <v>234</v>
      </c>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row>
    <row r="448" spans="1:102" x14ac:dyDescent="0.7">
      <c r="A448" s="63" t="s">
        <v>233</v>
      </c>
      <c r="B448" s="127" t="s">
        <v>235</v>
      </c>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row>
    <row r="449" spans="1:102" ht="16.899999999999999" thickBot="1" x14ac:dyDescent="0.75">
      <c r="A449" s="25" t="s">
        <v>232</v>
      </c>
      <c r="B449" s="26" t="s">
        <v>231</v>
      </c>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c r="BP449" s="27"/>
      <c r="BQ449" s="27"/>
      <c r="BR449" s="27"/>
      <c r="BS449" s="27"/>
      <c r="BT449" s="27"/>
      <c r="BU449" s="27"/>
      <c r="BV449" s="27"/>
      <c r="BW449" s="27"/>
      <c r="BX449" s="27"/>
      <c r="BY449" s="27"/>
      <c r="BZ449" s="27"/>
      <c r="CA449" s="27"/>
      <c r="CB449" s="27"/>
      <c r="CC449" s="27"/>
      <c r="CD449" s="27"/>
      <c r="CE449" s="27"/>
      <c r="CF449" s="27"/>
      <c r="CG449" s="27"/>
      <c r="CH449" s="27"/>
      <c r="CI449" s="27"/>
      <c r="CJ449" s="27"/>
      <c r="CK449" s="27"/>
      <c r="CL449" s="27"/>
      <c r="CM449" s="27"/>
      <c r="CN449" s="27"/>
      <c r="CO449" s="27"/>
      <c r="CP449" s="27"/>
      <c r="CQ449" s="27"/>
      <c r="CR449" s="27"/>
      <c r="CS449" s="27"/>
      <c r="CT449" s="27"/>
      <c r="CU449" s="27"/>
      <c r="CV449" s="27"/>
      <c r="CW449" s="27"/>
      <c r="CX449" s="27"/>
    </row>
    <row r="450" spans="1:102" ht="16.899999999999999" thickTop="1" x14ac:dyDescent="0.7">
      <c r="A450" s="86" t="str">
        <f t="shared" ref="A450" ca="1" si="141">$A$2</f>
        <v>D-2</v>
      </c>
      <c r="B450" s="128" t="s">
        <v>234</v>
      </c>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row>
    <row r="451" spans="1:102" x14ac:dyDescent="0.7">
      <c r="A451" s="63" t="s">
        <v>233</v>
      </c>
      <c r="B451" s="127" t="s">
        <v>235</v>
      </c>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row>
    <row r="452" spans="1:102" ht="16.899999999999999" thickBot="1" x14ac:dyDescent="0.75">
      <c r="A452" s="25" t="s">
        <v>232</v>
      </c>
      <c r="B452" s="26" t="s">
        <v>231</v>
      </c>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c r="BP452" s="27"/>
      <c r="BQ452" s="27"/>
      <c r="BR452" s="27"/>
      <c r="BS452" s="27"/>
      <c r="BT452" s="27"/>
      <c r="BU452" s="27"/>
      <c r="BV452" s="27"/>
      <c r="BW452" s="27"/>
      <c r="BX452" s="27"/>
      <c r="BY452" s="27"/>
      <c r="BZ452" s="27"/>
      <c r="CA452" s="27"/>
      <c r="CB452" s="27"/>
      <c r="CC452" s="27"/>
      <c r="CD452" s="27"/>
      <c r="CE452" s="27"/>
      <c r="CF452" s="27"/>
      <c r="CG452" s="27"/>
      <c r="CH452" s="27"/>
      <c r="CI452" s="27"/>
      <c r="CJ452" s="27"/>
      <c r="CK452" s="27"/>
      <c r="CL452" s="27"/>
      <c r="CM452" s="27"/>
      <c r="CN452" s="27"/>
      <c r="CO452" s="27"/>
      <c r="CP452" s="27"/>
      <c r="CQ452" s="27"/>
      <c r="CR452" s="27"/>
      <c r="CS452" s="27"/>
      <c r="CT452" s="27"/>
      <c r="CU452" s="27"/>
      <c r="CV452" s="27"/>
      <c r="CW452" s="27"/>
      <c r="CX452" s="27"/>
    </row>
    <row r="453" spans="1:102" ht="16.899999999999999" thickTop="1" x14ac:dyDescent="0.7">
      <c r="A453" s="86" t="str">
        <f t="shared" ref="A453" ca="1" si="142">$A$2</f>
        <v>D-2</v>
      </c>
      <c r="B453" s="128" t="s">
        <v>234</v>
      </c>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row>
    <row r="454" spans="1:102" x14ac:dyDescent="0.7">
      <c r="A454" s="63" t="s">
        <v>233</v>
      </c>
      <c r="B454" s="127" t="s">
        <v>235</v>
      </c>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row>
    <row r="455" spans="1:102" ht="16.899999999999999" thickBot="1" x14ac:dyDescent="0.75">
      <c r="A455" s="25" t="s">
        <v>232</v>
      </c>
      <c r="B455" s="26" t="s">
        <v>231</v>
      </c>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c r="BP455" s="27"/>
      <c r="BQ455" s="27"/>
      <c r="BR455" s="27"/>
      <c r="BS455" s="27"/>
      <c r="BT455" s="27"/>
      <c r="BU455" s="27"/>
      <c r="BV455" s="27"/>
      <c r="BW455" s="27"/>
      <c r="BX455" s="27"/>
      <c r="BY455" s="27"/>
      <c r="BZ455" s="27"/>
      <c r="CA455" s="27"/>
      <c r="CB455" s="27"/>
      <c r="CC455" s="27"/>
      <c r="CD455" s="27"/>
      <c r="CE455" s="27"/>
      <c r="CF455" s="27"/>
      <c r="CG455" s="27"/>
      <c r="CH455" s="27"/>
      <c r="CI455" s="27"/>
      <c r="CJ455" s="27"/>
      <c r="CK455" s="27"/>
      <c r="CL455" s="27"/>
      <c r="CM455" s="27"/>
      <c r="CN455" s="27"/>
      <c r="CO455" s="27"/>
      <c r="CP455" s="27"/>
      <c r="CQ455" s="27"/>
      <c r="CR455" s="27"/>
      <c r="CS455" s="27"/>
      <c r="CT455" s="27"/>
      <c r="CU455" s="27"/>
      <c r="CV455" s="27"/>
      <c r="CW455" s="27"/>
      <c r="CX455" s="27"/>
    </row>
    <row r="456" spans="1:102" ht="16.899999999999999" thickTop="1" x14ac:dyDescent="0.7">
      <c r="A456" s="86" t="str">
        <f t="shared" ref="A456" ca="1" si="143">$A$2</f>
        <v>D-2</v>
      </c>
      <c r="B456" s="128" t="s">
        <v>234</v>
      </c>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row>
    <row r="457" spans="1:102" x14ac:dyDescent="0.7">
      <c r="A457" s="63" t="s">
        <v>233</v>
      </c>
      <c r="B457" s="127" t="s">
        <v>235</v>
      </c>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row>
    <row r="458" spans="1:102" ht="16.899999999999999" thickBot="1" x14ac:dyDescent="0.75">
      <c r="A458" s="25" t="s">
        <v>232</v>
      </c>
      <c r="B458" s="26" t="s">
        <v>231</v>
      </c>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c r="BP458" s="27"/>
      <c r="BQ458" s="27"/>
      <c r="BR458" s="27"/>
      <c r="BS458" s="27"/>
      <c r="BT458" s="27"/>
      <c r="BU458" s="27"/>
      <c r="BV458" s="27"/>
      <c r="BW458" s="27"/>
      <c r="BX458" s="27"/>
      <c r="BY458" s="27"/>
      <c r="BZ458" s="27"/>
      <c r="CA458" s="27"/>
      <c r="CB458" s="27"/>
      <c r="CC458" s="27"/>
      <c r="CD458" s="27"/>
      <c r="CE458" s="27"/>
      <c r="CF458" s="27"/>
      <c r="CG458" s="27"/>
      <c r="CH458" s="27"/>
      <c r="CI458" s="27"/>
      <c r="CJ458" s="27"/>
      <c r="CK458" s="27"/>
      <c r="CL458" s="27"/>
      <c r="CM458" s="27"/>
      <c r="CN458" s="27"/>
      <c r="CO458" s="27"/>
      <c r="CP458" s="27"/>
      <c r="CQ458" s="27"/>
      <c r="CR458" s="27"/>
      <c r="CS458" s="27"/>
      <c r="CT458" s="27"/>
      <c r="CU458" s="27"/>
      <c r="CV458" s="27"/>
      <c r="CW458" s="27"/>
      <c r="CX458" s="27"/>
    </row>
    <row r="459" spans="1:102" ht="16.899999999999999" thickTop="1" x14ac:dyDescent="0.7">
      <c r="A459" s="86" t="str">
        <f t="shared" ref="A459" ca="1" si="144">$A$2</f>
        <v>D-2</v>
      </c>
      <c r="B459" s="128" t="s">
        <v>234</v>
      </c>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row>
    <row r="460" spans="1:102" x14ac:dyDescent="0.7">
      <c r="A460" s="63" t="s">
        <v>233</v>
      </c>
      <c r="B460" s="127" t="s">
        <v>235</v>
      </c>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row>
    <row r="461" spans="1:102" ht="16.899999999999999" thickBot="1" x14ac:dyDescent="0.75">
      <c r="A461" s="25" t="s">
        <v>232</v>
      </c>
      <c r="B461" s="26" t="s">
        <v>231</v>
      </c>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c r="BP461" s="27"/>
      <c r="BQ461" s="27"/>
      <c r="BR461" s="27"/>
      <c r="BS461" s="27"/>
      <c r="BT461" s="27"/>
      <c r="BU461" s="27"/>
      <c r="BV461" s="27"/>
      <c r="BW461" s="27"/>
      <c r="BX461" s="27"/>
      <c r="BY461" s="27"/>
      <c r="BZ461" s="27"/>
      <c r="CA461" s="27"/>
      <c r="CB461" s="27"/>
      <c r="CC461" s="27"/>
      <c r="CD461" s="27"/>
      <c r="CE461" s="27"/>
      <c r="CF461" s="27"/>
      <c r="CG461" s="27"/>
      <c r="CH461" s="27"/>
      <c r="CI461" s="27"/>
      <c r="CJ461" s="27"/>
      <c r="CK461" s="27"/>
      <c r="CL461" s="27"/>
      <c r="CM461" s="27"/>
      <c r="CN461" s="27"/>
      <c r="CO461" s="27"/>
      <c r="CP461" s="27"/>
      <c r="CQ461" s="27"/>
      <c r="CR461" s="27"/>
      <c r="CS461" s="27"/>
      <c r="CT461" s="27"/>
      <c r="CU461" s="27"/>
      <c r="CV461" s="27"/>
      <c r="CW461" s="27"/>
      <c r="CX461" s="27"/>
    </row>
    <row r="462" spans="1:102" ht="16.899999999999999" thickTop="1" x14ac:dyDescent="0.7">
      <c r="A462" s="86" t="str">
        <f t="shared" ref="A462" ca="1" si="145">$A$2</f>
        <v>D-2</v>
      </c>
      <c r="B462" s="128" t="s">
        <v>234</v>
      </c>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row>
    <row r="463" spans="1:102" x14ac:dyDescent="0.7">
      <c r="A463" s="63" t="s">
        <v>233</v>
      </c>
      <c r="B463" s="127" t="s">
        <v>235</v>
      </c>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row>
    <row r="464" spans="1:102" ht="16.899999999999999" thickBot="1" x14ac:dyDescent="0.75">
      <c r="A464" s="25" t="s">
        <v>232</v>
      </c>
      <c r="B464" s="26" t="s">
        <v>231</v>
      </c>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c r="BP464" s="27"/>
      <c r="BQ464" s="27"/>
      <c r="BR464" s="27"/>
      <c r="BS464" s="27"/>
      <c r="BT464" s="27"/>
      <c r="BU464" s="27"/>
      <c r="BV464" s="27"/>
      <c r="BW464" s="27"/>
      <c r="BX464" s="27"/>
      <c r="BY464" s="27"/>
      <c r="BZ464" s="27"/>
      <c r="CA464" s="27"/>
      <c r="CB464" s="27"/>
      <c r="CC464" s="27"/>
      <c r="CD464" s="27"/>
      <c r="CE464" s="27"/>
      <c r="CF464" s="27"/>
      <c r="CG464" s="27"/>
      <c r="CH464" s="27"/>
      <c r="CI464" s="27"/>
      <c r="CJ464" s="27"/>
      <c r="CK464" s="27"/>
      <c r="CL464" s="27"/>
      <c r="CM464" s="27"/>
      <c r="CN464" s="27"/>
      <c r="CO464" s="27"/>
      <c r="CP464" s="27"/>
      <c r="CQ464" s="27"/>
      <c r="CR464" s="27"/>
      <c r="CS464" s="27"/>
      <c r="CT464" s="27"/>
      <c r="CU464" s="27"/>
      <c r="CV464" s="27"/>
      <c r="CW464" s="27"/>
      <c r="CX464" s="27"/>
    </row>
    <row r="465" spans="1:102" ht="16.899999999999999" thickTop="1" x14ac:dyDescent="0.7">
      <c r="A465" s="86" t="str">
        <f t="shared" ref="A465" ca="1" si="146">$A$2</f>
        <v>D-2</v>
      </c>
      <c r="B465" s="128" t="s">
        <v>234</v>
      </c>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row>
    <row r="466" spans="1:102" x14ac:dyDescent="0.7">
      <c r="A466" s="63" t="s">
        <v>233</v>
      </c>
      <c r="B466" s="127" t="s">
        <v>235</v>
      </c>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row>
    <row r="467" spans="1:102" ht="16.899999999999999" thickBot="1" x14ac:dyDescent="0.75">
      <c r="A467" s="25" t="s">
        <v>232</v>
      </c>
      <c r="B467" s="26" t="s">
        <v>231</v>
      </c>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c r="BP467" s="27"/>
      <c r="BQ467" s="27"/>
      <c r="BR467" s="27"/>
      <c r="BS467" s="27"/>
      <c r="BT467" s="27"/>
      <c r="BU467" s="27"/>
      <c r="BV467" s="27"/>
      <c r="BW467" s="27"/>
      <c r="BX467" s="27"/>
      <c r="BY467" s="27"/>
      <c r="BZ467" s="27"/>
      <c r="CA467" s="27"/>
      <c r="CB467" s="27"/>
      <c r="CC467" s="27"/>
      <c r="CD467" s="27"/>
      <c r="CE467" s="27"/>
      <c r="CF467" s="27"/>
      <c r="CG467" s="27"/>
      <c r="CH467" s="27"/>
      <c r="CI467" s="27"/>
      <c r="CJ467" s="27"/>
      <c r="CK467" s="27"/>
      <c r="CL467" s="27"/>
      <c r="CM467" s="27"/>
      <c r="CN467" s="27"/>
      <c r="CO467" s="27"/>
      <c r="CP467" s="27"/>
      <c r="CQ467" s="27"/>
      <c r="CR467" s="27"/>
      <c r="CS467" s="27"/>
      <c r="CT467" s="27"/>
      <c r="CU467" s="27"/>
      <c r="CV467" s="27"/>
      <c r="CW467" s="27"/>
      <c r="CX467" s="27"/>
    </row>
    <row r="468" spans="1:102" ht="16.899999999999999" thickTop="1" x14ac:dyDescent="0.7">
      <c r="A468" s="86" t="str">
        <f t="shared" ref="A468" ca="1" si="147">$A$2</f>
        <v>D-2</v>
      </c>
      <c r="B468" s="128" t="s">
        <v>234</v>
      </c>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row>
    <row r="469" spans="1:102" x14ac:dyDescent="0.7">
      <c r="A469" s="63" t="s">
        <v>233</v>
      </c>
      <c r="B469" s="127" t="s">
        <v>235</v>
      </c>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row>
    <row r="470" spans="1:102" ht="16.899999999999999" thickBot="1" x14ac:dyDescent="0.75">
      <c r="A470" s="25" t="s">
        <v>232</v>
      </c>
      <c r="B470" s="26" t="s">
        <v>231</v>
      </c>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c r="BP470" s="27"/>
      <c r="BQ470" s="27"/>
      <c r="BR470" s="27"/>
      <c r="BS470" s="27"/>
      <c r="BT470" s="27"/>
      <c r="BU470" s="27"/>
      <c r="BV470" s="27"/>
      <c r="BW470" s="27"/>
      <c r="BX470" s="27"/>
      <c r="BY470" s="27"/>
      <c r="BZ470" s="27"/>
      <c r="CA470" s="27"/>
      <c r="CB470" s="27"/>
      <c r="CC470" s="27"/>
      <c r="CD470" s="27"/>
      <c r="CE470" s="27"/>
      <c r="CF470" s="27"/>
      <c r="CG470" s="27"/>
      <c r="CH470" s="27"/>
      <c r="CI470" s="27"/>
      <c r="CJ470" s="27"/>
      <c r="CK470" s="27"/>
      <c r="CL470" s="27"/>
      <c r="CM470" s="27"/>
      <c r="CN470" s="27"/>
      <c r="CO470" s="27"/>
      <c r="CP470" s="27"/>
      <c r="CQ470" s="27"/>
      <c r="CR470" s="27"/>
      <c r="CS470" s="27"/>
      <c r="CT470" s="27"/>
      <c r="CU470" s="27"/>
      <c r="CV470" s="27"/>
      <c r="CW470" s="27"/>
      <c r="CX470" s="27"/>
    </row>
    <row r="471" spans="1:102" ht="16.899999999999999" thickTop="1" x14ac:dyDescent="0.7">
      <c r="A471" s="86" t="str">
        <f t="shared" ref="A471" ca="1" si="148">$A$2</f>
        <v>D-2</v>
      </c>
      <c r="B471" s="128" t="s">
        <v>234</v>
      </c>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row>
    <row r="472" spans="1:102" x14ac:dyDescent="0.7">
      <c r="A472" s="63" t="s">
        <v>233</v>
      </c>
      <c r="B472" s="127" t="s">
        <v>235</v>
      </c>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row>
    <row r="473" spans="1:102" ht="16.899999999999999" thickBot="1" x14ac:dyDescent="0.75">
      <c r="A473" s="25" t="s">
        <v>232</v>
      </c>
      <c r="B473" s="26" t="s">
        <v>231</v>
      </c>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c r="BP473" s="27"/>
      <c r="BQ473" s="27"/>
      <c r="BR473" s="27"/>
      <c r="BS473" s="27"/>
      <c r="BT473" s="27"/>
      <c r="BU473" s="27"/>
      <c r="BV473" s="27"/>
      <c r="BW473" s="27"/>
      <c r="BX473" s="27"/>
      <c r="BY473" s="27"/>
      <c r="BZ473" s="27"/>
      <c r="CA473" s="27"/>
      <c r="CB473" s="27"/>
      <c r="CC473" s="27"/>
      <c r="CD473" s="27"/>
      <c r="CE473" s="27"/>
      <c r="CF473" s="27"/>
      <c r="CG473" s="27"/>
      <c r="CH473" s="27"/>
      <c r="CI473" s="27"/>
      <c r="CJ473" s="27"/>
      <c r="CK473" s="27"/>
      <c r="CL473" s="27"/>
      <c r="CM473" s="27"/>
      <c r="CN473" s="27"/>
      <c r="CO473" s="27"/>
      <c r="CP473" s="27"/>
      <c r="CQ473" s="27"/>
      <c r="CR473" s="27"/>
      <c r="CS473" s="27"/>
      <c r="CT473" s="27"/>
      <c r="CU473" s="27"/>
      <c r="CV473" s="27"/>
      <c r="CW473" s="27"/>
      <c r="CX473" s="27"/>
    </row>
    <row r="474" spans="1:102" ht="16.899999999999999" thickTop="1" x14ac:dyDescent="0.7">
      <c r="A474" s="86" t="str">
        <f t="shared" ref="A474" ca="1" si="149">$A$2</f>
        <v>D-2</v>
      </c>
      <c r="B474" s="128" t="s">
        <v>234</v>
      </c>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row>
    <row r="475" spans="1:102" x14ac:dyDescent="0.7">
      <c r="A475" s="63" t="s">
        <v>233</v>
      </c>
      <c r="B475" s="127" t="s">
        <v>235</v>
      </c>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row>
    <row r="476" spans="1:102" ht="16.899999999999999" thickBot="1" x14ac:dyDescent="0.75">
      <c r="A476" s="25" t="s">
        <v>232</v>
      </c>
      <c r="B476" s="26" t="s">
        <v>231</v>
      </c>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c r="BP476" s="27"/>
      <c r="BQ476" s="27"/>
      <c r="BR476" s="27"/>
      <c r="BS476" s="27"/>
      <c r="BT476" s="27"/>
      <c r="BU476" s="27"/>
      <c r="BV476" s="27"/>
      <c r="BW476" s="27"/>
      <c r="BX476" s="27"/>
      <c r="BY476" s="27"/>
      <c r="BZ476" s="27"/>
      <c r="CA476" s="27"/>
      <c r="CB476" s="27"/>
      <c r="CC476" s="27"/>
      <c r="CD476" s="27"/>
      <c r="CE476" s="27"/>
      <c r="CF476" s="27"/>
      <c r="CG476" s="27"/>
      <c r="CH476" s="27"/>
      <c r="CI476" s="27"/>
      <c r="CJ476" s="27"/>
      <c r="CK476" s="27"/>
      <c r="CL476" s="27"/>
      <c r="CM476" s="27"/>
      <c r="CN476" s="27"/>
      <c r="CO476" s="27"/>
      <c r="CP476" s="27"/>
      <c r="CQ476" s="27"/>
      <c r="CR476" s="27"/>
      <c r="CS476" s="27"/>
      <c r="CT476" s="27"/>
      <c r="CU476" s="27"/>
      <c r="CV476" s="27"/>
      <c r="CW476" s="27"/>
      <c r="CX476" s="27"/>
    </row>
    <row r="477" spans="1:102" ht="16.899999999999999" thickTop="1" x14ac:dyDescent="0.7">
      <c r="A477" s="86" t="str">
        <f t="shared" ref="A477" ca="1" si="150">$A$2</f>
        <v>D-2</v>
      </c>
      <c r="B477" s="128" t="s">
        <v>234</v>
      </c>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row>
    <row r="478" spans="1:102" x14ac:dyDescent="0.7">
      <c r="A478" s="63" t="s">
        <v>233</v>
      </c>
      <c r="B478" s="127" t="s">
        <v>235</v>
      </c>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row>
    <row r="479" spans="1:102" ht="16.899999999999999" thickBot="1" x14ac:dyDescent="0.75">
      <c r="A479" s="25" t="s">
        <v>232</v>
      </c>
      <c r="B479" s="26" t="s">
        <v>231</v>
      </c>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7"/>
      <c r="BO479" s="27"/>
      <c r="BP479" s="27"/>
      <c r="BQ479" s="27"/>
      <c r="BR479" s="27"/>
      <c r="BS479" s="27"/>
      <c r="BT479" s="27"/>
      <c r="BU479" s="27"/>
      <c r="BV479" s="27"/>
      <c r="BW479" s="27"/>
      <c r="BX479" s="27"/>
      <c r="BY479" s="27"/>
      <c r="BZ479" s="27"/>
      <c r="CA479" s="27"/>
      <c r="CB479" s="27"/>
      <c r="CC479" s="27"/>
      <c r="CD479" s="27"/>
      <c r="CE479" s="27"/>
      <c r="CF479" s="27"/>
      <c r="CG479" s="27"/>
      <c r="CH479" s="27"/>
      <c r="CI479" s="27"/>
      <c r="CJ479" s="27"/>
      <c r="CK479" s="27"/>
      <c r="CL479" s="27"/>
      <c r="CM479" s="27"/>
      <c r="CN479" s="27"/>
      <c r="CO479" s="27"/>
      <c r="CP479" s="27"/>
      <c r="CQ479" s="27"/>
      <c r="CR479" s="27"/>
      <c r="CS479" s="27"/>
      <c r="CT479" s="27"/>
      <c r="CU479" s="27"/>
      <c r="CV479" s="27"/>
      <c r="CW479" s="27"/>
      <c r="CX479" s="27"/>
    </row>
    <row r="480" spans="1:102" ht="16.899999999999999" thickTop="1" x14ac:dyDescent="0.7">
      <c r="A480" s="86" t="str">
        <f t="shared" ref="A480" ca="1" si="151">$A$2</f>
        <v>D-2</v>
      </c>
      <c r="B480" s="128" t="s">
        <v>234</v>
      </c>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row>
    <row r="481" spans="1:102" x14ac:dyDescent="0.7">
      <c r="A481" s="63" t="s">
        <v>233</v>
      </c>
      <c r="B481" s="127" t="s">
        <v>235</v>
      </c>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row>
    <row r="482" spans="1:102" ht="16.899999999999999" thickBot="1" x14ac:dyDescent="0.75">
      <c r="A482" s="25" t="s">
        <v>232</v>
      </c>
      <c r="B482" s="26" t="s">
        <v>231</v>
      </c>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c r="BO482" s="27"/>
      <c r="BP482" s="27"/>
      <c r="BQ482" s="27"/>
      <c r="BR482" s="27"/>
      <c r="BS482" s="27"/>
      <c r="BT482" s="27"/>
      <c r="BU482" s="27"/>
      <c r="BV482" s="27"/>
      <c r="BW482" s="27"/>
      <c r="BX482" s="27"/>
      <c r="BY482" s="27"/>
      <c r="BZ482" s="27"/>
      <c r="CA482" s="27"/>
      <c r="CB482" s="27"/>
      <c r="CC482" s="27"/>
      <c r="CD482" s="27"/>
      <c r="CE482" s="27"/>
      <c r="CF482" s="27"/>
      <c r="CG482" s="27"/>
      <c r="CH482" s="27"/>
      <c r="CI482" s="27"/>
      <c r="CJ482" s="27"/>
      <c r="CK482" s="27"/>
      <c r="CL482" s="27"/>
      <c r="CM482" s="27"/>
      <c r="CN482" s="27"/>
      <c r="CO482" s="27"/>
      <c r="CP482" s="27"/>
      <c r="CQ482" s="27"/>
      <c r="CR482" s="27"/>
      <c r="CS482" s="27"/>
      <c r="CT482" s="27"/>
      <c r="CU482" s="27"/>
      <c r="CV482" s="27"/>
      <c r="CW482" s="27"/>
      <c r="CX482" s="27"/>
    </row>
    <row r="483" spans="1:102" ht="16.899999999999999" thickTop="1" x14ac:dyDescent="0.7">
      <c r="A483" s="86" t="str">
        <f t="shared" ref="A483" ca="1" si="152">$A$2</f>
        <v>D-2</v>
      </c>
      <c r="B483" s="128" t="s">
        <v>234</v>
      </c>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row>
    <row r="484" spans="1:102" x14ac:dyDescent="0.7">
      <c r="A484" s="63" t="s">
        <v>233</v>
      </c>
      <c r="B484" s="127" t="s">
        <v>235</v>
      </c>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row>
    <row r="485" spans="1:102" ht="16.899999999999999" thickBot="1" x14ac:dyDescent="0.75">
      <c r="A485" s="25" t="s">
        <v>232</v>
      </c>
      <c r="B485" s="26" t="s">
        <v>231</v>
      </c>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c r="BP485" s="27"/>
      <c r="BQ485" s="27"/>
      <c r="BR485" s="27"/>
      <c r="BS485" s="27"/>
      <c r="BT485" s="27"/>
      <c r="BU485" s="27"/>
      <c r="BV485" s="27"/>
      <c r="BW485" s="27"/>
      <c r="BX485" s="27"/>
      <c r="BY485" s="27"/>
      <c r="BZ485" s="27"/>
      <c r="CA485" s="27"/>
      <c r="CB485" s="27"/>
      <c r="CC485" s="27"/>
      <c r="CD485" s="27"/>
      <c r="CE485" s="27"/>
      <c r="CF485" s="27"/>
      <c r="CG485" s="27"/>
      <c r="CH485" s="27"/>
      <c r="CI485" s="27"/>
      <c r="CJ485" s="27"/>
      <c r="CK485" s="27"/>
      <c r="CL485" s="27"/>
      <c r="CM485" s="27"/>
      <c r="CN485" s="27"/>
      <c r="CO485" s="27"/>
      <c r="CP485" s="27"/>
      <c r="CQ485" s="27"/>
      <c r="CR485" s="27"/>
      <c r="CS485" s="27"/>
      <c r="CT485" s="27"/>
      <c r="CU485" s="27"/>
      <c r="CV485" s="27"/>
      <c r="CW485" s="27"/>
      <c r="CX485" s="27"/>
    </row>
    <row r="486" spans="1:102" ht="16.899999999999999" thickTop="1" x14ac:dyDescent="0.7">
      <c r="A486" s="86" t="str">
        <f t="shared" ref="A486" ca="1" si="153">$A$2</f>
        <v>D-2</v>
      </c>
      <c r="B486" s="128" t="s">
        <v>234</v>
      </c>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row>
    <row r="487" spans="1:102" x14ac:dyDescent="0.7">
      <c r="A487" s="63" t="s">
        <v>233</v>
      </c>
      <c r="B487" s="127" t="s">
        <v>235</v>
      </c>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row>
    <row r="488" spans="1:102" ht="16.899999999999999" thickBot="1" x14ac:dyDescent="0.75">
      <c r="A488" s="25" t="s">
        <v>232</v>
      </c>
      <c r="B488" s="26" t="s">
        <v>231</v>
      </c>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7"/>
      <c r="BO488" s="27"/>
      <c r="BP488" s="27"/>
      <c r="BQ488" s="27"/>
      <c r="BR488" s="27"/>
      <c r="BS488" s="27"/>
      <c r="BT488" s="27"/>
      <c r="BU488" s="27"/>
      <c r="BV488" s="27"/>
      <c r="BW488" s="27"/>
      <c r="BX488" s="27"/>
      <c r="BY488" s="27"/>
      <c r="BZ488" s="27"/>
      <c r="CA488" s="27"/>
      <c r="CB488" s="27"/>
      <c r="CC488" s="27"/>
      <c r="CD488" s="27"/>
      <c r="CE488" s="27"/>
      <c r="CF488" s="27"/>
      <c r="CG488" s="27"/>
      <c r="CH488" s="27"/>
      <c r="CI488" s="27"/>
      <c r="CJ488" s="27"/>
      <c r="CK488" s="27"/>
      <c r="CL488" s="27"/>
      <c r="CM488" s="27"/>
      <c r="CN488" s="27"/>
      <c r="CO488" s="27"/>
      <c r="CP488" s="27"/>
      <c r="CQ488" s="27"/>
      <c r="CR488" s="27"/>
      <c r="CS488" s="27"/>
      <c r="CT488" s="27"/>
      <c r="CU488" s="27"/>
      <c r="CV488" s="27"/>
      <c r="CW488" s="27"/>
      <c r="CX488" s="27"/>
    </row>
    <row r="489" spans="1:102" ht="16.899999999999999" thickTop="1" x14ac:dyDescent="0.7">
      <c r="A489" s="86" t="str">
        <f t="shared" ref="A489" ca="1" si="154">$A$2</f>
        <v>D-2</v>
      </c>
      <c r="B489" s="128" t="s">
        <v>234</v>
      </c>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row>
    <row r="490" spans="1:102" x14ac:dyDescent="0.7">
      <c r="A490" s="63" t="s">
        <v>233</v>
      </c>
      <c r="B490" s="127" t="s">
        <v>235</v>
      </c>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row>
    <row r="491" spans="1:102" ht="16.899999999999999" thickBot="1" x14ac:dyDescent="0.75">
      <c r="A491" s="25" t="s">
        <v>232</v>
      </c>
      <c r="B491" s="26" t="s">
        <v>231</v>
      </c>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7"/>
      <c r="BO491" s="27"/>
      <c r="BP491" s="27"/>
      <c r="BQ491" s="27"/>
      <c r="BR491" s="27"/>
      <c r="BS491" s="27"/>
      <c r="BT491" s="27"/>
      <c r="BU491" s="27"/>
      <c r="BV491" s="27"/>
      <c r="BW491" s="27"/>
      <c r="BX491" s="27"/>
      <c r="BY491" s="27"/>
      <c r="BZ491" s="27"/>
      <c r="CA491" s="27"/>
      <c r="CB491" s="27"/>
      <c r="CC491" s="27"/>
      <c r="CD491" s="27"/>
      <c r="CE491" s="27"/>
      <c r="CF491" s="27"/>
      <c r="CG491" s="27"/>
      <c r="CH491" s="27"/>
      <c r="CI491" s="27"/>
      <c r="CJ491" s="27"/>
      <c r="CK491" s="27"/>
      <c r="CL491" s="27"/>
      <c r="CM491" s="27"/>
      <c r="CN491" s="27"/>
      <c r="CO491" s="27"/>
      <c r="CP491" s="27"/>
      <c r="CQ491" s="27"/>
      <c r="CR491" s="27"/>
      <c r="CS491" s="27"/>
      <c r="CT491" s="27"/>
      <c r="CU491" s="27"/>
      <c r="CV491" s="27"/>
      <c r="CW491" s="27"/>
      <c r="CX491" s="27"/>
    </row>
    <row r="492" spans="1:102" ht="16.899999999999999" thickTop="1" x14ac:dyDescent="0.7">
      <c r="A492" s="86" t="str">
        <f t="shared" ref="A492" ca="1" si="155">$A$2</f>
        <v>D-2</v>
      </c>
      <c r="B492" s="128" t="s">
        <v>234</v>
      </c>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row>
    <row r="493" spans="1:102" x14ac:dyDescent="0.7">
      <c r="A493" s="63" t="s">
        <v>233</v>
      </c>
      <c r="B493" s="127" t="s">
        <v>235</v>
      </c>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row>
    <row r="494" spans="1:102" ht="16.899999999999999" thickBot="1" x14ac:dyDescent="0.75">
      <c r="A494" s="25" t="s">
        <v>232</v>
      </c>
      <c r="B494" s="26" t="s">
        <v>231</v>
      </c>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7"/>
      <c r="BO494" s="27"/>
      <c r="BP494" s="27"/>
      <c r="BQ494" s="27"/>
      <c r="BR494" s="27"/>
      <c r="BS494" s="27"/>
      <c r="BT494" s="27"/>
      <c r="BU494" s="27"/>
      <c r="BV494" s="27"/>
      <c r="BW494" s="27"/>
      <c r="BX494" s="27"/>
      <c r="BY494" s="27"/>
      <c r="BZ494" s="27"/>
      <c r="CA494" s="27"/>
      <c r="CB494" s="27"/>
      <c r="CC494" s="27"/>
      <c r="CD494" s="27"/>
      <c r="CE494" s="27"/>
      <c r="CF494" s="27"/>
      <c r="CG494" s="27"/>
      <c r="CH494" s="27"/>
      <c r="CI494" s="27"/>
      <c r="CJ494" s="27"/>
      <c r="CK494" s="27"/>
      <c r="CL494" s="27"/>
      <c r="CM494" s="27"/>
      <c r="CN494" s="27"/>
      <c r="CO494" s="27"/>
      <c r="CP494" s="27"/>
      <c r="CQ494" s="27"/>
      <c r="CR494" s="27"/>
      <c r="CS494" s="27"/>
      <c r="CT494" s="27"/>
      <c r="CU494" s="27"/>
      <c r="CV494" s="27"/>
      <c r="CW494" s="27"/>
      <c r="CX494" s="27"/>
    </row>
    <row r="495" spans="1:102" ht="16.899999999999999" thickTop="1" x14ac:dyDescent="0.7">
      <c r="A495" s="86" t="str">
        <f t="shared" ref="A495" ca="1" si="156">$A$2</f>
        <v>D-2</v>
      </c>
      <c r="B495" s="128" t="s">
        <v>234</v>
      </c>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row>
    <row r="496" spans="1:102" x14ac:dyDescent="0.7">
      <c r="A496" s="63" t="s">
        <v>233</v>
      </c>
      <c r="B496" s="127" t="s">
        <v>235</v>
      </c>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row>
    <row r="497" spans="1:102" ht="16.899999999999999" thickBot="1" x14ac:dyDescent="0.75">
      <c r="A497" s="25" t="s">
        <v>232</v>
      </c>
      <c r="B497" s="26" t="s">
        <v>231</v>
      </c>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c r="BP497" s="27"/>
      <c r="BQ497" s="27"/>
      <c r="BR497" s="27"/>
      <c r="BS497" s="27"/>
      <c r="BT497" s="27"/>
      <c r="BU497" s="27"/>
      <c r="BV497" s="27"/>
      <c r="BW497" s="27"/>
      <c r="BX497" s="27"/>
      <c r="BY497" s="27"/>
      <c r="BZ497" s="27"/>
      <c r="CA497" s="27"/>
      <c r="CB497" s="27"/>
      <c r="CC497" s="27"/>
      <c r="CD497" s="27"/>
      <c r="CE497" s="27"/>
      <c r="CF497" s="27"/>
      <c r="CG497" s="27"/>
      <c r="CH497" s="27"/>
      <c r="CI497" s="27"/>
      <c r="CJ497" s="27"/>
      <c r="CK497" s="27"/>
      <c r="CL497" s="27"/>
      <c r="CM497" s="27"/>
      <c r="CN497" s="27"/>
      <c r="CO497" s="27"/>
      <c r="CP497" s="27"/>
      <c r="CQ497" s="27"/>
      <c r="CR497" s="27"/>
      <c r="CS497" s="27"/>
      <c r="CT497" s="27"/>
      <c r="CU497" s="27"/>
      <c r="CV497" s="27"/>
      <c r="CW497" s="27"/>
      <c r="CX497" s="27"/>
    </row>
    <row r="498" spans="1:102" ht="16.899999999999999" thickTop="1" x14ac:dyDescent="0.7">
      <c r="A498" s="86" t="str">
        <f t="shared" ref="A498" ca="1" si="157">$A$2</f>
        <v>D-2</v>
      </c>
      <c r="B498" s="128" t="s">
        <v>234</v>
      </c>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row>
    <row r="499" spans="1:102" x14ac:dyDescent="0.7">
      <c r="A499" s="63" t="s">
        <v>233</v>
      </c>
      <c r="B499" s="127" t="s">
        <v>235</v>
      </c>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row>
    <row r="500" spans="1:102" ht="16.899999999999999" thickBot="1" x14ac:dyDescent="0.75">
      <c r="A500" s="25" t="s">
        <v>232</v>
      </c>
      <c r="B500" s="26" t="s">
        <v>231</v>
      </c>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c r="BP500" s="27"/>
      <c r="BQ500" s="27"/>
      <c r="BR500" s="27"/>
      <c r="BS500" s="27"/>
      <c r="BT500" s="27"/>
      <c r="BU500" s="27"/>
      <c r="BV500" s="27"/>
      <c r="BW500" s="27"/>
      <c r="BX500" s="27"/>
      <c r="BY500" s="27"/>
      <c r="BZ500" s="27"/>
      <c r="CA500" s="27"/>
      <c r="CB500" s="27"/>
      <c r="CC500" s="27"/>
      <c r="CD500" s="27"/>
      <c r="CE500" s="27"/>
      <c r="CF500" s="27"/>
      <c r="CG500" s="27"/>
      <c r="CH500" s="27"/>
      <c r="CI500" s="27"/>
      <c r="CJ500" s="27"/>
      <c r="CK500" s="27"/>
      <c r="CL500" s="27"/>
      <c r="CM500" s="27"/>
      <c r="CN500" s="27"/>
      <c r="CO500" s="27"/>
      <c r="CP500" s="27"/>
      <c r="CQ500" s="27"/>
      <c r="CR500" s="27"/>
      <c r="CS500" s="27"/>
      <c r="CT500" s="27"/>
      <c r="CU500" s="27"/>
      <c r="CV500" s="27"/>
      <c r="CW500" s="27"/>
      <c r="CX500" s="27"/>
    </row>
    <row r="501" spans="1:102" ht="16.899999999999999" thickTop="1" x14ac:dyDescent="0.7">
      <c r="A501" s="86" t="str">
        <f t="shared" ref="A501" ca="1" si="158">$A$2</f>
        <v>D-2</v>
      </c>
      <c r="B501" s="128" t="s">
        <v>234</v>
      </c>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row>
    <row r="502" spans="1:102" x14ac:dyDescent="0.7">
      <c r="A502" s="63" t="s">
        <v>233</v>
      </c>
      <c r="B502" s="127" t="s">
        <v>235</v>
      </c>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row>
    <row r="503" spans="1:102" ht="16.899999999999999" thickBot="1" x14ac:dyDescent="0.75">
      <c r="A503" s="25" t="s">
        <v>232</v>
      </c>
      <c r="B503" s="26" t="s">
        <v>231</v>
      </c>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c r="BP503" s="27"/>
      <c r="BQ503" s="27"/>
      <c r="BR503" s="27"/>
      <c r="BS503" s="27"/>
      <c r="BT503" s="27"/>
      <c r="BU503" s="27"/>
      <c r="BV503" s="27"/>
      <c r="BW503" s="27"/>
      <c r="BX503" s="27"/>
      <c r="BY503" s="27"/>
      <c r="BZ503" s="27"/>
      <c r="CA503" s="27"/>
      <c r="CB503" s="27"/>
      <c r="CC503" s="27"/>
      <c r="CD503" s="27"/>
      <c r="CE503" s="27"/>
      <c r="CF503" s="27"/>
      <c r="CG503" s="27"/>
      <c r="CH503" s="27"/>
      <c r="CI503" s="27"/>
      <c r="CJ503" s="27"/>
      <c r="CK503" s="27"/>
      <c r="CL503" s="27"/>
      <c r="CM503" s="27"/>
      <c r="CN503" s="27"/>
      <c r="CO503" s="27"/>
      <c r="CP503" s="27"/>
      <c r="CQ503" s="27"/>
      <c r="CR503" s="27"/>
      <c r="CS503" s="27"/>
      <c r="CT503" s="27"/>
      <c r="CU503" s="27"/>
      <c r="CV503" s="27"/>
      <c r="CW503" s="27"/>
      <c r="CX503" s="27"/>
    </row>
    <row r="504" spans="1:102" ht="16.899999999999999" thickTop="1" x14ac:dyDescent="0.7">
      <c r="A504" s="86" t="str">
        <f t="shared" ref="A504" ca="1" si="159">$A$2</f>
        <v>D-2</v>
      </c>
      <c r="B504" s="128" t="s">
        <v>234</v>
      </c>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row>
    <row r="505" spans="1:102" x14ac:dyDescent="0.7">
      <c r="A505" s="63" t="s">
        <v>233</v>
      </c>
      <c r="B505" s="127" t="s">
        <v>235</v>
      </c>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row>
    <row r="506" spans="1:102" ht="16.899999999999999" thickBot="1" x14ac:dyDescent="0.75">
      <c r="A506" s="25" t="s">
        <v>232</v>
      </c>
      <c r="B506" s="26" t="s">
        <v>231</v>
      </c>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7"/>
      <c r="BO506" s="27"/>
      <c r="BP506" s="27"/>
      <c r="BQ506" s="27"/>
      <c r="BR506" s="27"/>
      <c r="BS506" s="27"/>
      <c r="BT506" s="27"/>
      <c r="BU506" s="27"/>
      <c r="BV506" s="27"/>
      <c r="BW506" s="27"/>
      <c r="BX506" s="27"/>
      <c r="BY506" s="27"/>
      <c r="BZ506" s="27"/>
      <c r="CA506" s="27"/>
      <c r="CB506" s="27"/>
      <c r="CC506" s="27"/>
      <c r="CD506" s="27"/>
      <c r="CE506" s="27"/>
      <c r="CF506" s="27"/>
      <c r="CG506" s="27"/>
      <c r="CH506" s="27"/>
      <c r="CI506" s="27"/>
      <c r="CJ506" s="27"/>
      <c r="CK506" s="27"/>
      <c r="CL506" s="27"/>
      <c r="CM506" s="27"/>
      <c r="CN506" s="27"/>
      <c r="CO506" s="27"/>
      <c r="CP506" s="27"/>
      <c r="CQ506" s="27"/>
      <c r="CR506" s="27"/>
      <c r="CS506" s="27"/>
      <c r="CT506" s="27"/>
      <c r="CU506" s="27"/>
      <c r="CV506" s="27"/>
      <c r="CW506" s="27"/>
      <c r="CX506" s="27"/>
    </row>
    <row r="507" spans="1:102" ht="16.899999999999999" thickTop="1" x14ac:dyDescent="0.7"/>
  </sheetData>
  <sheetProtection formatCells="0" formatRows="0" insertRows="0" deleteRows="0"/>
  <phoneticPr fontId="1"/>
  <conditionalFormatting sqref="A1:XFD1048576">
    <cfRule type="expression" dxfId="10" priority="1">
      <formula>(ROW()&gt;=12)*(COLUMN()&gt;=3)*((ISNUMBER(INDIRECT(ADDRESS(ROW(),COLUMN()))))*((INDIRECT(ADDRESS(11,COLUMN()))&gt;=INDIRECT(ADDRESS(ROW(),COLUMN())))+(INDIRECT(ADDRESS(10,COLUMN()))&lt;=INDIRECT(ADDRESS(ROW(),COLUMN()))))+(INDIRECT(ADDRESS(ROW(),COLUMN()))="NG"))</formula>
    </cfRule>
  </conditionalFormatting>
  <dataValidations count="1">
    <dataValidation allowBlank="1" showErrorMessage="1" sqref="B12:B13 A13 B15:B16 A16 B18:B19 A19 B21:B22 A22 B24:B25 A25 B27:B28 B30:B31 B33:B34 B36:B37 B39:B40 B42:B43 B45:B46 B48:B49 B51:B52 B54:B55 B57:B58 B60:B61 B63:B64 B66:B67 B69:B70 B72:B73 B75:B76 B78:B79 B81:B82 B84:B85 B87:B88 B90:B91 B93:B94 B96:B97 B99:B100 B102:B103 B105:B106 B108:B109 B111:B112 B114:B115 B117:B118 B120:B121 B123:B124 B126:B127 B129:B130 B132:B133 B135:B136 B138:B139 B141:B142 B144:B145 B147:B148 B150:B151 B153:B154 B156:B157 B159:B160 B162:B163 B165:B166 B168:B169 B171:B172 B174:B175 B177:B178 B180:B181 B183:B184 B186:B187 B189:B190 B192:B193 B195:B196 B198:B199 B201:B202 B204:B205 B207:B208 B210:B211 B213:B214 B216:B217 B219:B220 B222:B223 B225:B226 B228:B229 B231:B232 B234:B235 B237:B238 B240:B241 B243:B244 B246:B247 B249:B250 B252:B253 B255:B256 B258:B259 B261:B262 B264:B265 B267:B268 B270:B271 B273:B274 B276:B277 B279:B280 B282:B283 B285:B286 B288:B289 B291:B292 B294:B295 B297:B298 B300:B301 B303:B304 B306:B307 B309:B310 B312:B313 B315:B316 B318:B319 B321:B322 B324:B325 B327:B328 B330:B331 B333:B334 B336:B337 B339:B340 B342:B343 B345:B346 B348:B349 B351:B352 B354:B355 B357:B358 B360:B361 B363:B364 B366:B367 B369:B370 B372:B373 B375:B376 B378:B379 B381:B382 B384:B385 B387:B388 B390:B391 B393:B394 B396:B397 B399:B400 B402:B403 B405:B406 B408:B409 B411:B412 B414:B415 B417:B418 B420:B421 B423:B424 B426:B427 B429:B430 B432:B433 B435:B436 B438:B439 B441:B442 B444:B445 B447:B448 B450:B451 B453:B454 B456:B457 B459:B460 B462:B463 B465:B466 B468:B469 B471:B472 B474:B475 B477:B478 B480:B481 B483:B484 B486:B487 B489:B490 B492:B493 B495:B496 B498:B499 B501:B502 B504:B505 A28 A31 A34 A37 A40 A43 A46 A49 A52 A55 A58 A61 A64 A67 A70 A73 A76 A79 A82 A85 A88 A91 A94 A97 A100 A103 A106 A109 A112 A115 A118 A121 A124 A127 A130 A133 A136 A139 A142 A145 A148 A151 A154 A157 A160 A163 A166 A169 A172 A175 A178 A181 A184 A187 A190 A193 A196 A199 A202 A205 A208 A211 A214 A217 A220 A223 A226 A229 A232 A235 A238 A241 A244 A247 A250 A253 A256 A259 A262 A265 A268 A271 A274 A277 A280 A283 A286 A289 A292 A295 A298 A301 A304 A307 A310 A313 A316 A319 A322 A325 A328 A331 A334 A337 A340 A343 A346 A349 A352 A355 A358 A361 A364 A367 A370 A373 A376 A379 A382 A385 A388 A391 A394 A397 A400 A403 A406 A409 A412 A415 A418 A421 A424 A427 A430 A433 A436 A439 A442 A445 A448 A451 A454 A457 A460 A463 A466 A469 A472 A475 A478 A481 A484 A487 A490 A493 A496 A499 A502 A505" xr:uid="{FDB41363-DBE4-490A-BBA2-FD830F75CA12}"/>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DF72D1B-A1BC-463E-870F-8B13A49E02B9}">
          <x14:formula1>
            <xm:f>DATA!$K:$K</xm:f>
          </x14:formula1>
          <xm:sqref>B14 B17 B20 B23 B26 B29 B32 B35 B38 B41 B44 B47 B50 B53 B56 B59 B62 B65 B68 B71 B74 B77 B80 B83 B86 B89 B92 B95 B98 B101 B104 B107 B110 B113 B116 B119 B122 B125 B128 B131 B134 B137 B140 B143 B146 B149 B152 B155 B158 B161 B164 B167 B170 B173 B176 B179 B182 B185 B188 B191 B194 B197 B200 B203 B206 B209 B212 B215 B218 B221 B224 B227 B230 B233 B236 B239 B242 B245 B248 B251 B254 B257 B260 B263 B266 B269 B272 B275 B278 B281 B284 B287 B290 B293 B296 B299 B302 B305 B308 B311 B314 B317 B320 B323 B326 B329 B332 B335 B338 B341 B344 B347 B350 B353 B356 B359 B362 B365 B368 B371 B374 B377 B380 B383 B386 B389 B392 B395 B398 B401 B404 B407 B410 B413 B416 B419 B422 B425 B428 B431 B434 B437 B440 B443 B446 B449 B452 B455 B458 B461 B464 B467 B470 B473 B476 B479 B482 B485 B488 B491 B494 B497 B500 B503 B506</xm:sqref>
        </x14:dataValidation>
        <x14:dataValidation type="list" allowBlank="1" showErrorMessage="1" xr:uid="{109214F2-2A0A-4B38-BF7D-1417EEE07EA9}">
          <x14:formula1>
            <xm:f>DATA!$P:$P</xm:f>
          </x14:formula1>
          <xm:sqref>A14 A17 A20 A23 A26 A29 A32 A35 A38 A41 A44 A47 A50 A53 A56 A59 A62 A65 A68 A71 A74 A77 A80 A83 A86 A89 A92 A95 A98 A101 A104 A107 A110 A113 A116 A119 A122 A125 A128 A131 A134 A137 A140 A143 A146 A149 A152 A155 A158 A161 A164 A167 A170 A173 A176 A179 A182 A185 A188 A191 A194 A197 A200 A203 A206 A209 A212 A215 A218 A221 A224 A227 A230 A233 A236 A239 A242 A245 A248 A251 A254 A257 A260 A263 A266 A269 A272 A275 A278 A281 A284 A287 A290 A293 A296 A299 A302 A305 A308 A311 A314 A317 A320 A323 A326 A329 A332 A335 A338 A341 A344 A347 A350 A353 A356 A359 A362 A365 A368 A371 A374 A377 A380 A383 A386 A389 A392 A395 A398 A401 A404 A407 A410 A413 A416 A419 A422 A425 A428 A431 A434 A437 A440 A443 A446 A449 A452 A455 A458 A461 A464 A467 A470 A473 A476 A479 A482 A485 A488 A491 A494 A497 A500 A503 A506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BFF9-74D3-45F9-8CA3-F43222B06935}">
  <sheetPr codeName="Sheet10"/>
  <dimension ref="A1:DD31"/>
  <sheetViews>
    <sheetView showGridLines="0" workbookViewId="0">
      <selection sqref="A1:G3"/>
    </sheetView>
  </sheetViews>
  <sheetFormatPr defaultRowHeight="17.649999999999999" x14ac:dyDescent="0.7"/>
  <cols>
    <col min="1" max="1" width="8.8125" style="159"/>
  </cols>
  <sheetData>
    <row r="1" customFormat="1" x14ac:dyDescent="0.7"/>
    <row r="2" customFormat="1" x14ac:dyDescent="0.7"/>
    <row r="3" customFormat="1" x14ac:dyDescent="0.7"/>
    <row r="4" customFormat="1" x14ac:dyDescent="0.7"/>
    <row r="5" customFormat="1" x14ac:dyDescent="0.7"/>
    <row r="6" customFormat="1" x14ac:dyDescent="0.7"/>
    <row r="7" customFormat="1" x14ac:dyDescent="0.7"/>
    <row r="8" customFormat="1" x14ac:dyDescent="0.7"/>
    <row r="9" customFormat="1" x14ac:dyDescent="0.7"/>
    <row r="10" customFormat="1" x14ac:dyDescent="0.7"/>
    <row r="11" customFormat="1" x14ac:dyDescent="0.7"/>
    <row r="12" customFormat="1" x14ac:dyDescent="0.7"/>
    <row r="13" customFormat="1" x14ac:dyDescent="0.7"/>
    <row r="14" customFormat="1" x14ac:dyDescent="0.7"/>
    <row r="15" customFormat="1" x14ac:dyDescent="0.7"/>
    <row r="16" customFormat="1" x14ac:dyDescent="0.7"/>
    <row r="17" spans="1:108" x14ac:dyDescent="0.7">
      <c r="A17"/>
    </row>
    <row r="18" spans="1:108" x14ac:dyDescent="0.7">
      <c r="A18"/>
    </row>
    <row r="19" spans="1:108" x14ac:dyDescent="0.7">
      <c r="A19"/>
    </row>
    <row r="20" spans="1:108" x14ac:dyDescent="0.7">
      <c r="A20"/>
    </row>
    <row r="21" spans="1:108" x14ac:dyDescent="0.7">
      <c r="A21"/>
    </row>
    <row r="22" spans="1:108" x14ac:dyDescent="0.7">
      <c r="A22"/>
    </row>
    <row r="23" spans="1:108" x14ac:dyDescent="0.7">
      <c r="A23"/>
    </row>
    <row r="24" spans="1:108" x14ac:dyDescent="0.7">
      <c r="A24"/>
    </row>
    <row r="25" spans="1:108" x14ac:dyDescent="0.7">
      <c r="A25"/>
    </row>
    <row r="26" spans="1:108" x14ac:dyDescent="0.7">
      <c r="A26"/>
    </row>
    <row r="27" spans="1:108" x14ac:dyDescent="0.7">
      <c r="A27"/>
    </row>
    <row r="28" spans="1:108" x14ac:dyDescent="0.7">
      <c r="A28"/>
    </row>
    <row r="29" spans="1:108" x14ac:dyDescent="0.7">
      <c r="A29"/>
    </row>
    <row r="30" spans="1:108" x14ac:dyDescent="0.7">
      <c r="A30"/>
      <c r="I30">
        <v>1</v>
      </c>
      <c r="J30">
        <v>2</v>
      </c>
      <c r="K30">
        <v>3</v>
      </c>
      <c r="L30">
        <v>4</v>
      </c>
      <c r="M30">
        <v>5</v>
      </c>
      <c r="N30">
        <v>6</v>
      </c>
      <c r="O30">
        <v>7</v>
      </c>
      <c r="P30">
        <v>8</v>
      </c>
      <c r="Q30">
        <v>9</v>
      </c>
      <c r="R30">
        <v>10</v>
      </c>
      <c r="S30">
        <v>11</v>
      </c>
      <c r="T30">
        <v>12</v>
      </c>
      <c r="U30">
        <v>13</v>
      </c>
      <c r="V30">
        <v>14</v>
      </c>
      <c r="W30">
        <v>15</v>
      </c>
      <c r="X30">
        <v>16</v>
      </c>
      <c r="Y30">
        <v>17</v>
      </c>
      <c r="Z30">
        <v>18</v>
      </c>
      <c r="AA30">
        <v>19</v>
      </c>
      <c r="AB30">
        <v>20</v>
      </c>
      <c r="AC30">
        <v>21</v>
      </c>
      <c r="AD30">
        <v>22</v>
      </c>
      <c r="AE30">
        <v>23</v>
      </c>
      <c r="AF30">
        <v>24</v>
      </c>
      <c r="AG30">
        <v>25</v>
      </c>
      <c r="AH30">
        <v>26</v>
      </c>
      <c r="AI30">
        <v>27</v>
      </c>
      <c r="AJ30">
        <v>28</v>
      </c>
      <c r="AK30">
        <v>29</v>
      </c>
      <c r="AL30">
        <v>30</v>
      </c>
      <c r="AM30">
        <v>31</v>
      </c>
      <c r="AN30">
        <v>32</v>
      </c>
      <c r="AO30">
        <v>33</v>
      </c>
      <c r="AP30">
        <v>34</v>
      </c>
      <c r="AQ30">
        <v>35</v>
      </c>
      <c r="AR30">
        <v>36</v>
      </c>
      <c r="AS30">
        <v>37</v>
      </c>
      <c r="AT30">
        <v>38</v>
      </c>
      <c r="AU30">
        <v>39</v>
      </c>
      <c r="AV30">
        <v>40</v>
      </c>
      <c r="AW30">
        <v>41</v>
      </c>
      <c r="AX30">
        <v>42</v>
      </c>
      <c r="AY30">
        <v>43</v>
      </c>
      <c r="AZ30">
        <v>44</v>
      </c>
      <c r="BA30">
        <v>45</v>
      </c>
      <c r="BB30">
        <v>46</v>
      </c>
      <c r="BC30">
        <v>47</v>
      </c>
      <c r="BD30">
        <v>48</v>
      </c>
      <c r="BE30">
        <v>49</v>
      </c>
      <c r="BF30">
        <v>50</v>
      </c>
      <c r="BG30">
        <v>51</v>
      </c>
      <c r="BH30">
        <v>52</v>
      </c>
      <c r="BI30">
        <v>53</v>
      </c>
      <c r="BJ30">
        <v>54</v>
      </c>
      <c r="BK30">
        <v>55</v>
      </c>
      <c r="BL30">
        <v>56</v>
      </c>
      <c r="BM30">
        <v>57</v>
      </c>
      <c r="BN30">
        <v>58</v>
      </c>
      <c r="BO30">
        <v>59</v>
      </c>
      <c r="BP30">
        <v>60</v>
      </c>
      <c r="BQ30">
        <v>61</v>
      </c>
      <c r="BR30">
        <v>62</v>
      </c>
      <c r="BS30">
        <v>63</v>
      </c>
      <c r="BT30">
        <v>64</v>
      </c>
      <c r="BU30">
        <v>65</v>
      </c>
      <c r="BV30">
        <v>66</v>
      </c>
      <c r="BW30">
        <v>67</v>
      </c>
      <c r="BX30">
        <v>68</v>
      </c>
      <c r="BY30">
        <v>69</v>
      </c>
      <c r="BZ30">
        <v>70</v>
      </c>
      <c r="CA30">
        <v>71</v>
      </c>
      <c r="CB30">
        <v>72</v>
      </c>
      <c r="CC30">
        <v>73</v>
      </c>
      <c r="CD30">
        <v>74</v>
      </c>
      <c r="CE30">
        <v>75</v>
      </c>
      <c r="CF30">
        <v>76</v>
      </c>
      <c r="CG30">
        <v>77</v>
      </c>
      <c r="CH30">
        <v>78</v>
      </c>
      <c r="CI30">
        <v>79</v>
      </c>
      <c r="CJ30">
        <v>80</v>
      </c>
      <c r="CK30">
        <v>81</v>
      </c>
      <c r="CL30">
        <v>82</v>
      </c>
      <c r="CM30">
        <v>83</v>
      </c>
      <c r="CN30">
        <v>84</v>
      </c>
      <c r="CO30">
        <v>85</v>
      </c>
      <c r="CP30">
        <v>86</v>
      </c>
      <c r="CQ30">
        <v>87</v>
      </c>
      <c r="CR30">
        <v>88</v>
      </c>
      <c r="CS30">
        <v>89</v>
      </c>
      <c r="CT30">
        <v>90</v>
      </c>
      <c r="CU30">
        <v>91</v>
      </c>
      <c r="CV30">
        <v>92</v>
      </c>
      <c r="CW30">
        <v>93</v>
      </c>
      <c r="CX30">
        <v>94</v>
      </c>
      <c r="CY30">
        <v>95</v>
      </c>
      <c r="CZ30">
        <v>96</v>
      </c>
      <c r="DA30">
        <v>97</v>
      </c>
      <c r="DB30">
        <v>98</v>
      </c>
      <c r="DC30">
        <v>99</v>
      </c>
      <c r="DD30">
        <v>100</v>
      </c>
    </row>
    <row r="31" spans="1:108" x14ac:dyDescent="0.7">
      <c r="A31" s="95" t="s">
        <v>249</v>
      </c>
      <c r="B31" s="95"/>
      <c r="C31" s="95"/>
      <c r="D31" s="95"/>
      <c r="E31" s="95"/>
      <c r="F31" s="95"/>
      <c r="I31" s="2" t="str">
        <f>IF(A33="","",A33)</f>
        <v/>
      </c>
      <c r="J31" s="2" t="str">
        <f>IF(A36="","",A36)</f>
        <v/>
      </c>
      <c r="K31" s="2" t="str">
        <f>IF(A39="","",A39)</f>
        <v/>
      </c>
      <c r="L31" s="2" t="str">
        <f>IF(A42="","",A42)</f>
        <v/>
      </c>
      <c r="M31" s="2" t="str">
        <f>IF(A45="","",A45)</f>
        <v/>
      </c>
      <c r="N31" s="2" t="str">
        <f>IF(A48="","",A48)</f>
        <v/>
      </c>
      <c r="O31" s="2" t="str">
        <f>IF(A51="","",A51)</f>
        <v/>
      </c>
      <c r="P31" s="2" t="str">
        <f>IF(A54="","",A54)</f>
        <v/>
      </c>
      <c r="Q31" s="2" t="str">
        <f>IF(A57="","",A57)</f>
        <v/>
      </c>
      <c r="R31" s="2" t="str">
        <f>IF(A60="","",A60)</f>
        <v/>
      </c>
      <c r="S31" s="2" t="str">
        <f>IF(A63="","",A63)</f>
        <v/>
      </c>
      <c r="T31" s="2" t="str">
        <f>IF(A66="","",A66)</f>
        <v/>
      </c>
      <c r="U31" s="2" t="str">
        <f>IF(A69="","",A69)</f>
        <v/>
      </c>
      <c r="V31" s="2" t="str">
        <f>IF(A72="","",A72)</f>
        <v/>
      </c>
      <c r="W31" s="2" t="str">
        <f>IF(A75="","",A75)</f>
        <v/>
      </c>
      <c r="X31" s="2" t="str">
        <f>IF(A78="","",A78)</f>
        <v/>
      </c>
      <c r="Y31" s="2" t="str">
        <f>IF(A81="","",A81)</f>
        <v/>
      </c>
      <c r="Z31" s="2" t="str">
        <f>IF(A84="","",A84)</f>
        <v/>
      </c>
      <c r="AA31" s="2" t="str">
        <f>IF(A87="","",A87)</f>
        <v/>
      </c>
      <c r="AB31" s="2" t="str">
        <f>IF(A90="","",A90)</f>
        <v/>
      </c>
      <c r="AC31" s="2" t="str">
        <f>IF(A93="","",A93)</f>
        <v/>
      </c>
      <c r="AD31" s="2" t="str">
        <f>IF(A96="","",A96)</f>
        <v/>
      </c>
      <c r="AE31" s="2" t="str">
        <f>IF(A99="","",A99)</f>
        <v/>
      </c>
      <c r="AF31" s="2" t="str">
        <f>IF(A102="","",A102)</f>
        <v/>
      </c>
      <c r="AG31" s="2" t="str">
        <f>IF(A105="","",A105)</f>
        <v/>
      </c>
      <c r="AH31" s="2" t="str">
        <f>IF(A108="","",A108)</f>
        <v/>
      </c>
      <c r="AI31" s="2" t="str">
        <f>IF(A111="","",A111)</f>
        <v/>
      </c>
      <c r="AJ31" s="2" t="str">
        <f>IF(A114="","",A114)</f>
        <v/>
      </c>
      <c r="AK31" s="2" t="str">
        <f>IF(A117="","",A117)</f>
        <v/>
      </c>
      <c r="AL31" s="2" t="str">
        <f>IF(A120="","",A120)</f>
        <v/>
      </c>
      <c r="AM31" s="2" t="str">
        <f>IF(A123="","",A123)</f>
        <v/>
      </c>
      <c r="AN31" s="2" t="str">
        <f>IF(A126="","",A126)</f>
        <v/>
      </c>
      <c r="AO31" s="2" t="str">
        <f>IF(A129="","",A129)</f>
        <v/>
      </c>
      <c r="AP31" s="2" t="str">
        <f>IF(A132="","",A132)</f>
        <v/>
      </c>
      <c r="AQ31" s="2" t="str">
        <f>IF(A135="","",A135)</f>
        <v/>
      </c>
      <c r="AR31" s="2" t="str">
        <f>IF(A138="","",A138)</f>
        <v/>
      </c>
      <c r="AS31" s="2" t="str">
        <f>IF(A141="","",A141)</f>
        <v/>
      </c>
      <c r="AT31" s="2" t="str">
        <f>IF(A144="","",A144)</f>
        <v/>
      </c>
      <c r="AU31" s="2" t="str">
        <f>IF(A147="","",A147)</f>
        <v/>
      </c>
      <c r="AV31" s="2" t="str">
        <f>IF(A150="","",A150)</f>
        <v/>
      </c>
      <c r="AW31" s="2" t="str">
        <f>IF(A153="","",A153)</f>
        <v/>
      </c>
      <c r="AX31" s="2" t="str">
        <f>IF(A156="","",A156)</f>
        <v/>
      </c>
      <c r="AY31" s="2" t="str">
        <f>IF(A159="","",A159)</f>
        <v/>
      </c>
      <c r="AZ31" s="2" t="str">
        <f>IF(A162="","",A162)</f>
        <v/>
      </c>
      <c r="BA31" s="2" t="str">
        <f>IF(A165="","",A165)</f>
        <v/>
      </c>
      <c r="BB31" s="2" t="str">
        <f>IF(A168="","",A168)</f>
        <v/>
      </c>
      <c r="BC31" s="2" t="str">
        <f>IF(A171="","",A171)</f>
        <v/>
      </c>
      <c r="BD31" s="2" t="str">
        <f>IF(A174="","",A174)</f>
        <v/>
      </c>
      <c r="BE31" s="2" t="str">
        <f>IF(A177="","",A177)</f>
        <v/>
      </c>
      <c r="BF31" s="2" t="str">
        <f>IF(A180="","",A180)</f>
        <v/>
      </c>
      <c r="BG31" s="2" t="str">
        <f>IF(A183="","",A183)</f>
        <v/>
      </c>
      <c r="BH31" s="2" t="str">
        <f>IF(A186="","",A186)</f>
        <v/>
      </c>
      <c r="BI31" s="2" t="str">
        <f>IF(A189="","",A189)</f>
        <v/>
      </c>
      <c r="BJ31" s="2" t="str">
        <f>IF(A192="","",A192)</f>
        <v/>
      </c>
      <c r="BK31" s="2" t="str">
        <f>IF(A195="","",A195)</f>
        <v/>
      </c>
      <c r="BL31" s="2" t="str">
        <f>IF(A198="","",A198)</f>
        <v/>
      </c>
      <c r="BM31" s="2" t="str">
        <f>IF(A201="","",A201)</f>
        <v/>
      </c>
      <c r="BN31" s="2" t="str">
        <f>IF(A204="","",A204)</f>
        <v/>
      </c>
      <c r="BO31" s="2" t="str">
        <f>IF(A207="","",A207)</f>
        <v/>
      </c>
      <c r="BP31" s="2" t="str">
        <f>IF(A210="","",A210)</f>
        <v/>
      </c>
      <c r="BQ31" s="2" t="str">
        <f>IF(A213="","",A213)</f>
        <v/>
      </c>
      <c r="BR31" s="2" t="str">
        <f>IF(A216="","",A216)</f>
        <v/>
      </c>
      <c r="BS31" s="2" t="str">
        <f>IF(A219="","",A219)</f>
        <v/>
      </c>
      <c r="BT31" s="2" t="str">
        <f>IF(A222="","",A222)</f>
        <v/>
      </c>
      <c r="BU31" s="2" t="str">
        <f>IF(A225="","",A225)</f>
        <v/>
      </c>
      <c r="BV31" s="2" t="str">
        <f>IF(A228="","",A228)</f>
        <v/>
      </c>
      <c r="BW31" s="2" t="str">
        <f>IF(A231="","",A231)</f>
        <v/>
      </c>
      <c r="BX31" s="2" t="str">
        <f>IF(A234="","",A234)</f>
        <v/>
      </c>
      <c r="BY31" s="2" t="str">
        <f>IF(A237="","",A237)</f>
        <v/>
      </c>
      <c r="BZ31" s="2" t="str">
        <f>IF(A240="","",A240)</f>
        <v/>
      </c>
      <c r="CA31" s="2" t="str">
        <f>IF(A243="","",A243)</f>
        <v/>
      </c>
      <c r="CB31" s="2" t="str">
        <f>IF(A246="","",A246)</f>
        <v/>
      </c>
      <c r="CC31" s="2" t="str">
        <f>IF(A249="","",A249)</f>
        <v/>
      </c>
      <c r="CD31" s="2" t="str">
        <f>IF(A252="","",A252)</f>
        <v/>
      </c>
      <c r="CE31" s="2" t="str">
        <f>IF(A255="","",A255)</f>
        <v/>
      </c>
      <c r="CF31" s="2" t="str">
        <f>IF(A258="","",A258)</f>
        <v/>
      </c>
      <c r="CG31" s="2" t="str">
        <f>IF(A261="","",A261)</f>
        <v/>
      </c>
      <c r="CH31" s="2" t="str">
        <f>IF(A264="","",A264)</f>
        <v/>
      </c>
      <c r="CI31" s="2" t="str">
        <f>IF(A267="","",A267)</f>
        <v/>
      </c>
      <c r="CJ31" s="2" t="str">
        <f>IF(A270="","",A270)</f>
        <v/>
      </c>
      <c r="CK31" s="2" t="str">
        <f>IF(A273="","",A273)</f>
        <v/>
      </c>
      <c r="CL31" s="2" t="str">
        <f>IF(A276="","",A276)</f>
        <v/>
      </c>
      <c r="CM31" s="2" t="str">
        <f>IF(A279="","",A279)</f>
        <v/>
      </c>
      <c r="CN31" s="2" t="str">
        <f>IF(A282="","",A282)</f>
        <v/>
      </c>
      <c r="CO31" s="2" t="str">
        <f>IF(A285="","",A285)</f>
        <v/>
      </c>
      <c r="CP31" s="2" t="str">
        <f>IF(A288="","",A288)</f>
        <v/>
      </c>
      <c r="CQ31" s="2" t="str">
        <f>IF(A291="","",A291)</f>
        <v/>
      </c>
      <c r="CR31" s="2" t="str">
        <f>IF(A294="","",A294)</f>
        <v/>
      </c>
      <c r="CS31" s="2" t="str">
        <f>IF(A297="","",A297)</f>
        <v/>
      </c>
      <c r="CT31" s="2" t="str">
        <f>IF(A300="","",A300)</f>
        <v/>
      </c>
      <c r="CU31" s="2" t="str">
        <f>IF(A303="","",A303)</f>
        <v/>
      </c>
      <c r="CV31" s="2" t="str">
        <f>IF(A306="","",A306)</f>
        <v/>
      </c>
      <c r="CW31" s="2" t="str">
        <f>IF(A309="","",A309)</f>
        <v/>
      </c>
      <c r="CX31" s="2" t="str">
        <f>IF(A312="","",A312)</f>
        <v/>
      </c>
      <c r="CY31" s="2" t="str">
        <f>IF(A315="","",A315)</f>
        <v/>
      </c>
      <c r="CZ31" s="2" t="str">
        <f>IF(A318="","",A318)</f>
        <v/>
      </c>
      <c r="DA31" s="2" t="str">
        <f>IF(A321="","",A321)</f>
        <v/>
      </c>
      <c r="DB31" s="2" t="str">
        <f>IF(A324="","",A324)</f>
        <v/>
      </c>
      <c r="DC31" s="2" t="str">
        <f>IF(A327="","",A327)</f>
        <v/>
      </c>
      <c r="DD31" s="2" t="str">
        <f>IF(A330="","",A330)</f>
        <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AC9D-2D50-46C7-9C86-FDFCBF7A5639}">
  <sheetPr codeName="Sheet8"/>
  <dimension ref="A1:AZ274"/>
  <sheetViews>
    <sheetView showGridLines="0" zoomScaleNormal="100" zoomScaleSheetLayoutView="100" workbookViewId="0">
      <selection sqref="A1:G3"/>
    </sheetView>
  </sheetViews>
  <sheetFormatPr defaultColWidth="2.375" defaultRowHeight="9.9499999999999993" customHeight="1" x14ac:dyDescent="0.7"/>
  <cols>
    <col min="1" max="44" width="2.1875" style="14" customWidth="1"/>
    <col min="45" max="46" width="2.375" style="14"/>
    <col min="47" max="47" width="9.375" style="14" customWidth="1"/>
    <col min="48" max="51" width="11.125" style="14" customWidth="1"/>
    <col min="52" max="16384" width="2.375" style="14"/>
  </cols>
  <sheetData>
    <row r="1" spans="1:52" ht="13.5" customHeight="1" x14ac:dyDescent="0.7">
      <c r="A1" s="281"/>
      <c r="B1" s="282"/>
      <c r="C1" s="282"/>
      <c r="D1" s="282"/>
      <c r="E1" s="282"/>
      <c r="F1" s="282"/>
      <c r="G1" s="282"/>
      <c r="H1" s="282" t="s">
        <v>147</v>
      </c>
      <c r="I1" s="282"/>
      <c r="J1" s="282"/>
      <c r="K1" s="282"/>
      <c r="L1" s="282"/>
      <c r="M1" s="282"/>
      <c r="N1" s="282"/>
      <c r="O1" s="282"/>
      <c r="P1" s="282"/>
      <c r="Q1" s="282"/>
      <c r="R1" s="282"/>
      <c r="S1" s="282"/>
      <c r="T1" s="282"/>
      <c r="U1" s="282"/>
      <c r="V1" s="282"/>
      <c r="W1" s="287"/>
      <c r="X1" s="290" t="s">
        <v>148</v>
      </c>
      <c r="Y1" s="291"/>
      <c r="Z1" s="291"/>
      <c r="AA1" s="291"/>
      <c r="AB1" s="291"/>
      <c r="AC1" s="291"/>
      <c r="AD1" s="291"/>
      <c r="AE1" s="291"/>
      <c r="AF1" s="291"/>
      <c r="AG1" s="291"/>
      <c r="AH1" s="292"/>
      <c r="AI1" s="290" t="s">
        <v>149</v>
      </c>
      <c r="AJ1" s="291"/>
      <c r="AK1" s="291"/>
      <c r="AL1" s="291"/>
      <c r="AM1" s="291"/>
      <c r="AN1" s="291"/>
      <c r="AO1" s="291"/>
      <c r="AP1" s="291"/>
      <c r="AQ1" s="291"/>
      <c r="AR1" s="292"/>
    </row>
    <row r="2" spans="1:52" ht="13.5" customHeight="1" x14ac:dyDescent="0.7">
      <c r="A2" s="283"/>
      <c r="B2" s="284"/>
      <c r="C2" s="284"/>
      <c r="D2" s="284"/>
      <c r="E2" s="284"/>
      <c r="F2" s="284"/>
      <c r="G2" s="284"/>
      <c r="H2" s="284"/>
      <c r="I2" s="284"/>
      <c r="J2" s="284"/>
      <c r="K2" s="284"/>
      <c r="L2" s="284"/>
      <c r="M2" s="284"/>
      <c r="N2" s="284"/>
      <c r="O2" s="284"/>
      <c r="P2" s="284"/>
      <c r="Q2" s="284"/>
      <c r="R2" s="284"/>
      <c r="S2" s="284"/>
      <c r="T2" s="284"/>
      <c r="U2" s="284"/>
      <c r="V2" s="284"/>
      <c r="W2" s="288"/>
      <c r="X2" s="293" t="str">
        <f>IF(工程内検査シート!C2="","",工程内検査シート!C2)</f>
        <v>50136-01211</v>
      </c>
      <c r="Y2" s="294"/>
      <c r="Z2" s="294"/>
      <c r="AA2" s="294"/>
      <c r="AB2" s="294"/>
      <c r="AC2" s="294"/>
      <c r="AD2" s="294"/>
      <c r="AE2" s="294"/>
      <c r="AF2" s="294"/>
      <c r="AG2" s="294"/>
      <c r="AH2" s="295"/>
      <c r="AI2" s="293" t="str">
        <f>IF(工程内検査シート!C3="","",工程内検査シート!C3)</f>
        <v>ﾍﾞﾝｼｰﾄ</v>
      </c>
      <c r="AJ2" s="294"/>
      <c r="AK2" s="294"/>
      <c r="AL2" s="294"/>
      <c r="AM2" s="294"/>
      <c r="AN2" s="294"/>
      <c r="AO2" s="294"/>
      <c r="AP2" s="294"/>
      <c r="AQ2" s="294"/>
      <c r="AR2" s="295"/>
    </row>
    <row r="3" spans="1:52" ht="13.5" customHeight="1" x14ac:dyDescent="0.7">
      <c r="A3" s="285"/>
      <c r="B3" s="286"/>
      <c r="C3" s="286"/>
      <c r="D3" s="286"/>
      <c r="E3" s="286"/>
      <c r="F3" s="286"/>
      <c r="G3" s="286"/>
      <c r="H3" s="286"/>
      <c r="I3" s="286"/>
      <c r="J3" s="286"/>
      <c r="K3" s="286"/>
      <c r="L3" s="286"/>
      <c r="M3" s="286"/>
      <c r="N3" s="286"/>
      <c r="O3" s="286"/>
      <c r="P3" s="286"/>
      <c r="Q3" s="286"/>
      <c r="R3" s="286"/>
      <c r="S3" s="286"/>
      <c r="T3" s="286"/>
      <c r="U3" s="286"/>
      <c r="V3" s="286"/>
      <c r="W3" s="289"/>
      <c r="X3" s="296"/>
      <c r="Y3" s="297"/>
      <c r="Z3" s="297"/>
      <c r="AA3" s="297"/>
      <c r="AB3" s="297"/>
      <c r="AC3" s="297"/>
      <c r="AD3" s="297"/>
      <c r="AE3" s="297"/>
      <c r="AF3" s="297"/>
      <c r="AG3" s="297"/>
      <c r="AH3" s="298"/>
      <c r="AI3" s="296"/>
      <c r="AJ3" s="297"/>
      <c r="AK3" s="297"/>
      <c r="AL3" s="297"/>
      <c r="AM3" s="297"/>
      <c r="AN3" s="297"/>
      <c r="AO3" s="297"/>
      <c r="AP3" s="297"/>
      <c r="AQ3" s="297"/>
      <c r="AR3" s="298"/>
    </row>
    <row r="4" spans="1:52" ht="13.5" customHeight="1" x14ac:dyDescent="0.7">
      <c r="A4" s="219"/>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1"/>
      <c r="AI4" s="290" t="s">
        <v>150</v>
      </c>
      <c r="AJ4" s="291"/>
      <c r="AK4" s="291"/>
      <c r="AL4" s="291"/>
      <c r="AM4" s="291"/>
      <c r="AN4" s="291"/>
      <c r="AO4" s="291"/>
      <c r="AP4" s="291"/>
      <c r="AQ4" s="291"/>
      <c r="AR4" s="292"/>
      <c r="AU4" s="18" t="s">
        <v>172</v>
      </c>
      <c r="AV4" s="134"/>
      <c r="AX4" s="61"/>
      <c r="AY4" s="14" t="s">
        <v>216</v>
      </c>
    </row>
    <row r="5" spans="1:52" ht="13.5" customHeight="1" x14ac:dyDescent="0.7">
      <c r="A5" s="299"/>
      <c r="B5" s="300"/>
      <c r="C5" s="300"/>
      <c r="D5" s="300"/>
      <c r="E5" s="300"/>
      <c r="F5" s="300"/>
      <c r="G5" s="300"/>
      <c r="H5" s="300"/>
      <c r="I5" s="300"/>
      <c r="J5" s="300"/>
      <c r="K5" s="300"/>
      <c r="L5" s="300"/>
      <c r="M5" s="300"/>
      <c r="N5" s="300"/>
      <c r="O5" s="300"/>
      <c r="P5" s="300"/>
      <c r="Q5" s="300"/>
      <c r="R5" s="300"/>
      <c r="S5" s="300"/>
      <c r="T5" s="300"/>
      <c r="U5" s="300"/>
      <c r="V5" s="300"/>
      <c r="W5" s="300"/>
      <c r="X5" s="300"/>
      <c r="Y5" s="300"/>
      <c r="Z5" s="300"/>
      <c r="AA5" s="300"/>
      <c r="AB5" s="300"/>
      <c r="AC5" s="300"/>
      <c r="AD5" s="300"/>
      <c r="AE5" s="300"/>
      <c r="AF5" s="300"/>
      <c r="AG5" s="300"/>
      <c r="AH5" s="301"/>
      <c r="AI5" s="302" t="str">
        <f ca="1">集計3!A4</f>
        <v/>
      </c>
      <c r="AJ5" s="303"/>
      <c r="AK5" s="303"/>
      <c r="AL5" s="303"/>
      <c r="AM5" s="303"/>
      <c r="AN5" s="303"/>
      <c r="AO5" s="303"/>
      <c r="AP5" s="303"/>
      <c r="AQ5" s="303"/>
      <c r="AR5" s="304"/>
      <c r="AU5" s="18" t="s">
        <v>173</v>
      </c>
      <c r="AV5" s="135"/>
    </row>
    <row r="6" spans="1:52" ht="13.5" customHeight="1" x14ac:dyDescent="0.7">
      <c r="A6" s="299"/>
      <c r="B6" s="300"/>
      <c r="C6" s="300"/>
      <c r="D6" s="300"/>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1"/>
      <c r="AI6" s="305"/>
      <c r="AJ6" s="306"/>
      <c r="AK6" s="306"/>
      <c r="AL6" s="306"/>
      <c r="AM6" s="306"/>
      <c r="AN6" s="306"/>
      <c r="AO6" s="306"/>
      <c r="AP6" s="306"/>
      <c r="AQ6" s="306"/>
      <c r="AR6" s="307"/>
      <c r="AU6" s="58" t="s">
        <v>174</v>
      </c>
      <c r="AV6" s="136"/>
      <c r="AW6" s="141"/>
      <c r="AX6" s="142"/>
      <c r="AY6" s="141"/>
      <c r="AZ6" s="14" t="s">
        <v>230</v>
      </c>
    </row>
    <row r="7" spans="1:52" ht="13.5" customHeight="1" x14ac:dyDescent="0.7">
      <c r="A7" s="299"/>
      <c r="B7" s="300"/>
      <c r="C7" s="300"/>
      <c r="D7" s="300"/>
      <c r="E7" s="300"/>
      <c r="F7" s="300"/>
      <c r="G7" s="300"/>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1"/>
      <c r="AI7" s="290" t="s">
        <v>151</v>
      </c>
      <c r="AJ7" s="291"/>
      <c r="AK7" s="291"/>
      <c r="AL7" s="291"/>
      <c r="AM7" s="291"/>
      <c r="AN7" s="291"/>
      <c r="AO7" s="291"/>
      <c r="AP7" s="291"/>
      <c r="AQ7" s="291"/>
      <c r="AR7" s="292"/>
      <c r="AU7" s="59" t="s">
        <v>212</v>
      </c>
      <c r="AV7" s="137">
        <v>1</v>
      </c>
      <c r="AW7" s="137">
        <v>1</v>
      </c>
      <c r="AX7" s="137"/>
      <c r="AY7" s="143"/>
    </row>
    <row r="8" spans="1:52" ht="13.5" customHeight="1" x14ac:dyDescent="0.7">
      <c r="A8" s="299"/>
      <c r="B8" s="300"/>
      <c r="C8" s="300"/>
      <c r="D8" s="300"/>
      <c r="E8" s="300"/>
      <c r="F8" s="300"/>
      <c r="G8" s="300"/>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1"/>
      <c r="AI8" s="302" t="str">
        <f>集計3!A3</f>
        <v/>
      </c>
      <c r="AJ8" s="303"/>
      <c r="AK8" s="303"/>
      <c r="AL8" s="303"/>
      <c r="AM8" s="303"/>
      <c r="AN8" s="303"/>
      <c r="AO8" s="303"/>
      <c r="AP8" s="303"/>
      <c r="AQ8" s="303"/>
      <c r="AR8" s="304"/>
      <c r="AU8" s="57" t="s">
        <v>175</v>
      </c>
      <c r="AV8" s="138" t="s">
        <v>267</v>
      </c>
    </row>
    <row r="9" spans="1:52" ht="13.5" customHeight="1" x14ac:dyDescent="0.7">
      <c r="A9" s="299"/>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1"/>
      <c r="AI9" s="305"/>
      <c r="AJ9" s="306"/>
      <c r="AK9" s="306"/>
      <c r="AL9" s="306"/>
      <c r="AM9" s="306"/>
      <c r="AN9" s="306"/>
      <c r="AO9" s="306"/>
      <c r="AP9" s="306"/>
      <c r="AQ9" s="306"/>
      <c r="AR9" s="307"/>
      <c r="AU9" s="18" t="s">
        <v>176</v>
      </c>
      <c r="AV9" s="139" t="str">
        <f ca="1">集計3!A5</f>
        <v/>
      </c>
      <c r="AW9" s="131"/>
    </row>
    <row r="10" spans="1:52" ht="13.5" customHeight="1" x14ac:dyDescent="0.7">
      <c r="A10" s="299"/>
      <c r="B10" s="300"/>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1"/>
      <c r="AI10" s="290" t="s">
        <v>152</v>
      </c>
      <c r="AJ10" s="291"/>
      <c r="AK10" s="291"/>
      <c r="AL10" s="291"/>
      <c r="AM10" s="291"/>
      <c r="AN10" s="291"/>
      <c r="AO10" s="291"/>
      <c r="AP10" s="291"/>
      <c r="AQ10" s="291"/>
      <c r="AR10" s="292"/>
      <c r="AU10" s="18" t="s">
        <v>177</v>
      </c>
      <c r="AV10" s="140" t="s">
        <v>268</v>
      </c>
      <c r="AW10" s="132"/>
      <c r="AX10" s="205" t="str">
        <f>HYPERLINK("\\192.168.1.200\共有\品質保証課\ミルシート","ミルシート検索ボタン")</f>
        <v>ミルシート検索ボタン</v>
      </c>
      <c r="AY10" s="206"/>
    </row>
    <row r="11" spans="1:52" ht="13.5" customHeight="1" x14ac:dyDescent="0.7">
      <c r="A11" s="299"/>
      <c r="B11" s="300"/>
      <c r="C11" s="300"/>
      <c r="D11" s="300"/>
      <c r="E11" s="300"/>
      <c r="F11" s="300"/>
      <c r="G11" s="300"/>
      <c r="H11" s="300"/>
      <c r="I11" s="300"/>
      <c r="J11" s="300"/>
      <c r="K11" s="300"/>
      <c r="L11" s="300"/>
      <c r="M11" s="300"/>
      <c r="N11" s="300"/>
      <c r="O11" s="300"/>
      <c r="P11" s="300"/>
      <c r="Q11" s="300"/>
      <c r="R11" s="300"/>
      <c r="S11" s="300"/>
      <c r="T11" s="300"/>
      <c r="U11" s="300"/>
      <c r="V11" s="300"/>
      <c r="W11" s="300"/>
      <c r="X11" s="300"/>
      <c r="Y11" s="300"/>
      <c r="Z11" s="300"/>
      <c r="AA11" s="300"/>
      <c r="AB11" s="300"/>
      <c r="AC11" s="300"/>
      <c r="AD11" s="300"/>
      <c r="AE11" s="300"/>
      <c r="AF11" s="300"/>
      <c r="AG11" s="300"/>
      <c r="AH11" s="301"/>
      <c r="AI11" s="308" t="str">
        <f>IF(AV5="","",AV5)</f>
        <v/>
      </c>
      <c r="AJ11" s="309"/>
      <c r="AK11" s="309"/>
      <c r="AL11" s="309"/>
      <c r="AM11" s="309"/>
      <c r="AN11" s="309"/>
      <c r="AO11" s="309"/>
      <c r="AP11" s="309"/>
      <c r="AQ11" s="309"/>
      <c r="AR11" s="310"/>
      <c r="AU11" s="18" t="s">
        <v>178</v>
      </c>
      <c r="AV11" s="140" t="s">
        <v>269</v>
      </c>
      <c r="AX11" s="207"/>
      <c r="AY11" s="208"/>
    </row>
    <row r="12" spans="1:52" ht="13.5" customHeight="1" x14ac:dyDescent="0.7">
      <c r="A12" s="299"/>
      <c r="B12" s="300"/>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1"/>
      <c r="AI12" s="311"/>
      <c r="AJ12" s="312"/>
      <c r="AK12" s="312"/>
      <c r="AL12" s="312"/>
      <c r="AM12" s="312"/>
      <c r="AN12" s="312"/>
      <c r="AO12" s="312"/>
      <c r="AP12" s="312"/>
      <c r="AQ12" s="312"/>
      <c r="AR12" s="313"/>
      <c r="AU12" s="18" t="s">
        <v>154</v>
      </c>
      <c r="AV12" s="140" t="s">
        <v>270</v>
      </c>
    </row>
    <row r="13" spans="1:52" ht="13.5" customHeight="1" x14ac:dyDescent="0.7">
      <c r="A13" s="299"/>
      <c r="B13" s="300"/>
      <c r="C13" s="300"/>
      <c r="D13" s="300"/>
      <c r="E13" s="300"/>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1"/>
      <c r="AI13" s="290" t="s">
        <v>153</v>
      </c>
      <c r="AJ13" s="291"/>
      <c r="AK13" s="291"/>
      <c r="AL13" s="291"/>
      <c r="AM13" s="291"/>
      <c r="AN13" s="291"/>
      <c r="AO13" s="291"/>
      <c r="AP13" s="291"/>
      <c r="AQ13" s="291"/>
      <c r="AR13" s="292"/>
    </row>
    <row r="14" spans="1:52" ht="13.5" customHeight="1" x14ac:dyDescent="0.7">
      <c r="A14" s="299"/>
      <c r="B14" s="300"/>
      <c r="C14" s="300"/>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1"/>
      <c r="AI14" s="314" t="str">
        <f>IF(AV4="","",AV4)</f>
        <v/>
      </c>
      <c r="AJ14" s="315"/>
      <c r="AK14" s="315"/>
      <c r="AL14" s="315"/>
      <c r="AM14" s="315"/>
      <c r="AN14" s="315"/>
      <c r="AO14" s="315"/>
      <c r="AP14" s="315"/>
      <c r="AQ14" s="315"/>
      <c r="AR14" s="316"/>
    </row>
    <row r="15" spans="1:52" ht="13.5" customHeight="1" x14ac:dyDescent="0.7">
      <c r="A15" s="299"/>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1"/>
      <c r="AI15" s="290" t="s">
        <v>154</v>
      </c>
      <c r="AJ15" s="291"/>
      <c r="AK15" s="291"/>
      <c r="AL15" s="291"/>
      <c r="AM15" s="291"/>
      <c r="AN15" s="291"/>
      <c r="AO15" s="291"/>
      <c r="AP15" s="291"/>
      <c r="AQ15" s="291"/>
      <c r="AR15" s="292"/>
      <c r="AU15" s="209" t="s">
        <v>255</v>
      </c>
      <c r="AV15" s="210"/>
      <c r="AW15" s="144" t="s">
        <v>264</v>
      </c>
    </row>
    <row r="16" spans="1:52" ht="13.5" customHeight="1" thickBot="1" x14ac:dyDescent="0.75">
      <c r="A16" s="299"/>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1"/>
      <c r="AI16" s="278" t="str">
        <f>IF(AV12="","",AV12)</f>
        <v>n=2</v>
      </c>
      <c r="AJ16" s="279"/>
      <c r="AK16" s="279"/>
      <c r="AL16" s="279"/>
      <c r="AM16" s="279"/>
      <c r="AN16" s="279"/>
      <c r="AO16" s="279"/>
      <c r="AP16" s="279"/>
      <c r="AQ16" s="279"/>
      <c r="AR16" s="280"/>
    </row>
    <row r="17" spans="1:47" ht="13.5" customHeight="1" thickTop="1" x14ac:dyDescent="0.7">
      <c r="A17" s="299"/>
      <c r="B17" s="300"/>
      <c r="C17" s="300"/>
      <c r="D17" s="300"/>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1"/>
      <c r="AI17" s="317" t="s">
        <v>155</v>
      </c>
      <c r="AJ17" s="318"/>
      <c r="AK17" s="318"/>
      <c r="AL17" s="318"/>
      <c r="AM17" s="319"/>
      <c r="AN17" s="318" t="s">
        <v>156</v>
      </c>
      <c r="AO17" s="318"/>
      <c r="AP17" s="318"/>
      <c r="AQ17" s="318"/>
      <c r="AR17" s="319"/>
    </row>
    <row r="18" spans="1:47" ht="13.5" customHeight="1" x14ac:dyDescent="0.7">
      <c r="A18" s="299"/>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1"/>
      <c r="AI18" s="219"/>
      <c r="AJ18" s="220"/>
      <c r="AK18" s="220"/>
      <c r="AL18" s="220"/>
      <c r="AM18" s="220"/>
      <c r="AN18" s="219"/>
      <c r="AO18" s="220"/>
      <c r="AP18" s="220"/>
      <c r="AQ18" s="220"/>
      <c r="AR18" s="221"/>
    </row>
    <row r="19" spans="1:47" ht="13.5" customHeight="1" x14ac:dyDescent="0.7">
      <c r="A19" s="299"/>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1"/>
      <c r="AI19" s="299"/>
      <c r="AJ19" s="300"/>
      <c r="AK19" s="300"/>
      <c r="AL19" s="300"/>
      <c r="AM19" s="300"/>
      <c r="AN19" s="299"/>
      <c r="AO19" s="300"/>
      <c r="AP19" s="300"/>
      <c r="AQ19" s="300"/>
      <c r="AR19" s="301"/>
    </row>
    <row r="20" spans="1:47" ht="13.5" customHeight="1" x14ac:dyDescent="0.7">
      <c r="A20" s="299"/>
      <c r="B20" s="300"/>
      <c r="C20" s="300"/>
      <c r="D20" s="300"/>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1"/>
      <c r="AI20" s="299"/>
      <c r="AJ20" s="300"/>
      <c r="AK20" s="300"/>
      <c r="AL20" s="300"/>
      <c r="AM20" s="300"/>
      <c r="AN20" s="299"/>
      <c r="AO20" s="300"/>
      <c r="AP20" s="300"/>
      <c r="AQ20" s="300"/>
      <c r="AR20" s="301"/>
    </row>
    <row r="21" spans="1:47" ht="13.5" customHeight="1" x14ac:dyDescent="0.7">
      <c r="A21" s="222"/>
      <c r="B21" s="223"/>
      <c r="C21" s="223"/>
      <c r="D21" s="223"/>
      <c r="E21" s="223"/>
      <c r="F21" s="223"/>
      <c r="G21" s="223"/>
      <c r="H21" s="223"/>
      <c r="I21" s="223"/>
      <c r="J21" s="223"/>
      <c r="K21" s="223"/>
      <c r="L21" s="223"/>
      <c r="M21" s="223"/>
      <c r="N21" s="223"/>
      <c r="O21" s="223"/>
      <c r="P21" s="223"/>
      <c r="Q21" s="223"/>
      <c r="R21" s="223"/>
      <c r="S21" s="223"/>
      <c r="T21" s="223"/>
      <c r="U21" s="223"/>
      <c r="V21" s="223"/>
      <c r="W21" s="223"/>
      <c r="X21" s="223"/>
      <c r="Y21" s="223"/>
      <c r="Z21" s="223"/>
      <c r="AA21" s="223"/>
      <c r="AB21" s="223"/>
      <c r="AC21" s="223"/>
      <c r="AD21" s="223"/>
      <c r="AE21" s="223"/>
      <c r="AF21" s="223"/>
      <c r="AG21" s="223"/>
      <c r="AH21" s="224"/>
      <c r="AI21" s="222"/>
      <c r="AJ21" s="223"/>
      <c r="AK21" s="223"/>
      <c r="AL21" s="223"/>
      <c r="AM21" s="223"/>
      <c r="AN21" s="222"/>
      <c r="AO21" s="223"/>
      <c r="AP21" s="223"/>
      <c r="AQ21" s="223"/>
      <c r="AR21" s="224"/>
    </row>
    <row r="22" spans="1:47" s="15" customFormat="1" ht="5.25" customHeight="1" x14ac:dyDescent="0.7">
      <c r="A22" s="14"/>
      <c r="B22" s="14"/>
      <c r="C22" s="14"/>
      <c r="D22" s="14"/>
      <c r="E22" s="14"/>
      <c r="F22" s="14"/>
      <c r="G22" s="14"/>
      <c r="H22" s="14"/>
      <c r="I22" s="14"/>
    </row>
    <row r="23" spans="1:47" ht="8" customHeight="1" x14ac:dyDescent="0.7">
      <c r="A23" s="217" t="s">
        <v>157</v>
      </c>
      <c r="B23" s="217"/>
      <c r="C23" s="217"/>
      <c r="D23" s="217"/>
      <c r="E23" s="275">
        <v>1</v>
      </c>
      <c r="F23" s="276"/>
      <c r="G23" s="276"/>
      <c r="H23" s="277"/>
      <c r="I23" s="275">
        <v>2</v>
      </c>
      <c r="J23" s="276"/>
      <c r="K23" s="276"/>
      <c r="L23" s="277"/>
      <c r="M23" s="275">
        <v>3</v>
      </c>
      <c r="N23" s="276"/>
      <c r="O23" s="276"/>
      <c r="P23" s="277"/>
      <c r="Q23" s="275">
        <v>4</v>
      </c>
      <c r="R23" s="276"/>
      <c r="S23" s="276"/>
      <c r="T23" s="277"/>
      <c r="U23" s="275">
        <v>5</v>
      </c>
      <c r="V23" s="276"/>
      <c r="W23" s="276"/>
      <c r="X23" s="277"/>
      <c r="Y23" s="275">
        <v>6</v>
      </c>
      <c r="Z23" s="276"/>
      <c r="AA23" s="276"/>
      <c r="AB23" s="277"/>
      <c r="AC23" s="275">
        <v>7</v>
      </c>
      <c r="AD23" s="276"/>
      <c r="AE23" s="276"/>
      <c r="AF23" s="277"/>
      <c r="AG23" s="275">
        <v>8</v>
      </c>
      <c r="AH23" s="276"/>
      <c r="AI23" s="276"/>
      <c r="AJ23" s="277"/>
      <c r="AK23" s="275">
        <v>9</v>
      </c>
      <c r="AL23" s="276"/>
      <c r="AM23" s="276"/>
      <c r="AN23" s="277"/>
      <c r="AO23" s="275">
        <v>10</v>
      </c>
      <c r="AP23" s="276"/>
      <c r="AQ23" s="276"/>
      <c r="AR23" s="277"/>
    </row>
    <row r="24" spans="1:47" ht="8" customHeight="1" x14ac:dyDescent="0.7">
      <c r="A24" s="217"/>
      <c r="B24" s="217"/>
      <c r="C24" s="217"/>
      <c r="D24" s="217"/>
      <c r="E24" s="278"/>
      <c r="F24" s="279"/>
      <c r="G24" s="279"/>
      <c r="H24" s="280"/>
      <c r="I24" s="278"/>
      <c r="J24" s="279"/>
      <c r="K24" s="279"/>
      <c r="L24" s="280"/>
      <c r="M24" s="278"/>
      <c r="N24" s="279"/>
      <c r="O24" s="279"/>
      <c r="P24" s="280"/>
      <c r="Q24" s="278"/>
      <c r="R24" s="279"/>
      <c r="S24" s="279"/>
      <c r="T24" s="280"/>
      <c r="U24" s="278"/>
      <c r="V24" s="279"/>
      <c r="W24" s="279"/>
      <c r="X24" s="280"/>
      <c r="Y24" s="278"/>
      <c r="Z24" s="279"/>
      <c r="AA24" s="279"/>
      <c r="AB24" s="280"/>
      <c r="AC24" s="278"/>
      <c r="AD24" s="279"/>
      <c r="AE24" s="279"/>
      <c r="AF24" s="280"/>
      <c r="AG24" s="278"/>
      <c r="AH24" s="279"/>
      <c r="AI24" s="279"/>
      <c r="AJ24" s="280"/>
      <c r="AK24" s="278"/>
      <c r="AL24" s="279"/>
      <c r="AM24" s="279"/>
      <c r="AN24" s="280"/>
      <c r="AO24" s="278"/>
      <c r="AP24" s="279"/>
      <c r="AQ24" s="279"/>
      <c r="AR24" s="280"/>
    </row>
    <row r="25" spans="1:47" ht="10.25" customHeight="1" x14ac:dyDescent="0.7">
      <c r="A25" s="217" t="s">
        <v>158</v>
      </c>
      <c r="B25" s="217"/>
      <c r="C25" s="217"/>
      <c r="D25" s="217"/>
      <c r="E25" s="262" t="str" cm="1">
        <f t="array" aca="1" ref="E25" ca="1">IFERROR(INDEX(INDIRECT("'"&amp;集計3!$A$1&amp;"'!$C$4:$CX$4"),1,E23),"")</f>
        <v/>
      </c>
      <c r="F25" s="263"/>
      <c r="G25" s="263"/>
      <c r="H25" s="264"/>
      <c r="I25" s="262" t="str" cm="1">
        <f t="array" aca="1" ref="I25" ca="1">IFERROR(INDEX(INDIRECT("'"&amp;集計3!$A$1&amp;"'!$C$4:$CX$4"),1,I23),"")</f>
        <v/>
      </c>
      <c r="J25" s="263"/>
      <c r="K25" s="263"/>
      <c r="L25" s="264"/>
      <c r="M25" s="262" t="str" cm="1">
        <f t="array" aca="1" ref="M25" ca="1">IFERROR(INDEX(INDIRECT("'"&amp;集計3!$A$1&amp;"'!$C$4:$CX$4"),1,M23),"")</f>
        <v/>
      </c>
      <c r="N25" s="263"/>
      <c r="O25" s="263"/>
      <c r="P25" s="264"/>
      <c r="Q25" s="262" t="str" cm="1">
        <f t="array" aca="1" ref="Q25" ca="1">IFERROR(INDEX(INDIRECT("'"&amp;集計3!$A$1&amp;"'!$C$4:$CX$4"),1,Q23),"")</f>
        <v/>
      </c>
      <c r="R25" s="263"/>
      <c r="S25" s="263"/>
      <c r="T25" s="264"/>
      <c r="U25" s="262" t="str" cm="1">
        <f t="array" aca="1" ref="U25" ca="1">IFERROR(INDEX(INDIRECT("'"&amp;集計3!$A$1&amp;"'!$C$4:$CX$4"),1,U23),"")</f>
        <v/>
      </c>
      <c r="V25" s="263"/>
      <c r="W25" s="263"/>
      <c r="X25" s="264"/>
      <c r="Y25" s="262" t="str" cm="1">
        <f t="array" aca="1" ref="Y25" ca="1">IFERROR(INDEX(INDIRECT("'"&amp;集計3!$A$1&amp;"'!$C$4:$CX$4"),1,Y23),"")</f>
        <v/>
      </c>
      <c r="Z25" s="263"/>
      <c r="AA25" s="263"/>
      <c r="AB25" s="264"/>
      <c r="AC25" s="262" t="str" cm="1">
        <f t="array" aca="1" ref="AC25" ca="1">IFERROR(INDEX(INDIRECT("'"&amp;集計3!$A$1&amp;"'!$C$4:$CX$4"),1,AC23),"")</f>
        <v/>
      </c>
      <c r="AD25" s="263"/>
      <c r="AE25" s="263"/>
      <c r="AF25" s="264"/>
      <c r="AG25" s="262" t="str" cm="1">
        <f t="array" aca="1" ref="AG25" ca="1">IFERROR(INDEX(INDIRECT("'"&amp;集計3!$A$1&amp;"'!$C$4:$CX$4"),1,AG23),"")</f>
        <v/>
      </c>
      <c r="AH25" s="263"/>
      <c r="AI25" s="263"/>
      <c r="AJ25" s="264"/>
      <c r="AK25" s="262" t="str" cm="1">
        <f t="array" aca="1" ref="AK25" ca="1">IFERROR(INDEX(INDIRECT("'"&amp;集計3!$A$1&amp;"'!$C$4:$CX$4"),1,AK23),"")</f>
        <v/>
      </c>
      <c r="AL25" s="263"/>
      <c r="AM25" s="263"/>
      <c r="AN25" s="264"/>
      <c r="AO25" s="262" t="str" cm="1">
        <f t="array" aca="1" ref="AO25" ca="1">IFERROR(INDEX(INDIRECT("'"&amp;集計3!$A$1&amp;"'!$C$4:$CX$4"),1,AO23),"")</f>
        <v/>
      </c>
      <c r="AP25" s="263"/>
      <c r="AQ25" s="263"/>
      <c r="AR25" s="264"/>
    </row>
    <row r="26" spans="1:47" ht="10.25" customHeight="1" x14ac:dyDescent="0.7">
      <c r="A26" s="218"/>
      <c r="B26" s="218"/>
      <c r="C26" s="218"/>
      <c r="D26" s="218"/>
      <c r="E26" s="265"/>
      <c r="F26" s="266"/>
      <c r="G26" s="266"/>
      <c r="H26" s="267"/>
      <c r="I26" s="265"/>
      <c r="J26" s="266"/>
      <c r="K26" s="266"/>
      <c r="L26" s="267"/>
      <c r="M26" s="265"/>
      <c r="N26" s="266"/>
      <c r="O26" s="266"/>
      <c r="P26" s="267"/>
      <c r="Q26" s="265"/>
      <c r="R26" s="266"/>
      <c r="S26" s="266"/>
      <c r="T26" s="267"/>
      <c r="U26" s="265"/>
      <c r="V26" s="266"/>
      <c r="W26" s="266"/>
      <c r="X26" s="267"/>
      <c r="Y26" s="265"/>
      <c r="Z26" s="266"/>
      <c r="AA26" s="266"/>
      <c r="AB26" s="267"/>
      <c r="AC26" s="265"/>
      <c r="AD26" s="266"/>
      <c r="AE26" s="266"/>
      <c r="AF26" s="267"/>
      <c r="AG26" s="265"/>
      <c r="AH26" s="266"/>
      <c r="AI26" s="266"/>
      <c r="AJ26" s="267"/>
      <c r="AK26" s="265"/>
      <c r="AL26" s="266"/>
      <c r="AM26" s="266"/>
      <c r="AN26" s="267"/>
      <c r="AO26" s="265"/>
      <c r="AP26" s="266"/>
      <c r="AQ26" s="266"/>
      <c r="AR26" s="267"/>
    </row>
    <row r="27" spans="1:47" ht="10.25" customHeight="1" x14ac:dyDescent="0.7">
      <c r="A27" s="268" t="s">
        <v>127</v>
      </c>
      <c r="B27" s="269"/>
      <c r="C27" s="269"/>
      <c r="D27" s="270"/>
      <c r="E27" s="271" t="str" cm="1">
        <f t="array" aca="1" ref="E27" ca="1">IFERROR(INDEX(INDIRECT("'"&amp;集計3!$A$1&amp;"'!$C$5:$CX$5"),1,E23),"")</f>
        <v/>
      </c>
      <c r="F27" s="272"/>
      <c r="G27" s="273" t="str" cm="1">
        <f t="array" aca="1" ref="G27" ca="1">IFERROR(INDEX(INDIRECT("'"&amp;集計3!$A$1&amp;"'!$C$6:$CX$6"),1,E23),"")</f>
        <v/>
      </c>
      <c r="H27" s="274"/>
      <c r="I27" s="271" t="str" cm="1">
        <f t="array" aca="1" ref="I27" ca="1">IFERROR(INDEX(INDIRECT("'"&amp;集計3!$A$1&amp;"'!$C$5:$CX$5"),1,I23),"")</f>
        <v/>
      </c>
      <c r="J27" s="272"/>
      <c r="K27" s="273" t="str" cm="1">
        <f t="array" aca="1" ref="K27" ca="1">IFERROR(INDEX(INDIRECT("'"&amp;集計3!$A$1&amp;"'!$C$6:$CX$6"),1,I23),"")</f>
        <v/>
      </c>
      <c r="L27" s="274"/>
      <c r="M27" s="271" t="str" cm="1">
        <f t="array" aca="1" ref="M27" ca="1">IFERROR(INDEX(INDIRECT("'"&amp;集計3!$A$1&amp;"'!$C$5:$CX$5"),1,M23),"")</f>
        <v/>
      </c>
      <c r="N27" s="272"/>
      <c r="O27" s="273" t="str" cm="1">
        <f t="array" aca="1" ref="O27" ca="1">IFERROR(INDEX(INDIRECT("'"&amp;集計3!$A$1&amp;"'!$C$6:$CX$6"),1,M23),"")</f>
        <v/>
      </c>
      <c r="P27" s="274"/>
      <c r="Q27" s="271" t="str" cm="1">
        <f t="array" aca="1" ref="Q27" ca="1">IFERROR(INDEX(INDIRECT("'"&amp;集計3!$A$1&amp;"'!$C$5:$CX$5"),1,Q23),"")</f>
        <v/>
      </c>
      <c r="R27" s="272"/>
      <c r="S27" s="273" t="str" cm="1">
        <f t="array" aca="1" ref="S27" ca="1">IFERROR(INDEX(INDIRECT("'"&amp;集計3!$A$1&amp;"'!$C$6:$CX$6"),1,Q23),"")</f>
        <v/>
      </c>
      <c r="T27" s="274"/>
      <c r="U27" s="271" t="str" cm="1">
        <f t="array" aca="1" ref="U27" ca="1">IFERROR(INDEX(INDIRECT("'"&amp;集計3!$A$1&amp;"'!$C$5:$CX$5"),1,U23),"")</f>
        <v/>
      </c>
      <c r="V27" s="272"/>
      <c r="W27" s="273" t="str" cm="1">
        <f t="array" aca="1" ref="W27" ca="1">IFERROR(INDEX(INDIRECT("'"&amp;集計3!$A$1&amp;"'!$C$6:$CX$6"),1,U23),"")</f>
        <v/>
      </c>
      <c r="X27" s="274"/>
      <c r="Y27" s="271" t="str" cm="1">
        <f t="array" aca="1" ref="Y27" ca="1">IFERROR(INDEX(INDIRECT("'"&amp;集計3!$A$1&amp;"'!$C$5:$CX$5"),1,Y23),"")</f>
        <v/>
      </c>
      <c r="Z27" s="272"/>
      <c r="AA27" s="273" t="str" cm="1">
        <f t="array" aca="1" ref="AA27" ca="1">IFERROR(INDEX(INDIRECT("'"&amp;集計3!$A$1&amp;"'!$C$6:$CX$6"),1,Y23),"")</f>
        <v/>
      </c>
      <c r="AB27" s="274"/>
      <c r="AC27" s="271" t="str" cm="1">
        <f t="array" aca="1" ref="AC27" ca="1">IFERROR(INDEX(INDIRECT("'"&amp;集計3!$A$1&amp;"'!$C$5:$CX$5"),1,AC23),"")</f>
        <v/>
      </c>
      <c r="AD27" s="272"/>
      <c r="AE27" s="273" t="str" cm="1">
        <f t="array" aca="1" ref="AE27" ca="1">IFERROR(INDEX(INDIRECT("'"&amp;集計3!$A$1&amp;"'!$C$6:$CX$6"),1,AC23),"")</f>
        <v/>
      </c>
      <c r="AF27" s="274"/>
      <c r="AG27" s="271" t="str" cm="1">
        <f t="array" aca="1" ref="AG27" ca="1">IFERROR(INDEX(INDIRECT("'"&amp;集計3!$A$1&amp;"'!$C$5:$CX$5"),1,AG23),"")</f>
        <v/>
      </c>
      <c r="AH27" s="272"/>
      <c r="AI27" s="273" t="str" cm="1">
        <f t="array" aca="1" ref="AI27" ca="1">IFERROR(INDEX(INDIRECT("'"&amp;集計3!$A$1&amp;"'!$C$6:$CX$6"),1,AG23),"")</f>
        <v/>
      </c>
      <c r="AJ27" s="274"/>
      <c r="AK27" s="271" t="str" cm="1">
        <f t="array" aca="1" ref="AK27" ca="1">IFERROR(INDEX(INDIRECT("'"&amp;集計3!$A$1&amp;"'!$C$5:$CX$5"),1,AK23),"")</f>
        <v/>
      </c>
      <c r="AL27" s="272"/>
      <c r="AM27" s="273" t="str" cm="1">
        <f t="array" aca="1" ref="AM27" ca="1">IFERROR(INDEX(INDIRECT("'"&amp;集計3!$A$1&amp;"'!$C$6:$CX$6"),1,AK23),"")</f>
        <v/>
      </c>
      <c r="AN27" s="274"/>
      <c r="AO27" s="271" t="str" cm="1">
        <f t="array" aca="1" ref="AO27" ca="1">IFERROR(INDEX(INDIRECT("'"&amp;集計3!$A$1&amp;"'!$C$5:$CX$5"),1,AO23),"")</f>
        <v/>
      </c>
      <c r="AP27" s="272"/>
      <c r="AQ27" s="273" t="str" cm="1">
        <f t="array" aca="1" ref="AQ27" ca="1">IFERROR(INDEX(INDIRECT("'"&amp;集計3!$A$1&amp;"'!$C$6:$CX$6"),1,AO23),"")</f>
        <v/>
      </c>
      <c r="AR27" s="274"/>
    </row>
    <row r="28" spans="1:47" s="19" customFormat="1" ht="10.25" customHeight="1" x14ac:dyDescent="0.7">
      <c r="A28" s="256" t="s">
        <v>159</v>
      </c>
      <c r="B28" s="256"/>
      <c r="C28" s="256"/>
      <c r="D28" s="256"/>
      <c r="E28" s="16" t="str" cm="1">
        <f t="array" aca="1" ref="E28" ca="1">IFERROR(INDEX(INDIRECT("'"&amp;集計3!$A$1&amp;"'!$C$10:$CX$10"),1,E23),"")</f>
        <v/>
      </c>
      <c r="F28" s="257" t="str" cm="1">
        <f t="array" aca="1" ref="F28" ca="1">IFERROR(IF(INDEX(INDIRECT("'"&amp;集計3!$A$1&amp;"'!$C$7:$CX$7"),1,E23)=0,"",INDEX(INDIRECT("'"&amp;集計3!$A$1&amp;"'!$C$7:$CX$7"),1,E23)),"")</f>
        <v/>
      </c>
      <c r="G28" s="257"/>
      <c r="H28" s="258"/>
      <c r="I28" s="16" t="str" cm="1">
        <f t="array" aca="1" ref="I28" ca="1">IFERROR(INDEX(INDIRECT("'"&amp;集計3!$A$1&amp;"'!$C$10:$CX$10"),1,I23),"")</f>
        <v/>
      </c>
      <c r="J28" s="257" t="str" cm="1">
        <f t="array" aca="1" ref="J28" ca="1">IFERROR(IF(INDEX(INDIRECT("'"&amp;集計3!$A$1&amp;"'!$C$7:$CX$7"),1,I23)=0,"",INDEX(INDIRECT("'"&amp;集計3!$A$1&amp;"'!$C$7:$CX$7"),1,I23)),"")</f>
        <v/>
      </c>
      <c r="K28" s="257"/>
      <c r="L28" s="258"/>
      <c r="M28" s="16" t="str" cm="1">
        <f t="array" aca="1" ref="M28" ca="1">IFERROR(INDEX(INDIRECT("'"&amp;集計3!$A$1&amp;"'!$C$10:$CX$10"),1,M23),"")</f>
        <v/>
      </c>
      <c r="N28" s="257" t="str" cm="1">
        <f t="array" aca="1" ref="N28" ca="1">IFERROR(IF(INDEX(INDIRECT("'"&amp;集計3!$A$1&amp;"'!$C$7:$CX$7"),1,M23)=0,"",INDEX(INDIRECT("'"&amp;集計3!$A$1&amp;"'!$C$7:$CX$7"),1,M23)),"")</f>
        <v/>
      </c>
      <c r="O28" s="257"/>
      <c r="P28" s="258"/>
      <c r="Q28" s="16" t="str" cm="1">
        <f t="array" aca="1" ref="Q28" ca="1">IFERROR(INDEX(INDIRECT("'"&amp;集計3!$A$1&amp;"'!$C$10:$CX$10"),1,Q23),"")</f>
        <v/>
      </c>
      <c r="R28" s="257" t="str" cm="1">
        <f t="array" aca="1" ref="R28" ca="1">IFERROR(IF(INDEX(INDIRECT("'"&amp;集計3!$A$1&amp;"'!$C$7:$CX$7"),1,Q23)=0,"",INDEX(INDIRECT("'"&amp;集計3!$A$1&amp;"'!$C$7:$CX$7"),1,Q23)),"")</f>
        <v/>
      </c>
      <c r="S28" s="257"/>
      <c r="T28" s="258"/>
      <c r="U28" s="16" t="str" cm="1">
        <f t="array" aca="1" ref="U28" ca="1">IFERROR(INDEX(INDIRECT("'"&amp;集計3!$A$1&amp;"'!$C$10:$CX$10"),1,U23),"")</f>
        <v/>
      </c>
      <c r="V28" s="257" t="str" cm="1">
        <f t="array" aca="1" ref="V28" ca="1">IFERROR(IF(INDEX(INDIRECT("'"&amp;集計3!$A$1&amp;"'!$C$7:$CX$7"),1,U23)=0,"",INDEX(INDIRECT("'"&amp;集計3!$A$1&amp;"'!$C$7:$CX$7"),1,U23)),"")</f>
        <v/>
      </c>
      <c r="W28" s="257"/>
      <c r="X28" s="258"/>
      <c r="Y28" s="16" t="str" cm="1">
        <f t="array" aca="1" ref="Y28" ca="1">IFERROR(INDEX(INDIRECT("'"&amp;集計3!$A$1&amp;"'!$C$10:$CX$10"),1,Y23),"")</f>
        <v/>
      </c>
      <c r="Z28" s="257" t="str" cm="1">
        <f t="array" aca="1" ref="Z28" ca="1">IFERROR(IF(INDEX(INDIRECT("'"&amp;集計3!$A$1&amp;"'!$C$7:$CX$7"),1,Y23)=0,"",INDEX(INDIRECT("'"&amp;集計3!$A$1&amp;"'!$C$7:$CX$7"),1,Y23)),"")</f>
        <v/>
      </c>
      <c r="AA28" s="257"/>
      <c r="AB28" s="258"/>
      <c r="AC28" s="16" t="str" cm="1">
        <f t="array" aca="1" ref="AC28" ca="1">IFERROR(INDEX(INDIRECT("'"&amp;集計3!$A$1&amp;"'!$C$10:$CX$10"),1,AC23),"")</f>
        <v/>
      </c>
      <c r="AD28" s="257" t="str" cm="1">
        <f t="array" aca="1" ref="AD28" ca="1">IFERROR(IF(INDEX(INDIRECT("'"&amp;集計3!$A$1&amp;"'!$C$7:$CX$7"),1,AC23)=0,"",INDEX(INDIRECT("'"&amp;集計3!$A$1&amp;"'!$C$7:$CX$7"),1,AC23)),"")</f>
        <v/>
      </c>
      <c r="AE28" s="257"/>
      <c r="AF28" s="258"/>
      <c r="AG28" s="16" t="str" cm="1">
        <f t="array" aca="1" ref="AG28" ca="1">IFERROR(INDEX(INDIRECT("'"&amp;集計3!$A$1&amp;"'!$C$10:$CX$10"),1,AG23),"")</f>
        <v/>
      </c>
      <c r="AH28" s="257" t="str" cm="1">
        <f t="array" aca="1" ref="AH28" ca="1">IFERROR(IF(INDEX(INDIRECT("'"&amp;集計3!$A$1&amp;"'!$C$7:$CX$7"),1,AG23)=0,"",INDEX(INDIRECT("'"&amp;集計3!$A$1&amp;"'!$C$7:$CX$7"),1,AG23)),"")</f>
        <v/>
      </c>
      <c r="AI28" s="257"/>
      <c r="AJ28" s="258"/>
      <c r="AK28" s="16" t="str" cm="1">
        <f t="array" aca="1" ref="AK28" ca="1">IFERROR(INDEX(INDIRECT("'"&amp;集計3!$A$1&amp;"'!$C$10:$CX$10"),1,AK23),"")</f>
        <v/>
      </c>
      <c r="AL28" s="257" t="str" cm="1">
        <f t="array" aca="1" ref="AL28" ca="1">IFERROR(IF(INDEX(INDIRECT("'"&amp;集計3!$A$1&amp;"'!$C$7:$CX$7"),1,AK23)=0,"",INDEX(INDIRECT("'"&amp;集計3!$A$1&amp;"'!$C$7:$CX$7"),1,AK23)),"")</f>
        <v/>
      </c>
      <c r="AM28" s="257"/>
      <c r="AN28" s="258"/>
      <c r="AO28" s="16" t="str" cm="1">
        <f t="array" aca="1" ref="AO28" ca="1">IFERROR(INDEX(INDIRECT("'"&amp;集計3!$A$1&amp;"'!$C$10:$CX$10"),1,AO23),"")</f>
        <v/>
      </c>
      <c r="AP28" s="257" t="str" cm="1">
        <f t="array" aca="1" ref="AP28" ca="1">IFERROR(IF(INDEX(INDIRECT("'"&amp;集計3!$A$1&amp;"'!$C$7:$CX$7"),1,AO23)=0,"",INDEX(INDIRECT("'"&amp;集計3!$A$1&amp;"'!$C$7:$CX$7"),1,AO23)),"")</f>
        <v/>
      </c>
      <c r="AQ28" s="257"/>
      <c r="AR28" s="258"/>
      <c r="AU28" s="20"/>
    </row>
    <row r="29" spans="1:47" s="19" customFormat="1" ht="10.25" customHeight="1" x14ac:dyDescent="0.7">
      <c r="A29" s="259" t="s">
        <v>160</v>
      </c>
      <c r="B29" s="259"/>
      <c r="C29" s="259"/>
      <c r="D29" s="259"/>
      <c r="E29" s="17" t="str" cm="1">
        <f t="array" aca="1" ref="E29" ca="1">IFERROR(INDEX(INDIRECT("'"&amp;集計3!$A$1&amp;"'!$C$11:$CX$11"),1,E23),"")</f>
        <v/>
      </c>
      <c r="F29" s="260" t="str" cm="1">
        <f t="array" aca="1" ref="F29" ca="1">IFERROR(IF(INDEX(INDIRECT("'"&amp;集計3!$A$1&amp;"'!$C$8:$CX$8"),1,E23)=0,"",INDEX(INDIRECT("'"&amp;集計3!$A$1&amp;"'!$C$8:$CX$8"),1,E23)),"")</f>
        <v/>
      </c>
      <c r="G29" s="260"/>
      <c r="H29" s="261"/>
      <c r="I29" s="17" t="str" cm="1">
        <f t="array" aca="1" ref="I29" ca="1">IFERROR(INDEX(INDIRECT("'"&amp;集計3!$A$1&amp;"'!$C$11:$CX$11"),1,I23),"")</f>
        <v/>
      </c>
      <c r="J29" s="260" t="str" cm="1">
        <f t="array" aca="1" ref="J29" ca="1">IFERROR(IF(INDEX(INDIRECT("'"&amp;集計3!$A$1&amp;"'!$C$8:$CX$8"),1,I23)=0,"",INDEX(INDIRECT("'"&amp;集計3!$A$1&amp;"'!$C$8:$CX$8"),1,I23)),"")</f>
        <v/>
      </c>
      <c r="K29" s="260"/>
      <c r="L29" s="261"/>
      <c r="M29" s="17" t="str" cm="1">
        <f t="array" aca="1" ref="M29" ca="1">IFERROR(INDEX(INDIRECT("'"&amp;集計3!$A$1&amp;"'!$C$11:$CX$11"),1,M23),"")</f>
        <v/>
      </c>
      <c r="N29" s="260" t="str" cm="1">
        <f t="array" aca="1" ref="N29" ca="1">IFERROR(IF(INDEX(INDIRECT("'"&amp;集計3!$A$1&amp;"'!$C$8:$CX$8"),1,M23)=0,"",INDEX(INDIRECT("'"&amp;集計3!$A$1&amp;"'!$C$8:$CX$8"),1,M23)),"")</f>
        <v/>
      </c>
      <c r="O29" s="260"/>
      <c r="P29" s="261"/>
      <c r="Q29" s="17" t="str" cm="1">
        <f t="array" aca="1" ref="Q29" ca="1">IFERROR(INDEX(INDIRECT("'"&amp;集計3!$A$1&amp;"'!$C$11:$CX$11"),1,Q23),"")</f>
        <v/>
      </c>
      <c r="R29" s="260" t="str" cm="1">
        <f t="array" aca="1" ref="R29" ca="1">IFERROR(IF(INDEX(INDIRECT("'"&amp;集計3!$A$1&amp;"'!$C$8:$CX$8"),1,Q23)=0,"",INDEX(INDIRECT("'"&amp;集計3!$A$1&amp;"'!$C$8:$CX$8"),1,Q23)),"")</f>
        <v/>
      </c>
      <c r="S29" s="260"/>
      <c r="T29" s="261"/>
      <c r="U29" s="17" t="str" cm="1">
        <f t="array" aca="1" ref="U29" ca="1">IFERROR(INDEX(INDIRECT("'"&amp;集計3!$A$1&amp;"'!$C$11:$CX$11"),1,U23),"")</f>
        <v/>
      </c>
      <c r="V29" s="260" t="str" cm="1">
        <f t="array" aca="1" ref="V29" ca="1">IFERROR(IF(INDEX(INDIRECT("'"&amp;集計3!$A$1&amp;"'!$C$8:$CX$8"),1,U23)=0,"",INDEX(INDIRECT("'"&amp;集計3!$A$1&amp;"'!$C$8:$CX$8"),1,U23)),"")</f>
        <v/>
      </c>
      <c r="W29" s="260"/>
      <c r="X29" s="261"/>
      <c r="Y29" s="17" t="str" cm="1">
        <f t="array" aca="1" ref="Y29" ca="1">IFERROR(INDEX(INDIRECT("'"&amp;集計3!$A$1&amp;"'!$C$11:$CX$11"),1,Y23),"")</f>
        <v/>
      </c>
      <c r="Z29" s="260" t="str" cm="1">
        <f t="array" aca="1" ref="Z29" ca="1">IFERROR(IF(INDEX(INDIRECT("'"&amp;集計3!$A$1&amp;"'!$C$8:$CX$8"),1,Y23)=0,"",INDEX(INDIRECT("'"&amp;集計3!$A$1&amp;"'!$C$8:$CX$8"),1,Y23)),"")</f>
        <v/>
      </c>
      <c r="AA29" s="260"/>
      <c r="AB29" s="261"/>
      <c r="AC29" s="17" t="str" cm="1">
        <f t="array" aca="1" ref="AC29" ca="1">IFERROR(INDEX(INDIRECT("'"&amp;集計3!$A$1&amp;"'!$C$11:$CX$11"),1,AC23),"")</f>
        <v/>
      </c>
      <c r="AD29" s="260" t="str" cm="1">
        <f t="array" aca="1" ref="AD29" ca="1">IFERROR(IF(INDEX(INDIRECT("'"&amp;集計3!$A$1&amp;"'!$C$8:$CX$8"),1,AC23)=0,"",INDEX(INDIRECT("'"&amp;集計3!$A$1&amp;"'!$C$8:$CX$8"),1,AC23)),"")</f>
        <v/>
      </c>
      <c r="AE29" s="260"/>
      <c r="AF29" s="261"/>
      <c r="AG29" s="17" t="str" cm="1">
        <f t="array" aca="1" ref="AG29" ca="1">IFERROR(INDEX(INDIRECT("'"&amp;集計3!$A$1&amp;"'!$C$11:$CX$11"),1,AG23),"")</f>
        <v/>
      </c>
      <c r="AH29" s="260" t="str" cm="1">
        <f t="array" aca="1" ref="AH29" ca="1">IFERROR(IF(INDEX(INDIRECT("'"&amp;集計3!$A$1&amp;"'!$C$8:$CX$8"),1,AG23)=0,"",INDEX(INDIRECT("'"&amp;集計3!$A$1&amp;"'!$C$8:$CX$8"),1,AG23)),"")</f>
        <v/>
      </c>
      <c r="AI29" s="260"/>
      <c r="AJ29" s="261"/>
      <c r="AK29" s="17" t="str" cm="1">
        <f t="array" aca="1" ref="AK29" ca="1">IFERROR(INDEX(INDIRECT("'"&amp;集計3!$A$1&amp;"'!$C$11:$CX$11"),1,AK23),"")</f>
        <v/>
      </c>
      <c r="AL29" s="260" t="str" cm="1">
        <f t="array" aca="1" ref="AL29" ca="1">IFERROR(IF(INDEX(INDIRECT("'"&amp;集計3!$A$1&amp;"'!$C$8:$CX$8"),1,AK23)=0,"",INDEX(INDIRECT("'"&amp;集計3!$A$1&amp;"'!$C$8:$CX$8"),1,AK23)),"")</f>
        <v/>
      </c>
      <c r="AM29" s="260"/>
      <c r="AN29" s="261"/>
      <c r="AO29" s="17" t="str" cm="1">
        <f t="array" aca="1" ref="AO29" ca="1">IFERROR(INDEX(INDIRECT("'"&amp;集計3!$A$1&amp;"'!$C$11:$CX$11"),1,AO23),"")</f>
        <v/>
      </c>
      <c r="AP29" s="260" t="str" cm="1">
        <f t="array" aca="1" ref="AP29" ca="1">IFERROR(IF(INDEX(INDIRECT("'"&amp;集計3!$A$1&amp;"'!$C$8:$CX$8"),1,AO23)=0,"",INDEX(INDIRECT("'"&amp;集計3!$A$1&amp;"'!$C$8:$CX$8"),1,AO23)),"")</f>
        <v/>
      </c>
      <c r="AQ29" s="260"/>
      <c r="AR29" s="261"/>
      <c r="AU29" s="20"/>
    </row>
    <row r="30" spans="1:47" ht="8" customHeight="1" x14ac:dyDescent="0.7">
      <c r="A30" s="217" t="s">
        <v>161</v>
      </c>
      <c r="B30" s="217"/>
      <c r="C30" s="217"/>
      <c r="D30" s="217"/>
      <c r="E30" s="244" t="str" cm="1">
        <f t="array" aca="1" ref="E30" ca="1">IFERROR(INDEX(INDIRECT("'"&amp;集計3!$A$1&amp;"'!$C$3:$CX$3"),1,E23),"")</f>
        <v/>
      </c>
      <c r="F30" s="245"/>
      <c r="G30" s="245"/>
      <c r="H30" s="246"/>
      <c r="I30" s="244" t="str" cm="1">
        <f t="array" aca="1" ref="I30" ca="1">IFERROR(INDEX(INDIRECT("'"&amp;集計3!$A$1&amp;"'!$C$3:$CX$3"),1,I23),"")</f>
        <v/>
      </c>
      <c r="J30" s="245"/>
      <c r="K30" s="245"/>
      <c r="L30" s="246"/>
      <c r="M30" s="244" t="str" cm="1">
        <f t="array" aca="1" ref="M30" ca="1">IFERROR(INDEX(INDIRECT("'"&amp;集計3!$A$1&amp;"'!$C$3:$CX$3"),1,M23),"")</f>
        <v/>
      </c>
      <c r="N30" s="245"/>
      <c r="O30" s="245"/>
      <c r="P30" s="246"/>
      <c r="Q30" s="244" t="str" cm="1">
        <f t="array" aca="1" ref="Q30" ca="1">IFERROR(INDEX(INDIRECT("'"&amp;集計3!$A$1&amp;"'!$C$3:$CX$3"),1,Q23),"")</f>
        <v/>
      </c>
      <c r="R30" s="245"/>
      <c r="S30" s="245"/>
      <c r="T30" s="246"/>
      <c r="U30" s="244" t="str" cm="1">
        <f t="array" aca="1" ref="U30" ca="1">IFERROR(INDEX(INDIRECT("'"&amp;集計3!$A$1&amp;"'!$C$3:$CX$3"),1,U23),"")</f>
        <v/>
      </c>
      <c r="V30" s="245"/>
      <c r="W30" s="245"/>
      <c r="X30" s="246"/>
      <c r="Y30" s="244" t="str" cm="1">
        <f t="array" aca="1" ref="Y30" ca="1">IFERROR(INDEX(INDIRECT("'"&amp;集計3!$A$1&amp;"'!$C$3:$CX$3"),1,Y23),"")</f>
        <v/>
      </c>
      <c r="Z30" s="245"/>
      <c r="AA30" s="245"/>
      <c r="AB30" s="246"/>
      <c r="AC30" s="244" t="str" cm="1">
        <f t="array" aca="1" ref="AC30" ca="1">IFERROR(INDEX(INDIRECT("'"&amp;集計3!$A$1&amp;"'!$C$3:$CX$3"),1,AC23),"")</f>
        <v/>
      </c>
      <c r="AD30" s="245"/>
      <c r="AE30" s="245"/>
      <c r="AF30" s="246"/>
      <c r="AG30" s="244" t="str" cm="1">
        <f t="array" aca="1" ref="AG30" ca="1">IFERROR(INDEX(INDIRECT("'"&amp;集計3!$A$1&amp;"'!$C$3:$CX$3"),1,AG23),"")</f>
        <v/>
      </c>
      <c r="AH30" s="245"/>
      <c r="AI30" s="245"/>
      <c r="AJ30" s="246"/>
      <c r="AK30" s="244" t="str" cm="1">
        <f t="array" aca="1" ref="AK30" ca="1">IFERROR(INDEX(INDIRECT("'"&amp;集計3!$A$1&amp;"'!$C$3:$CX$3"),1,AK23),"")</f>
        <v/>
      </c>
      <c r="AL30" s="245"/>
      <c r="AM30" s="245"/>
      <c r="AN30" s="246"/>
      <c r="AO30" s="244" t="str" cm="1">
        <f t="array" aca="1" ref="AO30" ca="1">IFERROR(INDEX(INDIRECT("'"&amp;集計3!$A$1&amp;"'!$C$3:$CX$3"),1,AO23),"")</f>
        <v/>
      </c>
      <c r="AP30" s="245"/>
      <c r="AQ30" s="245"/>
      <c r="AR30" s="246"/>
    </row>
    <row r="31" spans="1:47" ht="8" customHeight="1" x14ac:dyDescent="0.7">
      <c r="A31" s="217"/>
      <c r="B31" s="217"/>
      <c r="C31" s="217"/>
      <c r="D31" s="217"/>
      <c r="E31" s="247"/>
      <c r="F31" s="248"/>
      <c r="G31" s="248"/>
      <c r="H31" s="249"/>
      <c r="I31" s="247"/>
      <c r="J31" s="248"/>
      <c r="K31" s="248"/>
      <c r="L31" s="249"/>
      <c r="M31" s="247"/>
      <c r="N31" s="248"/>
      <c r="O31" s="248"/>
      <c r="P31" s="249"/>
      <c r="Q31" s="247"/>
      <c r="R31" s="248"/>
      <c r="S31" s="248"/>
      <c r="T31" s="249"/>
      <c r="U31" s="247"/>
      <c r="V31" s="248"/>
      <c r="W31" s="248"/>
      <c r="X31" s="249"/>
      <c r="Y31" s="247"/>
      <c r="Z31" s="248"/>
      <c r="AA31" s="248"/>
      <c r="AB31" s="249"/>
      <c r="AC31" s="247"/>
      <c r="AD31" s="248"/>
      <c r="AE31" s="248"/>
      <c r="AF31" s="249"/>
      <c r="AG31" s="247"/>
      <c r="AH31" s="248"/>
      <c r="AI31" s="248"/>
      <c r="AJ31" s="249"/>
      <c r="AK31" s="247"/>
      <c r="AL31" s="248"/>
      <c r="AM31" s="248"/>
      <c r="AN31" s="249"/>
      <c r="AO31" s="247"/>
      <c r="AP31" s="248"/>
      <c r="AQ31" s="248"/>
      <c r="AR31" s="249"/>
    </row>
    <row r="32" spans="1:47" ht="14.75" customHeight="1" x14ac:dyDescent="0.7">
      <c r="A32" s="250" t="s">
        <v>162</v>
      </c>
      <c r="B32" s="250"/>
      <c r="C32" s="251">
        <v>1</v>
      </c>
      <c r="D32" s="252"/>
      <c r="E32" s="253" t="str" cm="1">
        <f t="array" aca="1" ref="E32" ca="1">IF(INDEX(集計3!$C$16:$CX$25,$C32,INDIRECT(ADDRESS(ROW()-8-($C32),COLUMN())))="","",INDEX(集計3!$C$16:$CX$25,$C32,INDIRECT(ADDRESS(ROW()-8-($C32),COLUMN()))))</f>
        <v/>
      </c>
      <c r="F32" s="254"/>
      <c r="G32" s="254"/>
      <c r="H32" s="255"/>
      <c r="I32" s="253" t="str" cm="1">
        <f t="array" aca="1" ref="I32" ca="1">IF(INDEX(集計3!$C$16:$CX$25,$C32,INDIRECT(ADDRESS(ROW()-8-($C32),COLUMN())))="","",INDEX(集計3!$C$16:$CX$25,$C32,INDIRECT(ADDRESS(ROW()-8-($C32),COLUMN()))))</f>
        <v/>
      </c>
      <c r="J32" s="254"/>
      <c r="K32" s="254"/>
      <c r="L32" s="255"/>
      <c r="M32" s="253" t="str" cm="1">
        <f t="array" aca="1" ref="M32" ca="1">IF(INDEX(集計3!$C$16:$CX$25,$C32,INDIRECT(ADDRESS(ROW()-8-($C32),COLUMN())))="","",INDEX(集計3!$C$16:$CX$25,$C32,INDIRECT(ADDRESS(ROW()-8-($C32),COLUMN()))))</f>
        <v/>
      </c>
      <c r="N32" s="254"/>
      <c r="O32" s="254"/>
      <c r="P32" s="255"/>
      <c r="Q32" s="253" t="str" cm="1">
        <f t="array" aca="1" ref="Q32" ca="1">IF(INDEX(集計3!$C$16:$CX$25,$C32,INDIRECT(ADDRESS(ROW()-8-($C32),COLUMN())))="","",INDEX(集計3!$C$16:$CX$25,$C32,INDIRECT(ADDRESS(ROW()-8-($C32),COLUMN()))))</f>
        <v/>
      </c>
      <c r="R32" s="254"/>
      <c r="S32" s="254"/>
      <c r="T32" s="255"/>
      <c r="U32" s="253" t="str" cm="1">
        <f t="array" aca="1" ref="U32" ca="1">IF(INDEX(集計3!$C$16:$CX$25,$C32,INDIRECT(ADDRESS(ROW()-8-($C32),COLUMN())))="","",INDEX(集計3!$C$16:$CX$25,$C32,INDIRECT(ADDRESS(ROW()-8-($C32),COLUMN()))))</f>
        <v/>
      </c>
      <c r="V32" s="254"/>
      <c r="W32" s="254"/>
      <c r="X32" s="255"/>
      <c r="Y32" s="253" t="str" cm="1">
        <f t="array" aca="1" ref="Y32" ca="1">IF(INDEX(集計3!$C$16:$CX$25,$C32,INDIRECT(ADDRESS(ROW()-8-($C32),COLUMN())))="","",INDEX(集計3!$C$16:$CX$25,$C32,INDIRECT(ADDRESS(ROW()-8-($C32),COLUMN()))))</f>
        <v/>
      </c>
      <c r="Z32" s="254"/>
      <c r="AA32" s="254"/>
      <c r="AB32" s="255"/>
      <c r="AC32" s="253" t="str" cm="1">
        <f t="array" aca="1" ref="AC32" ca="1">IF(INDEX(集計3!$C$16:$CX$25,$C32,INDIRECT(ADDRESS(ROW()-8-($C32),COLUMN())))="","",INDEX(集計3!$C$16:$CX$25,$C32,INDIRECT(ADDRESS(ROW()-8-($C32),COLUMN()))))</f>
        <v/>
      </c>
      <c r="AD32" s="254"/>
      <c r="AE32" s="254"/>
      <c r="AF32" s="255"/>
      <c r="AG32" s="253" t="str" cm="1">
        <f t="array" aca="1" ref="AG32" ca="1">IF(INDEX(集計3!$C$16:$CX$25,$C32,INDIRECT(ADDRESS(ROW()-8-($C32),COLUMN())))="","",INDEX(集計3!$C$16:$CX$25,$C32,INDIRECT(ADDRESS(ROW()-8-($C32),COLUMN()))))</f>
        <v/>
      </c>
      <c r="AH32" s="254"/>
      <c r="AI32" s="254"/>
      <c r="AJ32" s="255"/>
      <c r="AK32" s="253" t="str" cm="1">
        <f t="array" aca="1" ref="AK32" ca="1">IF(INDEX(集計3!$C$16:$CX$25,$C32,INDIRECT(ADDRESS(ROW()-8-($C32),COLUMN())))="","",INDEX(集計3!$C$16:$CX$25,$C32,INDIRECT(ADDRESS(ROW()-8-($C32),COLUMN()))))</f>
        <v/>
      </c>
      <c r="AL32" s="254"/>
      <c r="AM32" s="254"/>
      <c r="AN32" s="255"/>
      <c r="AO32" s="253" t="str" cm="1">
        <f t="array" aca="1" ref="AO32" ca="1">IF(INDEX(集計3!$C$16:$CX$25,$C32,INDIRECT(ADDRESS(ROW()-8-($C32),COLUMN())))="","",INDEX(集計3!$C$16:$CX$25,$C32,INDIRECT(ADDRESS(ROW()-8-($C32),COLUMN()))))</f>
        <v/>
      </c>
      <c r="AP32" s="254"/>
      <c r="AQ32" s="254"/>
      <c r="AR32" s="255"/>
    </row>
    <row r="33" spans="1:44" ht="14.75" customHeight="1" x14ac:dyDescent="0.7">
      <c r="A33" s="250"/>
      <c r="B33" s="250"/>
      <c r="C33" s="231">
        <v>2</v>
      </c>
      <c r="D33" s="232"/>
      <c r="E33" s="241" t="str" cm="1">
        <f t="array" aca="1" ref="E33" ca="1">IF(INDEX(集計3!$C$16:$CX$25,$C33,INDIRECT(ADDRESS(ROW()-8-($C33),COLUMN())))="","",INDEX(集計3!$C$16:$CX$25,$C33,INDIRECT(ADDRESS(ROW()-8-($C33),COLUMN()))))</f>
        <v/>
      </c>
      <c r="F33" s="242"/>
      <c r="G33" s="242"/>
      <c r="H33" s="243"/>
      <c r="I33" s="241" t="str" cm="1">
        <f t="array" aca="1" ref="I33" ca="1">IF(INDEX(集計3!$C$16:$CX$25,$C33,INDIRECT(ADDRESS(ROW()-8-($C33),COLUMN())))="","",INDEX(集計3!$C$16:$CX$25,$C33,INDIRECT(ADDRESS(ROW()-8-($C33),COLUMN()))))</f>
        <v/>
      </c>
      <c r="J33" s="242"/>
      <c r="K33" s="242"/>
      <c r="L33" s="243"/>
      <c r="M33" s="241" t="str" cm="1">
        <f t="array" aca="1" ref="M33" ca="1">IF(INDEX(集計3!$C$16:$CX$25,$C33,INDIRECT(ADDRESS(ROW()-8-($C33),COLUMN())))="","",INDEX(集計3!$C$16:$CX$25,$C33,INDIRECT(ADDRESS(ROW()-8-($C33),COLUMN()))))</f>
        <v/>
      </c>
      <c r="N33" s="242"/>
      <c r="O33" s="242"/>
      <c r="P33" s="243"/>
      <c r="Q33" s="241" t="str" cm="1">
        <f t="array" aca="1" ref="Q33" ca="1">IF(INDEX(集計3!$C$16:$CX$25,$C33,INDIRECT(ADDRESS(ROW()-8-($C33),COLUMN())))="","",INDEX(集計3!$C$16:$CX$25,$C33,INDIRECT(ADDRESS(ROW()-8-($C33),COLUMN()))))</f>
        <v/>
      </c>
      <c r="R33" s="242"/>
      <c r="S33" s="242"/>
      <c r="T33" s="243"/>
      <c r="U33" s="241" t="str" cm="1">
        <f t="array" aca="1" ref="U33" ca="1">IF(INDEX(集計3!$C$16:$CX$25,$C33,INDIRECT(ADDRESS(ROW()-8-($C33),COLUMN())))="","",INDEX(集計3!$C$16:$CX$25,$C33,INDIRECT(ADDRESS(ROW()-8-($C33),COLUMN()))))</f>
        <v/>
      </c>
      <c r="V33" s="242"/>
      <c r="W33" s="242"/>
      <c r="X33" s="243"/>
      <c r="Y33" s="241" t="str" cm="1">
        <f t="array" aca="1" ref="Y33" ca="1">IF(INDEX(集計3!$C$16:$CX$25,$C33,INDIRECT(ADDRESS(ROW()-8-($C33),COLUMN())))="","",INDEX(集計3!$C$16:$CX$25,$C33,INDIRECT(ADDRESS(ROW()-8-($C33),COLUMN()))))</f>
        <v/>
      </c>
      <c r="Z33" s="242"/>
      <c r="AA33" s="242"/>
      <c r="AB33" s="243"/>
      <c r="AC33" s="241" t="str" cm="1">
        <f t="array" aca="1" ref="AC33" ca="1">IF(INDEX(集計3!$C$16:$CX$25,$C33,INDIRECT(ADDRESS(ROW()-8-($C33),COLUMN())))="","",INDEX(集計3!$C$16:$CX$25,$C33,INDIRECT(ADDRESS(ROW()-8-($C33),COLUMN()))))</f>
        <v/>
      </c>
      <c r="AD33" s="242"/>
      <c r="AE33" s="242"/>
      <c r="AF33" s="243"/>
      <c r="AG33" s="241" t="str" cm="1">
        <f t="array" aca="1" ref="AG33" ca="1">IF(INDEX(集計3!$C$16:$CX$25,$C33,INDIRECT(ADDRESS(ROW()-8-($C33),COLUMN())))="","",INDEX(集計3!$C$16:$CX$25,$C33,INDIRECT(ADDRESS(ROW()-8-($C33),COLUMN()))))</f>
        <v/>
      </c>
      <c r="AH33" s="242"/>
      <c r="AI33" s="242"/>
      <c r="AJ33" s="243"/>
      <c r="AK33" s="241" t="str" cm="1">
        <f t="array" aca="1" ref="AK33" ca="1">IF(INDEX(集計3!$C$16:$CX$25,$C33,INDIRECT(ADDRESS(ROW()-8-($C33),COLUMN())))="","",INDEX(集計3!$C$16:$CX$25,$C33,INDIRECT(ADDRESS(ROW()-8-($C33),COLUMN()))))</f>
        <v/>
      </c>
      <c r="AL33" s="242"/>
      <c r="AM33" s="242"/>
      <c r="AN33" s="243"/>
      <c r="AO33" s="241" t="str" cm="1">
        <f t="array" aca="1" ref="AO33" ca="1">IF(INDEX(集計3!$C$16:$CX$25,$C33,INDIRECT(ADDRESS(ROW()-8-($C33),COLUMN())))="","",INDEX(集計3!$C$16:$CX$25,$C33,INDIRECT(ADDRESS(ROW()-8-($C33),COLUMN()))))</f>
        <v/>
      </c>
      <c r="AP33" s="242"/>
      <c r="AQ33" s="242"/>
      <c r="AR33" s="243"/>
    </row>
    <row r="34" spans="1:44" ht="14.75" customHeight="1" x14ac:dyDescent="0.7">
      <c r="A34" s="250"/>
      <c r="B34" s="250"/>
      <c r="C34" s="231">
        <v>3</v>
      </c>
      <c r="D34" s="232"/>
      <c r="E34" s="241" t="str" cm="1">
        <f t="array" aca="1" ref="E34" ca="1">IF(INDEX(集計3!$C$16:$CX$25,$C34,INDIRECT(ADDRESS(ROW()-8-($C34),COLUMN())))="","",INDEX(集計3!$C$16:$CX$25,$C34,INDIRECT(ADDRESS(ROW()-8-($C34),COLUMN()))))</f>
        <v/>
      </c>
      <c r="F34" s="242"/>
      <c r="G34" s="242"/>
      <c r="H34" s="243"/>
      <c r="I34" s="241" t="str" cm="1">
        <f t="array" aca="1" ref="I34" ca="1">IF(INDEX(集計3!$C$16:$CX$25,$C34,INDIRECT(ADDRESS(ROW()-8-($C34),COLUMN())))="","",INDEX(集計3!$C$16:$CX$25,$C34,INDIRECT(ADDRESS(ROW()-8-($C34),COLUMN()))))</f>
        <v/>
      </c>
      <c r="J34" s="242"/>
      <c r="K34" s="242"/>
      <c r="L34" s="243"/>
      <c r="M34" s="241" t="str" cm="1">
        <f t="array" aca="1" ref="M34" ca="1">IF(INDEX(集計3!$C$16:$CX$25,$C34,INDIRECT(ADDRESS(ROW()-8-($C34),COLUMN())))="","",INDEX(集計3!$C$16:$CX$25,$C34,INDIRECT(ADDRESS(ROW()-8-($C34),COLUMN()))))</f>
        <v/>
      </c>
      <c r="N34" s="242"/>
      <c r="O34" s="242"/>
      <c r="P34" s="243"/>
      <c r="Q34" s="241" t="str" cm="1">
        <f t="array" aca="1" ref="Q34" ca="1">IF(INDEX(集計3!$C$16:$CX$25,$C34,INDIRECT(ADDRESS(ROW()-8-($C34),COLUMN())))="","",INDEX(集計3!$C$16:$CX$25,$C34,INDIRECT(ADDRESS(ROW()-8-($C34),COLUMN()))))</f>
        <v/>
      </c>
      <c r="R34" s="242"/>
      <c r="S34" s="242"/>
      <c r="T34" s="243"/>
      <c r="U34" s="241" t="str" cm="1">
        <f t="array" aca="1" ref="U34" ca="1">IF(INDEX(集計3!$C$16:$CX$25,$C34,INDIRECT(ADDRESS(ROW()-8-($C34),COLUMN())))="","",INDEX(集計3!$C$16:$CX$25,$C34,INDIRECT(ADDRESS(ROW()-8-($C34),COLUMN()))))</f>
        <v/>
      </c>
      <c r="V34" s="242"/>
      <c r="W34" s="242"/>
      <c r="X34" s="243"/>
      <c r="Y34" s="241" t="str" cm="1">
        <f t="array" aca="1" ref="Y34" ca="1">IF(INDEX(集計3!$C$16:$CX$25,$C34,INDIRECT(ADDRESS(ROW()-8-($C34),COLUMN())))="","",INDEX(集計3!$C$16:$CX$25,$C34,INDIRECT(ADDRESS(ROW()-8-($C34),COLUMN()))))</f>
        <v/>
      </c>
      <c r="Z34" s="242"/>
      <c r="AA34" s="242"/>
      <c r="AB34" s="243"/>
      <c r="AC34" s="241" t="str" cm="1">
        <f t="array" aca="1" ref="AC34" ca="1">IF(INDEX(集計3!$C$16:$CX$25,$C34,INDIRECT(ADDRESS(ROW()-8-($C34),COLUMN())))="","",INDEX(集計3!$C$16:$CX$25,$C34,INDIRECT(ADDRESS(ROW()-8-($C34),COLUMN()))))</f>
        <v/>
      </c>
      <c r="AD34" s="242"/>
      <c r="AE34" s="242"/>
      <c r="AF34" s="243"/>
      <c r="AG34" s="241" t="str" cm="1">
        <f t="array" aca="1" ref="AG34" ca="1">IF(INDEX(集計3!$C$16:$CX$25,$C34,INDIRECT(ADDRESS(ROW()-8-($C34),COLUMN())))="","",INDEX(集計3!$C$16:$CX$25,$C34,INDIRECT(ADDRESS(ROW()-8-($C34),COLUMN()))))</f>
        <v/>
      </c>
      <c r="AH34" s="242"/>
      <c r="AI34" s="242"/>
      <c r="AJ34" s="243"/>
      <c r="AK34" s="241" t="str" cm="1">
        <f t="array" aca="1" ref="AK34" ca="1">IF(INDEX(集計3!$C$16:$CX$25,$C34,INDIRECT(ADDRESS(ROW()-8-($C34),COLUMN())))="","",INDEX(集計3!$C$16:$CX$25,$C34,INDIRECT(ADDRESS(ROW()-8-($C34),COLUMN()))))</f>
        <v/>
      </c>
      <c r="AL34" s="242"/>
      <c r="AM34" s="242"/>
      <c r="AN34" s="243"/>
      <c r="AO34" s="241" t="str" cm="1">
        <f t="array" aca="1" ref="AO34" ca="1">IF(INDEX(集計3!$C$16:$CX$25,$C34,INDIRECT(ADDRESS(ROW()-8-($C34),COLUMN())))="","",INDEX(集計3!$C$16:$CX$25,$C34,INDIRECT(ADDRESS(ROW()-8-($C34),COLUMN()))))</f>
        <v/>
      </c>
      <c r="AP34" s="242"/>
      <c r="AQ34" s="242"/>
      <c r="AR34" s="243"/>
    </row>
    <row r="35" spans="1:44" ht="14.75" customHeight="1" x14ac:dyDescent="0.7">
      <c r="A35" s="250"/>
      <c r="B35" s="250"/>
      <c r="C35" s="231">
        <v>4</v>
      </c>
      <c r="D35" s="232"/>
      <c r="E35" s="241" t="str" cm="1">
        <f t="array" aca="1" ref="E35" ca="1">IF(INDEX(集計3!$C$16:$CX$25,$C35,INDIRECT(ADDRESS(ROW()-8-($C35),COLUMN())))="","",INDEX(集計3!$C$16:$CX$25,$C35,INDIRECT(ADDRESS(ROW()-8-($C35),COLUMN()))))</f>
        <v/>
      </c>
      <c r="F35" s="242"/>
      <c r="G35" s="242"/>
      <c r="H35" s="243"/>
      <c r="I35" s="241" t="str" cm="1">
        <f t="array" aca="1" ref="I35" ca="1">IF(INDEX(集計3!$C$16:$CX$25,$C35,INDIRECT(ADDRESS(ROW()-8-($C35),COLUMN())))="","",INDEX(集計3!$C$16:$CX$25,$C35,INDIRECT(ADDRESS(ROW()-8-($C35),COLUMN()))))</f>
        <v/>
      </c>
      <c r="J35" s="242"/>
      <c r="K35" s="242"/>
      <c r="L35" s="243"/>
      <c r="M35" s="241" t="str" cm="1">
        <f t="array" aca="1" ref="M35" ca="1">IF(INDEX(集計3!$C$16:$CX$25,$C35,INDIRECT(ADDRESS(ROW()-8-($C35),COLUMN())))="","",INDEX(集計3!$C$16:$CX$25,$C35,INDIRECT(ADDRESS(ROW()-8-($C35),COLUMN()))))</f>
        <v/>
      </c>
      <c r="N35" s="242"/>
      <c r="O35" s="242"/>
      <c r="P35" s="243"/>
      <c r="Q35" s="241" t="str" cm="1">
        <f t="array" aca="1" ref="Q35" ca="1">IF(INDEX(集計3!$C$16:$CX$25,$C35,INDIRECT(ADDRESS(ROW()-8-($C35),COLUMN())))="","",INDEX(集計3!$C$16:$CX$25,$C35,INDIRECT(ADDRESS(ROW()-8-($C35),COLUMN()))))</f>
        <v/>
      </c>
      <c r="R35" s="242"/>
      <c r="S35" s="242"/>
      <c r="T35" s="243"/>
      <c r="U35" s="241" t="str" cm="1">
        <f t="array" aca="1" ref="U35" ca="1">IF(INDEX(集計3!$C$16:$CX$25,$C35,INDIRECT(ADDRESS(ROW()-8-($C35),COLUMN())))="","",INDEX(集計3!$C$16:$CX$25,$C35,INDIRECT(ADDRESS(ROW()-8-($C35),COLUMN()))))</f>
        <v/>
      </c>
      <c r="V35" s="242"/>
      <c r="W35" s="242"/>
      <c r="X35" s="243"/>
      <c r="Y35" s="241" t="str" cm="1">
        <f t="array" aca="1" ref="Y35" ca="1">IF(INDEX(集計3!$C$16:$CX$25,$C35,INDIRECT(ADDRESS(ROW()-8-($C35),COLUMN())))="","",INDEX(集計3!$C$16:$CX$25,$C35,INDIRECT(ADDRESS(ROW()-8-($C35),COLUMN()))))</f>
        <v/>
      </c>
      <c r="Z35" s="242"/>
      <c r="AA35" s="242"/>
      <c r="AB35" s="243"/>
      <c r="AC35" s="241" t="str" cm="1">
        <f t="array" aca="1" ref="AC35" ca="1">IF(INDEX(集計3!$C$16:$CX$25,$C35,INDIRECT(ADDRESS(ROW()-8-($C35),COLUMN())))="","",INDEX(集計3!$C$16:$CX$25,$C35,INDIRECT(ADDRESS(ROW()-8-($C35),COLUMN()))))</f>
        <v/>
      </c>
      <c r="AD35" s="242"/>
      <c r="AE35" s="242"/>
      <c r="AF35" s="243"/>
      <c r="AG35" s="241" t="str" cm="1">
        <f t="array" aca="1" ref="AG35" ca="1">IF(INDEX(集計3!$C$16:$CX$25,$C35,INDIRECT(ADDRESS(ROW()-8-($C35),COLUMN())))="","",INDEX(集計3!$C$16:$CX$25,$C35,INDIRECT(ADDRESS(ROW()-8-($C35),COLUMN()))))</f>
        <v/>
      </c>
      <c r="AH35" s="242"/>
      <c r="AI35" s="242"/>
      <c r="AJ35" s="243"/>
      <c r="AK35" s="241" t="str" cm="1">
        <f t="array" aca="1" ref="AK35" ca="1">IF(INDEX(集計3!$C$16:$CX$25,$C35,INDIRECT(ADDRESS(ROW()-8-($C35),COLUMN())))="","",INDEX(集計3!$C$16:$CX$25,$C35,INDIRECT(ADDRESS(ROW()-8-($C35),COLUMN()))))</f>
        <v/>
      </c>
      <c r="AL35" s="242"/>
      <c r="AM35" s="242"/>
      <c r="AN35" s="243"/>
      <c r="AO35" s="241" t="str" cm="1">
        <f t="array" aca="1" ref="AO35" ca="1">IF(INDEX(集計3!$C$16:$CX$25,$C35,INDIRECT(ADDRESS(ROW()-8-($C35),COLUMN())))="","",INDEX(集計3!$C$16:$CX$25,$C35,INDIRECT(ADDRESS(ROW()-8-($C35),COLUMN()))))</f>
        <v/>
      </c>
      <c r="AP35" s="242"/>
      <c r="AQ35" s="242"/>
      <c r="AR35" s="243"/>
    </row>
    <row r="36" spans="1:44" ht="14.75" customHeight="1" x14ac:dyDescent="0.7">
      <c r="A36" s="250"/>
      <c r="B36" s="250"/>
      <c r="C36" s="231">
        <v>5</v>
      </c>
      <c r="D36" s="232"/>
      <c r="E36" s="241" t="str" cm="1">
        <f t="array" aca="1" ref="E36" ca="1">IF(INDEX(集計3!$C$16:$CX$25,$C36,INDIRECT(ADDRESS(ROW()-8-($C36),COLUMN())))="","",INDEX(集計3!$C$16:$CX$25,$C36,INDIRECT(ADDRESS(ROW()-8-($C36),COLUMN()))))</f>
        <v/>
      </c>
      <c r="F36" s="242"/>
      <c r="G36" s="242"/>
      <c r="H36" s="243"/>
      <c r="I36" s="241" t="str" cm="1">
        <f t="array" aca="1" ref="I36" ca="1">IF(INDEX(集計3!$C$16:$CX$25,$C36,INDIRECT(ADDRESS(ROW()-8-($C36),COLUMN())))="","",INDEX(集計3!$C$16:$CX$25,$C36,INDIRECT(ADDRESS(ROW()-8-($C36),COLUMN()))))</f>
        <v/>
      </c>
      <c r="J36" s="242"/>
      <c r="K36" s="242"/>
      <c r="L36" s="243"/>
      <c r="M36" s="241" t="str" cm="1">
        <f t="array" aca="1" ref="M36" ca="1">IF(INDEX(集計3!$C$16:$CX$25,$C36,INDIRECT(ADDRESS(ROW()-8-($C36),COLUMN())))="","",INDEX(集計3!$C$16:$CX$25,$C36,INDIRECT(ADDRESS(ROW()-8-($C36),COLUMN()))))</f>
        <v/>
      </c>
      <c r="N36" s="242"/>
      <c r="O36" s="242"/>
      <c r="P36" s="243"/>
      <c r="Q36" s="241" t="str" cm="1">
        <f t="array" aca="1" ref="Q36" ca="1">IF(INDEX(集計3!$C$16:$CX$25,$C36,INDIRECT(ADDRESS(ROW()-8-($C36),COLUMN())))="","",INDEX(集計3!$C$16:$CX$25,$C36,INDIRECT(ADDRESS(ROW()-8-($C36),COLUMN()))))</f>
        <v/>
      </c>
      <c r="R36" s="242"/>
      <c r="S36" s="242"/>
      <c r="T36" s="243"/>
      <c r="U36" s="241" t="str" cm="1">
        <f t="array" aca="1" ref="U36" ca="1">IF(INDEX(集計3!$C$16:$CX$25,$C36,INDIRECT(ADDRESS(ROW()-8-($C36),COLUMN())))="","",INDEX(集計3!$C$16:$CX$25,$C36,INDIRECT(ADDRESS(ROW()-8-($C36),COLUMN()))))</f>
        <v/>
      </c>
      <c r="V36" s="242"/>
      <c r="W36" s="242"/>
      <c r="X36" s="243"/>
      <c r="Y36" s="241" t="str" cm="1">
        <f t="array" aca="1" ref="Y36" ca="1">IF(INDEX(集計3!$C$16:$CX$25,$C36,INDIRECT(ADDRESS(ROW()-8-($C36),COLUMN())))="","",INDEX(集計3!$C$16:$CX$25,$C36,INDIRECT(ADDRESS(ROW()-8-($C36),COLUMN()))))</f>
        <v/>
      </c>
      <c r="Z36" s="242"/>
      <c r="AA36" s="242"/>
      <c r="AB36" s="243"/>
      <c r="AC36" s="241" t="str" cm="1">
        <f t="array" aca="1" ref="AC36" ca="1">IF(INDEX(集計3!$C$16:$CX$25,$C36,INDIRECT(ADDRESS(ROW()-8-($C36),COLUMN())))="","",INDEX(集計3!$C$16:$CX$25,$C36,INDIRECT(ADDRESS(ROW()-8-($C36),COLUMN()))))</f>
        <v/>
      </c>
      <c r="AD36" s="242"/>
      <c r="AE36" s="242"/>
      <c r="AF36" s="243"/>
      <c r="AG36" s="241" t="str" cm="1">
        <f t="array" aca="1" ref="AG36" ca="1">IF(INDEX(集計3!$C$16:$CX$25,$C36,INDIRECT(ADDRESS(ROW()-8-($C36),COLUMN())))="","",INDEX(集計3!$C$16:$CX$25,$C36,INDIRECT(ADDRESS(ROW()-8-($C36),COLUMN()))))</f>
        <v/>
      </c>
      <c r="AH36" s="242"/>
      <c r="AI36" s="242"/>
      <c r="AJ36" s="243"/>
      <c r="AK36" s="241" t="str" cm="1">
        <f t="array" aca="1" ref="AK36" ca="1">IF(INDEX(集計3!$C$16:$CX$25,$C36,INDIRECT(ADDRESS(ROW()-8-($C36),COLUMN())))="","",INDEX(集計3!$C$16:$CX$25,$C36,INDIRECT(ADDRESS(ROW()-8-($C36),COLUMN()))))</f>
        <v/>
      </c>
      <c r="AL36" s="242"/>
      <c r="AM36" s="242"/>
      <c r="AN36" s="243"/>
      <c r="AO36" s="241" t="str" cm="1">
        <f t="array" aca="1" ref="AO36" ca="1">IF(INDEX(集計3!$C$16:$CX$25,$C36,INDIRECT(ADDRESS(ROW()-8-($C36),COLUMN())))="","",INDEX(集計3!$C$16:$CX$25,$C36,INDIRECT(ADDRESS(ROW()-8-($C36),COLUMN()))))</f>
        <v/>
      </c>
      <c r="AP36" s="242"/>
      <c r="AQ36" s="242"/>
      <c r="AR36" s="243"/>
    </row>
    <row r="37" spans="1:44" ht="14.75" customHeight="1" x14ac:dyDescent="0.7">
      <c r="A37" s="250"/>
      <c r="B37" s="250"/>
      <c r="C37" s="231">
        <v>6</v>
      </c>
      <c r="D37" s="232"/>
      <c r="E37" s="233" t="str" cm="1">
        <f t="array" aca="1" ref="E37" ca="1">IF(INDEX(集計3!$C$16:$CX$25,$C37,INDIRECT(ADDRESS(ROW()-8-($C37),COLUMN())))="","",INDEX(集計3!$C$16:$CX$25,$C37,INDIRECT(ADDRESS(ROW()-8-($C37),COLUMN()))))</f>
        <v/>
      </c>
      <c r="F37" s="234"/>
      <c r="G37" s="234"/>
      <c r="H37" s="235"/>
      <c r="I37" s="233" t="str" cm="1">
        <f t="array" aca="1" ref="I37" ca="1">IF(INDEX(集計3!$C$16:$CX$25,$C37,INDIRECT(ADDRESS(ROW()-8-($C37),COLUMN())))="","",INDEX(集計3!$C$16:$CX$25,$C37,INDIRECT(ADDRESS(ROW()-8-($C37),COLUMN()))))</f>
        <v/>
      </c>
      <c r="J37" s="234"/>
      <c r="K37" s="234"/>
      <c r="L37" s="235"/>
      <c r="M37" s="233" t="str" cm="1">
        <f t="array" aca="1" ref="M37" ca="1">IF(INDEX(集計3!$C$16:$CX$25,$C37,INDIRECT(ADDRESS(ROW()-8-($C37),COLUMN())))="","",INDEX(集計3!$C$16:$CX$25,$C37,INDIRECT(ADDRESS(ROW()-8-($C37),COLUMN()))))</f>
        <v/>
      </c>
      <c r="N37" s="234"/>
      <c r="O37" s="234"/>
      <c r="P37" s="235"/>
      <c r="Q37" s="233" t="str" cm="1">
        <f t="array" aca="1" ref="Q37" ca="1">IF(INDEX(集計3!$C$16:$CX$25,$C37,INDIRECT(ADDRESS(ROW()-8-($C37),COLUMN())))="","",INDEX(集計3!$C$16:$CX$25,$C37,INDIRECT(ADDRESS(ROW()-8-($C37),COLUMN()))))</f>
        <v/>
      </c>
      <c r="R37" s="234"/>
      <c r="S37" s="234"/>
      <c r="T37" s="235"/>
      <c r="U37" s="233" t="str" cm="1">
        <f t="array" aca="1" ref="U37" ca="1">IF(INDEX(集計3!$C$16:$CX$25,$C37,INDIRECT(ADDRESS(ROW()-8-($C37),COLUMN())))="","",INDEX(集計3!$C$16:$CX$25,$C37,INDIRECT(ADDRESS(ROW()-8-($C37),COLUMN()))))</f>
        <v/>
      </c>
      <c r="V37" s="234"/>
      <c r="W37" s="234"/>
      <c r="X37" s="235"/>
      <c r="Y37" s="233" t="str" cm="1">
        <f t="array" aca="1" ref="Y37" ca="1">IF(INDEX(集計3!$C$16:$CX$25,$C37,INDIRECT(ADDRESS(ROW()-8-($C37),COLUMN())))="","",INDEX(集計3!$C$16:$CX$25,$C37,INDIRECT(ADDRESS(ROW()-8-($C37),COLUMN()))))</f>
        <v/>
      </c>
      <c r="Z37" s="234"/>
      <c r="AA37" s="234"/>
      <c r="AB37" s="235"/>
      <c r="AC37" s="233" t="str" cm="1">
        <f t="array" aca="1" ref="AC37" ca="1">IF(INDEX(集計3!$C$16:$CX$25,$C37,INDIRECT(ADDRESS(ROW()-8-($C37),COLUMN())))="","",INDEX(集計3!$C$16:$CX$25,$C37,INDIRECT(ADDRESS(ROW()-8-($C37),COLUMN()))))</f>
        <v/>
      </c>
      <c r="AD37" s="234"/>
      <c r="AE37" s="234"/>
      <c r="AF37" s="235"/>
      <c r="AG37" s="233" t="str" cm="1">
        <f t="array" aca="1" ref="AG37" ca="1">IF(INDEX(集計3!$C$16:$CX$25,$C37,INDIRECT(ADDRESS(ROW()-8-($C37),COLUMN())))="","",INDEX(集計3!$C$16:$CX$25,$C37,INDIRECT(ADDRESS(ROW()-8-($C37),COLUMN()))))</f>
        <v/>
      </c>
      <c r="AH37" s="234"/>
      <c r="AI37" s="234"/>
      <c r="AJ37" s="235"/>
      <c r="AK37" s="233" t="str" cm="1">
        <f t="array" aca="1" ref="AK37" ca="1">IF(INDEX(集計3!$C$16:$CX$25,$C37,INDIRECT(ADDRESS(ROW()-8-($C37),COLUMN())))="","",INDEX(集計3!$C$16:$CX$25,$C37,INDIRECT(ADDRESS(ROW()-8-($C37),COLUMN()))))</f>
        <v/>
      </c>
      <c r="AL37" s="234"/>
      <c r="AM37" s="234"/>
      <c r="AN37" s="235"/>
      <c r="AO37" s="233" t="str" cm="1">
        <f t="array" aca="1" ref="AO37" ca="1">IF(INDEX(集計3!$C$16:$CX$25,$C37,INDIRECT(ADDRESS(ROW()-8-($C37),COLUMN())))="","",INDEX(集計3!$C$16:$CX$25,$C37,INDIRECT(ADDRESS(ROW()-8-($C37),COLUMN()))))</f>
        <v/>
      </c>
      <c r="AP37" s="234"/>
      <c r="AQ37" s="234"/>
      <c r="AR37" s="235"/>
    </row>
    <row r="38" spans="1:44" ht="14.75" customHeight="1" x14ac:dyDescent="0.7">
      <c r="A38" s="250"/>
      <c r="B38" s="250"/>
      <c r="C38" s="231">
        <v>7</v>
      </c>
      <c r="D38" s="232"/>
      <c r="E38" s="233" t="str" cm="1">
        <f t="array" aca="1" ref="E38" ca="1">IF(INDEX(集計3!$C$16:$CX$25,$C38,INDIRECT(ADDRESS(ROW()-8-($C38),COLUMN())))="","",INDEX(集計3!$C$16:$CX$25,$C38,INDIRECT(ADDRESS(ROW()-8-($C38),COLUMN()))))</f>
        <v/>
      </c>
      <c r="F38" s="234"/>
      <c r="G38" s="234"/>
      <c r="H38" s="235"/>
      <c r="I38" s="233" t="str" cm="1">
        <f t="array" aca="1" ref="I38" ca="1">IF(INDEX(集計3!$C$16:$CX$25,$C38,INDIRECT(ADDRESS(ROW()-8-($C38),COLUMN())))="","",INDEX(集計3!$C$16:$CX$25,$C38,INDIRECT(ADDRESS(ROW()-8-($C38),COLUMN()))))</f>
        <v/>
      </c>
      <c r="J38" s="234"/>
      <c r="K38" s="234"/>
      <c r="L38" s="235"/>
      <c r="M38" s="233" t="str" cm="1">
        <f t="array" aca="1" ref="M38" ca="1">IF(INDEX(集計3!$C$16:$CX$25,$C38,INDIRECT(ADDRESS(ROW()-8-($C38),COLUMN())))="","",INDEX(集計3!$C$16:$CX$25,$C38,INDIRECT(ADDRESS(ROW()-8-($C38),COLUMN()))))</f>
        <v/>
      </c>
      <c r="N38" s="234"/>
      <c r="O38" s="234"/>
      <c r="P38" s="235"/>
      <c r="Q38" s="233" t="str" cm="1">
        <f t="array" aca="1" ref="Q38" ca="1">IF(INDEX(集計3!$C$16:$CX$25,$C38,INDIRECT(ADDRESS(ROW()-8-($C38),COLUMN())))="","",INDEX(集計3!$C$16:$CX$25,$C38,INDIRECT(ADDRESS(ROW()-8-($C38),COLUMN()))))</f>
        <v/>
      </c>
      <c r="R38" s="234"/>
      <c r="S38" s="234"/>
      <c r="T38" s="235"/>
      <c r="U38" s="233" t="str" cm="1">
        <f t="array" aca="1" ref="U38" ca="1">IF(INDEX(集計3!$C$16:$CX$25,$C38,INDIRECT(ADDRESS(ROW()-8-($C38),COLUMN())))="","",INDEX(集計3!$C$16:$CX$25,$C38,INDIRECT(ADDRESS(ROW()-8-($C38),COLUMN()))))</f>
        <v/>
      </c>
      <c r="V38" s="234"/>
      <c r="W38" s="234"/>
      <c r="X38" s="235"/>
      <c r="Y38" s="233" t="str" cm="1">
        <f t="array" aca="1" ref="Y38" ca="1">IF(INDEX(集計3!$C$16:$CX$25,$C38,INDIRECT(ADDRESS(ROW()-8-($C38),COLUMN())))="","",INDEX(集計3!$C$16:$CX$25,$C38,INDIRECT(ADDRESS(ROW()-8-($C38),COLUMN()))))</f>
        <v/>
      </c>
      <c r="Z38" s="234"/>
      <c r="AA38" s="234"/>
      <c r="AB38" s="235"/>
      <c r="AC38" s="233" t="str" cm="1">
        <f t="array" aca="1" ref="AC38" ca="1">IF(INDEX(集計3!$C$16:$CX$25,$C38,INDIRECT(ADDRESS(ROW()-8-($C38),COLUMN())))="","",INDEX(集計3!$C$16:$CX$25,$C38,INDIRECT(ADDRESS(ROW()-8-($C38),COLUMN()))))</f>
        <v/>
      </c>
      <c r="AD38" s="234"/>
      <c r="AE38" s="234"/>
      <c r="AF38" s="235"/>
      <c r="AG38" s="233" t="str" cm="1">
        <f t="array" aca="1" ref="AG38" ca="1">IF(INDEX(集計3!$C$16:$CX$25,$C38,INDIRECT(ADDRESS(ROW()-8-($C38),COLUMN())))="","",INDEX(集計3!$C$16:$CX$25,$C38,INDIRECT(ADDRESS(ROW()-8-($C38),COLUMN()))))</f>
        <v/>
      </c>
      <c r="AH38" s="234"/>
      <c r="AI38" s="234"/>
      <c r="AJ38" s="235"/>
      <c r="AK38" s="233" t="str" cm="1">
        <f t="array" aca="1" ref="AK38" ca="1">IF(INDEX(集計3!$C$16:$CX$25,$C38,INDIRECT(ADDRESS(ROW()-8-($C38),COLUMN())))="","",INDEX(集計3!$C$16:$CX$25,$C38,INDIRECT(ADDRESS(ROW()-8-($C38),COLUMN()))))</f>
        <v/>
      </c>
      <c r="AL38" s="234"/>
      <c r="AM38" s="234"/>
      <c r="AN38" s="235"/>
      <c r="AO38" s="233" t="str" cm="1">
        <f t="array" aca="1" ref="AO38" ca="1">IF(INDEX(集計3!$C$16:$CX$25,$C38,INDIRECT(ADDRESS(ROW()-8-($C38),COLUMN())))="","",INDEX(集計3!$C$16:$CX$25,$C38,INDIRECT(ADDRESS(ROW()-8-($C38),COLUMN()))))</f>
        <v/>
      </c>
      <c r="AP38" s="234"/>
      <c r="AQ38" s="234"/>
      <c r="AR38" s="235"/>
    </row>
    <row r="39" spans="1:44" ht="14.75" customHeight="1" x14ac:dyDescent="0.7">
      <c r="A39" s="250"/>
      <c r="B39" s="250"/>
      <c r="C39" s="231">
        <v>8</v>
      </c>
      <c r="D39" s="232"/>
      <c r="E39" s="233" t="str" cm="1">
        <f t="array" aca="1" ref="E39" ca="1">IF(INDEX(集計3!$C$16:$CX$25,$C39,INDIRECT(ADDRESS(ROW()-8-($C39),COLUMN())))="","",INDEX(集計3!$C$16:$CX$25,$C39,INDIRECT(ADDRESS(ROW()-8-($C39),COLUMN()))))</f>
        <v/>
      </c>
      <c r="F39" s="234"/>
      <c r="G39" s="234"/>
      <c r="H39" s="235"/>
      <c r="I39" s="233" t="str" cm="1">
        <f t="array" aca="1" ref="I39" ca="1">IF(INDEX(集計3!$C$16:$CX$25,$C39,INDIRECT(ADDRESS(ROW()-8-($C39),COLUMN())))="","",INDEX(集計3!$C$16:$CX$25,$C39,INDIRECT(ADDRESS(ROW()-8-($C39),COLUMN()))))</f>
        <v/>
      </c>
      <c r="J39" s="234"/>
      <c r="K39" s="234"/>
      <c r="L39" s="235"/>
      <c r="M39" s="233" t="str" cm="1">
        <f t="array" aca="1" ref="M39" ca="1">IF(INDEX(集計3!$C$16:$CX$25,$C39,INDIRECT(ADDRESS(ROW()-8-($C39),COLUMN())))="","",INDEX(集計3!$C$16:$CX$25,$C39,INDIRECT(ADDRESS(ROW()-8-($C39),COLUMN()))))</f>
        <v/>
      </c>
      <c r="N39" s="234"/>
      <c r="O39" s="234"/>
      <c r="P39" s="235"/>
      <c r="Q39" s="233" t="str" cm="1">
        <f t="array" aca="1" ref="Q39" ca="1">IF(INDEX(集計3!$C$16:$CX$25,$C39,INDIRECT(ADDRESS(ROW()-8-($C39),COLUMN())))="","",INDEX(集計3!$C$16:$CX$25,$C39,INDIRECT(ADDRESS(ROW()-8-($C39),COLUMN()))))</f>
        <v/>
      </c>
      <c r="R39" s="234"/>
      <c r="S39" s="234"/>
      <c r="T39" s="235"/>
      <c r="U39" s="233" t="str" cm="1">
        <f t="array" aca="1" ref="U39" ca="1">IF(INDEX(集計3!$C$16:$CX$25,$C39,INDIRECT(ADDRESS(ROW()-8-($C39),COLUMN())))="","",INDEX(集計3!$C$16:$CX$25,$C39,INDIRECT(ADDRESS(ROW()-8-($C39),COLUMN()))))</f>
        <v/>
      </c>
      <c r="V39" s="234"/>
      <c r="W39" s="234"/>
      <c r="X39" s="235"/>
      <c r="Y39" s="233" t="str" cm="1">
        <f t="array" aca="1" ref="Y39" ca="1">IF(INDEX(集計3!$C$16:$CX$25,$C39,INDIRECT(ADDRESS(ROW()-8-($C39),COLUMN())))="","",INDEX(集計3!$C$16:$CX$25,$C39,INDIRECT(ADDRESS(ROW()-8-($C39),COLUMN()))))</f>
        <v/>
      </c>
      <c r="Z39" s="234"/>
      <c r="AA39" s="234"/>
      <c r="AB39" s="235"/>
      <c r="AC39" s="233" t="str" cm="1">
        <f t="array" aca="1" ref="AC39" ca="1">IF(INDEX(集計3!$C$16:$CX$25,$C39,INDIRECT(ADDRESS(ROW()-8-($C39),COLUMN())))="","",INDEX(集計3!$C$16:$CX$25,$C39,INDIRECT(ADDRESS(ROW()-8-($C39),COLUMN()))))</f>
        <v/>
      </c>
      <c r="AD39" s="234"/>
      <c r="AE39" s="234"/>
      <c r="AF39" s="235"/>
      <c r="AG39" s="233" t="str" cm="1">
        <f t="array" aca="1" ref="AG39" ca="1">IF(INDEX(集計3!$C$16:$CX$25,$C39,INDIRECT(ADDRESS(ROW()-8-($C39),COLUMN())))="","",INDEX(集計3!$C$16:$CX$25,$C39,INDIRECT(ADDRESS(ROW()-8-($C39),COLUMN()))))</f>
        <v/>
      </c>
      <c r="AH39" s="234"/>
      <c r="AI39" s="234"/>
      <c r="AJ39" s="235"/>
      <c r="AK39" s="233" t="str" cm="1">
        <f t="array" aca="1" ref="AK39" ca="1">IF(INDEX(集計3!$C$16:$CX$25,$C39,INDIRECT(ADDRESS(ROW()-8-($C39),COLUMN())))="","",INDEX(集計3!$C$16:$CX$25,$C39,INDIRECT(ADDRESS(ROW()-8-($C39),COLUMN()))))</f>
        <v/>
      </c>
      <c r="AL39" s="234"/>
      <c r="AM39" s="234"/>
      <c r="AN39" s="235"/>
      <c r="AO39" s="233" t="str" cm="1">
        <f t="array" aca="1" ref="AO39" ca="1">IF(INDEX(集計3!$C$16:$CX$25,$C39,INDIRECT(ADDRESS(ROW()-8-($C39),COLUMN())))="","",INDEX(集計3!$C$16:$CX$25,$C39,INDIRECT(ADDRESS(ROW()-8-($C39),COLUMN()))))</f>
        <v/>
      </c>
      <c r="AP39" s="234"/>
      <c r="AQ39" s="234"/>
      <c r="AR39" s="235"/>
    </row>
    <row r="40" spans="1:44" ht="14.75" customHeight="1" x14ac:dyDescent="0.7">
      <c r="A40" s="250"/>
      <c r="B40" s="250"/>
      <c r="C40" s="231">
        <v>9</v>
      </c>
      <c r="D40" s="232"/>
      <c r="E40" s="233" t="str" cm="1">
        <f t="array" aca="1" ref="E40" ca="1">IF(INDEX(集計3!$C$16:$CX$25,$C40,INDIRECT(ADDRESS(ROW()-8-($C40),COLUMN())))="","",INDEX(集計3!$C$16:$CX$25,$C40,INDIRECT(ADDRESS(ROW()-8-($C40),COLUMN()))))</f>
        <v/>
      </c>
      <c r="F40" s="234"/>
      <c r="G40" s="234"/>
      <c r="H40" s="235"/>
      <c r="I40" s="233" t="str" cm="1">
        <f t="array" aca="1" ref="I40" ca="1">IF(INDEX(集計3!$C$16:$CX$25,$C40,INDIRECT(ADDRESS(ROW()-8-($C40),COLUMN())))="","",INDEX(集計3!$C$16:$CX$25,$C40,INDIRECT(ADDRESS(ROW()-8-($C40),COLUMN()))))</f>
        <v/>
      </c>
      <c r="J40" s="234"/>
      <c r="K40" s="234"/>
      <c r="L40" s="235"/>
      <c r="M40" s="233" t="str" cm="1">
        <f t="array" aca="1" ref="M40" ca="1">IF(INDEX(集計3!$C$16:$CX$25,$C40,INDIRECT(ADDRESS(ROW()-8-($C40),COLUMN())))="","",INDEX(集計3!$C$16:$CX$25,$C40,INDIRECT(ADDRESS(ROW()-8-($C40),COLUMN()))))</f>
        <v/>
      </c>
      <c r="N40" s="234"/>
      <c r="O40" s="234"/>
      <c r="P40" s="235"/>
      <c r="Q40" s="233" t="str" cm="1">
        <f t="array" aca="1" ref="Q40" ca="1">IF(INDEX(集計3!$C$16:$CX$25,$C40,INDIRECT(ADDRESS(ROW()-8-($C40),COLUMN())))="","",INDEX(集計3!$C$16:$CX$25,$C40,INDIRECT(ADDRESS(ROW()-8-($C40),COLUMN()))))</f>
        <v/>
      </c>
      <c r="R40" s="234"/>
      <c r="S40" s="234"/>
      <c r="T40" s="235"/>
      <c r="U40" s="233" t="str" cm="1">
        <f t="array" aca="1" ref="U40" ca="1">IF(INDEX(集計3!$C$16:$CX$25,$C40,INDIRECT(ADDRESS(ROW()-8-($C40),COLUMN())))="","",INDEX(集計3!$C$16:$CX$25,$C40,INDIRECT(ADDRESS(ROW()-8-($C40),COLUMN()))))</f>
        <v/>
      </c>
      <c r="V40" s="234"/>
      <c r="W40" s="234"/>
      <c r="X40" s="235"/>
      <c r="Y40" s="233" t="str" cm="1">
        <f t="array" aca="1" ref="Y40" ca="1">IF(INDEX(集計3!$C$16:$CX$25,$C40,INDIRECT(ADDRESS(ROW()-8-($C40),COLUMN())))="","",INDEX(集計3!$C$16:$CX$25,$C40,INDIRECT(ADDRESS(ROW()-8-($C40),COLUMN()))))</f>
        <v/>
      </c>
      <c r="Z40" s="234"/>
      <c r="AA40" s="234"/>
      <c r="AB40" s="235"/>
      <c r="AC40" s="233" t="str" cm="1">
        <f t="array" aca="1" ref="AC40" ca="1">IF(INDEX(集計3!$C$16:$CX$25,$C40,INDIRECT(ADDRESS(ROW()-8-($C40),COLUMN())))="","",INDEX(集計3!$C$16:$CX$25,$C40,INDIRECT(ADDRESS(ROW()-8-($C40),COLUMN()))))</f>
        <v/>
      </c>
      <c r="AD40" s="234"/>
      <c r="AE40" s="234"/>
      <c r="AF40" s="235"/>
      <c r="AG40" s="233" t="str" cm="1">
        <f t="array" aca="1" ref="AG40" ca="1">IF(INDEX(集計3!$C$16:$CX$25,$C40,INDIRECT(ADDRESS(ROW()-8-($C40),COLUMN())))="","",INDEX(集計3!$C$16:$CX$25,$C40,INDIRECT(ADDRESS(ROW()-8-($C40),COLUMN()))))</f>
        <v/>
      </c>
      <c r="AH40" s="234"/>
      <c r="AI40" s="234"/>
      <c r="AJ40" s="235"/>
      <c r="AK40" s="233" t="str" cm="1">
        <f t="array" aca="1" ref="AK40" ca="1">IF(INDEX(集計3!$C$16:$CX$25,$C40,INDIRECT(ADDRESS(ROW()-8-($C40),COLUMN())))="","",INDEX(集計3!$C$16:$CX$25,$C40,INDIRECT(ADDRESS(ROW()-8-($C40),COLUMN()))))</f>
        <v/>
      </c>
      <c r="AL40" s="234"/>
      <c r="AM40" s="234"/>
      <c r="AN40" s="235"/>
      <c r="AO40" s="233" t="str" cm="1">
        <f t="array" aca="1" ref="AO40" ca="1">IF(INDEX(集計3!$C$16:$CX$25,$C40,INDIRECT(ADDRESS(ROW()-8-($C40),COLUMN())))="","",INDEX(集計3!$C$16:$CX$25,$C40,INDIRECT(ADDRESS(ROW()-8-($C40),COLUMN()))))</f>
        <v/>
      </c>
      <c r="AP40" s="234"/>
      <c r="AQ40" s="234"/>
      <c r="AR40" s="235"/>
    </row>
    <row r="41" spans="1:44" ht="14.75" customHeight="1" x14ac:dyDescent="0.7">
      <c r="A41" s="250"/>
      <c r="B41" s="250"/>
      <c r="C41" s="236">
        <v>10</v>
      </c>
      <c r="D41" s="237"/>
      <c r="E41" s="238" t="str" cm="1">
        <f t="array" aca="1" ref="E41" ca="1">IF(INDEX(集計3!$C$16:$CX$25,$C41,INDIRECT(ADDRESS(ROW()-8-($C41),COLUMN())))="","",INDEX(集計3!$C$16:$CX$25,$C41,INDIRECT(ADDRESS(ROW()-8-($C41),COLUMN()))))</f>
        <v/>
      </c>
      <c r="F41" s="239"/>
      <c r="G41" s="239"/>
      <c r="H41" s="240"/>
      <c r="I41" s="238" t="str" cm="1">
        <f t="array" aca="1" ref="I41" ca="1">IF(INDEX(集計3!$C$16:$CX$25,$C41,INDIRECT(ADDRESS(ROW()-8-($C41),COLUMN())))="","",INDEX(集計3!$C$16:$CX$25,$C41,INDIRECT(ADDRESS(ROW()-8-($C41),COLUMN()))))</f>
        <v/>
      </c>
      <c r="J41" s="239"/>
      <c r="K41" s="239"/>
      <c r="L41" s="240"/>
      <c r="M41" s="238" t="str" cm="1">
        <f t="array" aca="1" ref="M41" ca="1">IF(INDEX(集計3!$C$16:$CX$25,$C41,INDIRECT(ADDRESS(ROW()-8-($C41),COLUMN())))="","",INDEX(集計3!$C$16:$CX$25,$C41,INDIRECT(ADDRESS(ROW()-8-($C41),COLUMN()))))</f>
        <v/>
      </c>
      <c r="N41" s="239"/>
      <c r="O41" s="239"/>
      <c r="P41" s="240"/>
      <c r="Q41" s="238" t="str" cm="1">
        <f t="array" aca="1" ref="Q41" ca="1">IF(INDEX(集計3!$C$16:$CX$25,$C41,INDIRECT(ADDRESS(ROW()-8-($C41),COLUMN())))="","",INDEX(集計3!$C$16:$CX$25,$C41,INDIRECT(ADDRESS(ROW()-8-($C41),COLUMN()))))</f>
        <v/>
      </c>
      <c r="R41" s="239"/>
      <c r="S41" s="239"/>
      <c r="T41" s="240"/>
      <c r="U41" s="238" t="str" cm="1">
        <f t="array" aca="1" ref="U41" ca="1">IF(INDEX(集計3!$C$16:$CX$25,$C41,INDIRECT(ADDRESS(ROW()-8-($C41),COLUMN())))="","",INDEX(集計3!$C$16:$CX$25,$C41,INDIRECT(ADDRESS(ROW()-8-($C41),COLUMN()))))</f>
        <v/>
      </c>
      <c r="V41" s="239"/>
      <c r="W41" s="239"/>
      <c r="X41" s="240"/>
      <c r="Y41" s="238" t="str" cm="1">
        <f t="array" aca="1" ref="Y41" ca="1">IF(INDEX(集計3!$C$16:$CX$25,$C41,INDIRECT(ADDRESS(ROW()-8-($C41),COLUMN())))="","",INDEX(集計3!$C$16:$CX$25,$C41,INDIRECT(ADDRESS(ROW()-8-($C41),COLUMN()))))</f>
        <v/>
      </c>
      <c r="Z41" s="239"/>
      <c r="AA41" s="239"/>
      <c r="AB41" s="240"/>
      <c r="AC41" s="238" t="str" cm="1">
        <f t="array" aca="1" ref="AC41" ca="1">IF(INDEX(集計3!$C$16:$CX$25,$C41,INDIRECT(ADDRESS(ROW()-8-($C41),COLUMN())))="","",INDEX(集計3!$C$16:$CX$25,$C41,INDIRECT(ADDRESS(ROW()-8-($C41),COLUMN()))))</f>
        <v/>
      </c>
      <c r="AD41" s="239"/>
      <c r="AE41" s="239"/>
      <c r="AF41" s="240"/>
      <c r="AG41" s="238" t="str" cm="1">
        <f t="array" aca="1" ref="AG41" ca="1">IF(INDEX(集計3!$C$16:$CX$25,$C41,INDIRECT(ADDRESS(ROW()-8-($C41),COLUMN())))="","",INDEX(集計3!$C$16:$CX$25,$C41,INDIRECT(ADDRESS(ROW()-8-($C41),COLUMN()))))</f>
        <v/>
      </c>
      <c r="AH41" s="239"/>
      <c r="AI41" s="239"/>
      <c r="AJ41" s="240"/>
      <c r="AK41" s="238" t="str" cm="1">
        <f t="array" aca="1" ref="AK41" ca="1">IF(INDEX(集計3!$C$16:$CX$25,$C41,INDIRECT(ADDRESS(ROW()-8-($C41),COLUMN())))="","",INDEX(集計3!$C$16:$CX$25,$C41,INDIRECT(ADDRESS(ROW()-8-($C41),COLUMN()))))</f>
        <v/>
      </c>
      <c r="AL41" s="239"/>
      <c r="AM41" s="239"/>
      <c r="AN41" s="240"/>
      <c r="AO41" s="238" t="str" cm="1">
        <f t="array" aca="1" ref="AO41" ca="1">IF(INDEX(集計3!$C$16:$CX$25,$C41,INDIRECT(ADDRESS(ROW()-8-($C41),COLUMN())))="","",INDEX(集計3!$C$16:$CX$25,$C41,INDIRECT(ADDRESS(ROW()-8-($C41),COLUMN()))))</f>
        <v/>
      </c>
      <c r="AP41" s="239"/>
      <c r="AQ41" s="239"/>
      <c r="AR41" s="240"/>
    </row>
    <row r="42" spans="1:44" ht="6.75" customHeight="1" x14ac:dyDescent="0.7">
      <c r="A42" s="217" t="s">
        <v>163</v>
      </c>
      <c r="B42" s="217"/>
      <c r="C42" s="217"/>
      <c r="D42" s="217"/>
      <c r="E42" s="219" t="str" cm="1">
        <f t="array" aca="1" ref="E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42" s="220"/>
      <c r="G42" s="220"/>
      <c r="H42" s="221"/>
      <c r="I42" s="219" t="str" cm="1">
        <f t="array" aca="1" ref="I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42" s="220"/>
      <c r="K42" s="220"/>
      <c r="L42" s="221"/>
      <c r="M42" s="219" t="str" cm="1">
        <f t="array" aca="1" ref="M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42" s="220"/>
      <c r="O42" s="220"/>
      <c r="P42" s="221"/>
      <c r="Q42" s="219" t="str" cm="1">
        <f t="array" aca="1" ref="Q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42" s="220"/>
      <c r="S42" s="220"/>
      <c r="T42" s="221"/>
      <c r="U42" s="219" t="str" cm="1">
        <f t="array" aca="1" ref="U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42" s="220"/>
      <c r="W42" s="220"/>
      <c r="X42" s="221"/>
      <c r="Y42" s="219" t="str" cm="1">
        <f t="array" aca="1" ref="Y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42" s="220"/>
      <c r="AA42" s="220"/>
      <c r="AB42" s="221"/>
      <c r="AC42" s="219" t="str" cm="1">
        <f t="array" aca="1" ref="AC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42" s="220"/>
      <c r="AE42" s="220"/>
      <c r="AF42" s="221"/>
      <c r="AG42" s="219" t="str" cm="1">
        <f t="array" aca="1" ref="AG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42" s="220"/>
      <c r="AI42" s="220"/>
      <c r="AJ42" s="221"/>
      <c r="AK42" s="219" t="str" cm="1">
        <f t="array" aca="1" ref="AK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42" s="220"/>
      <c r="AM42" s="220"/>
      <c r="AN42" s="221"/>
      <c r="AO42" s="219" t="str" cm="1">
        <f t="array" aca="1" ref="AO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42" s="220"/>
      <c r="AQ42" s="220"/>
      <c r="AR42" s="221"/>
    </row>
    <row r="43" spans="1:44" ht="7.25" customHeight="1" x14ac:dyDescent="0.7">
      <c r="A43" s="218"/>
      <c r="B43" s="218"/>
      <c r="C43" s="218"/>
      <c r="D43" s="218"/>
      <c r="E43" s="222"/>
      <c r="F43" s="223"/>
      <c r="G43" s="223"/>
      <c r="H43" s="224"/>
      <c r="I43" s="222"/>
      <c r="J43" s="223"/>
      <c r="K43" s="223"/>
      <c r="L43" s="224"/>
      <c r="M43" s="222"/>
      <c r="N43" s="223"/>
      <c r="O43" s="223"/>
      <c r="P43" s="224"/>
      <c r="Q43" s="222"/>
      <c r="R43" s="223"/>
      <c r="S43" s="223"/>
      <c r="T43" s="224"/>
      <c r="U43" s="222"/>
      <c r="V43" s="223"/>
      <c r="W43" s="223"/>
      <c r="X43" s="224"/>
      <c r="Y43" s="222"/>
      <c r="Z43" s="223"/>
      <c r="AA43" s="223"/>
      <c r="AB43" s="224"/>
      <c r="AC43" s="222"/>
      <c r="AD43" s="223"/>
      <c r="AE43" s="223"/>
      <c r="AF43" s="224"/>
      <c r="AG43" s="222"/>
      <c r="AH43" s="223"/>
      <c r="AI43" s="223"/>
      <c r="AJ43" s="224"/>
      <c r="AK43" s="222"/>
      <c r="AL43" s="223"/>
      <c r="AM43" s="223"/>
      <c r="AN43" s="224"/>
      <c r="AO43" s="222"/>
      <c r="AP43" s="223"/>
      <c r="AQ43" s="223"/>
      <c r="AR43" s="224"/>
    </row>
    <row r="44" spans="1:44" ht="9" customHeight="1" x14ac:dyDescent="0.7">
      <c r="A44" s="225" t="s">
        <v>164</v>
      </c>
      <c r="B44" s="226"/>
      <c r="C44" s="226"/>
      <c r="D44" s="227"/>
      <c r="E44" s="228" t="str">
        <f ca="1">IF(COUNT(INDIRECT(ADDRESS(ROW()-12,COLUMN())):INDIRECT(ADDRESS(ROW()-3,COLUMN())))=0,"",MAX(INDIRECT(ADDRESS(ROW()-12,COLUMN())):INDIRECT(ADDRESS(ROW()-3,COLUMN()))))</f>
        <v/>
      </c>
      <c r="F44" s="229"/>
      <c r="G44" s="229"/>
      <c r="H44" s="230"/>
      <c r="I44" s="228" t="str">
        <f ca="1">IF(COUNT(INDIRECT(ADDRESS(ROW()-12,COLUMN())):INDIRECT(ADDRESS(ROW()-3,COLUMN())))=0,"",MAX(INDIRECT(ADDRESS(ROW()-12,COLUMN())):INDIRECT(ADDRESS(ROW()-3,COLUMN()))))</f>
        <v/>
      </c>
      <c r="J44" s="229"/>
      <c r="K44" s="229"/>
      <c r="L44" s="230"/>
      <c r="M44" s="228" t="str">
        <f ca="1">IF(COUNT(INDIRECT(ADDRESS(ROW()-12,COLUMN())):INDIRECT(ADDRESS(ROW()-3,COLUMN())))=0,"",MAX(INDIRECT(ADDRESS(ROW()-12,COLUMN())):INDIRECT(ADDRESS(ROW()-3,COLUMN()))))</f>
        <v/>
      </c>
      <c r="N44" s="229"/>
      <c r="O44" s="229"/>
      <c r="P44" s="230"/>
      <c r="Q44" s="228" t="str">
        <f ca="1">IF(COUNT(INDIRECT(ADDRESS(ROW()-12,COLUMN())):INDIRECT(ADDRESS(ROW()-3,COLUMN())))=0,"",MAX(INDIRECT(ADDRESS(ROW()-12,COLUMN())):INDIRECT(ADDRESS(ROW()-3,COLUMN()))))</f>
        <v/>
      </c>
      <c r="R44" s="229"/>
      <c r="S44" s="229"/>
      <c r="T44" s="230"/>
      <c r="U44" s="228" t="str">
        <f ca="1">IF(COUNT(INDIRECT(ADDRESS(ROW()-12,COLUMN())):INDIRECT(ADDRESS(ROW()-3,COLUMN())))=0,"",MAX(INDIRECT(ADDRESS(ROW()-12,COLUMN())):INDIRECT(ADDRESS(ROW()-3,COLUMN()))))</f>
        <v/>
      </c>
      <c r="V44" s="229"/>
      <c r="W44" s="229"/>
      <c r="X44" s="230"/>
      <c r="Y44" s="228" t="str">
        <f ca="1">IF(COUNT(INDIRECT(ADDRESS(ROW()-12,COLUMN())):INDIRECT(ADDRESS(ROW()-3,COLUMN())))=0,"",MAX(INDIRECT(ADDRESS(ROW()-12,COLUMN())):INDIRECT(ADDRESS(ROW()-3,COLUMN()))))</f>
        <v/>
      </c>
      <c r="Z44" s="229"/>
      <c r="AA44" s="229"/>
      <c r="AB44" s="230"/>
      <c r="AC44" s="228" t="str">
        <f ca="1">IF(COUNT(INDIRECT(ADDRESS(ROW()-12,COLUMN())):INDIRECT(ADDRESS(ROW()-3,COLUMN())))=0,"",MAX(INDIRECT(ADDRESS(ROW()-12,COLUMN())):INDIRECT(ADDRESS(ROW()-3,COLUMN()))))</f>
        <v/>
      </c>
      <c r="AD44" s="229"/>
      <c r="AE44" s="229"/>
      <c r="AF44" s="230"/>
      <c r="AG44" s="228" t="str">
        <f ca="1">IF(COUNT(INDIRECT(ADDRESS(ROW()-12,COLUMN())):INDIRECT(ADDRESS(ROW()-3,COLUMN())))=0,"",MAX(INDIRECT(ADDRESS(ROW()-12,COLUMN())):INDIRECT(ADDRESS(ROW()-3,COLUMN()))))</f>
        <v/>
      </c>
      <c r="AH44" s="229"/>
      <c r="AI44" s="229"/>
      <c r="AJ44" s="230"/>
      <c r="AK44" s="228" t="str">
        <f ca="1">IF(COUNT(INDIRECT(ADDRESS(ROW()-12,COLUMN())):INDIRECT(ADDRESS(ROW()-3,COLUMN())))=0,"",MAX(INDIRECT(ADDRESS(ROW()-12,COLUMN())):INDIRECT(ADDRESS(ROW()-3,COLUMN()))))</f>
        <v/>
      </c>
      <c r="AL44" s="229"/>
      <c r="AM44" s="229"/>
      <c r="AN44" s="230"/>
      <c r="AO44" s="228" t="str">
        <f ca="1">IF(COUNT(INDIRECT(ADDRESS(ROW()-12,COLUMN())):INDIRECT(ADDRESS(ROW()-3,COLUMN())))=0,"",MAX(INDIRECT(ADDRESS(ROW()-12,COLUMN())):INDIRECT(ADDRESS(ROW()-3,COLUMN()))))</f>
        <v/>
      </c>
      <c r="AP44" s="229"/>
      <c r="AQ44" s="229"/>
      <c r="AR44" s="230"/>
    </row>
    <row r="45" spans="1:44" ht="9" customHeight="1" x14ac:dyDescent="0.7">
      <c r="A45" s="211" t="s">
        <v>165</v>
      </c>
      <c r="B45" s="212"/>
      <c r="C45" s="212"/>
      <c r="D45" s="213"/>
      <c r="E45" s="214" t="str">
        <f ca="1">IF(COUNT(INDIRECT(ADDRESS(ROW()-13,COLUMN())):INDIRECT(ADDRESS(ROW()-4,COLUMN())))=0,"",MIN(INDIRECT(ADDRESS(ROW()-13,COLUMN())):INDIRECT(ADDRESS(ROW()-4,COLUMN()))))</f>
        <v/>
      </c>
      <c r="F45" s="215"/>
      <c r="G45" s="215"/>
      <c r="H45" s="216"/>
      <c r="I45" s="214" t="str">
        <f ca="1">IF(COUNT(INDIRECT(ADDRESS(ROW()-13,COLUMN())):INDIRECT(ADDRESS(ROW()-4,COLUMN())))=0,"",MIN(INDIRECT(ADDRESS(ROW()-13,COLUMN())):INDIRECT(ADDRESS(ROW()-4,COLUMN()))))</f>
        <v/>
      </c>
      <c r="J45" s="215"/>
      <c r="K45" s="215"/>
      <c r="L45" s="216"/>
      <c r="M45" s="214" t="str">
        <f ca="1">IF(COUNT(INDIRECT(ADDRESS(ROW()-13,COLUMN())):INDIRECT(ADDRESS(ROW()-4,COLUMN())))=0,"",MIN(INDIRECT(ADDRESS(ROW()-13,COLUMN())):INDIRECT(ADDRESS(ROW()-4,COLUMN()))))</f>
        <v/>
      </c>
      <c r="N45" s="215"/>
      <c r="O45" s="215"/>
      <c r="P45" s="216"/>
      <c r="Q45" s="214" t="str">
        <f ca="1">IF(COUNT(INDIRECT(ADDRESS(ROW()-13,COLUMN())):INDIRECT(ADDRESS(ROW()-4,COLUMN())))=0,"",MIN(INDIRECT(ADDRESS(ROW()-13,COLUMN())):INDIRECT(ADDRESS(ROW()-4,COLUMN()))))</f>
        <v/>
      </c>
      <c r="R45" s="215"/>
      <c r="S45" s="215"/>
      <c r="T45" s="216"/>
      <c r="U45" s="214" t="str">
        <f ca="1">IF(COUNT(INDIRECT(ADDRESS(ROW()-13,COLUMN())):INDIRECT(ADDRESS(ROW()-4,COLUMN())))=0,"",MIN(INDIRECT(ADDRESS(ROW()-13,COLUMN())):INDIRECT(ADDRESS(ROW()-4,COLUMN()))))</f>
        <v/>
      </c>
      <c r="V45" s="215"/>
      <c r="W45" s="215"/>
      <c r="X45" s="216"/>
      <c r="Y45" s="214" t="str">
        <f ca="1">IF(COUNT(INDIRECT(ADDRESS(ROW()-13,COLUMN())):INDIRECT(ADDRESS(ROW()-4,COLUMN())))=0,"",MIN(INDIRECT(ADDRESS(ROW()-13,COLUMN())):INDIRECT(ADDRESS(ROW()-4,COLUMN()))))</f>
        <v/>
      </c>
      <c r="Z45" s="215"/>
      <c r="AA45" s="215"/>
      <c r="AB45" s="216"/>
      <c r="AC45" s="214" t="str">
        <f ca="1">IF(COUNT(INDIRECT(ADDRESS(ROW()-13,COLUMN())):INDIRECT(ADDRESS(ROW()-4,COLUMN())))=0,"",MIN(INDIRECT(ADDRESS(ROW()-13,COLUMN())):INDIRECT(ADDRESS(ROW()-4,COLUMN()))))</f>
        <v/>
      </c>
      <c r="AD45" s="215"/>
      <c r="AE45" s="215"/>
      <c r="AF45" s="216"/>
      <c r="AG45" s="214" t="str">
        <f ca="1">IF(COUNT(INDIRECT(ADDRESS(ROW()-13,COLUMN())):INDIRECT(ADDRESS(ROW()-4,COLUMN())))=0,"",MIN(INDIRECT(ADDRESS(ROW()-13,COLUMN())):INDIRECT(ADDRESS(ROW()-4,COLUMN()))))</f>
        <v/>
      </c>
      <c r="AH45" s="215"/>
      <c r="AI45" s="215"/>
      <c r="AJ45" s="216"/>
      <c r="AK45" s="214" t="str">
        <f ca="1">IF(COUNT(INDIRECT(ADDRESS(ROW()-13,COLUMN())):INDIRECT(ADDRESS(ROW()-4,COLUMN())))=0,"",MIN(INDIRECT(ADDRESS(ROW()-13,COLUMN())):INDIRECT(ADDRESS(ROW()-4,COLUMN()))))</f>
        <v/>
      </c>
      <c r="AL45" s="215"/>
      <c r="AM45" s="215"/>
      <c r="AN45" s="216"/>
      <c r="AO45" s="214" t="str">
        <f ca="1">IF(COUNT(INDIRECT(ADDRESS(ROW()-13,COLUMN())):INDIRECT(ADDRESS(ROW()-4,COLUMN())))=0,"",MIN(INDIRECT(ADDRESS(ROW()-13,COLUMN())):INDIRECT(ADDRESS(ROW()-4,COLUMN()))))</f>
        <v/>
      </c>
      <c r="AP45" s="215"/>
      <c r="AQ45" s="215"/>
      <c r="AR45" s="216"/>
    </row>
    <row r="46" spans="1:44" s="15" customFormat="1" ht="5.25" customHeight="1" x14ac:dyDescent="0.7">
      <c r="A46" s="14"/>
      <c r="B46" s="14"/>
      <c r="C46" s="14"/>
      <c r="D46" s="14"/>
      <c r="E46" s="14"/>
      <c r="F46" s="14"/>
      <c r="G46" s="14"/>
      <c r="H46" s="14"/>
      <c r="I46" s="14"/>
    </row>
    <row r="47" spans="1:44" ht="8" customHeight="1" x14ac:dyDescent="0.7">
      <c r="A47" s="217" t="s">
        <v>157</v>
      </c>
      <c r="B47" s="217"/>
      <c r="C47" s="217"/>
      <c r="D47" s="217"/>
      <c r="E47" s="275">
        <v>11</v>
      </c>
      <c r="F47" s="276"/>
      <c r="G47" s="276"/>
      <c r="H47" s="277"/>
      <c r="I47" s="275">
        <v>12</v>
      </c>
      <c r="J47" s="276"/>
      <c r="K47" s="276"/>
      <c r="L47" s="277"/>
      <c r="M47" s="275">
        <v>13</v>
      </c>
      <c r="N47" s="276"/>
      <c r="O47" s="276"/>
      <c r="P47" s="277"/>
      <c r="Q47" s="275">
        <v>14</v>
      </c>
      <c r="R47" s="276"/>
      <c r="S47" s="276"/>
      <c r="T47" s="277"/>
      <c r="U47" s="275">
        <v>15</v>
      </c>
      <c r="V47" s="276"/>
      <c r="W47" s="276"/>
      <c r="X47" s="277"/>
      <c r="Y47" s="275">
        <v>16</v>
      </c>
      <c r="Z47" s="276"/>
      <c r="AA47" s="276"/>
      <c r="AB47" s="277"/>
      <c r="AC47" s="275">
        <v>17</v>
      </c>
      <c r="AD47" s="276"/>
      <c r="AE47" s="276"/>
      <c r="AF47" s="277"/>
      <c r="AG47" s="275">
        <v>18</v>
      </c>
      <c r="AH47" s="276"/>
      <c r="AI47" s="276"/>
      <c r="AJ47" s="277"/>
      <c r="AK47" s="275">
        <v>19</v>
      </c>
      <c r="AL47" s="276"/>
      <c r="AM47" s="276"/>
      <c r="AN47" s="277"/>
      <c r="AO47" s="275">
        <v>20</v>
      </c>
      <c r="AP47" s="276"/>
      <c r="AQ47" s="276"/>
      <c r="AR47" s="277"/>
    </row>
    <row r="48" spans="1:44" ht="8" customHeight="1" x14ac:dyDescent="0.7">
      <c r="A48" s="217"/>
      <c r="B48" s="217"/>
      <c r="C48" s="217"/>
      <c r="D48" s="217"/>
      <c r="E48" s="278"/>
      <c r="F48" s="279"/>
      <c r="G48" s="279"/>
      <c r="H48" s="280"/>
      <c r="I48" s="278"/>
      <c r="J48" s="279"/>
      <c r="K48" s="279"/>
      <c r="L48" s="280"/>
      <c r="M48" s="278"/>
      <c r="N48" s="279"/>
      <c r="O48" s="279"/>
      <c r="P48" s="280"/>
      <c r="Q48" s="278"/>
      <c r="R48" s="279"/>
      <c r="S48" s="279"/>
      <c r="T48" s="280"/>
      <c r="U48" s="278"/>
      <c r="V48" s="279"/>
      <c r="W48" s="279"/>
      <c r="X48" s="280"/>
      <c r="Y48" s="278"/>
      <c r="Z48" s="279"/>
      <c r="AA48" s="279"/>
      <c r="AB48" s="280"/>
      <c r="AC48" s="278"/>
      <c r="AD48" s="279"/>
      <c r="AE48" s="279"/>
      <c r="AF48" s="280"/>
      <c r="AG48" s="278"/>
      <c r="AH48" s="279"/>
      <c r="AI48" s="279"/>
      <c r="AJ48" s="280"/>
      <c r="AK48" s="278"/>
      <c r="AL48" s="279"/>
      <c r="AM48" s="279"/>
      <c r="AN48" s="280"/>
      <c r="AO48" s="278"/>
      <c r="AP48" s="279"/>
      <c r="AQ48" s="279"/>
      <c r="AR48" s="280"/>
    </row>
    <row r="49" spans="1:44" ht="10.25" customHeight="1" x14ac:dyDescent="0.7">
      <c r="A49" s="217" t="s">
        <v>158</v>
      </c>
      <c r="B49" s="217"/>
      <c r="C49" s="217"/>
      <c r="D49" s="217"/>
      <c r="E49" s="262" t="str" cm="1">
        <f t="array" aca="1" ref="E49" ca="1">IFERROR(INDEX(INDIRECT("'"&amp;集計3!$A$1&amp;"'!$C$4:$CX$4"),1,E47),"")</f>
        <v/>
      </c>
      <c r="F49" s="263"/>
      <c r="G49" s="263"/>
      <c r="H49" s="264"/>
      <c r="I49" s="262" t="str" cm="1">
        <f t="array" aca="1" ref="I49" ca="1">IFERROR(INDEX(INDIRECT("'"&amp;集計3!$A$1&amp;"'!$C$4:$CX$4"),1,I47),"")</f>
        <v/>
      </c>
      <c r="J49" s="263"/>
      <c r="K49" s="263"/>
      <c r="L49" s="264"/>
      <c r="M49" s="262" t="str" cm="1">
        <f t="array" aca="1" ref="M49" ca="1">IFERROR(INDEX(INDIRECT("'"&amp;集計3!$A$1&amp;"'!$C$4:$CX$4"),1,M47),"")</f>
        <v/>
      </c>
      <c r="N49" s="263"/>
      <c r="O49" s="263"/>
      <c r="P49" s="264"/>
      <c r="Q49" s="262" t="str" cm="1">
        <f t="array" aca="1" ref="Q49" ca="1">IFERROR(INDEX(INDIRECT("'"&amp;集計3!$A$1&amp;"'!$C$4:$CX$4"),1,Q47),"")</f>
        <v/>
      </c>
      <c r="R49" s="263"/>
      <c r="S49" s="263"/>
      <c r="T49" s="264"/>
      <c r="U49" s="262" t="str" cm="1">
        <f t="array" aca="1" ref="U49" ca="1">IFERROR(INDEX(INDIRECT("'"&amp;集計3!$A$1&amp;"'!$C$4:$CX$4"),1,U47),"")</f>
        <v/>
      </c>
      <c r="V49" s="263"/>
      <c r="W49" s="263"/>
      <c r="X49" s="264"/>
      <c r="Y49" s="262" t="str" cm="1">
        <f t="array" aca="1" ref="Y49" ca="1">IFERROR(INDEX(INDIRECT("'"&amp;集計3!$A$1&amp;"'!$C$4:$CX$4"),1,Y47),"")</f>
        <v/>
      </c>
      <c r="Z49" s="263"/>
      <c r="AA49" s="263"/>
      <c r="AB49" s="264"/>
      <c r="AC49" s="262" t="str" cm="1">
        <f t="array" aca="1" ref="AC49" ca="1">IFERROR(INDEX(INDIRECT("'"&amp;集計3!$A$1&amp;"'!$C$4:$CX$4"),1,AC47),"")</f>
        <v/>
      </c>
      <c r="AD49" s="263"/>
      <c r="AE49" s="263"/>
      <c r="AF49" s="264"/>
      <c r="AG49" s="262" t="str" cm="1">
        <f t="array" aca="1" ref="AG49" ca="1">IFERROR(INDEX(INDIRECT("'"&amp;集計3!$A$1&amp;"'!$C$4:$CX$4"),1,AG47),"")</f>
        <v/>
      </c>
      <c r="AH49" s="263"/>
      <c r="AI49" s="263"/>
      <c r="AJ49" s="264"/>
      <c r="AK49" s="262" t="str" cm="1">
        <f t="array" aca="1" ref="AK49" ca="1">IFERROR(INDEX(INDIRECT("'"&amp;集計3!$A$1&amp;"'!$C$4:$CX$4"),1,AK47),"")</f>
        <v/>
      </c>
      <c r="AL49" s="263"/>
      <c r="AM49" s="263"/>
      <c r="AN49" s="264"/>
      <c r="AO49" s="262" t="str" cm="1">
        <f t="array" aca="1" ref="AO49" ca="1">IFERROR(INDEX(INDIRECT("'"&amp;集計3!$A$1&amp;"'!$C$4:$CX$4"),1,AO47),"")</f>
        <v/>
      </c>
      <c r="AP49" s="263"/>
      <c r="AQ49" s="263"/>
      <c r="AR49" s="264"/>
    </row>
    <row r="50" spans="1:44" ht="10.25" customHeight="1" x14ac:dyDescent="0.7">
      <c r="A50" s="218"/>
      <c r="B50" s="218"/>
      <c r="C50" s="218"/>
      <c r="D50" s="218"/>
      <c r="E50" s="265"/>
      <c r="F50" s="266"/>
      <c r="G50" s="266"/>
      <c r="H50" s="267"/>
      <c r="I50" s="265"/>
      <c r="J50" s="266"/>
      <c r="K50" s="266"/>
      <c r="L50" s="267"/>
      <c r="M50" s="265"/>
      <c r="N50" s="266"/>
      <c r="O50" s="266"/>
      <c r="P50" s="267"/>
      <c r="Q50" s="265"/>
      <c r="R50" s="266"/>
      <c r="S50" s="266"/>
      <c r="T50" s="267"/>
      <c r="U50" s="265"/>
      <c r="V50" s="266"/>
      <c r="W50" s="266"/>
      <c r="X50" s="267"/>
      <c r="Y50" s="265"/>
      <c r="Z50" s="266"/>
      <c r="AA50" s="266"/>
      <c r="AB50" s="267"/>
      <c r="AC50" s="265"/>
      <c r="AD50" s="266"/>
      <c r="AE50" s="266"/>
      <c r="AF50" s="267"/>
      <c r="AG50" s="265"/>
      <c r="AH50" s="266"/>
      <c r="AI50" s="266"/>
      <c r="AJ50" s="267"/>
      <c r="AK50" s="265"/>
      <c r="AL50" s="266"/>
      <c r="AM50" s="266"/>
      <c r="AN50" s="267"/>
      <c r="AO50" s="265"/>
      <c r="AP50" s="266"/>
      <c r="AQ50" s="266"/>
      <c r="AR50" s="267"/>
    </row>
    <row r="51" spans="1:44" ht="10.25" customHeight="1" x14ac:dyDescent="0.7">
      <c r="A51" s="268" t="s">
        <v>127</v>
      </c>
      <c r="B51" s="269"/>
      <c r="C51" s="269"/>
      <c r="D51" s="270"/>
      <c r="E51" s="271" t="str" cm="1">
        <f t="array" aca="1" ref="E51" ca="1">IFERROR(INDEX(INDIRECT("'"&amp;集計3!$A$1&amp;"'!$C$5:$CX$5"),1,E47),"")</f>
        <v/>
      </c>
      <c r="F51" s="272"/>
      <c r="G51" s="273" t="str" cm="1">
        <f t="array" aca="1" ref="G51" ca="1">IFERROR(INDEX(INDIRECT("'"&amp;集計3!$A$1&amp;"'!$C$6:$CX$6"),1,E47),"")</f>
        <v/>
      </c>
      <c r="H51" s="274"/>
      <c r="I51" s="271" t="str" cm="1">
        <f t="array" aca="1" ref="I51" ca="1">IFERROR(INDEX(INDIRECT("'"&amp;集計3!$A$1&amp;"'!$C$5:$CX$5"),1,I47),"")</f>
        <v/>
      </c>
      <c r="J51" s="272"/>
      <c r="K51" s="273" t="str" cm="1">
        <f t="array" aca="1" ref="K51" ca="1">IFERROR(INDEX(INDIRECT("'"&amp;集計3!$A$1&amp;"'!$C$6:$CX$6"),1,I47),"")</f>
        <v/>
      </c>
      <c r="L51" s="274"/>
      <c r="M51" s="271" t="str" cm="1">
        <f t="array" aca="1" ref="M51" ca="1">IFERROR(INDEX(INDIRECT("'"&amp;集計3!$A$1&amp;"'!$C$5:$CX$5"),1,M47),"")</f>
        <v/>
      </c>
      <c r="N51" s="272"/>
      <c r="O51" s="273" t="str" cm="1">
        <f t="array" aca="1" ref="O51" ca="1">IFERROR(INDEX(INDIRECT("'"&amp;集計3!$A$1&amp;"'!$C$6:$CX$6"),1,M47),"")</f>
        <v/>
      </c>
      <c r="P51" s="274"/>
      <c r="Q51" s="271" t="str" cm="1">
        <f t="array" aca="1" ref="Q51" ca="1">IFERROR(INDEX(INDIRECT("'"&amp;集計3!$A$1&amp;"'!$C$5:$CX$5"),1,Q47),"")</f>
        <v/>
      </c>
      <c r="R51" s="272"/>
      <c r="S51" s="273" t="str" cm="1">
        <f t="array" aca="1" ref="S51" ca="1">IFERROR(INDEX(INDIRECT("'"&amp;集計3!$A$1&amp;"'!$C$6:$CX$6"),1,Q47),"")</f>
        <v/>
      </c>
      <c r="T51" s="274"/>
      <c r="U51" s="271" t="str" cm="1">
        <f t="array" aca="1" ref="U51" ca="1">IFERROR(INDEX(INDIRECT("'"&amp;集計3!$A$1&amp;"'!$C$5:$CX$5"),1,U47),"")</f>
        <v/>
      </c>
      <c r="V51" s="272"/>
      <c r="W51" s="273" t="str" cm="1">
        <f t="array" aca="1" ref="W51" ca="1">IFERROR(INDEX(INDIRECT("'"&amp;集計3!$A$1&amp;"'!$C$6:$CX$6"),1,U47),"")</f>
        <v/>
      </c>
      <c r="X51" s="274"/>
      <c r="Y51" s="271" t="str" cm="1">
        <f t="array" aca="1" ref="Y51" ca="1">IFERROR(INDEX(INDIRECT("'"&amp;集計3!$A$1&amp;"'!$C$5:$CX$5"),1,Y47),"")</f>
        <v/>
      </c>
      <c r="Z51" s="272"/>
      <c r="AA51" s="273" t="str" cm="1">
        <f t="array" aca="1" ref="AA51" ca="1">IFERROR(INDEX(INDIRECT("'"&amp;集計3!$A$1&amp;"'!$C$6:$CX$6"),1,Y47),"")</f>
        <v/>
      </c>
      <c r="AB51" s="274"/>
      <c r="AC51" s="271" t="str" cm="1">
        <f t="array" aca="1" ref="AC51" ca="1">IFERROR(INDEX(INDIRECT("'"&amp;集計3!$A$1&amp;"'!$C$5:$CX$5"),1,AC47),"")</f>
        <v/>
      </c>
      <c r="AD51" s="272"/>
      <c r="AE51" s="273" t="str" cm="1">
        <f t="array" aca="1" ref="AE51" ca="1">IFERROR(INDEX(INDIRECT("'"&amp;集計3!$A$1&amp;"'!$C$6:$CX$6"),1,AC47),"")</f>
        <v/>
      </c>
      <c r="AF51" s="274"/>
      <c r="AG51" s="271" t="str" cm="1">
        <f t="array" aca="1" ref="AG51" ca="1">IFERROR(INDEX(INDIRECT("'"&amp;集計3!$A$1&amp;"'!$C$5:$CX$5"),1,AG47),"")</f>
        <v/>
      </c>
      <c r="AH51" s="272"/>
      <c r="AI51" s="273" t="str" cm="1">
        <f t="array" aca="1" ref="AI51" ca="1">IFERROR(INDEX(INDIRECT("'"&amp;集計3!$A$1&amp;"'!$C$6:$CX$6"),1,AG47),"")</f>
        <v/>
      </c>
      <c r="AJ51" s="274"/>
      <c r="AK51" s="271" t="str" cm="1">
        <f t="array" aca="1" ref="AK51" ca="1">IFERROR(INDEX(INDIRECT("'"&amp;集計3!$A$1&amp;"'!$C$5:$CX$5"),1,AK47),"")</f>
        <v/>
      </c>
      <c r="AL51" s="272"/>
      <c r="AM51" s="273" t="str" cm="1">
        <f t="array" aca="1" ref="AM51" ca="1">IFERROR(INDEX(INDIRECT("'"&amp;集計3!$A$1&amp;"'!$C$6:$CX$6"),1,AK47),"")</f>
        <v/>
      </c>
      <c r="AN51" s="274"/>
      <c r="AO51" s="271" t="str" cm="1">
        <f t="array" aca="1" ref="AO51" ca="1">IFERROR(INDEX(INDIRECT("'"&amp;集計3!$A$1&amp;"'!$C$5:$CX$5"),1,AO47),"")</f>
        <v/>
      </c>
      <c r="AP51" s="272"/>
      <c r="AQ51" s="273" t="str" cm="1">
        <f t="array" aca="1" ref="AQ51" ca="1">IFERROR(INDEX(INDIRECT("'"&amp;集計3!$A$1&amp;"'!$C$6:$CX$6"),1,AO47),"")</f>
        <v/>
      </c>
      <c r="AR51" s="274"/>
    </row>
    <row r="52" spans="1:44" s="19" customFormat="1" ht="10.25" customHeight="1" x14ac:dyDescent="0.7">
      <c r="A52" s="256" t="s">
        <v>159</v>
      </c>
      <c r="B52" s="256"/>
      <c r="C52" s="256"/>
      <c r="D52" s="256"/>
      <c r="E52" s="16" t="str" cm="1">
        <f t="array" aca="1" ref="E52" ca="1">IFERROR(INDEX(INDIRECT("'"&amp;集計3!$A$1&amp;"'!$C$10:$CX$10"),1,E47),"")</f>
        <v/>
      </c>
      <c r="F52" s="257" t="str" cm="1">
        <f t="array" aca="1" ref="F52" ca="1">IFERROR(IF(INDEX(INDIRECT("'"&amp;集計3!$A$1&amp;"'!$C$7:$CX$7"),1,E47)=0,"",INDEX(INDIRECT("'"&amp;集計3!$A$1&amp;"'!$C$7:$CX$7"),1,E47)),"")</f>
        <v/>
      </c>
      <c r="G52" s="257"/>
      <c r="H52" s="258"/>
      <c r="I52" s="16" t="str" cm="1">
        <f t="array" aca="1" ref="I52" ca="1">IFERROR(INDEX(INDIRECT("'"&amp;集計3!$A$1&amp;"'!$C$10:$CX$10"),1,I47),"")</f>
        <v/>
      </c>
      <c r="J52" s="257" t="str" cm="1">
        <f t="array" aca="1" ref="J52" ca="1">IFERROR(IF(INDEX(INDIRECT("'"&amp;集計3!$A$1&amp;"'!$C$7:$CX$7"),1,I47)=0,"",INDEX(INDIRECT("'"&amp;集計3!$A$1&amp;"'!$C$7:$CX$7"),1,I47)),"")</f>
        <v/>
      </c>
      <c r="K52" s="257"/>
      <c r="L52" s="258"/>
      <c r="M52" s="16" t="str" cm="1">
        <f t="array" aca="1" ref="M52" ca="1">IFERROR(INDEX(INDIRECT("'"&amp;集計3!$A$1&amp;"'!$C$10:$CX$10"),1,M47),"")</f>
        <v/>
      </c>
      <c r="N52" s="257" t="str" cm="1">
        <f t="array" aca="1" ref="N52" ca="1">IFERROR(IF(INDEX(INDIRECT("'"&amp;集計3!$A$1&amp;"'!$C$7:$CX$7"),1,M47)=0,"",INDEX(INDIRECT("'"&amp;集計3!$A$1&amp;"'!$C$7:$CX$7"),1,M47)),"")</f>
        <v/>
      </c>
      <c r="O52" s="257"/>
      <c r="P52" s="258"/>
      <c r="Q52" s="16" t="str" cm="1">
        <f t="array" aca="1" ref="Q52" ca="1">IFERROR(INDEX(INDIRECT("'"&amp;集計3!$A$1&amp;"'!$C$10:$CX$10"),1,Q47),"")</f>
        <v/>
      </c>
      <c r="R52" s="257" t="str" cm="1">
        <f t="array" aca="1" ref="R52" ca="1">IFERROR(IF(INDEX(INDIRECT("'"&amp;集計3!$A$1&amp;"'!$C$7:$CX$7"),1,Q47)=0,"",INDEX(INDIRECT("'"&amp;集計3!$A$1&amp;"'!$C$7:$CX$7"),1,Q47)),"")</f>
        <v/>
      </c>
      <c r="S52" s="257"/>
      <c r="T52" s="258"/>
      <c r="U52" s="16" t="str" cm="1">
        <f t="array" aca="1" ref="U52" ca="1">IFERROR(INDEX(INDIRECT("'"&amp;集計3!$A$1&amp;"'!$C$10:$CX$10"),1,U47),"")</f>
        <v/>
      </c>
      <c r="V52" s="257" t="str" cm="1">
        <f t="array" aca="1" ref="V52" ca="1">IFERROR(IF(INDEX(INDIRECT("'"&amp;集計3!$A$1&amp;"'!$C$7:$CX$7"),1,U47)=0,"",INDEX(INDIRECT("'"&amp;集計3!$A$1&amp;"'!$C$7:$CX$7"),1,U47)),"")</f>
        <v/>
      </c>
      <c r="W52" s="257"/>
      <c r="X52" s="258"/>
      <c r="Y52" s="16" t="str" cm="1">
        <f t="array" aca="1" ref="Y52" ca="1">IFERROR(INDEX(INDIRECT("'"&amp;集計3!$A$1&amp;"'!$C$10:$CX$10"),1,Y47),"")</f>
        <v/>
      </c>
      <c r="Z52" s="257" t="str" cm="1">
        <f t="array" aca="1" ref="Z52" ca="1">IFERROR(IF(INDEX(INDIRECT("'"&amp;集計3!$A$1&amp;"'!$C$7:$CX$7"),1,Y47)=0,"",INDEX(INDIRECT("'"&amp;集計3!$A$1&amp;"'!$C$7:$CX$7"),1,Y47)),"")</f>
        <v/>
      </c>
      <c r="AA52" s="257"/>
      <c r="AB52" s="258"/>
      <c r="AC52" s="16" t="str" cm="1">
        <f t="array" aca="1" ref="AC52" ca="1">IFERROR(INDEX(INDIRECT("'"&amp;集計3!$A$1&amp;"'!$C$10:$CX$10"),1,AC47),"")</f>
        <v/>
      </c>
      <c r="AD52" s="257" t="str" cm="1">
        <f t="array" aca="1" ref="AD52" ca="1">IFERROR(IF(INDEX(INDIRECT("'"&amp;集計3!$A$1&amp;"'!$C$7:$CX$7"),1,AC47)=0,"",INDEX(INDIRECT("'"&amp;集計3!$A$1&amp;"'!$C$7:$CX$7"),1,AC47)),"")</f>
        <v/>
      </c>
      <c r="AE52" s="257"/>
      <c r="AF52" s="258"/>
      <c r="AG52" s="16" t="str" cm="1">
        <f t="array" aca="1" ref="AG52" ca="1">IFERROR(INDEX(INDIRECT("'"&amp;集計3!$A$1&amp;"'!$C$10:$CX$10"),1,AG47),"")</f>
        <v/>
      </c>
      <c r="AH52" s="257" t="str" cm="1">
        <f t="array" aca="1" ref="AH52" ca="1">IFERROR(IF(INDEX(INDIRECT("'"&amp;集計3!$A$1&amp;"'!$C$7:$CX$7"),1,AG47)=0,"",INDEX(INDIRECT("'"&amp;集計3!$A$1&amp;"'!$C$7:$CX$7"),1,AG47)),"")</f>
        <v/>
      </c>
      <c r="AI52" s="257"/>
      <c r="AJ52" s="258"/>
      <c r="AK52" s="16" t="str" cm="1">
        <f t="array" aca="1" ref="AK52" ca="1">IFERROR(INDEX(INDIRECT("'"&amp;集計3!$A$1&amp;"'!$C$10:$CX$10"),1,AK47),"")</f>
        <v/>
      </c>
      <c r="AL52" s="257" t="str" cm="1">
        <f t="array" aca="1" ref="AL52" ca="1">IFERROR(IF(INDEX(INDIRECT("'"&amp;集計3!$A$1&amp;"'!$C$7:$CX$7"),1,AK47)=0,"",INDEX(INDIRECT("'"&amp;集計3!$A$1&amp;"'!$C$7:$CX$7"),1,AK47)),"")</f>
        <v/>
      </c>
      <c r="AM52" s="257"/>
      <c r="AN52" s="258"/>
      <c r="AO52" s="16" t="str" cm="1">
        <f t="array" aca="1" ref="AO52" ca="1">IFERROR(INDEX(INDIRECT("'"&amp;集計3!$A$1&amp;"'!$C$10:$CX$10"),1,AO47),"")</f>
        <v/>
      </c>
      <c r="AP52" s="257" t="str" cm="1">
        <f t="array" aca="1" ref="AP52" ca="1">IFERROR(IF(INDEX(INDIRECT("'"&amp;集計3!$A$1&amp;"'!$C$7:$CX$7"),1,AO47)=0,"",INDEX(INDIRECT("'"&amp;集計3!$A$1&amp;"'!$C$7:$CX$7"),1,AO47)),"")</f>
        <v/>
      </c>
      <c r="AQ52" s="257"/>
      <c r="AR52" s="258"/>
    </row>
    <row r="53" spans="1:44" s="19" customFormat="1" ht="10.25" customHeight="1" x14ac:dyDescent="0.7">
      <c r="A53" s="259" t="s">
        <v>160</v>
      </c>
      <c r="B53" s="259"/>
      <c r="C53" s="259"/>
      <c r="D53" s="259"/>
      <c r="E53" s="17" t="str" cm="1">
        <f t="array" aca="1" ref="E53" ca="1">IFERROR(INDEX(INDIRECT("'"&amp;集計3!$A$1&amp;"'!$C$11:$CX$11"),1,E47),"")</f>
        <v/>
      </c>
      <c r="F53" s="260" t="str" cm="1">
        <f t="array" aca="1" ref="F53" ca="1">IFERROR(IF(INDEX(INDIRECT("'"&amp;集計3!$A$1&amp;"'!$C$8:$CX$8"),1,E47)=0,"",INDEX(INDIRECT("'"&amp;集計3!$A$1&amp;"'!$C$8:$CX$8"),1,E47)),"")</f>
        <v/>
      </c>
      <c r="G53" s="260"/>
      <c r="H53" s="261"/>
      <c r="I53" s="17" t="str" cm="1">
        <f t="array" aca="1" ref="I53" ca="1">IFERROR(INDEX(INDIRECT("'"&amp;集計3!$A$1&amp;"'!$C$11:$CX$11"),1,I47),"")</f>
        <v/>
      </c>
      <c r="J53" s="260" t="str" cm="1">
        <f t="array" aca="1" ref="J53" ca="1">IFERROR(IF(INDEX(INDIRECT("'"&amp;集計3!$A$1&amp;"'!$C$8:$CX$8"),1,I47)=0,"",INDEX(INDIRECT("'"&amp;集計3!$A$1&amp;"'!$C$8:$CX$8"),1,I47)),"")</f>
        <v/>
      </c>
      <c r="K53" s="260"/>
      <c r="L53" s="261"/>
      <c r="M53" s="17" t="str" cm="1">
        <f t="array" aca="1" ref="M53" ca="1">IFERROR(INDEX(INDIRECT("'"&amp;集計3!$A$1&amp;"'!$C$11:$CX$11"),1,M47),"")</f>
        <v/>
      </c>
      <c r="N53" s="260" t="str" cm="1">
        <f t="array" aca="1" ref="N53" ca="1">IFERROR(IF(INDEX(INDIRECT("'"&amp;集計3!$A$1&amp;"'!$C$8:$CX$8"),1,M47)=0,"",INDEX(INDIRECT("'"&amp;集計3!$A$1&amp;"'!$C$8:$CX$8"),1,M47)),"")</f>
        <v/>
      </c>
      <c r="O53" s="260"/>
      <c r="P53" s="261"/>
      <c r="Q53" s="17" t="str" cm="1">
        <f t="array" aca="1" ref="Q53" ca="1">IFERROR(INDEX(INDIRECT("'"&amp;集計3!$A$1&amp;"'!$C$11:$CX$11"),1,Q47),"")</f>
        <v/>
      </c>
      <c r="R53" s="260" t="str" cm="1">
        <f t="array" aca="1" ref="R53" ca="1">IFERROR(IF(INDEX(INDIRECT("'"&amp;集計3!$A$1&amp;"'!$C$8:$CX$8"),1,Q47)=0,"",INDEX(INDIRECT("'"&amp;集計3!$A$1&amp;"'!$C$8:$CX$8"),1,Q47)),"")</f>
        <v/>
      </c>
      <c r="S53" s="260"/>
      <c r="T53" s="261"/>
      <c r="U53" s="17" t="str" cm="1">
        <f t="array" aca="1" ref="U53" ca="1">IFERROR(INDEX(INDIRECT("'"&amp;集計3!$A$1&amp;"'!$C$11:$CX$11"),1,U47),"")</f>
        <v/>
      </c>
      <c r="V53" s="260" t="str" cm="1">
        <f t="array" aca="1" ref="V53" ca="1">IFERROR(IF(INDEX(INDIRECT("'"&amp;集計3!$A$1&amp;"'!$C$8:$CX$8"),1,U47)=0,"",INDEX(INDIRECT("'"&amp;集計3!$A$1&amp;"'!$C$8:$CX$8"),1,U47)),"")</f>
        <v/>
      </c>
      <c r="W53" s="260"/>
      <c r="X53" s="261"/>
      <c r="Y53" s="17" t="str" cm="1">
        <f t="array" aca="1" ref="Y53" ca="1">IFERROR(INDEX(INDIRECT("'"&amp;集計3!$A$1&amp;"'!$C$11:$CX$11"),1,Y47),"")</f>
        <v/>
      </c>
      <c r="Z53" s="260" t="str" cm="1">
        <f t="array" aca="1" ref="Z53" ca="1">IFERROR(IF(INDEX(INDIRECT("'"&amp;集計3!$A$1&amp;"'!$C$8:$CX$8"),1,Y47)=0,"",INDEX(INDIRECT("'"&amp;集計3!$A$1&amp;"'!$C$8:$CX$8"),1,Y47)),"")</f>
        <v/>
      </c>
      <c r="AA53" s="260"/>
      <c r="AB53" s="261"/>
      <c r="AC53" s="17" t="str" cm="1">
        <f t="array" aca="1" ref="AC53" ca="1">IFERROR(INDEX(INDIRECT("'"&amp;集計3!$A$1&amp;"'!$C$11:$CX$11"),1,AC47),"")</f>
        <v/>
      </c>
      <c r="AD53" s="260" t="str" cm="1">
        <f t="array" aca="1" ref="AD53" ca="1">IFERROR(IF(INDEX(INDIRECT("'"&amp;集計3!$A$1&amp;"'!$C$8:$CX$8"),1,AC47)=0,"",INDEX(INDIRECT("'"&amp;集計3!$A$1&amp;"'!$C$8:$CX$8"),1,AC47)),"")</f>
        <v/>
      </c>
      <c r="AE53" s="260"/>
      <c r="AF53" s="261"/>
      <c r="AG53" s="17" t="str" cm="1">
        <f t="array" aca="1" ref="AG53" ca="1">IFERROR(INDEX(INDIRECT("'"&amp;集計3!$A$1&amp;"'!$C$11:$CX$11"),1,AG47),"")</f>
        <v/>
      </c>
      <c r="AH53" s="260" t="str" cm="1">
        <f t="array" aca="1" ref="AH53" ca="1">IFERROR(IF(INDEX(INDIRECT("'"&amp;集計3!$A$1&amp;"'!$C$8:$CX$8"),1,AG47)=0,"",INDEX(INDIRECT("'"&amp;集計3!$A$1&amp;"'!$C$8:$CX$8"),1,AG47)),"")</f>
        <v/>
      </c>
      <c r="AI53" s="260"/>
      <c r="AJ53" s="261"/>
      <c r="AK53" s="17" t="str" cm="1">
        <f t="array" aca="1" ref="AK53" ca="1">IFERROR(INDEX(INDIRECT("'"&amp;集計3!$A$1&amp;"'!$C$11:$CX$11"),1,AK47),"")</f>
        <v/>
      </c>
      <c r="AL53" s="260" t="str" cm="1">
        <f t="array" aca="1" ref="AL53" ca="1">IFERROR(IF(INDEX(INDIRECT("'"&amp;集計3!$A$1&amp;"'!$C$8:$CX$8"),1,AK47)=0,"",INDEX(INDIRECT("'"&amp;集計3!$A$1&amp;"'!$C$8:$CX$8"),1,AK47)),"")</f>
        <v/>
      </c>
      <c r="AM53" s="260"/>
      <c r="AN53" s="261"/>
      <c r="AO53" s="17" t="str" cm="1">
        <f t="array" aca="1" ref="AO53" ca="1">IFERROR(INDEX(INDIRECT("'"&amp;集計3!$A$1&amp;"'!$C$11:$CX$11"),1,AO47),"")</f>
        <v/>
      </c>
      <c r="AP53" s="260" t="str" cm="1">
        <f t="array" aca="1" ref="AP53" ca="1">IFERROR(IF(INDEX(INDIRECT("'"&amp;集計3!$A$1&amp;"'!$C$8:$CX$8"),1,AO47)=0,"",INDEX(INDIRECT("'"&amp;集計3!$A$1&amp;"'!$C$8:$CX$8"),1,AO47)),"")</f>
        <v/>
      </c>
      <c r="AQ53" s="260"/>
      <c r="AR53" s="261"/>
    </row>
    <row r="54" spans="1:44" ht="8" customHeight="1" x14ac:dyDescent="0.7">
      <c r="A54" s="217" t="s">
        <v>161</v>
      </c>
      <c r="B54" s="217"/>
      <c r="C54" s="217"/>
      <c r="D54" s="217"/>
      <c r="E54" s="244" t="str" cm="1">
        <f t="array" aca="1" ref="E54" ca="1">IFERROR(INDEX(INDIRECT("'"&amp;集計3!$A$1&amp;"'!$C$3:$CX$3"),1,E47),"")</f>
        <v/>
      </c>
      <c r="F54" s="245"/>
      <c r="G54" s="245"/>
      <c r="H54" s="246"/>
      <c r="I54" s="244" t="str" cm="1">
        <f t="array" aca="1" ref="I54" ca="1">IFERROR(INDEX(INDIRECT("'"&amp;集計3!$A$1&amp;"'!$C$3:$CX$3"),1,I47),"")</f>
        <v/>
      </c>
      <c r="J54" s="245"/>
      <c r="K54" s="245"/>
      <c r="L54" s="246"/>
      <c r="M54" s="244" t="str" cm="1">
        <f t="array" aca="1" ref="M54" ca="1">IFERROR(INDEX(INDIRECT("'"&amp;集計3!$A$1&amp;"'!$C$3:$CX$3"),1,M47),"")</f>
        <v/>
      </c>
      <c r="N54" s="245"/>
      <c r="O54" s="245"/>
      <c r="P54" s="246"/>
      <c r="Q54" s="244" t="str" cm="1">
        <f t="array" aca="1" ref="Q54" ca="1">IFERROR(INDEX(INDIRECT("'"&amp;集計3!$A$1&amp;"'!$C$3:$CX$3"),1,Q47),"")</f>
        <v/>
      </c>
      <c r="R54" s="245"/>
      <c r="S54" s="245"/>
      <c r="T54" s="246"/>
      <c r="U54" s="244" t="str" cm="1">
        <f t="array" aca="1" ref="U54" ca="1">IFERROR(INDEX(INDIRECT("'"&amp;集計3!$A$1&amp;"'!$C$3:$CX$3"),1,U47),"")</f>
        <v/>
      </c>
      <c r="V54" s="245"/>
      <c r="W54" s="245"/>
      <c r="X54" s="246"/>
      <c r="Y54" s="244" t="str" cm="1">
        <f t="array" aca="1" ref="Y54" ca="1">IFERROR(INDEX(INDIRECT("'"&amp;集計3!$A$1&amp;"'!$C$3:$CX$3"),1,Y47),"")</f>
        <v/>
      </c>
      <c r="Z54" s="245"/>
      <c r="AA54" s="245"/>
      <c r="AB54" s="246"/>
      <c r="AC54" s="244" t="str" cm="1">
        <f t="array" aca="1" ref="AC54" ca="1">IFERROR(INDEX(INDIRECT("'"&amp;集計3!$A$1&amp;"'!$C$3:$CX$3"),1,AC47),"")</f>
        <v/>
      </c>
      <c r="AD54" s="245"/>
      <c r="AE54" s="245"/>
      <c r="AF54" s="246"/>
      <c r="AG54" s="244" t="str" cm="1">
        <f t="array" aca="1" ref="AG54" ca="1">IFERROR(INDEX(INDIRECT("'"&amp;集計3!$A$1&amp;"'!$C$3:$CX$3"),1,AG47),"")</f>
        <v/>
      </c>
      <c r="AH54" s="245"/>
      <c r="AI54" s="245"/>
      <c r="AJ54" s="246"/>
      <c r="AK54" s="244" t="str" cm="1">
        <f t="array" aca="1" ref="AK54" ca="1">IFERROR(INDEX(INDIRECT("'"&amp;集計3!$A$1&amp;"'!$C$3:$CX$3"),1,AK47),"")</f>
        <v/>
      </c>
      <c r="AL54" s="245"/>
      <c r="AM54" s="245"/>
      <c r="AN54" s="246"/>
      <c r="AO54" s="244" t="str" cm="1">
        <f t="array" aca="1" ref="AO54" ca="1">IFERROR(INDEX(INDIRECT("'"&amp;集計3!$A$1&amp;"'!$C$3:$CX$3"),1,AO47),"")</f>
        <v/>
      </c>
      <c r="AP54" s="245"/>
      <c r="AQ54" s="245"/>
      <c r="AR54" s="246"/>
    </row>
    <row r="55" spans="1:44" ht="8" customHeight="1" x14ac:dyDescent="0.7">
      <c r="A55" s="217"/>
      <c r="B55" s="217"/>
      <c r="C55" s="217"/>
      <c r="D55" s="217"/>
      <c r="E55" s="247"/>
      <c r="F55" s="248"/>
      <c r="G55" s="248"/>
      <c r="H55" s="249"/>
      <c r="I55" s="247"/>
      <c r="J55" s="248"/>
      <c r="K55" s="248"/>
      <c r="L55" s="249"/>
      <c r="M55" s="247"/>
      <c r="N55" s="248"/>
      <c r="O55" s="248"/>
      <c r="P55" s="249"/>
      <c r="Q55" s="247"/>
      <c r="R55" s="248"/>
      <c r="S55" s="248"/>
      <c r="T55" s="249"/>
      <c r="U55" s="247"/>
      <c r="V55" s="248"/>
      <c r="W55" s="248"/>
      <c r="X55" s="249"/>
      <c r="Y55" s="247"/>
      <c r="Z55" s="248"/>
      <c r="AA55" s="248"/>
      <c r="AB55" s="249"/>
      <c r="AC55" s="247"/>
      <c r="AD55" s="248"/>
      <c r="AE55" s="248"/>
      <c r="AF55" s="249"/>
      <c r="AG55" s="247"/>
      <c r="AH55" s="248"/>
      <c r="AI55" s="248"/>
      <c r="AJ55" s="249"/>
      <c r="AK55" s="247"/>
      <c r="AL55" s="248"/>
      <c r="AM55" s="248"/>
      <c r="AN55" s="249"/>
      <c r="AO55" s="247"/>
      <c r="AP55" s="248"/>
      <c r="AQ55" s="248"/>
      <c r="AR55" s="249"/>
    </row>
    <row r="56" spans="1:44" ht="14.75" customHeight="1" x14ac:dyDescent="0.7">
      <c r="A56" s="250" t="s">
        <v>162</v>
      </c>
      <c r="B56" s="250"/>
      <c r="C56" s="251">
        <v>1</v>
      </c>
      <c r="D56" s="252"/>
      <c r="E56" s="253" t="str" cm="1">
        <f t="array" aca="1" ref="E56" ca="1">IF(INDEX(集計3!$C$16:$CX$25,$C56,INDIRECT(ADDRESS(ROW()-8-($C56),COLUMN())))="","",INDEX(集計3!$C$16:$CX$25,$C56,INDIRECT(ADDRESS(ROW()-8-($C56),COLUMN()))))</f>
        <v/>
      </c>
      <c r="F56" s="254"/>
      <c r="G56" s="254"/>
      <c r="H56" s="255"/>
      <c r="I56" s="253" t="str" cm="1">
        <f t="array" aca="1" ref="I56" ca="1">IF(INDEX(集計3!$C$16:$CX$25,$C56,INDIRECT(ADDRESS(ROW()-8-($C56),COLUMN())))="","",INDEX(集計3!$C$16:$CX$25,$C56,INDIRECT(ADDRESS(ROW()-8-($C56),COLUMN()))))</f>
        <v/>
      </c>
      <c r="J56" s="254"/>
      <c r="K56" s="254"/>
      <c r="L56" s="255"/>
      <c r="M56" s="253" t="str" cm="1">
        <f t="array" aca="1" ref="M56" ca="1">IF(INDEX(集計3!$C$16:$CX$25,$C56,INDIRECT(ADDRESS(ROW()-8-($C56),COLUMN())))="","",INDEX(集計3!$C$16:$CX$25,$C56,INDIRECT(ADDRESS(ROW()-8-($C56),COLUMN()))))</f>
        <v/>
      </c>
      <c r="N56" s="254"/>
      <c r="O56" s="254"/>
      <c r="P56" s="255"/>
      <c r="Q56" s="253" t="str" cm="1">
        <f t="array" aca="1" ref="Q56" ca="1">IF(INDEX(集計3!$C$16:$CX$25,$C56,INDIRECT(ADDRESS(ROW()-8-($C56),COLUMN())))="","",INDEX(集計3!$C$16:$CX$25,$C56,INDIRECT(ADDRESS(ROW()-8-($C56),COLUMN()))))</f>
        <v/>
      </c>
      <c r="R56" s="254"/>
      <c r="S56" s="254"/>
      <c r="T56" s="255"/>
      <c r="U56" s="253" t="str" cm="1">
        <f t="array" aca="1" ref="U56" ca="1">IF(INDEX(集計3!$C$16:$CX$25,$C56,INDIRECT(ADDRESS(ROW()-8-($C56),COLUMN())))="","",INDEX(集計3!$C$16:$CX$25,$C56,INDIRECT(ADDRESS(ROW()-8-($C56),COLUMN()))))</f>
        <v/>
      </c>
      <c r="V56" s="254"/>
      <c r="W56" s="254"/>
      <c r="X56" s="255"/>
      <c r="Y56" s="253" t="str" cm="1">
        <f t="array" aca="1" ref="Y56" ca="1">IF(INDEX(集計3!$C$16:$CX$25,$C56,INDIRECT(ADDRESS(ROW()-8-($C56),COLUMN())))="","",INDEX(集計3!$C$16:$CX$25,$C56,INDIRECT(ADDRESS(ROW()-8-($C56),COLUMN()))))</f>
        <v/>
      </c>
      <c r="Z56" s="254"/>
      <c r="AA56" s="254"/>
      <c r="AB56" s="255"/>
      <c r="AC56" s="253" t="str" cm="1">
        <f t="array" aca="1" ref="AC56" ca="1">IF(INDEX(集計3!$C$16:$CX$25,$C56,INDIRECT(ADDRESS(ROW()-8-($C56),COLUMN())))="","",INDEX(集計3!$C$16:$CX$25,$C56,INDIRECT(ADDRESS(ROW()-8-($C56),COLUMN()))))</f>
        <v/>
      </c>
      <c r="AD56" s="254"/>
      <c r="AE56" s="254"/>
      <c r="AF56" s="255"/>
      <c r="AG56" s="253" t="str" cm="1">
        <f t="array" aca="1" ref="AG56" ca="1">IF(INDEX(集計3!$C$16:$CX$25,$C56,INDIRECT(ADDRESS(ROW()-8-($C56),COLUMN())))="","",INDEX(集計3!$C$16:$CX$25,$C56,INDIRECT(ADDRESS(ROW()-8-($C56),COLUMN()))))</f>
        <v/>
      </c>
      <c r="AH56" s="254"/>
      <c r="AI56" s="254"/>
      <c r="AJ56" s="255"/>
      <c r="AK56" s="253" t="str" cm="1">
        <f t="array" aca="1" ref="AK56" ca="1">IF(INDEX(集計3!$C$16:$CX$25,$C56,INDIRECT(ADDRESS(ROW()-8-($C56),COLUMN())))="","",INDEX(集計3!$C$16:$CX$25,$C56,INDIRECT(ADDRESS(ROW()-8-($C56),COLUMN()))))</f>
        <v/>
      </c>
      <c r="AL56" s="254"/>
      <c r="AM56" s="254"/>
      <c r="AN56" s="255"/>
      <c r="AO56" s="253" t="str" cm="1">
        <f t="array" aca="1" ref="AO56" ca="1">IF(INDEX(集計3!$C$16:$CX$25,$C56,INDIRECT(ADDRESS(ROW()-8-($C56),COLUMN())))="","",INDEX(集計3!$C$16:$CX$25,$C56,INDIRECT(ADDRESS(ROW()-8-($C56),COLUMN()))))</f>
        <v/>
      </c>
      <c r="AP56" s="254"/>
      <c r="AQ56" s="254"/>
      <c r="AR56" s="255"/>
    </row>
    <row r="57" spans="1:44" ht="14.75" customHeight="1" x14ac:dyDescent="0.7">
      <c r="A57" s="250"/>
      <c r="B57" s="250"/>
      <c r="C57" s="231">
        <v>2</v>
      </c>
      <c r="D57" s="232"/>
      <c r="E57" s="241" t="str" cm="1">
        <f t="array" aca="1" ref="E57" ca="1">IF(INDEX(集計3!$C$16:$CX$25,$C57,INDIRECT(ADDRESS(ROW()-8-($C57),COLUMN())))="","",INDEX(集計3!$C$16:$CX$25,$C57,INDIRECT(ADDRESS(ROW()-8-($C57),COLUMN()))))</f>
        <v/>
      </c>
      <c r="F57" s="242"/>
      <c r="G57" s="242"/>
      <c r="H57" s="243"/>
      <c r="I57" s="241" t="str" cm="1">
        <f t="array" aca="1" ref="I57" ca="1">IF(INDEX(集計3!$C$16:$CX$25,$C57,INDIRECT(ADDRESS(ROW()-8-($C57),COLUMN())))="","",INDEX(集計3!$C$16:$CX$25,$C57,INDIRECT(ADDRESS(ROW()-8-($C57),COLUMN()))))</f>
        <v/>
      </c>
      <c r="J57" s="242"/>
      <c r="K57" s="242"/>
      <c r="L57" s="243"/>
      <c r="M57" s="241" t="str" cm="1">
        <f t="array" aca="1" ref="M57" ca="1">IF(INDEX(集計3!$C$16:$CX$25,$C57,INDIRECT(ADDRESS(ROW()-8-($C57),COLUMN())))="","",INDEX(集計3!$C$16:$CX$25,$C57,INDIRECT(ADDRESS(ROW()-8-($C57),COLUMN()))))</f>
        <v/>
      </c>
      <c r="N57" s="242"/>
      <c r="O57" s="242"/>
      <c r="P57" s="243"/>
      <c r="Q57" s="241" t="str" cm="1">
        <f t="array" aca="1" ref="Q57" ca="1">IF(INDEX(集計3!$C$16:$CX$25,$C57,INDIRECT(ADDRESS(ROW()-8-($C57),COLUMN())))="","",INDEX(集計3!$C$16:$CX$25,$C57,INDIRECT(ADDRESS(ROW()-8-($C57),COLUMN()))))</f>
        <v/>
      </c>
      <c r="R57" s="242"/>
      <c r="S57" s="242"/>
      <c r="T57" s="243"/>
      <c r="U57" s="241" t="str" cm="1">
        <f t="array" aca="1" ref="U57" ca="1">IF(INDEX(集計3!$C$16:$CX$25,$C57,INDIRECT(ADDRESS(ROW()-8-($C57),COLUMN())))="","",INDEX(集計3!$C$16:$CX$25,$C57,INDIRECT(ADDRESS(ROW()-8-($C57),COLUMN()))))</f>
        <v/>
      </c>
      <c r="V57" s="242"/>
      <c r="W57" s="242"/>
      <c r="X57" s="243"/>
      <c r="Y57" s="241" t="str" cm="1">
        <f t="array" aca="1" ref="Y57" ca="1">IF(INDEX(集計3!$C$16:$CX$25,$C57,INDIRECT(ADDRESS(ROW()-8-($C57),COLUMN())))="","",INDEX(集計3!$C$16:$CX$25,$C57,INDIRECT(ADDRESS(ROW()-8-($C57),COLUMN()))))</f>
        <v/>
      </c>
      <c r="Z57" s="242"/>
      <c r="AA57" s="242"/>
      <c r="AB57" s="243"/>
      <c r="AC57" s="241" t="str" cm="1">
        <f t="array" aca="1" ref="AC57" ca="1">IF(INDEX(集計3!$C$16:$CX$25,$C57,INDIRECT(ADDRESS(ROW()-8-($C57),COLUMN())))="","",INDEX(集計3!$C$16:$CX$25,$C57,INDIRECT(ADDRESS(ROW()-8-($C57),COLUMN()))))</f>
        <v/>
      </c>
      <c r="AD57" s="242"/>
      <c r="AE57" s="242"/>
      <c r="AF57" s="243"/>
      <c r="AG57" s="241" t="str" cm="1">
        <f t="array" aca="1" ref="AG57" ca="1">IF(INDEX(集計3!$C$16:$CX$25,$C57,INDIRECT(ADDRESS(ROW()-8-($C57),COLUMN())))="","",INDEX(集計3!$C$16:$CX$25,$C57,INDIRECT(ADDRESS(ROW()-8-($C57),COLUMN()))))</f>
        <v/>
      </c>
      <c r="AH57" s="242"/>
      <c r="AI57" s="242"/>
      <c r="AJ57" s="243"/>
      <c r="AK57" s="241" t="str" cm="1">
        <f t="array" aca="1" ref="AK57" ca="1">IF(INDEX(集計3!$C$16:$CX$25,$C57,INDIRECT(ADDRESS(ROW()-8-($C57),COLUMN())))="","",INDEX(集計3!$C$16:$CX$25,$C57,INDIRECT(ADDRESS(ROW()-8-($C57),COLUMN()))))</f>
        <v/>
      </c>
      <c r="AL57" s="242"/>
      <c r="AM57" s="242"/>
      <c r="AN57" s="243"/>
      <c r="AO57" s="241" t="str" cm="1">
        <f t="array" aca="1" ref="AO57" ca="1">IF(INDEX(集計3!$C$16:$CX$25,$C57,INDIRECT(ADDRESS(ROW()-8-($C57),COLUMN())))="","",INDEX(集計3!$C$16:$CX$25,$C57,INDIRECT(ADDRESS(ROW()-8-($C57),COLUMN()))))</f>
        <v/>
      </c>
      <c r="AP57" s="242"/>
      <c r="AQ57" s="242"/>
      <c r="AR57" s="243"/>
    </row>
    <row r="58" spans="1:44" ht="14.75" customHeight="1" x14ac:dyDescent="0.7">
      <c r="A58" s="250"/>
      <c r="B58" s="250"/>
      <c r="C58" s="231">
        <v>3</v>
      </c>
      <c r="D58" s="232"/>
      <c r="E58" s="241" t="str" cm="1">
        <f t="array" aca="1" ref="E58" ca="1">IF(INDEX(集計3!$C$16:$CX$25,$C58,INDIRECT(ADDRESS(ROW()-8-($C58),COLUMN())))="","",INDEX(集計3!$C$16:$CX$25,$C58,INDIRECT(ADDRESS(ROW()-8-($C58),COLUMN()))))</f>
        <v/>
      </c>
      <c r="F58" s="242"/>
      <c r="G58" s="242"/>
      <c r="H58" s="243"/>
      <c r="I58" s="241" t="str" cm="1">
        <f t="array" aca="1" ref="I58" ca="1">IF(INDEX(集計3!$C$16:$CX$25,$C58,INDIRECT(ADDRESS(ROW()-8-($C58),COLUMN())))="","",INDEX(集計3!$C$16:$CX$25,$C58,INDIRECT(ADDRESS(ROW()-8-($C58),COLUMN()))))</f>
        <v/>
      </c>
      <c r="J58" s="242"/>
      <c r="K58" s="242"/>
      <c r="L58" s="243"/>
      <c r="M58" s="241" t="str" cm="1">
        <f t="array" aca="1" ref="M58" ca="1">IF(INDEX(集計3!$C$16:$CX$25,$C58,INDIRECT(ADDRESS(ROW()-8-($C58),COLUMN())))="","",INDEX(集計3!$C$16:$CX$25,$C58,INDIRECT(ADDRESS(ROW()-8-($C58),COLUMN()))))</f>
        <v/>
      </c>
      <c r="N58" s="242"/>
      <c r="O58" s="242"/>
      <c r="P58" s="243"/>
      <c r="Q58" s="241" t="str" cm="1">
        <f t="array" aca="1" ref="Q58" ca="1">IF(INDEX(集計3!$C$16:$CX$25,$C58,INDIRECT(ADDRESS(ROW()-8-($C58),COLUMN())))="","",INDEX(集計3!$C$16:$CX$25,$C58,INDIRECT(ADDRESS(ROW()-8-($C58),COLUMN()))))</f>
        <v/>
      </c>
      <c r="R58" s="242"/>
      <c r="S58" s="242"/>
      <c r="T58" s="243"/>
      <c r="U58" s="241" t="str" cm="1">
        <f t="array" aca="1" ref="U58" ca="1">IF(INDEX(集計3!$C$16:$CX$25,$C58,INDIRECT(ADDRESS(ROW()-8-($C58),COLUMN())))="","",INDEX(集計3!$C$16:$CX$25,$C58,INDIRECT(ADDRESS(ROW()-8-($C58),COLUMN()))))</f>
        <v/>
      </c>
      <c r="V58" s="242"/>
      <c r="W58" s="242"/>
      <c r="X58" s="243"/>
      <c r="Y58" s="241" t="str" cm="1">
        <f t="array" aca="1" ref="Y58" ca="1">IF(INDEX(集計3!$C$16:$CX$25,$C58,INDIRECT(ADDRESS(ROW()-8-($C58),COLUMN())))="","",INDEX(集計3!$C$16:$CX$25,$C58,INDIRECT(ADDRESS(ROW()-8-($C58),COLUMN()))))</f>
        <v/>
      </c>
      <c r="Z58" s="242"/>
      <c r="AA58" s="242"/>
      <c r="AB58" s="243"/>
      <c r="AC58" s="241" t="str" cm="1">
        <f t="array" aca="1" ref="AC58" ca="1">IF(INDEX(集計3!$C$16:$CX$25,$C58,INDIRECT(ADDRESS(ROW()-8-($C58),COLUMN())))="","",INDEX(集計3!$C$16:$CX$25,$C58,INDIRECT(ADDRESS(ROW()-8-($C58),COLUMN()))))</f>
        <v/>
      </c>
      <c r="AD58" s="242"/>
      <c r="AE58" s="242"/>
      <c r="AF58" s="243"/>
      <c r="AG58" s="241" t="str" cm="1">
        <f t="array" aca="1" ref="AG58" ca="1">IF(INDEX(集計3!$C$16:$CX$25,$C58,INDIRECT(ADDRESS(ROW()-8-($C58),COLUMN())))="","",INDEX(集計3!$C$16:$CX$25,$C58,INDIRECT(ADDRESS(ROW()-8-($C58),COLUMN()))))</f>
        <v/>
      </c>
      <c r="AH58" s="242"/>
      <c r="AI58" s="242"/>
      <c r="AJ58" s="243"/>
      <c r="AK58" s="241" t="str" cm="1">
        <f t="array" aca="1" ref="AK58" ca="1">IF(INDEX(集計3!$C$16:$CX$25,$C58,INDIRECT(ADDRESS(ROW()-8-($C58),COLUMN())))="","",INDEX(集計3!$C$16:$CX$25,$C58,INDIRECT(ADDRESS(ROW()-8-($C58),COLUMN()))))</f>
        <v/>
      </c>
      <c r="AL58" s="242"/>
      <c r="AM58" s="242"/>
      <c r="AN58" s="243"/>
      <c r="AO58" s="241" t="str" cm="1">
        <f t="array" aca="1" ref="AO58" ca="1">IF(INDEX(集計3!$C$16:$CX$25,$C58,INDIRECT(ADDRESS(ROW()-8-($C58),COLUMN())))="","",INDEX(集計3!$C$16:$CX$25,$C58,INDIRECT(ADDRESS(ROW()-8-($C58),COLUMN()))))</f>
        <v/>
      </c>
      <c r="AP58" s="242"/>
      <c r="AQ58" s="242"/>
      <c r="AR58" s="243"/>
    </row>
    <row r="59" spans="1:44" ht="14.75" customHeight="1" x14ac:dyDescent="0.7">
      <c r="A59" s="250"/>
      <c r="B59" s="250"/>
      <c r="C59" s="231">
        <v>4</v>
      </c>
      <c r="D59" s="232"/>
      <c r="E59" s="241" t="str" cm="1">
        <f t="array" aca="1" ref="E59" ca="1">IF(INDEX(集計3!$C$16:$CX$25,$C59,INDIRECT(ADDRESS(ROW()-8-($C59),COLUMN())))="","",INDEX(集計3!$C$16:$CX$25,$C59,INDIRECT(ADDRESS(ROW()-8-($C59),COLUMN()))))</f>
        <v/>
      </c>
      <c r="F59" s="242"/>
      <c r="G59" s="242"/>
      <c r="H59" s="243"/>
      <c r="I59" s="241" t="str" cm="1">
        <f t="array" aca="1" ref="I59" ca="1">IF(INDEX(集計3!$C$16:$CX$25,$C59,INDIRECT(ADDRESS(ROW()-8-($C59),COLUMN())))="","",INDEX(集計3!$C$16:$CX$25,$C59,INDIRECT(ADDRESS(ROW()-8-($C59),COLUMN()))))</f>
        <v/>
      </c>
      <c r="J59" s="242"/>
      <c r="K59" s="242"/>
      <c r="L59" s="243"/>
      <c r="M59" s="241" t="str" cm="1">
        <f t="array" aca="1" ref="M59" ca="1">IF(INDEX(集計3!$C$16:$CX$25,$C59,INDIRECT(ADDRESS(ROW()-8-($C59),COLUMN())))="","",INDEX(集計3!$C$16:$CX$25,$C59,INDIRECT(ADDRESS(ROW()-8-($C59),COLUMN()))))</f>
        <v/>
      </c>
      <c r="N59" s="242"/>
      <c r="O59" s="242"/>
      <c r="P59" s="243"/>
      <c r="Q59" s="241" t="str" cm="1">
        <f t="array" aca="1" ref="Q59" ca="1">IF(INDEX(集計3!$C$16:$CX$25,$C59,INDIRECT(ADDRESS(ROW()-8-($C59),COLUMN())))="","",INDEX(集計3!$C$16:$CX$25,$C59,INDIRECT(ADDRESS(ROW()-8-($C59),COLUMN()))))</f>
        <v/>
      </c>
      <c r="R59" s="242"/>
      <c r="S59" s="242"/>
      <c r="T59" s="243"/>
      <c r="U59" s="241" t="str" cm="1">
        <f t="array" aca="1" ref="U59" ca="1">IF(INDEX(集計3!$C$16:$CX$25,$C59,INDIRECT(ADDRESS(ROW()-8-($C59),COLUMN())))="","",INDEX(集計3!$C$16:$CX$25,$C59,INDIRECT(ADDRESS(ROW()-8-($C59),COLUMN()))))</f>
        <v/>
      </c>
      <c r="V59" s="242"/>
      <c r="W59" s="242"/>
      <c r="X59" s="243"/>
      <c r="Y59" s="241" t="str" cm="1">
        <f t="array" aca="1" ref="Y59" ca="1">IF(INDEX(集計3!$C$16:$CX$25,$C59,INDIRECT(ADDRESS(ROW()-8-($C59),COLUMN())))="","",INDEX(集計3!$C$16:$CX$25,$C59,INDIRECT(ADDRESS(ROW()-8-($C59),COLUMN()))))</f>
        <v/>
      </c>
      <c r="Z59" s="242"/>
      <c r="AA59" s="242"/>
      <c r="AB59" s="243"/>
      <c r="AC59" s="241" t="str" cm="1">
        <f t="array" aca="1" ref="AC59" ca="1">IF(INDEX(集計3!$C$16:$CX$25,$C59,INDIRECT(ADDRESS(ROW()-8-($C59),COLUMN())))="","",INDEX(集計3!$C$16:$CX$25,$C59,INDIRECT(ADDRESS(ROW()-8-($C59),COLUMN()))))</f>
        <v/>
      </c>
      <c r="AD59" s="242"/>
      <c r="AE59" s="242"/>
      <c r="AF59" s="243"/>
      <c r="AG59" s="241" t="str" cm="1">
        <f t="array" aca="1" ref="AG59" ca="1">IF(INDEX(集計3!$C$16:$CX$25,$C59,INDIRECT(ADDRESS(ROW()-8-($C59),COLUMN())))="","",INDEX(集計3!$C$16:$CX$25,$C59,INDIRECT(ADDRESS(ROW()-8-($C59),COLUMN()))))</f>
        <v/>
      </c>
      <c r="AH59" s="242"/>
      <c r="AI59" s="242"/>
      <c r="AJ59" s="243"/>
      <c r="AK59" s="241" t="str" cm="1">
        <f t="array" aca="1" ref="AK59" ca="1">IF(INDEX(集計3!$C$16:$CX$25,$C59,INDIRECT(ADDRESS(ROW()-8-($C59),COLUMN())))="","",INDEX(集計3!$C$16:$CX$25,$C59,INDIRECT(ADDRESS(ROW()-8-($C59),COLUMN()))))</f>
        <v/>
      </c>
      <c r="AL59" s="242"/>
      <c r="AM59" s="242"/>
      <c r="AN59" s="243"/>
      <c r="AO59" s="241" t="str" cm="1">
        <f t="array" aca="1" ref="AO59" ca="1">IF(INDEX(集計3!$C$16:$CX$25,$C59,INDIRECT(ADDRESS(ROW()-8-($C59),COLUMN())))="","",INDEX(集計3!$C$16:$CX$25,$C59,INDIRECT(ADDRESS(ROW()-8-($C59),COLUMN()))))</f>
        <v/>
      </c>
      <c r="AP59" s="242"/>
      <c r="AQ59" s="242"/>
      <c r="AR59" s="243"/>
    </row>
    <row r="60" spans="1:44" ht="14.75" customHeight="1" x14ac:dyDescent="0.7">
      <c r="A60" s="250"/>
      <c r="B60" s="250"/>
      <c r="C60" s="231">
        <v>5</v>
      </c>
      <c r="D60" s="232"/>
      <c r="E60" s="241" t="str" cm="1">
        <f t="array" aca="1" ref="E60" ca="1">IF(INDEX(集計3!$C$16:$CX$25,$C60,INDIRECT(ADDRESS(ROW()-8-($C60),COLUMN())))="","",INDEX(集計3!$C$16:$CX$25,$C60,INDIRECT(ADDRESS(ROW()-8-($C60),COLUMN()))))</f>
        <v/>
      </c>
      <c r="F60" s="242"/>
      <c r="G60" s="242"/>
      <c r="H60" s="243"/>
      <c r="I60" s="241" t="str" cm="1">
        <f t="array" aca="1" ref="I60" ca="1">IF(INDEX(集計3!$C$16:$CX$25,$C60,INDIRECT(ADDRESS(ROW()-8-($C60),COLUMN())))="","",INDEX(集計3!$C$16:$CX$25,$C60,INDIRECT(ADDRESS(ROW()-8-($C60),COLUMN()))))</f>
        <v/>
      </c>
      <c r="J60" s="242"/>
      <c r="K60" s="242"/>
      <c r="L60" s="243"/>
      <c r="M60" s="241" t="str" cm="1">
        <f t="array" aca="1" ref="M60" ca="1">IF(INDEX(集計3!$C$16:$CX$25,$C60,INDIRECT(ADDRESS(ROW()-8-($C60),COLUMN())))="","",INDEX(集計3!$C$16:$CX$25,$C60,INDIRECT(ADDRESS(ROW()-8-($C60),COLUMN()))))</f>
        <v/>
      </c>
      <c r="N60" s="242"/>
      <c r="O60" s="242"/>
      <c r="P60" s="243"/>
      <c r="Q60" s="241" t="str" cm="1">
        <f t="array" aca="1" ref="Q60" ca="1">IF(INDEX(集計3!$C$16:$CX$25,$C60,INDIRECT(ADDRESS(ROW()-8-($C60),COLUMN())))="","",INDEX(集計3!$C$16:$CX$25,$C60,INDIRECT(ADDRESS(ROW()-8-($C60),COLUMN()))))</f>
        <v/>
      </c>
      <c r="R60" s="242"/>
      <c r="S60" s="242"/>
      <c r="T60" s="243"/>
      <c r="U60" s="241" t="str" cm="1">
        <f t="array" aca="1" ref="U60" ca="1">IF(INDEX(集計3!$C$16:$CX$25,$C60,INDIRECT(ADDRESS(ROW()-8-($C60),COLUMN())))="","",INDEX(集計3!$C$16:$CX$25,$C60,INDIRECT(ADDRESS(ROW()-8-($C60),COLUMN()))))</f>
        <v/>
      </c>
      <c r="V60" s="242"/>
      <c r="W60" s="242"/>
      <c r="X60" s="243"/>
      <c r="Y60" s="241" t="str" cm="1">
        <f t="array" aca="1" ref="Y60" ca="1">IF(INDEX(集計3!$C$16:$CX$25,$C60,INDIRECT(ADDRESS(ROW()-8-($C60),COLUMN())))="","",INDEX(集計3!$C$16:$CX$25,$C60,INDIRECT(ADDRESS(ROW()-8-($C60),COLUMN()))))</f>
        <v/>
      </c>
      <c r="Z60" s="242"/>
      <c r="AA60" s="242"/>
      <c r="AB60" s="243"/>
      <c r="AC60" s="241" t="str" cm="1">
        <f t="array" aca="1" ref="AC60" ca="1">IF(INDEX(集計3!$C$16:$CX$25,$C60,INDIRECT(ADDRESS(ROW()-8-($C60),COLUMN())))="","",INDEX(集計3!$C$16:$CX$25,$C60,INDIRECT(ADDRESS(ROW()-8-($C60),COLUMN()))))</f>
        <v/>
      </c>
      <c r="AD60" s="242"/>
      <c r="AE60" s="242"/>
      <c r="AF60" s="243"/>
      <c r="AG60" s="241" t="str" cm="1">
        <f t="array" aca="1" ref="AG60" ca="1">IF(INDEX(集計3!$C$16:$CX$25,$C60,INDIRECT(ADDRESS(ROW()-8-($C60),COLUMN())))="","",INDEX(集計3!$C$16:$CX$25,$C60,INDIRECT(ADDRESS(ROW()-8-($C60),COLUMN()))))</f>
        <v/>
      </c>
      <c r="AH60" s="242"/>
      <c r="AI60" s="242"/>
      <c r="AJ60" s="243"/>
      <c r="AK60" s="241" t="str" cm="1">
        <f t="array" aca="1" ref="AK60" ca="1">IF(INDEX(集計3!$C$16:$CX$25,$C60,INDIRECT(ADDRESS(ROW()-8-($C60),COLUMN())))="","",INDEX(集計3!$C$16:$CX$25,$C60,INDIRECT(ADDRESS(ROW()-8-($C60),COLUMN()))))</f>
        <v/>
      </c>
      <c r="AL60" s="242"/>
      <c r="AM60" s="242"/>
      <c r="AN60" s="243"/>
      <c r="AO60" s="241" t="str" cm="1">
        <f t="array" aca="1" ref="AO60" ca="1">IF(INDEX(集計3!$C$16:$CX$25,$C60,INDIRECT(ADDRESS(ROW()-8-($C60),COLUMN())))="","",INDEX(集計3!$C$16:$CX$25,$C60,INDIRECT(ADDRESS(ROW()-8-($C60),COLUMN()))))</f>
        <v/>
      </c>
      <c r="AP60" s="242"/>
      <c r="AQ60" s="242"/>
      <c r="AR60" s="243"/>
    </row>
    <row r="61" spans="1:44" ht="14.75" customHeight="1" x14ac:dyDescent="0.7">
      <c r="A61" s="250"/>
      <c r="B61" s="250"/>
      <c r="C61" s="231">
        <v>6</v>
      </c>
      <c r="D61" s="232"/>
      <c r="E61" s="233" t="str" cm="1">
        <f t="array" aca="1" ref="E61" ca="1">IF(INDEX(集計3!$C$16:$CX$25,$C61,INDIRECT(ADDRESS(ROW()-8-($C61),COLUMN())))="","",INDEX(集計3!$C$16:$CX$25,$C61,INDIRECT(ADDRESS(ROW()-8-($C61),COLUMN()))))</f>
        <v/>
      </c>
      <c r="F61" s="234"/>
      <c r="G61" s="234"/>
      <c r="H61" s="235"/>
      <c r="I61" s="233" t="str" cm="1">
        <f t="array" aca="1" ref="I61" ca="1">IF(INDEX(集計3!$C$16:$CX$25,$C61,INDIRECT(ADDRESS(ROW()-8-($C61),COLUMN())))="","",INDEX(集計3!$C$16:$CX$25,$C61,INDIRECT(ADDRESS(ROW()-8-($C61),COLUMN()))))</f>
        <v/>
      </c>
      <c r="J61" s="234"/>
      <c r="K61" s="234"/>
      <c r="L61" s="235"/>
      <c r="M61" s="233" t="str" cm="1">
        <f t="array" aca="1" ref="M61" ca="1">IF(INDEX(集計3!$C$16:$CX$25,$C61,INDIRECT(ADDRESS(ROW()-8-($C61),COLUMN())))="","",INDEX(集計3!$C$16:$CX$25,$C61,INDIRECT(ADDRESS(ROW()-8-($C61),COLUMN()))))</f>
        <v/>
      </c>
      <c r="N61" s="234"/>
      <c r="O61" s="234"/>
      <c r="P61" s="235"/>
      <c r="Q61" s="233" t="str" cm="1">
        <f t="array" aca="1" ref="Q61" ca="1">IF(INDEX(集計3!$C$16:$CX$25,$C61,INDIRECT(ADDRESS(ROW()-8-($C61),COLUMN())))="","",INDEX(集計3!$C$16:$CX$25,$C61,INDIRECT(ADDRESS(ROW()-8-($C61),COLUMN()))))</f>
        <v/>
      </c>
      <c r="R61" s="234"/>
      <c r="S61" s="234"/>
      <c r="T61" s="235"/>
      <c r="U61" s="233" t="str" cm="1">
        <f t="array" aca="1" ref="U61" ca="1">IF(INDEX(集計3!$C$16:$CX$25,$C61,INDIRECT(ADDRESS(ROW()-8-($C61),COLUMN())))="","",INDEX(集計3!$C$16:$CX$25,$C61,INDIRECT(ADDRESS(ROW()-8-($C61),COLUMN()))))</f>
        <v/>
      </c>
      <c r="V61" s="234"/>
      <c r="W61" s="234"/>
      <c r="X61" s="235"/>
      <c r="Y61" s="233" t="str" cm="1">
        <f t="array" aca="1" ref="Y61" ca="1">IF(INDEX(集計3!$C$16:$CX$25,$C61,INDIRECT(ADDRESS(ROW()-8-($C61),COLUMN())))="","",INDEX(集計3!$C$16:$CX$25,$C61,INDIRECT(ADDRESS(ROW()-8-($C61),COLUMN()))))</f>
        <v/>
      </c>
      <c r="Z61" s="234"/>
      <c r="AA61" s="234"/>
      <c r="AB61" s="235"/>
      <c r="AC61" s="233" t="str" cm="1">
        <f t="array" aca="1" ref="AC61" ca="1">IF(INDEX(集計3!$C$16:$CX$25,$C61,INDIRECT(ADDRESS(ROW()-8-($C61),COLUMN())))="","",INDEX(集計3!$C$16:$CX$25,$C61,INDIRECT(ADDRESS(ROW()-8-($C61),COLUMN()))))</f>
        <v/>
      </c>
      <c r="AD61" s="234"/>
      <c r="AE61" s="234"/>
      <c r="AF61" s="235"/>
      <c r="AG61" s="233" t="str" cm="1">
        <f t="array" aca="1" ref="AG61" ca="1">IF(INDEX(集計3!$C$16:$CX$25,$C61,INDIRECT(ADDRESS(ROW()-8-($C61),COLUMN())))="","",INDEX(集計3!$C$16:$CX$25,$C61,INDIRECT(ADDRESS(ROW()-8-($C61),COLUMN()))))</f>
        <v/>
      </c>
      <c r="AH61" s="234"/>
      <c r="AI61" s="234"/>
      <c r="AJ61" s="235"/>
      <c r="AK61" s="233" t="str" cm="1">
        <f t="array" aca="1" ref="AK61" ca="1">IF(INDEX(集計3!$C$16:$CX$25,$C61,INDIRECT(ADDRESS(ROW()-8-($C61),COLUMN())))="","",INDEX(集計3!$C$16:$CX$25,$C61,INDIRECT(ADDRESS(ROW()-8-($C61),COLUMN()))))</f>
        <v/>
      </c>
      <c r="AL61" s="234"/>
      <c r="AM61" s="234"/>
      <c r="AN61" s="235"/>
      <c r="AO61" s="233" t="str" cm="1">
        <f t="array" aca="1" ref="AO61" ca="1">IF(INDEX(集計3!$C$16:$CX$25,$C61,INDIRECT(ADDRESS(ROW()-8-($C61),COLUMN())))="","",INDEX(集計3!$C$16:$CX$25,$C61,INDIRECT(ADDRESS(ROW()-8-($C61),COLUMN()))))</f>
        <v/>
      </c>
      <c r="AP61" s="234"/>
      <c r="AQ61" s="234"/>
      <c r="AR61" s="235"/>
    </row>
    <row r="62" spans="1:44" ht="14.75" customHeight="1" x14ac:dyDescent="0.7">
      <c r="A62" s="250"/>
      <c r="B62" s="250"/>
      <c r="C62" s="231">
        <v>7</v>
      </c>
      <c r="D62" s="232"/>
      <c r="E62" s="233" t="str" cm="1">
        <f t="array" aca="1" ref="E62" ca="1">IF(INDEX(集計3!$C$16:$CX$25,$C62,INDIRECT(ADDRESS(ROW()-8-($C62),COLUMN())))="","",INDEX(集計3!$C$16:$CX$25,$C62,INDIRECT(ADDRESS(ROW()-8-($C62),COLUMN()))))</f>
        <v/>
      </c>
      <c r="F62" s="234"/>
      <c r="G62" s="234"/>
      <c r="H62" s="235"/>
      <c r="I62" s="233" t="str" cm="1">
        <f t="array" aca="1" ref="I62" ca="1">IF(INDEX(集計3!$C$16:$CX$25,$C62,INDIRECT(ADDRESS(ROW()-8-($C62),COLUMN())))="","",INDEX(集計3!$C$16:$CX$25,$C62,INDIRECT(ADDRESS(ROW()-8-($C62),COLUMN()))))</f>
        <v/>
      </c>
      <c r="J62" s="234"/>
      <c r="K62" s="234"/>
      <c r="L62" s="235"/>
      <c r="M62" s="233" t="str" cm="1">
        <f t="array" aca="1" ref="M62" ca="1">IF(INDEX(集計3!$C$16:$CX$25,$C62,INDIRECT(ADDRESS(ROW()-8-($C62),COLUMN())))="","",INDEX(集計3!$C$16:$CX$25,$C62,INDIRECT(ADDRESS(ROW()-8-($C62),COLUMN()))))</f>
        <v/>
      </c>
      <c r="N62" s="234"/>
      <c r="O62" s="234"/>
      <c r="P62" s="235"/>
      <c r="Q62" s="233" t="str" cm="1">
        <f t="array" aca="1" ref="Q62" ca="1">IF(INDEX(集計3!$C$16:$CX$25,$C62,INDIRECT(ADDRESS(ROW()-8-($C62),COLUMN())))="","",INDEX(集計3!$C$16:$CX$25,$C62,INDIRECT(ADDRESS(ROW()-8-($C62),COLUMN()))))</f>
        <v/>
      </c>
      <c r="R62" s="234"/>
      <c r="S62" s="234"/>
      <c r="T62" s="235"/>
      <c r="U62" s="233" t="str" cm="1">
        <f t="array" aca="1" ref="U62" ca="1">IF(INDEX(集計3!$C$16:$CX$25,$C62,INDIRECT(ADDRESS(ROW()-8-($C62),COLUMN())))="","",INDEX(集計3!$C$16:$CX$25,$C62,INDIRECT(ADDRESS(ROW()-8-($C62),COLUMN()))))</f>
        <v/>
      </c>
      <c r="V62" s="234"/>
      <c r="W62" s="234"/>
      <c r="X62" s="235"/>
      <c r="Y62" s="233" t="str" cm="1">
        <f t="array" aca="1" ref="Y62" ca="1">IF(INDEX(集計3!$C$16:$CX$25,$C62,INDIRECT(ADDRESS(ROW()-8-($C62),COLUMN())))="","",INDEX(集計3!$C$16:$CX$25,$C62,INDIRECT(ADDRESS(ROW()-8-($C62),COLUMN()))))</f>
        <v/>
      </c>
      <c r="Z62" s="234"/>
      <c r="AA62" s="234"/>
      <c r="AB62" s="235"/>
      <c r="AC62" s="233" t="str" cm="1">
        <f t="array" aca="1" ref="AC62" ca="1">IF(INDEX(集計3!$C$16:$CX$25,$C62,INDIRECT(ADDRESS(ROW()-8-($C62),COLUMN())))="","",INDEX(集計3!$C$16:$CX$25,$C62,INDIRECT(ADDRESS(ROW()-8-($C62),COLUMN()))))</f>
        <v/>
      </c>
      <c r="AD62" s="234"/>
      <c r="AE62" s="234"/>
      <c r="AF62" s="235"/>
      <c r="AG62" s="233" t="str" cm="1">
        <f t="array" aca="1" ref="AG62" ca="1">IF(INDEX(集計3!$C$16:$CX$25,$C62,INDIRECT(ADDRESS(ROW()-8-($C62),COLUMN())))="","",INDEX(集計3!$C$16:$CX$25,$C62,INDIRECT(ADDRESS(ROW()-8-($C62),COLUMN()))))</f>
        <v/>
      </c>
      <c r="AH62" s="234"/>
      <c r="AI62" s="234"/>
      <c r="AJ62" s="235"/>
      <c r="AK62" s="233" t="str" cm="1">
        <f t="array" aca="1" ref="AK62" ca="1">IF(INDEX(集計3!$C$16:$CX$25,$C62,INDIRECT(ADDRESS(ROW()-8-($C62),COLUMN())))="","",INDEX(集計3!$C$16:$CX$25,$C62,INDIRECT(ADDRESS(ROW()-8-($C62),COLUMN()))))</f>
        <v/>
      </c>
      <c r="AL62" s="234"/>
      <c r="AM62" s="234"/>
      <c r="AN62" s="235"/>
      <c r="AO62" s="233" t="str" cm="1">
        <f t="array" aca="1" ref="AO62" ca="1">IF(INDEX(集計3!$C$16:$CX$25,$C62,INDIRECT(ADDRESS(ROW()-8-($C62),COLUMN())))="","",INDEX(集計3!$C$16:$CX$25,$C62,INDIRECT(ADDRESS(ROW()-8-($C62),COLUMN()))))</f>
        <v/>
      </c>
      <c r="AP62" s="234"/>
      <c r="AQ62" s="234"/>
      <c r="AR62" s="235"/>
    </row>
    <row r="63" spans="1:44" ht="14.75" customHeight="1" x14ac:dyDescent="0.7">
      <c r="A63" s="250"/>
      <c r="B63" s="250"/>
      <c r="C63" s="231">
        <v>8</v>
      </c>
      <c r="D63" s="232"/>
      <c r="E63" s="233" t="str" cm="1">
        <f t="array" aca="1" ref="E63" ca="1">IF(INDEX(集計3!$C$16:$CX$25,$C63,INDIRECT(ADDRESS(ROW()-8-($C63),COLUMN())))="","",INDEX(集計3!$C$16:$CX$25,$C63,INDIRECT(ADDRESS(ROW()-8-($C63),COLUMN()))))</f>
        <v/>
      </c>
      <c r="F63" s="234"/>
      <c r="G63" s="234"/>
      <c r="H63" s="235"/>
      <c r="I63" s="233" t="str" cm="1">
        <f t="array" aca="1" ref="I63" ca="1">IF(INDEX(集計3!$C$16:$CX$25,$C63,INDIRECT(ADDRESS(ROW()-8-($C63),COLUMN())))="","",INDEX(集計3!$C$16:$CX$25,$C63,INDIRECT(ADDRESS(ROW()-8-($C63),COLUMN()))))</f>
        <v/>
      </c>
      <c r="J63" s="234"/>
      <c r="K63" s="234"/>
      <c r="L63" s="235"/>
      <c r="M63" s="233" t="str" cm="1">
        <f t="array" aca="1" ref="M63" ca="1">IF(INDEX(集計3!$C$16:$CX$25,$C63,INDIRECT(ADDRESS(ROW()-8-($C63),COLUMN())))="","",INDEX(集計3!$C$16:$CX$25,$C63,INDIRECT(ADDRESS(ROW()-8-($C63),COLUMN()))))</f>
        <v/>
      </c>
      <c r="N63" s="234"/>
      <c r="O63" s="234"/>
      <c r="P63" s="235"/>
      <c r="Q63" s="233" t="str" cm="1">
        <f t="array" aca="1" ref="Q63" ca="1">IF(INDEX(集計3!$C$16:$CX$25,$C63,INDIRECT(ADDRESS(ROW()-8-($C63),COLUMN())))="","",INDEX(集計3!$C$16:$CX$25,$C63,INDIRECT(ADDRESS(ROW()-8-($C63),COLUMN()))))</f>
        <v/>
      </c>
      <c r="R63" s="234"/>
      <c r="S63" s="234"/>
      <c r="T63" s="235"/>
      <c r="U63" s="233" t="str" cm="1">
        <f t="array" aca="1" ref="U63" ca="1">IF(INDEX(集計3!$C$16:$CX$25,$C63,INDIRECT(ADDRESS(ROW()-8-($C63),COLUMN())))="","",INDEX(集計3!$C$16:$CX$25,$C63,INDIRECT(ADDRESS(ROW()-8-($C63),COLUMN()))))</f>
        <v/>
      </c>
      <c r="V63" s="234"/>
      <c r="W63" s="234"/>
      <c r="X63" s="235"/>
      <c r="Y63" s="233" t="str" cm="1">
        <f t="array" aca="1" ref="Y63" ca="1">IF(INDEX(集計3!$C$16:$CX$25,$C63,INDIRECT(ADDRESS(ROW()-8-($C63),COLUMN())))="","",INDEX(集計3!$C$16:$CX$25,$C63,INDIRECT(ADDRESS(ROW()-8-($C63),COLUMN()))))</f>
        <v/>
      </c>
      <c r="Z63" s="234"/>
      <c r="AA63" s="234"/>
      <c r="AB63" s="235"/>
      <c r="AC63" s="233" t="str" cm="1">
        <f t="array" aca="1" ref="AC63" ca="1">IF(INDEX(集計3!$C$16:$CX$25,$C63,INDIRECT(ADDRESS(ROW()-8-($C63),COLUMN())))="","",INDEX(集計3!$C$16:$CX$25,$C63,INDIRECT(ADDRESS(ROW()-8-($C63),COLUMN()))))</f>
        <v/>
      </c>
      <c r="AD63" s="234"/>
      <c r="AE63" s="234"/>
      <c r="AF63" s="235"/>
      <c r="AG63" s="233" t="str" cm="1">
        <f t="array" aca="1" ref="AG63" ca="1">IF(INDEX(集計3!$C$16:$CX$25,$C63,INDIRECT(ADDRESS(ROW()-8-($C63),COLUMN())))="","",INDEX(集計3!$C$16:$CX$25,$C63,INDIRECT(ADDRESS(ROW()-8-($C63),COLUMN()))))</f>
        <v/>
      </c>
      <c r="AH63" s="234"/>
      <c r="AI63" s="234"/>
      <c r="AJ63" s="235"/>
      <c r="AK63" s="233" t="str" cm="1">
        <f t="array" aca="1" ref="AK63" ca="1">IF(INDEX(集計3!$C$16:$CX$25,$C63,INDIRECT(ADDRESS(ROW()-8-($C63),COLUMN())))="","",INDEX(集計3!$C$16:$CX$25,$C63,INDIRECT(ADDRESS(ROW()-8-($C63),COLUMN()))))</f>
        <v/>
      </c>
      <c r="AL63" s="234"/>
      <c r="AM63" s="234"/>
      <c r="AN63" s="235"/>
      <c r="AO63" s="233" t="str" cm="1">
        <f t="array" aca="1" ref="AO63" ca="1">IF(INDEX(集計3!$C$16:$CX$25,$C63,INDIRECT(ADDRESS(ROW()-8-($C63),COLUMN())))="","",INDEX(集計3!$C$16:$CX$25,$C63,INDIRECT(ADDRESS(ROW()-8-($C63),COLUMN()))))</f>
        <v/>
      </c>
      <c r="AP63" s="234"/>
      <c r="AQ63" s="234"/>
      <c r="AR63" s="235"/>
    </row>
    <row r="64" spans="1:44" ht="14.75" customHeight="1" x14ac:dyDescent="0.7">
      <c r="A64" s="250"/>
      <c r="B64" s="250"/>
      <c r="C64" s="231">
        <v>9</v>
      </c>
      <c r="D64" s="232"/>
      <c r="E64" s="233" t="str" cm="1">
        <f t="array" aca="1" ref="E64" ca="1">IF(INDEX(集計3!$C$16:$CX$25,$C64,INDIRECT(ADDRESS(ROW()-8-($C64),COLUMN())))="","",INDEX(集計3!$C$16:$CX$25,$C64,INDIRECT(ADDRESS(ROW()-8-($C64),COLUMN()))))</f>
        <v/>
      </c>
      <c r="F64" s="234"/>
      <c r="G64" s="234"/>
      <c r="H64" s="235"/>
      <c r="I64" s="233" t="str" cm="1">
        <f t="array" aca="1" ref="I64" ca="1">IF(INDEX(集計3!$C$16:$CX$25,$C64,INDIRECT(ADDRESS(ROW()-8-($C64),COLUMN())))="","",INDEX(集計3!$C$16:$CX$25,$C64,INDIRECT(ADDRESS(ROW()-8-($C64),COLUMN()))))</f>
        <v/>
      </c>
      <c r="J64" s="234"/>
      <c r="K64" s="234"/>
      <c r="L64" s="235"/>
      <c r="M64" s="233" t="str" cm="1">
        <f t="array" aca="1" ref="M64" ca="1">IF(INDEX(集計3!$C$16:$CX$25,$C64,INDIRECT(ADDRESS(ROW()-8-($C64),COLUMN())))="","",INDEX(集計3!$C$16:$CX$25,$C64,INDIRECT(ADDRESS(ROW()-8-($C64),COLUMN()))))</f>
        <v/>
      </c>
      <c r="N64" s="234"/>
      <c r="O64" s="234"/>
      <c r="P64" s="235"/>
      <c r="Q64" s="233" t="str" cm="1">
        <f t="array" aca="1" ref="Q64" ca="1">IF(INDEX(集計3!$C$16:$CX$25,$C64,INDIRECT(ADDRESS(ROW()-8-($C64),COLUMN())))="","",INDEX(集計3!$C$16:$CX$25,$C64,INDIRECT(ADDRESS(ROW()-8-($C64),COLUMN()))))</f>
        <v/>
      </c>
      <c r="R64" s="234"/>
      <c r="S64" s="234"/>
      <c r="T64" s="235"/>
      <c r="U64" s="233" t="str" cm="1">
        <f t="array" aca="1" ref="U64" ca="1">IF(INDEX(集計3!$C$16:$CX$25,$C64,INDIRECT(ADDRESS(ROW()-8-($C64),COLUMN())))="","",INDEX(集計3!$C$16:$CX$25,$C64,INDIRECT(ADDRESS(ROW()-8-($C64),COLUMN()))))</f>
        <v/>
      </c>
      <c r="V64" s="234"/>
      <c r="W64" s="234"/>
      <c r="X64" s="235"/>
      <c r="Y64" s="233" t="str" cm="1">
        <f t="array" aca="1" ref="Y64" ca="1">IF(INDEX(集計3!$C$16:$CX$25,$C64,INDIRECT(ADDRESS(ROW()-8-($C64),COLUMN())))="","",INDEX(集計3!$C$16:$CX$25,$C64,INDIRECT(ADDRESS(ROW()-8-($C64),COLUMN()))))</f>
        <v/>
      </c>
      <c r="Z64" s="234"/>
      <c r="AA64" s="234"/>
      <c r="AB64" s="235"/>
      <c r="AC64" s="233" t="str" cm="1">
        <f t="array" aca="1" ref="AC64" ca="1">IF(INDEX(集計3!$C$16:$CX$25,$C64,INDIRECT(ADDRESS(ROW()-8-($C64),COLUMN())))="","",INDEX(集計3!$C$16:$CX$25,$C64,INDIRECT(ADDRESS(ROW()-8-($C64),COLUMN()))))</f>
        <v/>
      </c>
      <c r="AD64" s="234"/>
      <c r="AE64" s="234"/>
      <c r="AF64" s="235"/>
      <c r="AG64" s="233" t="str" cm="1">
        <f t="array" aca="1" ref="AG64" ca="1">IF(INDEX(集計3!$C$16:$CX$25,$C64,INDIRECT(ADDRESS(ROW()-8-($C64),COLUMN())))="","",INDEX(集計3!$C$16:$CX$25,$C64,INDIRECT(ADDRESS(ROW()-8-($C64),COLUMN()))))</f>
        <v/>
      </c>
      <c r="AH64" s="234"/>
      <c r="AI64" s="234"/>
      <c r="AJ64" s="235"/>
      <c r="AK64" s="233" t="str" cm="1">
        <f t="array" aca="1" ref="AK64" ca="1">IF(INDEX(集計3!$C$16:$CX$25,$C64,INDIRECT(ADDRESS(ROW()-8-($C64),COLUMN())))="","",INDEX(集計3!$C$16:$CX$25,$C64,INDIRECT(ADDRESS(ROW()-8-($C64),COLUMN()))))</f>
        <v/>
      </c>
      <c r="AL64" s="234"/>
      <c r="AM64" s="234"/>
      <c r="AN64" s="235"/>
      <c r="AO64" s="233" t="str" cm="1">
        <f t="array" aca="1" ref="AO64" ca="1">IF(INDEX(集計3!$C$16:$CX$25,$C64,INDIRECT(ADDRESS(ROW()-8-($C64),COLUMN())))="","",INDEX(集計3!$C$16:$CX$25,$C64,INDIRECT(ADDRESS(ROW()-8-($C64),COLUMN()))))</f>
        <v/>
      </c>
      <c r="AP64" s="234"/>
      <c r="AQ64" s="234"/>
      <c r="AR64" s="235"/>
    </row>
    <row r="65" spans="1:44" ht="14.75" customHeight="1" x14ac:dyDescent="0.7">
      <c r="A65" s="250"/>
      <c r="B65" s="250"/>
      <c r="C65" s="236">
        <v>10</v>
      </c>
      <c r="D65" s="237"/>
      <c r="E65" s="238" t="str" cm="1">
        <f t="array" aca="1" ref="E65" ca="1">IF(INDEX(集計3!$C$16:$CX$25,$C65,INDIRECT(ADDRESS(ROW()-8-($C65),COLUMN())))="","",INDEX(集計3!$C$16:$CX$25,$C65,INDIRECT(ADDRESS(ROW()-8-($C65),COLUMN()))))</f>
        <v/>
      </c>
      <c r="F65" s="239"/>
      <c r="G65" s="239"/>
      <c r="H65" s="240"/>
      <c r="I65" s="238" t="str" cm="1">
        <f t="array" aca="1" ref="I65" ca="1">IF(INDEX(集計3!$C$16:$CX$25,$C65,INDIRECT(ADDRESS(ROW()-8-($C65),COLUMN())))="","",INDEX(集計3!$C$16:$CX$25,$C65,INDIRECT(ADDRESS(ROW()-8-($C65),COLUMN()))))</f>
        <v/>
      </c>
      <c r="J65" s="239"/>
      <c r="K65" s="239"/>
      <c r="L65" s="240"/>
      <c r="M65" s="238" t="str" cm="1">
        <f t="array" aca="1" ref="M65" ca="1">IF(INDEX(集計3!$C$16:$CX$25,$C65,INDIRECT(ADDRESS(ROW()-8-($C65),COLUMN())))="","",INDEX(集計3!$C$16:$CX$25,$C65,INDIRECT(ADDRESS(ROW()-8-($C65),COLUMN()))))</f>
        <v/>
      </c>
      <c r="N65" s="239"/>
      <c r="O65" s="239"/>
      <c r="P65" s="240"/>
      <c r="Q65" s="238" t="str" cm="1">
        <f t="array" aca="1" ref="Q65" ca="1">IF(INDEX(集計3!$C$16:$CX$25,$C65,INDIRECT(ADDRESS(ROW()-8-($C65),COLUMN())))="","",INDEX(集計3!$C$16:$CX$25,$C65,INDIRECT(ADDRESS(ROW()-8-($C65),COLUMN()))))</f>
        <v/>
      </c>
      <c r="R65" s="239"/>
      <c r="S65" s="239"/>
      <c r="T65" s="240"/>
      <c r="U65" s="238" t="str" cm="1">
        <f t="array" aca="1" ref="U65" ca="1">IF(INDEX(集計3!$C$16:$CX$25,$C65,INDIRECT(ADDRESS(ROW()-8-($C65),COLUMN())))="","",INDEX(集計3!$C$16:$CX$25,$C65,INDIRECT(ADDRESS(ROW()-8-($C65),COLUMN()))))</f>
        <v/>
      </c>
      <c r="V65" s="239"/>
      <c r="W65" s="239"/>
      <c r="X65" s="240"/>
      <c r="Y65" s="238" t="str" cm="1">
        <f t="array" aca="1" ref="Y65" ca="1">IF(INDEX(集計3!$C$16:$CX$25,$C65,INDIRECT(ADDRESS(ROW()-8-($C65),COLUMN())))="","",INDEX(集計3!$C$16:$CX$25,$C65,INDIRECT(ADDRESS(ROW()-8-($C65),COLUMN()))))</f>
        <v/>
      </c>
      <c r="Z65" s="239"/>
      <c r="AA65" s="239"/>
      <c r="AB65" s="240"/>
      <c r="AC65" s="238" t="str" cm="1">
        <f t="array" aca="1" ref="AC65" ca="1">IF(INDEX(集計3!$C$16:$CX$25,$C65,INDIRECT(ADDRESS(ROW()-8-($C65),COLUMN())))="","",INDEX(集計3!$C$16:$CX$25,$C65,INDIRECT(ADDRESS(ROW()-8-($C65),COLUMN()))))</f>
        <v/>
      </c>
      <c r="AD65" s="239"/>
      <c r="AE65" s="239"/>
      <c r="AF65" s="240"/>
      <c r="AG65" s="238" t="str" cm="1">
        <f t="array" aca="1" ref="AG65" ca="1">IF(INDEX(集計3!$C$16:$CX$25,$C65,INDIRECT(ADDRESS(ROW()-8-($C65),COLUMN())))="","",INDEX(集計3!$C$16:$CX$25,$C65,INDIRECT(ADDRESS(ROW()-8-($C65),COLUMN()))))</f>
        <v/>
      </c>
      <c r="AH65" s="239"/>
      <c r="AI65" s="239"/>
      <c r="AJ65" s="240"/>
      <c r="AK65" s="238" t="str" cm="1">
        <f t="array" aca="1" ref="AK65" ca="1">IF(INDEX(集計3!$C$16:$CX$25,$C65,INDIRECT(ADDRESS(ROW()-8-($C65),COLUMN())))="","",INDEX(集計3!$C$16:$CX$25,$C65,INDIRECT(ADDRESS(ROW()-8-($C65),COLUMN()))))</f>
        <v/>
      </c>
      <c r="AL65" s="239"/>
      <c r="AM65" s="239"/>
      <c r="AN65" s="240"/>
      <c r="AO65" s="238" t="str" cm="1">
        <f t="array" aca="1" ref="AO65" ca="1">IF(INDEX(集計3!$C$16:$CX$25,$C65,INDIRECT(ADDRESS(ROW()-8-($C65),COLUMN())))="","",INDEX(集計3!$C$16:$CX$25,$C65,INDIRECT(ADDRESS(ROW()-8-($C65),COLUMN()))))</f>
        <v/>
      </c>
      <c r="AP65" s="239"/>
      <c r="AQ65" s="239"/>
      <c r="AR65" s="240"/>
    </row>
    <row r="66" spans="1:44" ht="7.25" customHeight="1" x14ac:dyDescent="0.7">
      <c r="A66" s="217" t="s">
        <v>163</v>
      </c>
      <c r="B66" s="217"/>
      <c r="C66" s="217"/>
      <c r="D66" s="217"/>
      <c r="E66" s="219" t="str" cm="1">
        <f t="array" aca="1" ref="E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66" s="220"/>
      <c r="G66" s="220"/>
      <c r="H66" s="221"/>
      <c r="I66" s="219" t="str" cm="1">
        <f t="array" aca="1" ref="I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66" s="220"/>
      <c r="K66" s="220"/>
      <c r="L66" s="221"/>
      <c r="M66" s="219" t="str" cm="1">
        <f t="array" aca="1" ref="M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66" s="220"/>
      <c r="O66" s="220"/>
      <c r="P66" s="221"/>
      <c r="Q66" s="219" t="str" cm="1">
        <f t="array" aca="1" ref="Q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66" s="220"/>
      <c r="S66" s="220"/>
      <c r="T66" s="221"/>
      <c r="U66" s="219" t="str" cm="1">
        <f t="array" aca="1" ref="U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66" s="220"/>
      <c r="W66" s="220"/>
      <c r="X66" s="221"/>
      <c r="Y66" s="219" t="str" cm="1">
        <f t="array" aca="1" ref="Y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66" s="220"/>
      <c r="AA66" s="220"/>
      <c r="AB66" s="221"/>
      <c r="AC66" s="219" t="str" cm="1">
        <f t="array" aca="1" ref="AC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66" s="220"/>
      <c r="AE66" s="220"/>
      <c r="AF66" s="221"/>
      <c r="AG66" s="219" t="str" cm="1">
        <f t="array" aca="1" ref="AG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66" s="220"/>
      <c r="AI66" s="220"/>
      <c r="AJ66" s="221"/>
      <c r="AK66" s="219" t="str" cm="1">
        <f t="array" aca="1" ref="AK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66" s="220"/>
      <c r="AM66" s="220"/>
      <c r="AN66" s="221"/>
      <c r="AO66" s="219" t="str" cm="1">
        <f t="array" aca="1" ref="AO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66" s="220"/>
      <c r="AQ66" s="220"/>
      <c r="AR66" s="221"/>
    </row>
    <row r="67" spans="1:44" ht="7.25" customHeight="1" x14ac:dyDescent="0.7">
      <c r="A67" s="218"/>
      <c r="B67" s="218"/>
      <c r="C67" s="218"/>
      <c r="D67" s="218"/>
      <c r="E67" s="222"/>
      <c r="F67" s="223"/>
      <c r="G67" s="223"/>
      <c r="H67" s="224"/>
      <c r="I67" s="222"/>
      <c r="J67" s="223"/>
      <c r="K67" s="223"/>
      <c r="L67" s="224"/>
      <c r="M67" s="222"/>
      <c r="N67" s="223"/>
      <c r="O67" s="223"/>
      <c r="P67" s="224"/>
      <c r="Q67" s="222"/>
      <c r="R67" s="223"/>
      <c r="S67" s="223"/>
      <c r="T67" s="224"/>
      <c r="U67" s="222"/>
      <c r="V67" s="223"/>
      <c r="W67" s="223"/>
      <c r="X67" s="224"/>
      <c r="Y67" s="222"/>
      <c r="Z67" s="223"/>
      <c r="AA67" s="223"/>
      <c r="AB67" s="224"/>
      <c r="AC67" s="222"/>
      <c r="AD67" s="223"/>
      <c r="AE67" s="223"/>
      <c r="AF67" s="224"/>
      <c r="AG67" s="222"/>
      <c r="AH67" s="223"/>
      <c r="AI67" s="223"/>
      <c r="AJ67" s="224"/>
      <c r="AK67" s="222"/>
      <c r="AL67" s="223"/>
      <c r="AM67" s="223"/>
      <c r="AN67" s="224"/>
      <c r="AO67" s="222"/>
      <c r="AP67" s="223"/>
      <c r="AQ67" s="223"/>
      <c r="AR67" s="224"/>
    </row>
    <row r="68" spans="1:44" ht="9" customHeight="1" x14ac:dyDescent="0.7">
      <c r="A68" s="225" t="s">
        <v>164</v>
      </c>
      <c r="B68" s="226"/>
      <c r="C68" s="226"/>
      <c r="D68" s="227"/>
      <c r="E68" s="228" t="str">
        <f ca="1">IF(COUNT(INDIRECT(ADDRESS(ROW()-12,COLUMN())):INDIRECT(ADDRESS(ROW()-3,COLUMN())))=0,"",MAX(INDIRECT(ADDRESS(ROW()-12,COLUMN())):INDIRECT(ADDRESS(ROW()-3,COLUMN()))))</f>
        <v/>
      </c>
      <c r="F68" s="229"/>
      <c r="G68" s="229"/>
      <c r="H68" s="230"/>
      <c r="I68" s="228" t="str">
        <f ca="1">IF(COUNT(INDIRECT(ADDRESS(ROW()-12,COLUMN())):INDIRECT(ADDRESS(ROW()-3,COLUMN())))=0,"",MAX(INDIRECT(ADDRESS(ROW()-12,COLUMN())):INDIRECT(ADDRESS(ROW()-3,COLUMN()))))</f>
        <v/>
      </c>
      <c r="J68" s="229"/>
      <c r="K68" s="229"/>
      <c r="L68" s="230"/>
      <c r="M68" s="228" t="str">
        <f ca="1">IF(COUNT(INDIRECT(ADDRESS(ROW()-12,COLUMN())):INDIRECT(ADDRESS(ROW()-3,COLUMN())))=0,"",MAX(INDIRECT(ADDRESS(ROW()-12,COLUMN())):INDIRECT(ADDRESS(ROW()-3,COLUMN()))))</f>
        <v/>
      </c>
      <c r="N68" s="229"/>
      <c r="O68" s="229"/>
      <c r="P68" s="230"/>
      <c r="Q68" s="228" t="str">
        <f ca="1">IF(COUNT(INDIRECT(ADDRESS(ROW()-12,COLUMN())):INDIRECT(ADDRESS(ROW()-3,COLUMN())))=0,"",MAX(INDIRECT(ADDRESS(ROW()-12,COLUMN())):INDIRECT(ADDRESS(ROW()-3,COLUMN()))))</f>
        <v/>
      </c>
      <c r="R68" s="229"/>
      <c r="S68" s="229"/>
      <c r="T68" s="230"/>
      <c r="U68" s="228" t="str">
        <f ca="1">IF(COUNT(INDIRECT(ADDRESS(ROW()-12,COLUMN())):INDIRECT(ADDRESS(ROW()-3,COLUMN())))=0,"",MAX(INDIRECT(ADDRESS(ROW()-12,COLUMN())):INDIRECT(ADDRESS(ROW()-3,COLUMN()))))</f>
        <v/>
      </c>
      <c r="V68" s="229"/>
      <c r="W68" s="229"/>
      <c r="X68" s="230"/>
      <c r="Y68" s="228" t="str">
        <f ca="1">IF(COUNT(INDIRECT(ADDRESS(ROW()-12,COLUMN())):INDIRECT(ADDRESS(ROW()-3,COLUMN())))=0,"",MAX(INDIRECT(ADDRESS(ROW()-12,COLUMN())):INDIRECT(ADDRESS(ROW()-3,COLUMN()))))</f>
        <v/>
      </c>
      <c r="Z68" s="229"/>
      <c r="AA68" s="229"/>
      <c r="AB68" s="230"/>
      <c r="AC68" s="228" t="str">
        <f ca="1">IF(COUNT(INDIRECT(ADDRESS(ROW()-12,COLUMN())):INDIRECT(ADDRESS(ROW()-3,COLUMN())))=0,"",MAX(INDIRECT(ADDRESS(ROW()-12,COLUMN())):INDIRECT(ADDRESS(ROW()-3,COLUMN()))))</f>
        <v/>
      </c>
      <c r="AD68" s="229"/>
      <c r="AE68" s="229"/>
      <c r="AF68" s="230"/>
      <c r="AG68" s="228" t="str">
        <f ca="1">IF(COUNT(INDIRECT(ADDRESS(ROW()-12,COLUMN())):INDIRECT(ADDRESS(ROW()-3,COLUMN())))=0,"",MAX(INDIRECT(ADDRESS(ROW()-12,COLUMN())):INDIRECT(ADDRESS(ROW()-3,COLUMN()))))</f>
        <v/>
      </c>
      <c r="AH68" s="229"/>
      <c r="AI68" s="229"/>
      <c r="AJ68" s="230"/>
      <c r="AK68" s="228" t="str">
        <f ca="1">IF(COUNT(INDIRECT(ADDRESS(ROW()-12,COLUMN())):INDIRECT(ADDRESS(ROW()-3,COLUMN())))=0,"",MAX(INDIRECT(ADDRESS(ROW()-12,COLUMN())):INDIRECT(ADDRESS(ROW()-3,COLUMN()))))</f>
        <v/>
      </c>
      <c r="AL68" s="229"/>
      <c r="AM68" s="229"/>
      <c r="AN68" s="230"/>
      <c r="AO68" s="228" t="str">
        <f ca="1">IF(COUNT(INDIRECT(ADDRESS(ROW()-12,COLUMN())):INDIRECT(ADDRESS(ROW()-3,COLUMN())))=0,"",MAX(INDIRECT(ADDRESS(ROW()-12,COLUMN())):INDIRECT(ADDRESS(ROW()-3,COLUMN()))))</f>
        <v/>
      </c>
      <c r="AP68" s="229"/>
      <c r="AQ68" s="229"/>
      <c r="AR68" s="230"/>
    </row>
    <row r="69" spans="1:44" ht="9" customHeight="1" x14ac:dyDescent="0.7">
      <c r="A69" s="211" t="s">
        <v>165</v>
      </c>
      <c r="B69" s="212"/>
      <c r="C69" s="212"/>
      <c r="D69" s="213"/>
      <c r="E69" s="214" t="str">
        <f ca="1">IF(COUNT(INDIRECT(ADDRESS(ROW()-13,COLUMN())):INDIRECT(ADDRESS(ROW()-4,COLUMN())))=0,"",MIN(INDIRECT(ADDRESS(ROW()-13,COLUMN())):INDIRECT(ADDRESS(ROW()-4,COLUMN()))))</f>
        <v/>
      </c>
      <c r="F69" s="215"/>
      <c r="G69" s="215"/>
      <c r="H69" s="216"/>
      <c r="I69" s="214" t="str">
        <f ca="1">IF(COUNT(INDIRECT(ADDRESS(ROW()-13,COLUMN())):INDIRECT(ADDRESS(ROW()-4,COLUMN())))=0,"",MIN(INDIRECT(ADDRESS(ROW()-13,COLUMN())):INDIRECT(ADDRESS(ROW()-4,COLUMN()))))</f>
        <v/>
      </c>
      <c r="J69" s="215"/>
      <c r="K69" s="215"/>
      <c r="L69" s="216"/>
      <c r="M69" s="214" t="str">
        <f ca="1">IF(COUNT(INDIRECT(ADDRESS(ROW()-13,COLUMN())):INDIRECT(ADDRESS(ROW()-4,COLUMN())))=0,"",MIN(INDIRECT(ADDRESS(ROW()-13,COLUMN())):INDIRECT(ADDRESS(ROW()-4,COLUMN()))))</f>
        <v/>
      </c>
      <c r="N69" s="215"/>
      <c r="O69" s="215"/>
      <c r="P69" s="216"/>
      <c r="Q69" s="214" t="str">
        <f ca="1">IF(COUNT(INDIRECT(ADDRESS(ROW()-13,COLUMN())):INDIRECT(ADDRESS(ROW()-4,COLUMN())))=0,"",MIN(INDIRECT(ADDRESS(ROW()-13,COLUMN())):INDIRECT(ADDRESS(ROW()-4,COLUMN()))))</f>
        <v/>
      </c>
      <c r="R69" s="215"/>
      <c r="S69" s="215"/>
      <c r="T69" s="216"/>
      <c r="U69" s="214" t="str">
        <f ca="1">IF(COUNT(INDIRECT(ADDRESS(ROW()-13,COLUMN())):INDIRECT(ADDRESS(ROW()-4,COLUMN())))=0,"",MIN(INDIRECT(ADDRESS(ROW()-13,COLUMN())):INDIRECT(ADDRESS(ROW()-4,COLUMN()))))</f>
        <v/>
      </c>
      <c r="V69" s="215"/>
      <c r="W69" s="215"/>
      <c r="X69" s="216"/>
      <c r="Y69" s="214" t="str">
        <f ca="1">IF(COUNT(INDIRECT(ADDRESS(ROW()-13,COLUMN())):INDIRECT(ADDRESS(ROW()-4,COLUMN())))=0,"",MIN(INDIRECT(ADDRESS(ROW()-13,COLUMN())):INDIRECT(ADDRESS(ROW()-4,COLUMN()))))</f>
        <v/>
      </c>
      <c r="Z69" s="215"/>
      <c r="AA69" s="215"/>
      <c r="AB69" s="216"/>
      <c r="AC69" s="214" t="str">
        <f ca="1">IF(COUNT(INDIRECT(ADDRESS(ROW()-13,COLUMN())):INDIRECT(ADDRESS(ROW()-4,COLUMN())))=0,"",MIN(INDIRECT(ADDRESS(ROW()-13,COLUMN())):INDIRECT(ADDRESS(ROW()-4,COLUMN()))))</f>
        <v/>
      </c>
      <c r="AD69" s="215"/>
      <c r="AE69" s="215"/>
      <c r="AF69" s="216"/>
      <c r="AG69" s="214" t="str">
        <f ca="1">IF(COUNT(INDIRECT(ADDRESS(ROW()-13,COLUMN())):INDIRECT(ADDRESS(ROW()-4,COLUMN())))=0,"",MIN(INDIRECT(ADDRESS(ROW()-13,COLUMN())):INDIRECT(ADDRESS(ROW()-4,COLUMN()))))</f>
        <v/>
      </c>
      <c r="AH69" s="215"/>
      <c r="AI69" s="215"/>
      <c r="AJ69" s="216"/>
      <c r="AK69" s="214" t="str">
        <f ca="1">IF(COUNT(INDIRECT(ADDRESS(ROW()-13,COLUMN())):INDIRECT(ADDRESS(ROW()-4,COLUMN())))=0,"",MIN(INDIRECT(ADDRESS(ROW()-13,COLUMN())):INDIRECT(ADDRESS(ROW()-4,COLUMN()))))</f>
        <v/>
      </c>
      <c r="AL69" s="215"/>
      <c r="AM69" s="215"/>
      <c r="AN69" s="216"/>
      <c r="AO69" s="214" t="str">
        <f ca="1">IF(COUNT(INDIRECT(ADDRESS(ROW()-13,COLUMN())):INDIRECT(ADDRESS(ROW()-4,COLUMN())))=0,"",MIN(INDIRECT(ADDRESS(ROW()-13,COLUMN())):INDIRECT(ADDRESS(ROW()-4,COLUMN()))))</f>
        <v/>
      </c>
      <c r="AP69" s="215"/>
      <c r="AQ69" s="215"/>
      <c r="AR69" s="216"/>
    </row>
    <row r="70" spans="1:44" ht="9" customHeight="1" x14ac:dyDescent="0.7">
      <c r="A70" s="320" t="s">
        <v>166</v>
      </c>
      <c r="B70" s="320"/>
      <c r="C70" s="320"/>
      <c r="D70" s="321"/>
      <c r="E70" s="322" t="s">
        <v>167</v>
      </c>
      <c r="F70" s="323"/>
      <c r="G70" s="323"/>
      <c r="H70" s="323"/>
      <c r="I70" s="326" t="str">
        <f ca="1">IF(AV9="","",AV9)</f>
        <v/>
      </c>
      <c r="J70" s="326"/>
      <c r="K70" s="326"/>
      <c r="L70" s="326"/>
      <c r="M70" s="326"/>
      <c r="N70" s="326"/>
      <c r="O70" s="326"/>
      <c r="P70" s="326"/>
      <c r="Q70" s="323" t="s">
        <v>168</v>
      </c>
      <c r="R70" s="323"/>
      <c r="S70" s="323"/>
      <c r="T70" s="323"/>
      <c r="U70" s="326" t="str">
        <f>IF(AV10="","",AV10)</f>
        <v>SUS303</v>
      </c>
      <c r="V70" s="326"/>
      <c r="W70" s="326"/>
      <c r="X70" s="326"/>
      <c r="Y70" s="326"/>
      <c r="Z70" s="326"/>
      <c r="AA70" s="326"/>
      <c r="AB70" s="326"/>
      <c r="AC70" s="329" t="s">
        <v>169</v>
      </c>
      <c r="AD70" s="329"/>
      <c r="AE70" s="329"/>
      <c r="AF70" s="329"/>
      <c r="AG70" s="329"/>
      <c r="AH70" s="329"/>
      <c r="AI70" s="329"/>
      <c r="AJ70" s="329"/>
      <c r="AK70" s="329"/>
      <c r="AL70" s="329"/>
      <c r="AM70" s="329"/>
      <c r="AN70" s="329"/>
      <c r="AO70" s="329"/>
      <c r="AP70" s="329"/>
      <c r="AQ70" s="329"/>
      <c r="AR70" s="330"/>
    </row>
    <row r="71" spans="1:44" ht="9" customHeight="1" x14ac:dyDescent="0.7">
      <c r="A71" s="320"/>
      <c r="B71" s="320"/>
      <c r="C71" s="320"/>
      <c r="D71" s="321"/>
      <c r="E71" s="324"/>
      <c r="F71" s="325"/>
      <c r="G71" s="325"/>
      <c r="H71" s="325"/>
      <c r="I71" s="327"/>
      <c r="J71" s="327"/>
      <c r="K71" s="327"/>
      <c r="L71" s="327"/>
      <c r="M71" s="327"/>
      <c r="N71" s="327"/>
      <c r="O71" s="327"/>
      <c r="P71" s="327"/>
      <c r="Q71" s="325"/>
      <c r="R71" s="325"/>
      <c r="S71" s="325"/>
      <c r="T71" s="325"/>
      <c r="U71" s="327"/>
      <c r="V71" s="327"/>
      <c r="W71" s="327"/>
      <c r="X71" s="327"/>
      <c r="Y71" s="327"/>
      <c r="Z71" s="327"/>
      <c r="AA71" s="327"/>
      <c r="AB71" s="327"/>
      <c r="AC71" s="331"/>
      <c r="AD71" s="331"/>
      <c r="AE71" s="331"/>
      <c r="AF71" s="331"/>
      <c r="AG71" s="331"/>
      <c r="AH71" s="331"/>
      <c r="AI71" s="331"/>
      <c r="AJ71" s="331"/>
      <c r="AK71" s="331"/>
      <c r="AL71" s="331"/>
      <c r="AM71" s="331"/>
      <c r="AN71" s="331"/>
      <c r="AO71" s="331"/>
      <c r="AP71" s="331"/>
      <c r="AQ71" s="331"/>
      <c r="AR71" s="332"/>
    </row>
    <row r="72" spans="1:44" ht="9" customHeight="1" x14ac:dyDescent="0.7">
      <c r="A72" s="320"/>
      <c r="B72" s="320"/>
      <c r="C72" s="320"/>
      <c r="D72" s="321"/>
      <c r="E72" s="324" t="s">
        <v>170</v>
      </c>
      <c r="F72" s="325"/>
      <c r="G72" s="325"/>
      <c r="H72" s="325"/>
      <c r="I72" s="337" t="str">
        <f>IF(AV8="","",AV8)</f>
        <v>D-2</v>
      </c>
      <c r="J72" s="337"/>
      <c r="K72" s="337"/>
      <c r="L72" s="337"/>
      <c r="M72" s="337"/>
      <c r="N72" s="337"/>
      <c r="O72" s="337"/>
      <c r="P72" s="337"/>
      <c r="Q72" s="325" t="s">
        <v>171</v>
      </c>
      <c r="R72" s="325"/>
      <c r="S72" s="325"/>
      <c r="T72" s="325"/>
      <c r="U72" s="327" t="str">
        <f>IF(AV11="","",AV11)</f>
        <v>脱脂</v>
      </c>
      <c r="V72" s="327"/>
      <c r="W72" s="327"/>
      <c r="X72" s="327"/>
      <c r="Y72" s="327"/>
      <c r="Z72" s="327"/>
      <c r="AA72" s="327"/>
      <c r="AB72" s="327"/>
      <c r="AC72" s="331"/>
      <c r="AD72" s="331"/>
      <c r="AE72" s="331"/>
      <c r="AF72" s="331"/>
      <c r="AG72" s="331"/>
      <c r="AH72" s="331"/>
      <c r="AI72" s="331"/>
      <c r="AJ72" s="331"/>
      <c r="AK72" s="331"/>
      <c r="AL72" s="331"/>
      <c r="AM72" s="331"/>
      <c r="AN72" s="331"/>
      <c r="AO72" s="331"/>
      <c r="AP72" s="331"/>
      <c r="AQ72" s="331"/>
      <c r="AR72" s="332"/>
    </row>
    <row r="73" spans="1:44" ht="9" customHeight="1" x14ac:dyDescent="0.7">
      <c r="A73" s="320"/>
      <c r="B73" s="320"/>
      <c r="C73" s="320"/>
      <c r="D73" s="321"/>
      <c r="E73" s="335"/>
      <c r="F73" s="336"/>
      <c r="G73" s="336"/>
      <c r="H73" s="336"/>
      <c r="I73" s="338"/>
      <c r="J73" s="338"/>
      <c r="K73" s="338"/>
      <c r="L73" s="338"/>
      <c r="M73" s="338"/>
      <c r="N73" s="338"/>
      <c r="O73" s="338"/>
      <c r="P73" s="338"/>
      <c r="Q73" s="336"/>
      <c r="R73" s="336"/>
      <c r="S73" s="336"/>
      <c r="T73" s="336"/>
      <c r="U73" s="339"/>
      <c r="V73" s="339"/>
      <c r="W73" s="339"/>
      <c r="X73" s="339"/>
      <c r="Y73" s="339"/>
      <c r="Z73" s="339"/>
      <c r="AA73" s="339"/>
      <c r="AB73" s="339"/>
      <c r="AC73" s="333"/>
      <c r="AD73" s="333"/>
      <c r="AE73" s="333"/>
      <c r="AF73" s="333"/>
      <c r="AG73" s="333"/>
      <c r="AH73" s="333"/>
      <c r="AI73" s="333"/>
      <c r="AJ73" s="333"/>
      <c r="AK73" s="333"/>
      <c r="AL73" s="333"/>
      <c r="AM73" s="333"/>
      <c r="AN73" s="333"/>
      <c r="AO73" s="333"/>
      <c r="AP73" s="333"/>
      <c r="AQ73" s="333"/>
      <c r="AR73" s="334"/>
    </row>
    <row r="74" spans="1:44" ht="13.5" customHeight="1" x14ac:dyDescent="0.7">
      <c r="A74" s="281"/>
      <c r="B74" s="282"/>
      <c r="C74" s="282"/>
      <c r="D74" s="282"/>
      <c r="E74" s="282"/>
      <c r="F74" s="282"/>
      <c r="G74" s="282"/>
      <c r="H74" s="282" t="s">
        <v>147</v>
      </c>
      <c r="I74" s="282"/>
      <c r="J74" s="282"/>
      <c r="K74" s="282"/>
      <c r="L74" s="282"/>
      <c r="M74" s="282"/>
      <c r="N74" s="282"/>
      <c r="O74" s="282"/>
      <c r="P74" s="282"/>
      <c r="Q74" s="282"/>
      <c r="R74" s="282"/>
      <c r="S74" s="282"/>
      <c r="T74" s="282"/>
      <c r="U74" s="282"/>
      <c r="V74" s="282"/>
      <c r="W74" s="287"/>
      <c r="X74" s="290" t="s">
        <v>148</v>
      </c>
      <c r="Y74" s="291"/>
      <c r="Z74" s="291"/>
      <c r="AA74" s="291"/>
      <c r="AB74" s="291"/>
      <c r="AC74" s="291"/>
      <c r="AD74" s="291"/>
      <c r="AE74" s="291"/>
      <c r="AF74" s="291"/>
      <c r="AG74" s="291"/>
      <c r="AH74" s="292"/>
      <c r="AI74" s="290" t="s">
        <v>149</v>
      </c>
      <c r="AJ74" s="291"/>
      <c r="AK74" s="291"/>
      <c r="AL74" s="291"/>
      <c r="AM74" s="291"/>
      <c r="AN74" s="291"/>
      <c r="AO74" s="291"/>
      <c r="AP74" s="291"/>
      <c r="AQ74" s="291"/>
      <c r="AR74" s="292"/>
    </row>
    <row r="75" spans="1:44" ht="13.5" customHeight="1" x14ac:dyDescent="0.7">
      <c r="A75" s="283"/>
      <c r="B75" s="284"/>
      <c r="C75" s="284"/>
      <c r="D75" s="284"/>
      <c r="E75" s="284"/>
      <c r="F75" s="284"/>
      <c r="G75" s="284"/>
      <c r="H75" s="284"/>
      <c r="I75" s="284"/>
      <c r="J75" s="284"/>
      <c r="K75" s="284"/>
      <c r="L75" s="284"/>
      <c r="M75" s="284"/>
      <c r="N75" s="284"/>
      <c r="O75" s="284"/>
      <c r="P75" s="284"/>
      <c r="Q75" s="284"/>
      <c r="R75" s="284"/>
      <c r="S75" s="284"/>
      <c r="T75" s="284"/>
      <c r="U75" s="284"/>
      <c r="V75" s="284"/>
      <c r="W75" s="288"/>
      <c r="X75" s="328" t="str">
        <f>X2</f>
        <v>50136-01211</v>
      </c>
      <c r="Y75" s="294"/>
      <c r="Z75" s="294"/>
      <c r="AA75" s="294"/>
      <c r="AB75" s="294"/>
      <c r="AC75" s="294"/>
      <c r="AD75" s="294"/>
      <c r="AE75" s="294"/>
      <c r="AF75" s="294"/>
      <c r="AG75" s="294"/>
      <c r="AH75" s="295"/>
      <c r="AI75" s="328" t="str">
        <f>AI2</f>
        <v>ﾍﾞﾝｼｰﾄ</v>
      </c>
      <c r="AJ75" s="294"/>
      <c r="AK75" s="294"/>
      <c r="AL75" s="294"/>
      <c r="AM75" s="294"/>
      <c r="AN75" s="294"/>
      <c r="AO75" s="294"/>
      <c r="AP75" s="294"/>
      <c r="AQ75" s="294"/>
      <c r="AR75" s="295"/>
    </row>
    <row r="76" spans="1:44" ht="13.5" customHeight="1" x14ac:dyDescent="0.7">
      <c r="A76" s="285"/>
      <c r="B76" s="286"/>
      <c r="C76" s="286"/>
      <c r="D76" s="286"/>
      <c r="E76" s="286"/>
      <c r="F76" s="286"/>
      <c r="G76" s="286"/>
      <c r="H76" s="286"/>
      <c r="I76" s="286"/>
      <c r="J76" s="286"/>
      <c r="K76" s="286"/>
      <c r="L76" s="286"/>
      <c r="M76" s="286"/>
      <c r="N76" s="286"/>
      <c r="O76" s="286"/>
      <c r="P76" s="286"/>
      <c r="Q76" s="286"/>
      <c r="R76" s="286"/>
      <c r="S76" s="286"/>
      <c r="T76" s="286"/>
      <c r="U76" s="286"/>
      <c r="V76" s="286"/>
      <c r="W76" s="289"/>
      <c r="X76" s="296"/>
      <c r="Y76" s="297"/>
      <c r="Z76" s="297"/>
      <c r="AA76" s="297"/>
      <c r="AB76" s="297"/>
      <c r="AC76" s="297"/>
      <c r="AD76" s="297"/>
      <c r="AE76" s="297"/>
      <c r="AF76" s="297"/>
      <c r="AG76" s="297"/>
      <c r="AH76" s="298"/>
      <c r="AI76" s="296"/>
      <c r="AJ76" s="297"/>
      <c r="AK76" s="297"/>
      <c r="AL76" s="297"/>
      <c r="AM76" s="297"/>
      <c r="AN76" s="297"/>
      <c r="AO76" s="297"/>
      <c r="AP76" s="297"/>
      <c r="AQ76" s="297"/>
      <c r="AR76" s="298"/>
    </row>
    <row r="77" spans="1:44" ht="8" customHeight="1" x14ac:dyDescent="0.7">
      <c r="A77" s="217" t="s">
        <v>157</v>
      </c>
      <c r="B77" s="217"/>
      <c r="C77" s="217"/>
      <c r="D77" s="217"/>
      <c r="E77" s="275">
        <v>21</v>
      </c>
      <c r="F77" s="276"/>
      <c r="G77" s="276"/>
      <c r="H77" s="277"/>
      <c r="I77" s="275">
        <v>22</v>
      </c>
      <c r="J77" s="276"/>
      <c r="K77" s="276"/>
      <c r="L77" s="277"/>
      <c r="M77" s="275">
        <v>23</v>
      </c>
      <c r="N77" s="276"/>
      <c r="O77" s="276"/>
      <c r="P77" s="277"/>
      <c r="Q77" s="275">
        <v>24</v>
      </c>
      <c r="R77" s="276"/>
      <c r="S77" s="276"/>
      <c r="T77" s="277"/>
      <c r="U77" s="275">
        <v>25</v>
      </c>
      <c r="V77" s="276"/>
      <c r="W77" s="276"/>
      <c r="X77" s="277"/>
      <c r="Y77" s="275">
        <v>26</v>
      </c>
      <c r="Z77" s="276"/>
      <c r="AA77" s="276"/>
      <c r="AB77" s="277"/>
      <c r="AC77" s="275">
        <v>27</v>
      </c>
      <c r="AD77" s="276"/>
      <c r="AE77" s="276"/>
      <c r="AF77" s="277"/>
      <c r="AG77" s="275">
        <v>28</v>
      </c>
      <c r="AH77" s="276"/>
      <c r="AI77" s="276"/>
      <c r="AJ77" s="277"/>
      <c r="AK77" s="275">
        <v>29</v>
      </c>
      <c r="AL77" s="276"/>
      <c r="AM77" s="276"/>
      <c r="AN77" s="277"/>
      <c r="AO77" s="275">
        <v>30</v>
      </c>
      <c r="AP77" s="276"/>
      <c r="AQ77" s="276"/>
      <c r="AR77" s="277"/>
    </row>
    <row r="78" spans="1:44" ht="8" customHeight="1" x14ac:dyDescent="0.7">
      <c r="A78" s="217"/>
      <c r="B78" s="217"/>
      <c r="C78" s="217"/>
      <c r="D78" s="217"/>
      <c r="E78" s="278"/>
      <c r="F78" s="279"/>
      <c r="G78" s="279"/>
      <c r="H78" s="280"/>
      <c r="I78" s="278"/>
      <c r="J78" s="279"/>
      <c r="K78" s="279"/>
      <c r="L78" s="280"/>
      <c r="M78" s="278"/>
      <c r="N78" s="279"/>
      <c r="O78" s="279"/>
      <c r="P78" s="280"/>
      <c r="Q78" s="278"/>
      <c r="R78" s="279"/>
      <c r="S78" s="279"/>
      <c r="T78" s="280"/>
      <c r="U78" s="278"/>
      <c r="V78" s="279"/>
      <c r="W78" s="279"/>
      <c r="X78" s="280"/>
      <c r="Y78" s="278"/>
      <c r="Z78" s="279"/>
      <c r="AA78" s="279"/>
      <c r="AB78" s="280"/>
      <c r="AC78" s="278"/>
      <c r="AD78" s="279"/>
      <c r="AE78" s="279"/>
      <c r="AF78" s="280"/>
      <c r="AG78" s="278"/>
      <c r="AH78" s="279"/>
      <c r="AI78" s="279"/>
      <c r="AJ78" s="280"/>
      <c r="AK78" s="278"/>
      <c r="AL78" s="279"/>
      <c r="AM78" s="279"/>
      <c r="AN78" s="280"/>
      <c r="AO78" s="278"/>
      <c r="AP78" s="279"/>
      <c r="AQ78" s="279"/>
      <c r="AR78" s="280"/>
    </row>
    <row r="79" spans="1:44" ht="10.25" customHeight="1" x14ac:dyDescent="0.7">
      <c r="A79" s="217" t="s">
        <v>158</v>
      </c>
      <c r="B79" s="217"/>
      <c r="C79" s="217"/>
      <c r="D79" s="217"/>
      <c r="E79" s="262" t="str" cm="1">
        <f t="array" aca="1" ref="E79" ca="1">IFERROR(INDEX(INDIRECT("'"&amp;集計3!$A$1&amp;"'!$C$4:$CX$4"),1,E77),"")</f>
        <v/>
      </c>
      <c r="F79" s="263"/>
      <c r="G79" s="263"/>
      <c r="H79" s="264"/>
      <c r="I79" s="262" t="str" cm="1">
        <f t="array" aca="1" ref="I79" ca="1">IFERROR(INDEX(INDIRECT("'"&amp;集計3!$A$1&amp;"'!$C$4:$CX$4"),1,I77),"")</f>
        <v/>
      </c>
      <c r="J79" s="263"/>
      <c r="K79" s="263"/>
      <c r="L79" s="264"/>
      <c r="M79" s="262" t="str" cm="1">
        <f t="array" aca="1" ref="M79" ca="1">IFERROR(INDEX(INDIRECT("'"&amp;集計3!$A$1&amp;"'!$C$4:$CX$4"),1,M77),"")</f>
        <v/>
      </c>
      <c r="N79" s="263"/>
      <c r="O79" s="263"/>
      <c r="P79" s="264"/>
      <c r="Q79" s="262" t="str" cm="1">
        <f t="array" aca="1" ref="Q79" ca="1">IFERROR(INDEX(INDIRECT("'"&amp;集計3!$A$1&amp;"'!$C$4:$CX$4"),1,Q77),"")</f>
        <v/>
      </c>
      <c r="R79" s="263"/>
      <c r="S79" s="263"/>
      <c r="T79" s="264"/>
      <c r="U79" s="262" t="str" cm="1">
        <f t="array" aca="1" ref="U79" ca="1">IFERROR(INDEX(INDIRECT("'"&amp;集計3!$A$1&amp;"'!$C$4:$CX$4"),1,U77),"")</f>
        <v/>
      </c>
      <c r="V79" s="263"/>
      <c r="W79" s="263"/>
      <c r="X79" s="264"/>
      <c r="Y79" s="262" t="str" cm="1">
        <f t="array" aca="1" ref="Y79" ca="1">IFERROR(INDEX(INDIRECT("'"&amp;集計3!$A$1&amp;"'!$C$4:$CX$4"),1,Y77),"")</f>
        <v/>
      </c>
      <c r="Z79" s="263"/>
      <c r="AA79" s="263"/>
      <c r="AB79" s="264"/>
      <c r="AC79" s="262" t="str" cm="1">
        <f t="array" aca="1" ref="AC79" ca="1">IFERROR(INDEX(INDIRECT("'"&amp;集計3!$A$1&amp;"'!$C$4:$CX$4"),1,AC77),"")</f>
        <v/>
      </c>
      <c r="AD79" s="263"/>
      <c r="AE79" s="263"/>
      <c r="AF79" s="264"/>
      <c r="AG79" s="262" t="str" cm="1">
        <f t="array" aca="1" ref="AG79" ca="1">IFERROR(INDEX(INDIRECT("'"&amp;集計3!$A$1&amp;"'!$C$4:$CX$4"),1,AG77),"")</f>
        <v/>
      </c>
      <c r="AH79" s="263"/>
      <c r="AI79" s="263"/>
      <c r="AJ79" s="264"/>
      <c r="AK79" s="262" t="str" cm="1">
        <f t="array" aca="1" ref="AK79" ca="1">IFERROR(INDEX(INDIRECT("'"&amp;集計3!$A$1&amp;"'!$C$4:$CX$4"),1,AK77),"")</f>
        <v/>
      </c>
      <c r="AL79" s="263"/>
      <c r="AM79" s="263"/>
      <c r="AN79" s="264"/>
      <c r="AO79" s="262" t="str" cm="1">
        <f t="array" aca="1" ref="AO79" ca="1">IFERROR(INDEX(INDIRECT("'"&amp;集計3!$A$1&amp;"'!$C$4:$CX$4"),1,AO77),"")</f>
        <v/>
      </c>
      <c r="AP79" s="263"/>
      <c r="AQ79" s="263"/>
      <c r="AR79" s="264"/>
    </row>
    <row r="80" spans="1:44" ht="10.25" customHeight="1" x14ac:dyDescent="0.7">
      <c r="A80" s="218"/>
      <c r="B80" s="218"/>
      <c r="C80" s="218"/>
      <c r="D80" s="218"/>
      <c r="E80" s="265"/>
      <c r="F80" s="266"/>
      <c r="G80" s="266"/>
      <c r="H80" s="267"/>
      <c r="I80" s="265"/>
      <c r="J80" s="266"/>
      <c r="K80" s="266"/>
      <c r="L80" s="267"/>
      <c r="M80" s="265"/>
      <c r="N80" s="266"/>
      <c r="O80" s="266"/>
      <c r="P80" s="267"/>
      <c r="Q80" s="265"/>
      <c r="R80" s="266"/>
      <c r="S80" s="266"/>
      <c r="T80" s="267"/>
      <c r="U80" s="265"/>
      <c r="V80" s="266"/>
      <c r="W80" s="266"/>
      <c r="X80" s="267"/>
      <c r="Y80" s="265"/>
      <c r="Z80" s="266"/>
      <c r="AA80" s="266"/>
      <c r="AB80" s="267"/>
      <c r="AC80" s="265"/>
      <c r="AD80" s="266"/>
      <c r="AE80" s="266"/>
      <c r="AF80" s="267"/>
      <c r="AG80" s="265"/>
      <c r="AH80" s="266"/>
      <c r="AI80" s="266"/>
      <c r="AJ80" s="267"/>
      <c r="AK80" s="265"/>
      <c r="AL80" s="266"/>
      <c r="AM80" s="266"/>
      <c r="AN80" s="267"/>
      <c r="AO80" s="265"/>
      <c r="AP80" s="266"/>
      <c r="AQ80" s="266"/>
      <c r="AR80" s="267"/>
    </row>
    <row r="81" spans="1:44" ht="10.25" customHeight="1" x14ac:dyDescent="0.7">
      <c r="A81" s="268" t="s">
        <v>127</v>
      </c>
      <c r="B81" s="269"/>
      <c r="C81" s="269"/>
      <c r="D81" s="270"/>
      <c r="E81" s="271" t="str" cm="1">
        <f t="array" aca="1" ref="E81" ca="1">IFERROR(INDEX(INDIRECT("'"&amp;集計3!$A$1&amp;"'!$C$5:$CX$5"),1,E77),"")</f>
        <v/>
      </c>
      <c r="F81" s="272"/>
      <c r="G81" s="273" t="str" cm="1">
        <f t="array" aca="1" ref="G81" ca="1">IFERROR(INDEX(INDIRECT("'"&amp;集計3!$A$1&amp;"'!$C$6:$CX$6"),1,E77),"")</f>
        <v/>
      </c>
      <c r="H81" s="274"/>
      <c r="I81" s="271" t="str" cm="1">
        <f t="array" aca="1" ref="I81" ca="1">IFERROR(INDEX(INDIRECT("'"&amp;集計3!$A$1&amp;"'!$C$5:$CX$5"),1,I77),"")</f>
        <v/>
      </c>
      <c r="J81" s="272"/>
      <c r="K81" s="273" t="str" cm="1">
        <f t="array" aca="1" ref="K81" ca="1">IFERROR(INDEX(INDIRECT("'"&amp;集計3!$A$1&amp;"'!$C$6:$CX$6"),1,I77),"")</f>
        <v/>
      </c>
      <c r="L81" s="274"/>
      <c r="M81" s="271" t="str" cm="1">
        <f t="array" aca="1" ref="M81" ca="1">IFERROR(INDEX(INDIRECT("'"&amp;集計3!$A$1&amp;"'!$C$5:$CX$5"),1,M77),"")</f>
        <v/>
      </c>
      <c r="N81" s="272"/>
      <c r="O81" s="273" t="str" cm="1">
        <f t="array" aca="1" ref="O81" ca="1">IFERROR(INDEX(INDIRECT("'"&amp;集計3!$A$1&amp;"'!$C$6:$CX$6"),1,M77),"")</f>
        <v/>
      </c>
      <c r="P81" s="274"/>
      <c r="Q81" s="271" t="str" cm="1">
        <f t="array" aca="1" ref="Q81" ca="1">IFERROR(INDEX(INDIRECT("'"&amp;集計3!$A$1&amp;"'!$C$5:$CX$5"),1,Q77),"")</f>
        <v/>
      </c>
      <c r="R81" s="272"/>
      <c r="S81" s="273" t="str" cm="1">
        <f t="array" aca="1" ref="S81" ca="1">IFERROR(INDEX(INDIRECT("'"&amp;集計3!$A$1&amp;"'!$C$6:$CX$6"),1,Q77),"")</f>
        <v/>
      </c>
      <c r="T81" s="274"/>
      <c r="U81" s="271" t="str" cm="1">
        <f t="array" aca="1" ref="U81" ca="1">IFERROR(INDEX(INDIRECT("'"&amp;集計3!$A$1&amp;"'!$C$5:$CX$5"),1,U77),"")</f>
        <v/>
      </c>
      <c r="V81" s="272"/>
      <c r="W81" s="273" t="str" cm="1">
        <f t="array" aca="1" ref="W81" ca="1">IFERROR(INDEX(INDIRECT("'"&amp;集計3!$A$1&amp;"'!$C$6:$CX$6"),1,U77),"")</f>
        <v/>
      </c>
      <c r="X81" s="274"/>
      <c r="Y81" s="271" t="str" cm="1">
        <f t="array" aca="1" ref="Y81" ca="1">IFERROR(INDEX(INDIRECT("'"&amp;集計3!$A$1&amp;"'!$C$5:$CX$5"),1,Y77),"")</f>
        <v/>
      </c>
      <c r="Z81" s="272"/>
      <c r="AA81" s="273" t="str" cm="1">
        <f t="array" aca="1" ref="AA81" ca="1">IFERROR(INDEX(INDIRECT("'"&amp;集計3!$A$1&amp;"'!$C$6:$CX$6"),1,Y77),"")</f>
        <v/>
      </c>
      <c r="AB81" s="274"/>
      <c r="AC81" s="271" t="str" cm="1">
        <f t="array" aca="1" ref="AC81" ca="1">IFERROR(INDEX(INDIRECT("'"&amp;集計3!$A$1&amp;"'!$C$5:$CX$5"),1,AC77),"")</f>
        <v/>
      </c>
      <c r="AD81" s="272"/>
      <c r="AE81" s="273" t="str" cm="1">
        <f t="array" aca="1" ref="AE81" ca="1">IFERROR(INDEX(INDIRECT("'"&amp;集計3!$A$1&amp;"'!$C$6:$CX$6"),1,AC77),"")</f>
        <v/>
      </c>
      <c r="AF81" s="274"/>
      <c r="AG81" s="271" t="str" cm="1">
        <f t="array" aca="1" ref="AG81" ca="1">IFERROR(INDEX(INDIRECT("'"&amp;集計3!$A$1&amp;"'!$C$5:$CX$5"),1,AG77),"")</f>
        <v/>
      </c>
      <c r="AH81" s="272"/>
      <c r="AI81" s="273" t="str" cm="1">
        <f t="array" aca="1" ref="AI81" ca="1">IFERROR(INDEX(INDIRECT("'"&amp;集計3!$A$1&amp;"'!$C$6:$CX$6"),1,AG77),"")</f>
        <v/>
      </c>
      <c r="AJ81" s="274"/>
      <c r="AK81" s="271" t="str" cm="1">
        <f t="array" aca="1" ref="AK81" ca="1">IFERROR(INDEX(INDIRECT("'"&amp;集計3!$A$1&amp;"'!$C$5:$CX$5"),1,AK77),"")</f>
        <v/>
      </c>
      <c r="AL81" s="272"/>
      <c r="AM81" s="273" t="str" cm="1">
        <f t="array" aca="1" ref="AM81" ca="1">IFERROR(INDEX(INDIRECT("'"&amp;集計3!$A$1&amp;"'!$C$6:$CX$6"),1,AK77),"")</f>
        <v/>
      </c>
      <c r="AN81" s="274"/>
      <c r="AO81" s="271" t="str" cm="1">
        <f t="array" aca="1" ref="AO81" ca="1">IFERROR(INDEX(INDIRECT("'"&amp;集計3!$A$1&amp;"'!$C$5:$CX$5"),1,AO77),"")</f>
        <v/>
      </c>
      <c r="AP81" s="272"/>
      <c r="AQ81" s="273" t="str" cm="1">
        <f t="array" aca="1" ref="AQ81" ca="1">IFERROR(INDEX(INDIRECT("'"&amp;集計3!$A$1&amp;"'!$C$6:$CX$6"),1,AO77),"")</f>
        <v/>
      </c>
      <c r="AR81" s="274"/>
    </row>
    <row r="82" spans="1:44" s="19" customFormat="1" ht="10.25" customHeight="1" x14ac:dyDescent="0.7">
      <c r="A82" s="256" t="s">
        <v>159</v>
      </c>
      <c r="B82" s="256"/>
      <c r="C82" s="256"/>
      <c r="D82" s="256"/>
      <c r="E82" s="16" t="str" cm="1">
        <f t="array" aca="1" ref="E82" ca="1">IFERROR(INDEX(INDIRECT("'"&amp;集計3!$A$1&amp;"'!$C$10:$CX$10"),1,E77),"")</f>
        <v/>
      </c>
      <c r="F82" s="257" t="str" cm="1">
        <f t="array" aca="1" ref="F82" ca="1">IFERROR(IF(INDEX(INDIRECT("'"&amp;集計3!$A$1&amp;"'!$C$7:$CX$7"),1,E77)=0,"",INDEX(INDIRECT("'"&amp;集計3!$A$1&amp;"'!$C$7:$CX$7"),1,E77)),"")</f>
        <v/>
      </c>
      <c r="G82" s="257"/>
      <c r="H82" s="258"/>
      <c r="I82" s="16" t="str" cm="1">
        <f t="array" aca="1" ref="I82" ca="1">IFERROR(INDEX(INDIRECT("'"&amp;集計3!$A$1&amp;"'!$C$10:$CX$10"),1,I77),"")</f>
        <v/>
      </c>
      <c r="J82" s="257" t="str" cm="1">
        <f t="array" aca="1" ref="J82" ca="1">IFERROR(IF(INDEX(INDIRECT("'"&amp;集計3!$A$1&amp;"'!$C$7:$CX$7"),1,I77)=0,"",INDEX(INDIRECT("'"&amp;集計3!$A$1&amp;"'!$C$7:$CX$7"),1,I77)),"")</f>
        <v/>
      </c>
      <c r="K82" s="257"/>
      <c r="L82" s="258"/>
      <c r="M82" s="16" t="str" cm="1">
        <f t="array" aca="1" ref="M82" ca="1">IFERROR(INDEX(INDIRECT("'"&amp;集計3!$A$1&amp;"'!$C$10:$CX$10"),1,M77),"")</f>
        <v/>
      </c>
      <c r="N82" s="257" t="str" cm="1">
        <f t="array" aca="1" ref="N82" ca="1">IFERROR(IF(INDEX(INDIRECT("'"&amp;集計3!$A$1&amp;"'!$C$7:$CX$7"),1,M77)=0,"",INDEX(INDIRECT("'"&amp;集計3!$A$1&amp;"'!$C$7:$CX$7"),1,M77)),"")</f>
        <v/>
      </c>
      <c r="O82" s="257"/>
      <c r="P82" s="258"/>
      <c r="Q82" s="16" t="str" cm="1">
        <f t="array" aca="1" ref="Q82" ca="1">IFERROR(INDEX(INDIRECT("'"&amp;集計3!$A$1&amp;"'!$C$10:$CX$10"),1,Q77),"")</f>
        <v/>
      </c>
      <c r="R82" s="257" t="str" cm="1">
        <f t="array" aca="1" ref="R82" ca="1">IFERROR(IF(INDEX(INDIRECT("'"&amp;集計3!$A$1&amp;"'!$C$7:$CX$7"),1,Q77)=0,"",INDEX(INDIRECT("'"&amp;集計3!$A$1&amp;"'!$C$7:$CX$7"),1,Q77)),"")</f>
        <v/>
      </c>
      <c r="S82" s="257"/>
      <c r="T82" s="258"/>
      <c r="U82" s="16" t="str" cm="1">
        <f t="array" aca="1" ref="U82" ca="1">IFERROR(INDEX(INDIRECT("'"&amp;集計3!$A$1&amp;"'!$C$10:$CX$10"),1,U77),"")</f>
        <v/>
      </c>
      <c r="V82" s="257" t="str" cm="1">
        <f t="array" aca="1" ref="V82" ca="1">IFERROR(IF(INDEX(INDIRECT("'"&amp;集計3!$A$1&amp;"'!$C$7:$CX$7"),1,U77)=0,"",INDEX(INDIRECT("'"&amp;集計3!$A$1&amp;"'!$C$7:$CX$7"),1,U77)),"")</f>
        <v/>
      </c>
      <c r="W82" s="257"/>
      <c r="X82" s="258"/>
      <c r="Y82" s="16" t="str" cm="1">
        <f t="array" aca="1" ref="Y82" ca="1">IFERROR(INDEX(INDIRECT("'"&amp;集計3!$A$1&amp;"'!$C$10:$CX$10"),1,Y77),"")</f>
        <v/>
      </c>
      <c r="Z82" s="257" t="str" cm="1">
        <f t="array" aca="1" ref="Z82" ca="1">IFERROR(IF(INDEX(INDIRECT("'"&amp;集計3!$A$1&amp;"'!$C$7:$CX$7"),1,Y77)=0,"",INDEX(INDIRECT("'"&amp;集計3!$A$1&amp;"'!$C$7:$CX$7"),1,Y77)),"")</f>
        <v/>
      </c>
      <c r="AA82" s="257"/>
      <c r="AB82" s="258"/>
      <c r="AC82" s="16" t="str" cm="1">
        <f t="array" aca="1" ref="AC82" ca="1">IFERROR(INDEX(INDIRECT("'"&amp;集計3!$A$1&amp;"'!$C$10:$CX$10"),1,AC77),"")</f>
        <v/>
      </c>
      <c r="AD82" s="257" t="str" cm="1">
        <f t="array" aca="1" ref="AD82" ca="1">IFERROR(IF(INDEX(INDIRECT("'"&amp;集計3!$A$1&amp;"'!$C$7:$CX$7"),1,AC77)=0,"",INDEX(INDIRECT("'"&amp;集計3!$A$1&amp;"'!$C$7:$CX$7"),1,AC77)),"")</f>
        <v/>
      </c>
      <c r="AE82" s="257"/>
      <c r="AF82" s="258"/>
      <c r="AG82" s="16" t="str" cm="1">
        <f t="array" aca="1" ref="AG82" ca="1">IFERROR(INDEX(INDIRECT("'"&amp;集計3!$A$1&amp;"'!$C$10:$CX$10"),1,AG77),"")</f>
        <v/>
      </c>
      <c r="AH82" s="257" t="str" cm="1">
        <f t="array" aca="1" ref="AH82" ca="1">IFERROR(IF(INDEX(INDIRECT("'"&amp;集計3!$A$1&amp;"'!$C$7:$CX$7"),1,AG77)=0,"",INDEX(INDIRECT("'"&amp;集計3!$A$1&amp;"'!$C$7:$CX$7"),1,AG77)),"")</f>
        <v/>
      </c>
      <c r="AI82" s="257"/>
      <c r="AJ82" s="258"/>
      <c r="AK82" s="16" t="str" cm="1">
        <f t="array" aca="1" ref="AK82" ca="1">IFERROR(INDEX(INDIRECT("'"&amp;集計3!$A$1&amp;"'!$C$10:$CX$10"),1,AK77),"")</f>
        <v/>
      </c>
      <c r="AL82" s="257" t="str" cm="1">
        <f t="array" aca="1" ref="AL82" ca="1">IFERROR(IF(INDEX(INDIRECT("'"&amp;集計3!$A$1&amp;"'!$C$7:$CX$7"),1,AK77)=0,"",INDEX(INDIRECT("'"&amp;集計3!$A$1&amp;"'!$C$7:$CX$7"),1,AK77)),"")</f>
        <v/>
      </c>
      <c r="AM82" s="257"/>
      <c r="AN82" s="258"/>
      <c r="AO82" s="16" t="str" cm="1">
        <f t="array" aca="1" ref="AO82" ca="1">IFERROR(INDEX(INDIRECT("'"&amp;集計3!$A$1&amp;"'!$C$10:$CX$10"),1,AO77),"")</f>
        <v/>
      </c>
      <c r="AP82" s="257" t="str" cm="1">
        <f t="array" aca="1" ref="AP82" ca="1">IFERROR(IF(INDEX(INDIRECT("'"&amp;集計3!$A$1&amp;"'!$C$7:$CX$7"),1,AO77)=0,"",INDEX(INDIRECT("'"&amp;集計3!$A$1&amp;"'!$C$7:$CX$7"),1,AO77)),"")</f>
        <v/>
      </c>
      <c r="AQ82" s="257"/>
      <c r="AR82" s="258"/>
    </row>
    <row r="83" spans="1:44" s="19" customFormat="1" ht="10.25" customHeight="1" x14ac:dyDescent="0.7">
      <c r="A83" s="259" t="s">
        <v>160</v>
      </c>
      <c r="B83" s="259"/>
      <c r="C83" s="259"/>
      <c r="D83" s="259"/>
      <c r="E83" s="17" t="str" cm="1">
        <f t="array" aca="1" ref="E83" ca="1">IFERROR(INDEX(INDIRECT("'"&amp;集計3!$A$1&amp;"'!$C$11:$CX$11"),1,E77),"")</f>
        <v/>
      </c>
      <c r="F83" s="260" t="str" cm="1">
        <f t="array" aca="1" ref="F83" ca="1">IFERROR(IF(INDEX(INDIRECT("'"&amp;集計3!$A$1&amp;"'!$C$8:$CX$8"),1,E77)=0,"",INDEX(INDIRECT("'"&amp;集計3!$A$1&amp;"'!$C$8:$CX$8"),1,E77)),"")</f>
        <v/>
      </c>
      <c r="G83" s="260"/>
      <c r="H83" s="261"/>
      <c r="I83" s="17" t="str" cm="1">
        <f t="array" aca="1" ref="I83" ca="1">IFERROR(INDEX(INDIRECT("'"&amp;集計3!$A$1&amp;"'!$C$11:$CX$11"),1,I77),"")</f>
        <v/>
      </c>
      <c r="J83" s="260" t="str" cm="1">
        <f t="array" aca="1" ref="J83" ca="1">IFERROR(IF(INDEX(INDIRECT("'"&amp;集計3!$A$1&amp;"'!$C$8:$CX$8"),1,I77)=0,"",INDEX(INDIRECT("'"&amp;集計3!$A$1&amp;"'!$C$8:$CX$8"),1,I77)),"")</f>
        <v/>
      </c>
      <c r="K83" s="260"/>
      <c r="L83" s="261"/>
      <c r="M83" s="17" t="str" cm="1">
        <f t="array" aca="1" ref="M83" ca="1">IFERROR(INDEX(INDIRECT("'"&amp;集計3!$A$1&amp;"'!$C$11:$CX$11"),1,M77),"")</f>
        <v/>
      </c>
      <c r="N83" s="260" t="str" cm="1">
        <f t="array" aca="1" ref="N83" ca="1">IFERROR(IF(INDEX(INDIRECT("'"&amp;集計3!$A$1&amp;"'!$C$8:$CX$8"),1,M77)=0,"",INDEX(INDIRECT("'"&amp;集計3!$A$1&amp;"'!$C$8:$CX$8"),1,M77)),"")</f>
        <v/>
      </c>
      <c r="O83" s="260"/>
      <c r="P83" s="261"/>
      <c r="Q83" s="17" t="str" cm="1">
        <f t="array" aca="1" ref="Q83" ca="1">IFERROR(INDEX(INDIRECT("'"&amp;集計3!$A$1&amp;"'!$C$11:$CX$11"),1,Q77),"")</f>
        <v/>
      </c>
      <c r="R83" s="260" t="str" cm="1">
        <f t="array" aca="1" ref="R83" ca="1">IFERROR(IF(INDEX(INDIRECT("'"&amp;集計3!$A$1&amp;"'!$C$8:$CX$8"),1,Q77)=0,"",INDEX(INDIRECT("'"&amp;集計3!$A$1&amp;"'!$C$8:$CX$8"),1,Q77)),"")</f>
        <v/>
      </c>
      <c r="S83" s="260"/>
      <c r="T83" s="261"/>
      <c r="U83" s="17" t="str" cm="1">
        <f t="array" aca="1" ref="U83" ca="1">IFERROR(INDEX(INDIRECT("'"&amp;集計3!$A$1&amp;"'!$C$11:$CX$11"),1,U77),"")</f>
        <v/>
      </c>
      <c r="V83" s="260" t="str" cm="1">
        <f t="array" aca="1" ref="V83" ca="1">IFERROR(IF(INDEX(INDIRECT("'"&amp;集計3!$A$1&amp;"'!$C$8:$CX$8"),1,U77)=0,"",INDEX(INDIRECT("'"&amp;集計3!$A$1&amp;"'!$C$8:$CX$8"),1,U77)),"")</f>
        <v/>
      </c>
      <c r="W83" s="260"/>
      <c r="X83" s="261"/>
      <c r="Y83" s="17" t="str" cm="1">
        <f t="array" aca="1" ref="Y83" ca="1">IFERROR(INDEX(INDIRECT("'"&amp;集計3!$A$1&amp;"'!$C$11:$CX$11"),1,Y77),"")</f>
        <v/>
      </c>
      <c r="Z83" s="260" t="str" cm="1">
        <f t="array" aca="1" ref="Z83" ca="1">IFERROR(IF(INDEX(INDIRECT("'"&amp;集計3!$A$1&amp;"'!$C$8:$CX$8"),1,Y77)=0,"",INDEX(INDIRECT("'"&amp;集計3!$A$1&amp;"'!$C$8:$CX$8"),1,Y77)),"")</f>
        <v/>
      </c>
      <c r="AA83" s="260"/>
      <c r="AB83" s="261"/>
      <c r="AC83" s="17" t="str" cm="1">
        <f t="array" aca="1" ref="AC83" ca="1">IFERROR(INDEX(INDIRECT("'"&amp;集計3!$A$1&amp;"'!$C$11:$CX$11"),1,AC77),"")</f>
        <v/>
      </c>
      <c r="AD83" s="260" t="str" cm="1">
        <f t="array" aca="1" ref="AD83" ca="1">IFERROR(IF(INDEX(INDIRECT("'"&amp;集計3!$A$1&amp;"'!$C$8:$CX$8"),1,AC77)=0,"",INDEX(INDIRECT("'"&amp;集計3!$A$1&amp;"'!$C$8:$CX$8"),1,AC77)),"")</f>
        <v/>
      </c>
      <c r="AE83" s="260"/>
      <c r="AF83" s="261"/>
      <c r="AG83" s="17" t="str" cm="1">
        <f t="array" aca="1" ref="AG83" ca="1">IFERROR(INDEX(INDIRECT("'"&amp;集計3!$A$1&amp;"'!$C$11:$CX$11"),1,AG77),"")</f>
        <v/>
      </c>
      <c r="AH83" s="260" t="str" cm="1">
        <f t="array" aca="1" ref="AH83" ca="1">IFERROR(IF(INDEX(INDIRECT("'"&amp;集計3!$A$1&amp;"'!$C$8:$CX$8"),1,AG77)=0,"",INDEX(INDIRECT("'"&amp;集計3!$A$1&amp;"'!$C$8:$CX$8"),1,AG77)),"")</f>
        <v/>
      </c>
      <c r="AI83" s="260"/>
      <c r="AJ83" s="261"/>
      <c r="AK83" s="17" t="str" cm="1">
        <f t="array" aca="1" ref="AK83" ca="1">IFERROR(INDEX(INDIRECT("'"&amp;集計3!$A$1&amp;"'!$C$11:$CX$11"),1,AK77),"")</f>
        <v/>
      </c>
      <c r="AL83" s="260" t="str" cm="1">
        <f t="array" aca="1" ref="AL83" ca="1">IFERROR(IF(INDEX(INDIRECT("'"&amp;集計3!$A$1&amp;"'!$C$8:$CX$8"),1,AK77)=0,"",INDEX(INDIRECT("'"&amp;集計3!$A$1&amp;"'!$C$8:$CX$8"),1,AK77)),"")</f>
        <v/>
      </c>
      <c r="AM83" s="260"/>
      <c r="AN83" s="261"/>
      <c r="AO83" s="17" t="str" cm="1">
        <f t="array" aca="1" ref="AO83" ca="1">IFERROR(INDEX(INDIRECT("'"&amp;集計3!$A$1&amp;"'!$C$11:$CX$11"),1,AO77),"")</f>
        <v/>
      </c>
      <c r="AP83" s="260" t="str" cm="1">
        <f t="array" aca="1" ref="AP83" ca="1">IFERROR(IF(INDEX(INDIRECT("'"&amp;集計3!$A$1&amp;"'!$C$8:$CX$8"),1,AO77)=0,"",INDEX(INDIRECT("'"&amp;集計3!$A$1&amp;"'!$C$8:$CX$8"),1,AO77)),"")</f>
        <v/>
      </c>
      <c r="AQ83" s="260"/>
      <c r="AR83" s="261"/>
    </row>
    <row r="84" spans="1:44" ht="8" customHeight="1" x14ac:dyDescent="0.7">
      <c r="A84" s="217" t="s">
        <v>161</v>
      </c>
      <c r="B84" s="217"/>
      <c r="C84" s="217"/>
      <c r="D84" s="217"/>
      <c r="E84" s="244" t="str" cm="1">
        <f t="array" aca="1" ref="E84" ca="1">IFERROR(INDEX(INDIRECT("'"&amp;集計3!$A$1&amp;"'!$C$3:$CX$3"),1,E77),"")</f>
        <v/>
      </c>
      <c r="F84" s="245"/>
      <c r="G84" s="245"/>
      <c r="H84" s="246"/>
      <c r="I84" s="244" t="str" cm="1">
        <f t="array" aca="1" ref="I84" ca="1">IFERROR(INDEX(INDIRECT("'"&amp;集計3!$A$1&amp;"'!$C$3:$CX$3"),1,I77),"")</f>
        <v/>
      </c>
      <c r="J84" s="245"/>
      <c r="K84" s="245"/>
      <c r="L84" s="246"/>
      <c r="M84" s="244" t="str" cm="1">
        <f t="array" aca="1" ref="M84" ca="1">IFERROR(INDEX(INDIRECT("'"&amp;集計3!$A$1&amp;"'!$C$3:$CX$3"),1,M77),"")</f>
        <v/>
      </c>
      <c r="N84" s="245"/>
      <c r="O84" s="245"/>
      <c r="P84" s="246"/>
      <c r="Q84" s="244" t="str" cm="1">
        <f t="array" aca="1" ref="Q84" ca="1">IFERROR(INDEX(INDIRECT("'"&amp;集計3!$A$1&amp;"'!$C$3:$CX$3"),1,Q77),"")</f>
        <v/>
      </c>
      <c r="R84" s="245"/>
      <c r="S84" s="245"/>
      <c r="T84" s="246"/>
      <c r="U84" s="244" t="str" cm="1">
        <f t="array" aca="1" ref="U84" ca="1">IFERROR(INDEX(INDIRECT("'"&amp;集計3!$A$1&amp;"'!$C$3:$CX$3"),1,U77),"")</f>
        <v/>
      </c>
      <c r="V84" s="245"/>
      <c r="W84" s="245"/>
      <c r="X84" s="246"/>
      <c r="Y84" s="244" t="str" cm="1">
        <f t="array" aca="1" ref="Y84" ca="1">IFERROR(INDEX(INDIRECT("'"&amp;集計3!$A$1&amp;"'!$C$3:$CX$3"),1,Y77),"")</f>
        <v/>
      </c>
      <c r="Z84" s="245"/>
      <c r="AA84" s="245"/>
      <c r="AB84" s="246"/>
      <c r="AC84" s="244" t="str" cm="1">
        <f t="array" aca="1" ref="AC84" ca="1">IFERROR(INDEX(INDIRECT("'"&amp;集計3!$A$1&amp;"'!$C$3:$CX$3"),1,AC77),"")</f>
        <v/>
      </c>
      <c r="AD84" s="245"/>
      <c r="AE84" s="245"/>
      <c r="AF84" s="246"/>
      <c r="AG84" s="244" t="str" cm="1">
        <f t="array" aca="1" ref="AG84" ca="1">IFERROR(INDEX(INDIRECT("'"&amp;集計3!$A$1&amp;"'!$C$3:$CX$3"),1,AG77),"")</f>
        <v/>
      </c>
      <c r="AH84" s="245"/>
      <c r="AI84" s="245"/>
      <c r="AJ84" s="246"/>
      <c r="AK84" s="244" t="str" cm="1">
        <f t="array" aca="1" ref="AK84" ca="1">IFERROR(INDEX(INDIRECT("'"&amp;集計3!$A$1&amp;"'!$C$3:$CX$3"),1,AK77),"")</f>
        <v/>
      </c>
      <c r="AL84" s="245"/>
      <c r="AM84" s="245"/>
      <c r="AN84" s="246"/>
      <c r="AO84" s="244" t="str" cm="1">
        <f t="array" aca="1" ref="AO84" ca="1">IFERROR(INDEX(INDIRECT("'"&amp;集計3!$A$1&amp;"'!$C$3:$CX$3"),1,AO77),"")</f>
        <v/>
      </c>
      <c r="AP84" s="245"/>
      <c r="AQ84" s="245"/>
      <c r="AR84" s="246"/>
    </row>
    <row r="85" spans="1:44" ht="8" customHeight="1" x14ac:dyDescent="0.7">
      <c r="A85" s="217"/>
      <c r="B85" s="217"/>
      <c r="C85" s="217"/>
      <c r="D85" s="217"/>
      <c r="E85" s="247"/>
      <c r="F85" s="248"/>
      <c r="G85" s="248"/>
      <c r="H85" s="249"/>
      <c r="I85" s="247"/>
      <c r="J85" s="248"/>
      <c r="K85" s="248"/>
      <c r="L85" s="249"/>
      <c r="M85" s="247"/>
      <c r="N85" s="248"/>
      <c r="O85" s="248"/>
      <c r="P85" s="249"/>
      <c r="Q85" s="247"/>
      <c r="R85" s="248"/>
      <c r="S85" s="248"/>
      <c r="T85" s="249"/>
      <c r="U85" s="247"/>
      <c r="V85" s="248"/>
      <c r="W85" s="248"/>
      <c r="X85" s="249"/>
      <c r="Y85" s="247"/>
      <c r="Z85" s="248"/>
      <c r="AA85" s="248"/>
      <c r="AB85" s="249"/>
      <c r="AC85" s="247"/>
      <c r="AD85" s="248"/>
      <c r="AE85" s="248"/>
      <c r="AF85" s="249"/>
      <c r="AG85" s="247"/>
      <c r="AH85" s="248"/>
      <c r="AI85" s="248"/>
      <c r="AJ85" s="249"/>
      <c r="AK85" s="247"/>
      <c r="AL85" s="248"/>
      <c r="AM85" s="248"/>
      <c r="AN85" s="249"/>
      <c r="AO85" s="247"/>
      <c r="AP85" s="248"/>
      <c r="AQ85" s="248"/>
      <c r="AR85" s="249"/>
    </row>
    <row r="86" spans="1:44" ht="14.75" customHeight="1" x14ac:dyDescent="0.7">
      <c r="A86" s="250" t="s">
        <v>162</v>
      </c>
      <c r="B86" s="250"/>
      <c r="C86" s="251">
        <v>1</v>
      </c>
      <c r="D86" s="252"/>
      <c r="E86" s="253" t="str" cm="1">
        <f t="array" aca="1" ref="E86" ca="1">IF(INDEX(集計3!$C$16:$CX$25,$C86,INDIRECT(ADDRESS(ROW()-8-($C86),COLUMN())))="","",INDEX(集計3!$C$16:$CX$25,$C86,INDIRECT(ADDRESS(ROW()-8-($C86),COLUMN()))))</f>
        <v/>
      </c>
      <c r="F86" s="254"/>
      <c r="G86" s="254"/>
      <c r="H86" s="255"/>
      <c r="I86" s="253" t="str" cm="1">
        <f t="array" aca="1" ref="I86" ca="1">IF(INDEX(集計3!$C$16:$CX$25,$C86,INDIRECT(ADDRESS(ROW()-8-($C86),COLUMN())))="","",INDEX(集計3!$C$16:$CX$25,$C86,INDIRECT(ADDRESS(ROW()-8-($C86),COLUMN()))))</f>
        <v/>
      </c>
      <c r="J86" s="254"/>
      <c r="K86" s="254"/>
      <c r="L86" s="255"/>
      <c r="M86" s="253" t="str" cm="1">
        <f t="array" aca="1" ref="M86" ca="1">IF(INDEX(集計3!$C$16:$CX$25,$C86,INDIRECT(ADDRESS(ROW()-8-($C86),COLUMN())))="","",INDEX(集計3!$C$16:$CX$25,$C86,INDIRECT(ADDRESS(ROW()-8-($C86),COLUMN()))))</f>
        <v/>
      </c>
      <c r="N86" s="254"/>
      <c r="O86" s="254"/>
      <c r="P86" s="255"/>
      <c r="Q86" s="253" t="str" cm="1">
        <f t="array" aca="1" ref="Q86" ca="1">IF(INDEX(集計3!$C$16:$CX$25,$C86,INDIRECT(ADDRESS(ROW()-8-($C86),COLUMN())))="","",INDEX(集計3!$C$16:$CX$25,$C86,INDIRECT(ADDRESS(ROW()-8-($C86),COLUMN()))))</f>
        <v/>
      </c>
      <c r="R86" s="254"/>
      <c r="S86" s="254"/>
      <c r="T86" s="255"/>
      <c r="U86" s="253" t="str" cm="1">
        <f t="array" aca="1" ref="U86" ca="1">IF(INDEX(集計3!$C$16:$CX$25,$C86,INDIRECT(ADDRESS(ROW()-8-($C86),COLUMN())))="","",INDEX(集計3!$C$16:$CX$25,$C86,INDIRECT(ADDRESS(ROW()-8-($C86),COLUMN()))))</f>
        <v/>
      </c>
      <c r="V86" s="254"/>
      <c r="W86" s="254"/>
      <c r="X86" s="255"/>
      <c r="Y86" s="253" t="str" cm="1">
        <f t="array" aca="1" ref="Y86" ca="1">IF(INDEX(集計3!$C$16:$CX$25,$C86,INDIRECT(ADDRESS(ROW()-8-($C86),COLUMN())))="","",INDEX(集計3!$C$16:$CX$25,$C86,INDIRECT(ADDRESS(ROW()-8-($C86),COLUMN()))))</f>
        <v/>
      </c>
      <c r="Z86" s="254"/>
      <c r="AA86" s="254"/>
      <c r="AB86" s="255"/>
      <c r="AC86" s="253" t="str" cm="1">
        <f t="array" aca="1" ref="AC86" ca="1">IF(INDEX(集計3!$C$16:$CX$25,$C86,INDIRECT(ADDRESS(ROW()-8-($C86),COLUMN())))="","",INDEX(集計3!$C$16:$CX$25,$C86,INDIRECT(ADDRESS(ROW()-8-($C86),COLUMN()))))</f>
        <v/>
      </c>
      <c r="AD86" s="254"/>
      <c r="AE86" s="254"/>
      <c r="AF86" s="255"/>
      <c r="AG86" s="253" t="str" cm="1">
        <f t="array" aca="1" ref="AG86" ca="1">IF(INDEX(集計3!$C$16:$CX$25,$C86,INDIRECT(ADDRESS(ROW()-8-($C86),COLUMN())))="","",INDEX(集計3!$C$16:$CX$25,$C86,INDIRECT(ADDRESS(ROW()-8-($C86),COLUMN()))))</f>
        <v/>
      </c>
      <c r="AH86" s="254"/>
      <c r="AI86" s="254"/>
      <c r="AJ86" s="255"/>
      <c r="AK86" s="253" t="str" cm="1">
        <f t="array" aca="1" ref="AK86" ca="1">IF(INDEX(集計3!$C$16:$CX$25,$C86,INDIRECT(ADDRESS(ROW()-8-($C86),COLUMN())))="","",INDEX(集計3!$C$16:$CX$25,$C86,INDIRECT(ADDRESS(ROW()-8-($C86),COLUMN()))))</f>
        <v/>
      </c>
      <c r="AL86" s="254"/>
      <c r="AM86" s="254"/>
      <c r="AN86" s="255"/>
      <c r="AO86" s="253" t="str" cm="1">
        <f t="array" aca="1" ref="AO86" ca="1">IF(INDEX(集計3!$C$16:$CX$25,$C86,INDIRECT(ADDRESS(ROW()-8-($C86),COLUMN())))="","",INDEX(集計3!$C$16:$CX$25,$C86,INDIRECT(ADDRESS(ROW()-8-($C86),COLUMN()))))</f>
        <v/>
      </c>
      <c r="AP86" s="254"/>
      <c r="AQ86" s="254"/>
      <c r="AR86" s="255"/>
    </row>
    <row r="87" spans="1:44" ht="14.75" customHeight="1" x14ac:dyDescent="0.7">
      <c r="A87" s="250"/>
      <c r="B87" s="250"/>
      <c r="C87" s="231">
        <v>2</v>
      </c>
      <c r="D87" s="232"/>
      <c r="E87" s="241" t="str" cm="1">
        <f t="array" aca="1" ref="E87" ca="1">IF(INDEX(集計3!$C$16:$CX$25,$C87,INDIRECT(ADDRESS(ROW()-8-($C87),COLUMN())))="","",INDEX(集計3!$C$16:$CX$25,$C87,INDIRECT(ADDRESS(ROW()-8-($C87),COLUMN()))))</f>
        <v/>
      </c>
      <c r="F87" s="242"/>
      <c r="G87" s="242"/>
      <c r="H87" s="243"/>
      <c r="I87" s="241" t="str" cm="1">
        <f t="array" aca="1" ref="I87" ca="1">IF(INDEX(集計3!$C$16:$CX$25,$C87,INDIRECT(ADDRESS(ROW()-8-($C87),COLUMN())))="","",INDEX(集計3!$C$16:$CX$25,$C87,INDIRECT(ADDRESS(ROW()-8-($C87),COLUMN()))))</f>
        <v/>
      </c>
      <c r="J87" s="242"/>
      <c r="K87" s="242"/>
      <c r="L87" s="243"/>
      <c r="M87" s="241" t="str" cm="1">
        <f t="array" aca="1" ref="M87" ca="1">IF(INDEX(集計3!$C$16:$CX$25,$C87,INDIRECT(ADDRESS(ROW()-8-($C87),COLUMN())))="","",INDEX(集計3!$C$16:$CX$25,$C87,INDIRECT(ADDRESS(ROW()-8-($C87),COLUMN()))))</f>
        <v/>
      </c>
      <c r="N87" s="242"/>
      <c r="O87" s="242"/>
      <c r="P87" s="243"/>
      <c r="Q87" s="241" t="str" cm="1">
        <f t="array" aca="1" ref="Q87" ca="1">IF(INDEX(集計3!$C$16:$CX$25,$C87,INDIRECT(ADDRESS(ROW()-8-($C87),COLUMN())))="","",INDEX(集計3!$C$16:$CX$25,$C87,INDIRECT(ADDRESS(ROW()-8-($C87),COLUMN()))))</f>
        <v/>
      </c>
      <c r="R87" s="242"/>
      <c r="S87" s="242"/>
      <c r="T87" s="243"/>
      <c r="U87" s="241" t="str" cm="1">
        <f t="array" aca="1" ref="U87" ca="1">IF(INDEX(集計3!$C$16:$CX$25,$C87,INDIRECT(ADDRESS(ROW()-8-($C87),COLUMN())))="","",INDEX(集計3!$C$16:$CX$25,$C87,INDIRECT(ADDRESS(ROW()-8-($C87),COLUMN()))))</f>
        <v/>
      </c>
      <c r="V87" s="242"/>
      <c r="W87" s="242"/>
      <c r="X87" s="243"/>
      <c r="Y87" s="241" t="str" cm="1">
        <f t="array" aca="1" ref="Y87" ca="1">IF(INDEX(集計3!$C$16:$CX$25,$C87,INDIRECT(ADDRESS(ROW()-8-($C87),COLUMN())))="","",INDEX(集計3!$C$16:$CX$25,$C87,INDIRECT(ADDRESS(ROW()-8-($C87),COLUMN()))))</f>
        <v/>
      </c>
      <c r="Z87" s="242"/>
      <c r="AA87" s="242"/>
      <c r="AB87" s="243"/>
      <c r="AC87" s="241" t="str" cm="1">
        <f t="array" aca="1" ref="AC87" ca="1">IF(INDEX(集計3!$C$16:$CX$25,$C87,INDIRECT(ADDRESS(ROW()-8-($C87),COLUMN())))="","",INDEX(集計3!$C$16:$CX$25,$C87,INDIRECT(ADDRESS(ROW()-8-($C87),COLUMN()))))</f>
        <v/>
      </c>
      <c r="AD87" s="242"/>
      <c r="AE87" s="242"/>
      <c r="AF87" s="243"/>
      <c r="AG87" s="241" t="str" cm="1">
        <f t="array" aca="1" ref="AG87" ca="1">IF(INDEX(集計3!$C$16:$CX$25,$C87,INDIRECT(ADDRESS(ROW()-8-($C87),COLUMN())))="","",INDEX(集計3!$C$16:$CX$25,$C87,INDIRECT(ADDRESS(ROW()-8-($C87),COLUMN()))))</f>
        <v/>
      </c>
      <c r="AH87" s="242"/>
      <c r="AI87" s="242"/>
      <c r="AJ87" s="243"/>
      <c r="AK87" s="241" t="str" cm="1">
        <f t="array" aca="1" ref="AK87" ca="1">IF(INDEX(集計3!$C$16:$CX$25,$C87,INDIRECT(ADDRESS(ROW()-8-($C87),COLUMN())))="","",INDEX(集計3!$C$16:$CX$25,$C87,INDIRECT(ADDRESS(ROW()-8-($C87),COLUMN()))))</f>
        <v/>
      </c>
      <c r="AL87" s="242"/>
      <c r="AM87" s="242"/>
      <c r="AN87" s="243"/>
      <c r="AO87" s="241" t="str" cm="1">
        <f t="array" aca="1" ref="AO87" ca="1">IF(INDEX(集計3!$C$16:$CX$25,$C87,INDIRECT(ADDRESS(ROW()-8-($C87),COLUMN())))="","",INDEX(集計3!$C$16:$CX$25,$C87,INDIRECT(ADDRESS(ROW()-8-($C87),COLUMN()))))</f>
        <v/>
      </c>
      <c r="AP87" s="242"/>
      <c r="AQ87" s="242"/>
      <c r="AR87" s="243"/>
    </row>
    <row r="88" spans="1:44" ht="14.75" customHeight="1" x14ac:dyDescent="0.7">
      <c r="A88" s="250"/>
      <c r="B88" s="250"/>
      <c r="C88" s="231">
        <v>3</v>
      </c>
      <c r="D88" s="232"/>
      <c r="E88" s="241" t="str" cm="1">
        <f t="array" aca="1" ref="E88" ca="1">IF(INDEX(集計3!$C$16:$CX$25,$C88,INDIRECT(ADDRESS(ROW()-8-($C88),COLUMN())))="","",INDEX(集計3!$C$16:$CX$25,$C88,INDIRECT(ADDRESS(ROW()-8-($C88),COLUMN()))))</f>
        <v/>
      </c>
      <c r="F88" s="242"/>
      <c r="G88" s="242"/>
      <c r="H88" s="243"/>
      <c r="I88" s="241" t="str" cm="1">
        <f t="array" aca="1" ref="I88" ca="1">IF(INDEX(集計3!$C$16:$CX$25,$C88,INDIRECT(ADDRESS(ROW()-8-($C88),COLUMN())))="","",INDEX(集計3!$C$16:$CX$25,$C88,INDIRECT(ADDRESS(ROW()-8-($C88),COLUMN()))))</f>
        <v/>
      </c>
      <c r="J88" s="242"/>
      <c r="K88" s="242"/>
      <c r="L88" s="243"/>
      <c r="M88" s="241" t="str" cm="1">
        <f t="array" aca="1" ref="M88" ca="1">IF(INDEX(集計3!$C$16:$CX$25,$C88,INDIRECT(ADDRESS(ROW()-8-($C88),COLUMN())))="","",INDEX(集計3!$C$16:$CX$25,$C88,INDIRECT(ADDRESS(ROW()-8-($C88),COLUMN()))))</f>
        <v/>
      </c>
      <c r="N88" s="242"/>
      <c r="O88" s="242"/>
      <c r="P88" s="243"/>
      <c r="Q88" s="241" t="str" cm="1">
        <f t="array" aca="1" ref="Q88" ca="1">IF(INDEX(集計3!$C$16:$CX$25,$C88,INDIRECT(ADDRESS(ROW()-8-($C88),COLUMN())))="","",INDEX(集計3!$C$16:$CX$25,$C88,INDIRECT(ADDRESS(ROW()-8-($C88),COLUMN()))))</f>
        <v/>
      </c>
      <c r="R88" s="242"/>
      <c r="S88" s="242"/>
      <c r="T88" s="243"/>
      <c r="U88" s="241" t="str" cm="1">
        <f t="array" aca="1" ref="U88" ca="1">IF(INDEX(集計3!$C$16:$CX$25,$C88,INDIRECT(ADDRESS(ROW()-8-($C88),COLUMN())))="","",INDEX(集計3!$C$16:$CX$25,$C88,INDIRECT(ADDRESS(ROW()-8-($C88),COLUMN()))))</f>
        <v/>
      </c>
      <c r="V88" s="242"/>
      <c r="W88" s="242"/>
      <c r="X88" s="243"/>
      <c r="Y88" s="241" t="str" cm="1">
        <f t="array" aca="1" ref="Y88" ca="1">IF(INDEX(集計3!$C$16:$CX$25,$C88,INDIRECT(ADDRESS(ROW()-8-($C88),COLUMN())))="","",INDEX(集計3!$C$16:$CX$25,$C88,INDIRECT(ADDRESS(ROW()-8-($C88),COLUMN()))))</f>
        <v/>
      </c>
      <c r="Z88" s="242"/>
      <c r="AA88" s="242"/>
      <c r="AB88" s="243"/>
      <c r="AC88" s="241" t="str" cm="1">
        <f t="array" aca="1" ref="AC88" ca="1">IF(INDEX(集計3!$C$16:$CX$25,$C88,INDIRECT(ADDRESS(ROW()-8-($C88),COLUMN())))="","",INDEX(集計3!$C$16:$CX$25,$C88,INDIRECT(ADDRESS(ROW()-8-($C88),COLUMN()))))</f>
        <v/>
      </c>
      <c r="AD88" s="242"/>
      <c r="AE88" s="242"/>
      <c r="AF88" s="243"/>
      <c r="AG88" s="241" t="str" cm="1">
        <f t="array" aca="1" ref="AG88" ca="1">IF(INDEX(集計3!$C$16:$CX$25,$C88,INDIRECT(ADDRESS(ROW()-8-($C88),COLUMN())))="","",INDEX(集計3!$C$16:$CX$25,$C88,INDIRECT(ADDRESS(ROW()-8-($C88),COLUMN()))))</f>
        <v/>
      </c>
      <c r="AH88" s="242"/>
      <c r="AI88" s="242"/>
      <c r="AJ88" s="243"/>
      <c r="AK88" s="241" t="str" cm="1">
        <f t="array" aca="1" ref="AK88" ca="1">IF(INDEX(集計3!$C$16:$CX$25,$C88,INDIRECT(ADDRESS(ROW()-8-($C88),COLUMN())))="","",INDEX(集計3!$C$16:$CX$25,$C88,INDIRECT(ADDRESS(ROW()-8-($C88),COLUMN()))))</f>
        <v/>
      </c>
      <c r="AL88" s="242"/>
      <c r="AM88" s="242"/>
      <c r="AN88" s="243"/>
      <c r="AO88" s="241" t="str" cm="1">
        <f t="array" aca="1" ref="AO88" ca="1">IF(INDEX(集計3!$C$16:$CX$25,$C88,INDIRECT(ADDRESS(ROW()-8-($C88),COLUMN())))="","",INDEX(集計3!$C$16:$CX$25,$C88,INDIRECT(ADDRESS(ROW()-8-($C88),COLUMN()))))</f>
        <v/>
      </c>
      <c r="AP88" s="242"/>
      <c r="AQ88" s="242"/>
      <c r="AR88" s="243"/>
    </row>
    <row r="89" spans="1:44" ht="14.75" customHeight="1" x14ac:dyDescent="0.7">
      <c r="A89" s="250"/>
      <c r="B89" s="250"/>
      <c r="C89" s="231">
        <v>4</v>
      </c>
      <c r="D89" s="232"/>
      <c r="E89" s="241" t="str" cm="1">
        <f t="array" aca="1" ref="E89" ca="1">IF(INDEX(集計3!$C$16:$CX$25,$C89,INDIRECT(ADDRESS(ROW()-8-($C89),COLUMN())))="","",INDEX(集計3!$C$16:$CX$25,$C89,INDIRECT(ADDRESS(ROW()-8-($C89),COLUMN()))))</f>
        <v/>
      </c>
      <c r="F89" s="242"/>
      <c r="G89" s="242"/>
      <c r="H89" s="243"/>
      <c r="I89" s="241" t="str" cm="1">
        <f t="array" aca="1" ref="I89" ca="1">IF(INDEX(集計3!$C$16:$CX$25,$C89,INDIRECT(ADDRESS(ROW()-8-($C89),COLUMN())))="","",INDEX(集計3!$C$16:$CX$25,$C89,INDIRECT(ADDRESS(ROW()-8-($C89),COLUMN()))))</f>
        <v/>
      </c>
      <c r="J89" s="242"/>
      <c r="K89" s="242"/>
      <c r="L89" s="243"/>
      <c r="M89" s="241" t="str" cm="1">
        <f t="array" aca="1" ref="M89" ca="1">IF(INDEX(集計3!$C$16:$CX$25,$C89,INDIRECT(ADDRESS(ROW()-8-($C89),COLUMN())))="","",INDEX(集計3!$C$16:$CX$25,$C89,INDIRECT(ADDRESS(ROW()-8-($C89),COLUMN()))))</f>
        <v/>
      </c>
      <c r="N89" s="242"/>
      <c r="O89" s="242"/>
      <c r="P89" s="243"/>
      <c r="Q89" s="241" t="str" cm="1">
        <f t="array" aca="1" ref="Q89" ca="1">IF(INDEX(集計3!$C$16:$CX$25,$C89,INDIRECT(ADDRESS(ROW()-8-($C89),COLUMN())))="","",INDEX(集計3!$C$16:$CX$25,$C89,INDIRECT(ADDRESS(ROW()-8-($C89),COLUMN()))))</f>
        <v/>
      </c>
      <c r="R89" s="242"/>
      <c r="S89" s="242"/>
      <c r="T89" s="243"/>
      <c r="U89" s="241" t="str" cm="1">
        <f t="array" aca="1" ref="U89" ca="1">IF(INDEX(集計3!$C$16:$CX$25,$C89,INDIRECT(ADDRESS(ROW()-8-($C89),COLUMN())))="","",INDEX(集計3!$C$16:$CX$25,$C89,INDIRECT(ADDRESS(ROW()-8-($C89),COLUMN()))))</f>
        <v/>
      </c>
      <c r="V89" s="242"/>
      <c r="W89" s="242"/>
      <c r="X89" s="243"/>
      <c r="Y89" s="241" t="str" cm="1">
        <f t="array" aca="1" ref="Y89" ca="1">IF(INDEX(集計3!$C$16:$CX$25,$C89,INDIRECT(ADDRESS(ROW()-8-($C89),COLUMN())))="","",INDEX(集計3!$C$16:$CX$25,$C89,INDIRECT(ADDRESS(ROW()-8-($C89),COLUMN()))))</f>
        <v/>
      </c>
      <c r="Z89" s="242"/>
      <c r="AA89" s="242"/>
      <c r="AB89" s="243"/>
      <c r="AC89" s="241" t="str" cm="1">
        <f t="array" aca="1" ref="AC89" ca="1">IF(INDEX(集計3!$C$16:$CX$25,$C89,INDIRECT(ADDRESS(ROW()-8-($C89),COLUMN())))="","",INDEX(集計3!$C$16:$CX$25,$C89,INDIRECT(ADDRESS(ROW()-8-($C89),COLUMN()))))</f>
        <v/>
      </c>
      <c r="AD89" s="242"/>
      <c r="AE89" s="242"/>
      <c r="AF89" s="243"/>
      <c r="AG89" s="241" t="str" cm="1">
        <f t="array" aca="1" ref="AG89" ca="1">IF(INDEX(集計3!$C$16:$CX$25,$C89,INDIRECT(ADDRESS(ROW()-8-($C89),COLUMN())))="","",INDEX(集計3!$C$16:$CX$25,$C89,INDIRECT(ADDRESS(ROW()-8-($C89),COLUMN()))))</f>
        <v/>
      </c>
      <c r="AH89" s="242"/>
      <c r="AI89" s="242"/>
      <c r="AJ89" s="243"/>
      <c r="AK89" s="241" t="str" cm="1">
        <f t="array" aca="1" ref="AK89" ca="1">IF(INDEX(集計3!$C$16:$CX$25,$C89,INDIRECT(ADDRESS(ROW()-8-($C89),COLUMN())))="","",INDEX(集計3!$C$16:$CX$25,$C89,INDIRECT(ADDRESS(ROW()-8-($C89),COLUMN()))))</f>
        <v/>
      </c>
      <c r="AL89" s="242"/>
      <c r="AM89" s="242"/>
      <c r="AN89" s="243"/>
      <c r="AO89" s="241" t="str" cm="1">
        <f t="array" aca="1" ref="AO89" ca="1">IF(INDEX(集計3!$C$16:$CX$25,$C89,INDIRECT(ADDRESS(ROW()-8-($C89),COLUMN())))="","",INDEX(集計3!$C$16:$CX$25,$C89,INDIRECT(ADDRESS(ROW()-8-($C89),COLUMN()))))</f>
        <v/>
      </c>
      <c r="AP89" s="242"/>
      <c r="AQ89" s="242"/>
      <c r="AR89" s="243"/>
    </row>
    <row r="90" spans="1:44" ht="14.75" customHeight="1" x14ac:dyDescent="0.7">
      <c r="A90" s="250"/>
      <c r="B90" s="250"/>
      <c r="C90" s="231">
        <v>5</v>
      </c>
      <c r="D90" s="232"/>
      <c r="E90" s="241" t="str" cm="1">
        <f t="array" aca="1" ref="E90" ca="1">IF(INDEX(集計3!$C$16:$CX$25,$C90,INDIRECT(ADDRESS(ROW()-8-($C90),COLUMN())))="","",INDEX(集計3!$C$16:$CX$25,$C90,INDIRECT(ADDRESS(ROW()-8-($C90),COLUMN()))))</f>
        <v/>
      </c>
      <c r="F90" s="242"/>
      <c r="G90" s="242"/>
      <c r="H90" s="243"/>
      <c r="I90" s="241" t="str" cm="1">
        <f t="array" aca="1" ref="I90" ca="1">IF(INDEX(集計3!$C$16:$CX$25,$C90,INDIRECT(ADDRESS(ROW()-8-($C90),COLUMN())))="","",INDEX(集計3!$C$16:$CX$25,$C90,INDIRECT(ADDRESS(ROW()-8-($C90),COLUMN()))))</f>
        <v/>
      </c>
      <c r="J90" s="242"/>
      <c r="K90" s="242"/>
      <c r="L90" s="243"/>
      <c r="M90" s="241" t="str" cm="1">
        <f t="array" aca="1" ref="M90" ca="1">IF(INDEX(集計3!$C$16:$CX$25,$C90,INDIRECT(ADDRESS(ROW()-8-($C90),COLUMN())))="","",INDEX(集計3!$C$16:$CX$25,$C90,INDIRECT(ADDRESS(ROW()-8-($C90),COLUMN()))))</f>
        <v/>
      </c>
      <c r="N90" s="242"/>
      <c r="O90" s="242"/>
      <c r="P90" s="243"/>
      <c r="Q90" s="241" t="str" cm="1">
        <f t="array" aca="1" ref="Q90" ca="1">IF(INDEX(集計3!$C$16:$CX$25,$C90,INDIRECT(ADDRESS(ROW()-8-($C90),COLUMN())))="","",INDEX(集計3!$C$16:$CX$25,$C90,INDIRECT(ADDRESS(ROW()-8-($C90),COLUMN()))))</f>
        <v/>
      </c>
      <c r="R90" s="242"/>
      <c r="S90" s="242"/>
      <c r="T90" s="243"/>
      <c r="U90" s="241" t="str" cm="1">
        <f t="array" aca="1" ref="U90" ca="1">IF(INDEX(集計3!$C$16:$CX$25,$C90,INDIRECT(ADDRESS(ROW()-8-($C90),COLUMN())))="","",INDEX(集計3!$C$16:$CX$25,$C90,INDIRECT(ADDRESS(ROW()-8-($C90),COLUMN()))))</f>
        <v/>
      </c>
      <c r="V90" s="242"/>
      <c r="W90" s="242"/>
      <c r="X90" s="243"/>
      <c r="Y90" s="241" t="str" cm="1">
        <f t="array" aca="1" ref="Y90" ca="1">IF(INDEX(集計3!$C$16:$CX$25,$C90,INDIRECT(ADDRESS(ROW()-8-($C90),COLUMN())))="","",INDEX(集計3!$C$16:$CX$25,$C90,INDIRECT(ADDRESS(ROW()-8-($C90),COLUMN()))))</f>
        <v/>
      </c>
      <c r="Z90" s="242"/>
      <c r="AA90" s="242"/>
      <c r="AB90" s="243"/>
      <c r="AC90" s="241" t="str" cm="1">
        <f t="array" aca="1" ref="AC90" ca="1">IF(INDEX(集計3!$C$16:$CX$25,$C90,INDIRECT(ADDRESS(ROW()-8-($C90),COLUMN())))="","",INDEX(集計3!$C$16:$CX$25,$C90,INDIRECT(ADDRESS(ROW()-8-($C90),COLUMN()))))</f>
        <v/>
      </c>
      <c r="AD90" s="242"/>
      <c r="AE90" s="242"/>
      <c r="AF90" s="243"/>
      <c r="AG90" s="241" t="str" cm="1">
        <f t="array" aca="1" ref="AG90" ca="1">IF(INDEX(集計3!$C$16:$CX$25,$C90,INDIRECT(ADDRESS(ROW()-8-($C90),COLUMN())))="","",INDEX(集計3!$C$16:$CX$25,$C90,INDIRECT(ADDRESS(ROW()-8-($C90),COLUMN()))))</f>
        <v/>
      </c>
      <c r="AH90" s="242"/>
      <c r="AI90" s="242"/>
      <c r="AJ90" s="243"/>
      <c r="AK90" s="241" t="str" cm="1">
        <f t="array" aca="1" ref="AK90" ca="1">IF(INDEX(集計3!$C$16:$CX$25,$C90,INDIRECT(ADDRESS(ROW()-8-($C90),COLUMN())))="","",INDEX(集計3!$C$16:$CX$25,$C90,INDIRECT(ADDRESS(ROW()-8-($C90),COLUMN()))))</f>
        <v/>
      </c>
      <c r="AL90" s="242"/>
      <c r="AM90" s="242"/>
      <c r="AN90" s="243"/>
      <c r="AO90" s="241" t="str" cm="1">
        <f t="array" aca="1" ref="AO90" ca="1">IF(INDEX(集計3!$C$16:$CX$25,$C90,INDIRECT(ADDRESS(ROW()-8-($C90),COLUMN())))="","",INDEX(集計3!$C$16:$CX$25,$C90,INDIRECT(ADDRESS(ROW()-8-($C90),COLUMN()))))</f>
        <v/>
      </c>
      <c r="AP90" s="242"/>
      <c r="AQ90" s="242"/>
      <c r="AR90" s="243"/>
    </row>
    <row r="91" spans="1:44" ht="14.75" customHeight="1" x14ac:dyDescent="0.7">
      <c r="A91" s="250"/>
      <c r="B91" s="250"/>
      <c r="C91" s="231">
        <v>6</v>
      </c>
      <c r="D91" s="232"/>
      <c r="E91" s="233" t="str" cm="1">
        <f t="array" aca="1" ref="E91" ca="1">IF(INDEX(集計3!$C$16:$CX$25,$C91,INDIRECT(ADDRESS(ROW()-8-($C91),COLUMN())))="","",INDEX(集計3!$C$16:$CX$25,$C91,INDIRECT(ADDRESS(ROW()-8-($C91),COLUMN()))))</f>
        <v/>
      </c>
      <c r="F91" s="234"/>
      <c r="G91" s="234"/>
      <c r="H91" s="235"/>
      <c r="I91" s="233" t="str" cm="1">
        <f t="array" aca="1" ref="I91" ca="1">IF(INDEX(集計3!$C$16:$CX$25,$C91,INDIRECT(ADDRESS(ROW()-8-($C91),COLUMN())))="","",INDEX(集計3!$C$16:$CX$25,$C91,INDIRECT(ADDRESS(ROW()-8-($C91),COLUMN()))))</f>
        <v/>
      </c>
      <c r="J91" s="234"/>
      <c r="K91" s="234"/>
      <c r="L91" s="235"/>
      <c r="M91" s="233" t="str" cm="1">
        <f t="array" aca="1" ref="M91" ca="1">IF(INDEX(集計3!$C$16:$CX$25,$C91,INDIRECT(ADDRESS(ROW()-8-($C91),COLUMN())))="","",INDEX(集計3!$C$16:$CX$25,$C91,INDIRECT(ADDRESS(ROW()-8-($C91),COLUMN()))))</f>
        <v/>
      </c>
      <c r="N91" s="234"/>
      <c r="O91" s="234"/>
      <c r="P91" s="235"/>
      <c r="Q91" s="233" t="str" cm="1">
        <f t="array" aca="1" ref="Q91" ca="1">IF(INDEX(集計3!$C$16:$CX$25,$C91,INDIRECT(ADDRESS(ROW()-8-($C91),COLUMN())))="","",INDEX(集計3!$C$16:$CX$25,$C91,INDIRECT(ADDRESS(ROW()-8-($C91),COLUMN()))))</f>
        <v/>
      </c>
      <c r="R91" s="234"/>
      <c r="S91" s="234"/>
      <c r="T91" s="235"/>
      <c r="U91" s="233" t="str" cm="1">
        <f t="array" aca="1" ref="U91" ca="1">IF(INDEX(集計3!$C$16:$CX$25,$C91,INDIRECT(ADDRESS(ROW()-8-($C91),COLUMN())))="","",INDEX(集計3!$C$16:$CX$25,$C91,INDIRECT(ADDRESS(ROW()-8-($C91),COLUMN()))))</f>
        <v/>
      </c>
      <c r="V91" s="234"/>
      <c r="W91" s="234"/>
      <c r="X91" s="235"/>
      <c r="Y91" s="233" t="str" cm="1">
        <f t="array" aca="1" ref="Y91" ca="1">IF(INDEX(集計3!$C$16:$CX$25,$C91,INDIRECT(ADDRESS(ROW()-8-($C91),COLUMN())))="","",INDEX(集計3!$C$16:$CX$25,$C91,INDIRECT(ADDRESS(ROW()-8-($C91),COLUMN()))))</f>
        <v/>
      </c>
      <c r="Z91" s="234"/>
      <c r="AA91" s="234"/>
      <c r="AB91" s="235"/>
      <c r="AC91" s="233" t="str" cm="1">
        <f t="array" aca="1" ref="AC91" ca="1">IF(INDEX(集計3!$C$16:$CX$25,$C91,INDIRECT(ADDRESS(ROW()-8-($C91),COLUMN())))="","",INDEX(集計3!$C$16:$CX$25,$C91,INDIRECT(ADDRESS(ROW()-8-($C91),COLUMN()))))</f>
        <v/>
      </c>
      <c r="AD91" s="234"/>
      <c r="AE91" s="234"/>
      <c r="AF91" s="235"/>
      <c r="AG91" s="233" t="str" cm="1">
        <f t="array" aca="1" ref="AG91" ca="1">IF(INDEX(集計3!$C$16:$CX$25,$C91,INDIRECT(ADDRESS(ROW()-8-($C91),COLUMN())))="","",INDEX(集計3!$C$16:$CX$25,$C91,INDIRECT(ADDRESS(ROW()-8-($C91),COLUMN()))))</f>
        <v/>
      </c>
      <c r="AH91" s="234"/>
      <c r="AI91" s="234"/>
      <c r="AJ91" s="235"/>
      <c r="AK91" s="233" t="str" cm="1">
        <f t="array" aca="1" ref="AK91" ca="1">IF(INDEX(集計3!$C$16:$CX$25,$C91,INDIRECT(ADDRESS(ROW()-8-($C91),COLUMN())))="","",INDEX(集計3!$C$16:$CX$25,$C91,INDIRECT(ADDRESS(ROW()-8-($C91),COLUMN()))))</f>
        <v/>
      </c>
      <c r="AL91" s="234"/>
      <c r="AM91" s="234"/>
      <c r="AN91" s="235"/>
      <c r="AO91" s="233" t="str" cm="1">
        <f t="array" aca="1" ref="AO91" ca="1">IF(INDEX(集計3!$C$16:$CX$25,$C91,INDIRECT(ADDRESS(ROW()-8-($C91),COLUMN())))="","",INDEX(集計3!$C$16:$CX$25,$C91,INDIRECT(ADDRESS(ROW()-8-($C91),COLUMN()))))</f>
        <v/>
      </c>
      <c r="AP91" s="234"/>
      <c r="AQ91" s="234"/>
      <c r="AR91" s="235"/>
    </row>
    <row r="92" spans="1:44" ht="14.75" customHeight="1" x14ac:dyDescent="0.7">
      <c r="A92" s="250"/>
      <c r="B92" s="250"/>
      <c r="C92" s="231">
        <v>7</v>
      </c>
      <c r="D92" s="232"/>
      <c r="E92" s="233" t="str" cm="1">
        <f t="array" aca="1" ref="E92" ca="1">IF(INDEX(集計3!$C$16:$CX$25,$C92,INDIRECT(ADDRESS(ROW()-8-($C92),COLUMN())))="","",INDEX(集計3!$C$16:$CX$25,$C92,INDIRECT(ADDRESS(ROW()-8-($C92),COLUMN()))))</f>
        <v/>
      </c>
      <c r="F92" s="234"/>
      <c r="G92" s="234"/>
      <c r="H92" s="235"/>
      <c r="I92" s="233" t="str" cm="1">
        <f t="array" aca="1" ref="I92" ca="1">IF(INDEX(集計3!$C$16:$CX$25,$C92,INDIRECT(ADDRESS(ROW()-8-($C92),COLUMN())))="","",INDEX(集計3!$C$16:$CX$25,$C92,INDIRECT(ADDRESS(ROW()-8-($C92),COLUMN()))))</f>
        <v/>
      </c>
      <c r="J92" s="234"/>
      <c r="K92" s="234"/>
      <c r="L92" s="235"/>
      <c r="M92" s="233" t="str" cm="1">
        <f t="array" aca="1" ref="M92" ca="1">IF(INDEX(集計3!$C$16:$CX$25,$C92,INDIRECT(ADDRESS(ROW()-8-($C92),COLUMN())))="","",INDEX(集計3!$C$16:$CX$25,$C92,INDIRECT(ADDRESS(ROW()-8-($C92),COLUMN()))))</f>
        <v/>
      </c>
      <c r="N92" s="234"/>
      <c r="O92" s="234"/>
      <c r="P92" s="235"/>
      <c r="Q92" s="233" t="str" cm="1">
        <f t="array" aca="1" ref="Q92" ca="1">IF(INDEX(集計3!$C$16:$CX$25,$C92,INDIRECT(ADDRESS(ROW()-8-($C92),COLUMN())))="","",INDEX(集計3!$C$16:$CX$25,$C92,INDIRECT(ADDRESS(ROW()-8-($C92),COLUMN()))))</f>
        <v/>
      </c>
      <c r="R92" s="234"/>
      <c r="S92" s="234"/>
      <c r="T92" s="235"/>
      <c r="U92" s="233" t="str" cm="1">
        <f t="array" aca="1" ref="U92" ca="1">IF(INDEX(集計3!$C$16:$CX$25,$C92,INDIRECT(ADDRESS(ROW()-8-($C92),COLUMN())))="","",INDEX(集計3!$C$16:$CX$25,$C92,INDIRECT(ADDRESS(ROW()-8-($C92),COLUMN()))))</f>
        <v/>
      </c>
      <c r="V92" s="234"/>
      <c r="W92" s="234"/>
      <c r="X92" s="235"/>
      <c r="Y92" s="233" t="str" cm="1">
        <f t="array" aca="1" ref="Y92" ca="1">IF(INDEX(集計3!$C$16:$CX$25,$C92,INDIRECT(ADDRESS(ROW()-8-($C92),COLUMN())))="","",INDEX(集計3!$C$16:$CX$25,$C92,INDIRECT(ADDRESS(ROW()-8-($C92),COLUMN()))))</f>
        <v/>
      </c>
      <c r="Z92" s="234"/>
      <c r="AA92" s="234"/>
      <c r="AB92" s="235"/>
      <c r="AC92" s="233" t="str" cm="1">
        <f t="array" aca="1" ref="AC92" ca="1">IF(INDEX(集計3!$C$16:$CX$25,$C92,INDIRECT(ADDRESS(ROW()-8-($C92),COLUMN())))="","",INDEX(集計3!$C$16:$CX$25,$C92,INDIRECT(ADDRESS(ROW()-8-($C92),COLUMN()))))</f>
        <v/>
      </c>
      <c r="AD92" s="234"/>
      <c r="AE92" s="234"/>
      <c r="AF92" s="235"/>
      <c r="AG92" s="233" t="str" cm="1">
        <f t="array" aca="1" ref="AG92" ca="1">IF(INDEX(集計3!$C$16:$CX$25,$C92,INDIRECT(ADDRESS(ROW()-8-($C92),COLUMN())))="","",INDEX(集計3!$C$16:$CX$25,$C92,INDIRECT(ADDRESS(ROW()-8-($C92),COLUMN()))))</f>
        <v/>
      </c>
      <c r="AH92" s="234"/>
      <c r="AI92" s="234"/>
      <c r="AJ92" s="235"/>
      <c r="AK92" s="233" t="str" cm="1">
        <f t="array" aca="1" ref="AK92" ca="1">IF(INDEX(集計3!$C$16:$CX$25,$C92,INDIRECT(ADDRESS(ROW()-8-($C92),COLUMN())))="","",INDEX(集計3!$C$16:$CX$25,$C92,INDIRECT(ADDRESS(ROW()-8-($C92),COLUMN()))))</f>
        <v/>
      </c>
      <c r="AL92" s="234"/>
      <c r="AM92" s="234"/>
      <c r="AN92" s="235"/>
      <c r="AO92" s="233" t="str" cm="1">
        <f t="array" aca="1" ref="AO92" ca="1">IF(INDEX(集計3!$C$16:$CX$25,$C92,INDIRECT(ADDRESS(ROW()-8-($C92),COLUMN())))="","",INDEX(集計3!$C$16:$CX$25,$C92,INDIRECT(ADDRESS(ROW()-8-($C92),COLUMN()))))</f>
        <v/>
      </c>
      <c r="AP92" s="234"/>
      <c r="AQ92" s="234"/>
      <c r="AR92" s="235"/>
    </row>
    <row r="93" spans="1:44" ht="14.75" customHeight="1" x14ac:dyDescent="0.7">
      <c r="A93" s="250"/>
      <c r="B93" s="250"/>
      <c r="C93" s="231">
        <v>8</v>
      </c>
      <c r="D93" s="232"/>
      <c r="E93" s="233" t="str" cm="1">
        <f t="array" aca="1" ref="E93" ca="1">IF(INDEX(集計3!$C$16:$CX$25,$C93,INDIRECT(ADDRESS(ROW()-8-($C93),COLUMN())))="","",INDEX(集計3!$C$16:$CX$25,$C93,INDIRECT(ADDRESS(ROW()-8-($C93),COLUMN()))))</f>
        <v/>
      </c>
      <c r="F93" s="234"/>
      <c r="G93" s="234"/>
      <c r="H93" s="235"/>
      <c r="I93" s="233" t="str" cm="1">
        <f t="array" aca="1" ref="I93" ca="1">IF(INDEX(集計3!$C$16:$CX$25,$C93,INDIRECT(ADDRESS(ROW()-8-($C93),COLUMN())))="","",INDEX(集計3!$C$16:$CX$25,$C93,INDIRECT(ADDRESS(ROW()-8-($C93),COLUMN()))))</f>
        <v/>
      </c>
      <c r="J93" s="234"/>
      <c r="K93" s="234"/>
      <c r="L93" s="235"/>
      <c r="M93" s="233" t="str" cm="1">
        <f t="array" aca="1" ref="M93" ca="1">IF(INDEX(集計3!$C$16:$CX$25,$C93,INDIRECT(ADDRESS(ROW()-8-($C93),COLUMN())))="","",INDEX(集計3!$C$16:$CX$25,$C93,INDIRECT(ADDRESS(ROW()-8-($C93),COLUMN()))))</f>
        <v/>
      </c>
      <c r="N93" s="234"/>
      <c r="O93" s="234"/>
      <c r="P93" s="235"/>
      <c r="Q93" s="233" t="str" cm="1">
        <f t="array" aca="1" ref="Q93" ca="1">IF(INDEX(集計3!$C$16:$CX$25,$C93,INDIRECT(ADDRESS(ROW()-8-($C93),COLUMN())))="","",INDEX(集計3!$C$16:$CX$25,$C93,INDIRECT(ADDRESS(ROW()-8-($C93),COLUMN()))))</f>
        <v/>
      </c>
      <c r="R93" s="234"/>
      <c r="S93" s="234"/>
      <c r="T93" s="235"/>
      <c r="U93" s="233" t="str" cm="1">
        <f t="array" aca="1" ref="U93" ca="1">IF(INDEX(集計3!$C$16:$CX$25,$C93,INDIRECT(ADDRESS(ROW()-8-($C93),COLUMN())))="","",INDEX(集計3!$C$16:$CX$25,$C93,INDIRECT(ADDRESS(ROW()-8-($C93),COLUMN()))))</f>
        <v/>
      </c>
      <c r="V93" s="234"/>
      <c r="W93" s="234"/>
      <c r="X93" s="235"/>
      <c r="Y93" s="233" t="str" cm="1">
        <f t="array" aca="1" ref="Y93" ca="1">IF(INDEX(集計3!$C$16:$CX$25,$C93,INDIRECT(ADDRESS(ROW()-8-($C93),COLUMN())))="","",INDEX(集計3!$C$16:$CX$25,$C93,INDIRECT(ADDRESS(ROW()-8-($C93),COLUMN()))))</f>
        <v/>
      </c>
      <c r="Z93" s="234"/>
      <c r="AA93" s="234"/>
      <c r="AB93" s="235"/>
      <c r="AC93" s="233" t="str" cm="1">
        <f t="array" aca="1" ref="AC93" ca="1">IF(INDEX(集計3!$C$16:$CX$25,$C93,INDIRECT(ADDRESS(ROW()-8-($C93),COLUMN())))="","",INDEX(集計3!$C$16:$CX$25,$C93,INDIRECT(ADDRESS(ROW()-8-($C93),COLUMN()))))</f>
        <v/>
      </c>
      <c r="AD93" s="234"/>
      <c r="AE93" s="234"/>
      <c r="AF93" s="235"/>
      <c r="AG93" s="233" t="str" cm="1">
        <f t="array" aca="1" ref="AG93" ca="1">IF(INDEX(集計3!$C$16:$CX$25,$C93,INDIRECT(ADDRESS(ROW()-8-($C93),COLUMN())))="","",INDEX(集計3!$C$16:$CX$25,$C93,INDIRECT(ADDRESS(ROW()-8-($C93),COLUMN()))))</f>
        <v/>
      </c>
      <c r="AH93" s="234"/>
      <c r="AI93" s="234"/>
      <c r="AJ93" s="235"/>
      <c r="AK93" s="233" t="str" cm="1">
        <f t="array" aca="1" ref="AK93" ca="1">IF(INDEX(集計3!$C$16:$CX$25,$C93,INDIRECT(ADDRESS(ROW()-8-($C93),COLUMN())))="","",INDEX(集計3!$C$16:$CX$25,$C93,INDIRECT(ADDRESS(ROW()-8-($C93),COLUMN()))))</f>
        <v/>
      </c>
      <c r="AL93" s="234"/>
      <c r="AM93" s="234"/>
      <c r="AN93" s="235"/>
      <c r="AO93" s="233" t="str" cm="1">
        <f t="array" aca="1" ref="AO93" ca="1">IF(INDEX(集計3!$C$16:$CX$25,$C93,INDIRECT(ADDRESS(ROW()-8-($C93),COLUMN())))="","",INDEX(集計3!$C$16:$CX$25,$C93,INDIRECT(ADDRESS(ROW()-8-($C93),COLUMN()))))</f>
        <v/>
      </c>
      <c r="AP93" s="234"/>
      <c r="AQ93" s="234"/>
      <c r="AR93" s="235"/>
    </row>
    <row r="94" spans="1:44" ht="14.75" customHeight="1" x14ac:dyDescent="0.7">
      <c r="A94" s="250"/>
      <c r="B94" s="250"/>
      <c r="C94" s="231">
        <v>9</v>
      </c>
      <c r="D94" s="232"/>
      <c r="E94" s="233" t="str" cm="1">
        <f t="array" aca="1" ref="E94" ca="1">IF(INDEX(集計3!$C$16:$CX$25,$C94,INDIRECT(ADDRESS(ROW()-8-($C94),COLUMN())))="","",INDEX(集計3!$C$16:$CX$25,$C94,INDIRECT(ADDRESS(ROW()-8-($C94),COLUMN()))))</f>
        <v/>
      </c>
      <c r="F94" s="234"/>
      <c r="G94" s="234"/>
      <c r="H94" s="235"/>
      <c r="I94" s="233" t="str" cm="1">
        <f t="array" aca="1" ref="I94" ca="1">IF(INDEX(集計3!$C$16:$CX$25,$C94,INDIRECT(ADDRESS(ROW()-8-($C94),COLUMN())))="","",INDEX(集計3!$C$16:$CX$25,$C94,INDIRECT(ADDRESS(ROW()-8-($C94),COLUMN()))))</f>
        <v/>
      </c>
      <c r="J94" s="234"/>
      <c r="K94" s="234"/>
      <c r="L94" s="235"/>
      <c r="M94" s="233" t="str" cm="1">
        <f t="array" aca="1" ref="M94" ca="1">IF(INDEX(集計3!$C$16:$CX$25,$C94,INDIRECT(ADDRESS(ROW()-8-($C94),COLUMN())))="","",INDEX(集計3!$C$16:$CX$25,$C94,INDIRECT(ADDRESS(ROW()-8-($C94),COLUMN()))))</f>
        <v/>
      </c>
      <c r="N94" s="234"/>
      <c r="O94" s="234"/>
      <c r="P94" s="235"/>
      <c r="Q94" s="233" t="str" cm="1">
        <f t="array" aca="1" ref="Q94" ca="1">IF(INDEX(集計3!$C$16:$CX$25,$C94,INDIRECT(ADDRESS(ROW()-8-($C94),COLUMN())))="","",INDEX(集計3!$C$16:$CX$25,$C94,INDIRECT(ADDRESS(ROW()-8-($C94),COLUMN()))))</f>
        <v/>
      </c>
      <c r="R94" s="234"/>
      <c r="S94" s="234"/>
      <c r="T94" s="235"/>
      <c r="U94" s="233" t="str" cm="1">
        <f t="array" aca="1" ref="U94" ca="1">IF(INDEX(集計3!$C$16:$CX$25,$C94,INDIRECT(ADDRESS(ROW()-8-($C94),COLUMN())))="","",INDEX(集計3!$C$16:$CX$25,$C94,INDIRECT(ADDRESS(ROW()-8-($C94),COLUMN()))))</f>
        <v/>
      </c>
      <c r="V94" s="234"/>
      <c r="W94" s="234"/>
      <c r="X94" s="235"/>
      <c r="Y94" s="233" t="str" cm="1">
        <f t="array" aca="1" ref="Y94" ca="1">IF(INDEX(集計3!$C$16:$CX$25,$C94,INDIRECT(ADDRESS(ROW()-8-($C94),COLUMN())))="","",INDEX(集計3!$C$16:$CX$25,$C94,INDIRECT(ADDRESS(ROW()-8-($C94),COLUMN()))))</f>
        <v/>
      </c>
      <c r="Z94" s="234"/>
      <c r="AA94" s="234"/>
      <c r="AB94" s="235"/>
      <c r="AC94" s="233" t="str" cm="1">
        <f t="array" aca="1" ref="AC94" ca="1">IF(INDEX(集計3!$C$16:$CX$25,$C94,INDIRECT(ADDRESS(ROW()-8-($C94),COLUMN())))="","",INDEX(集計3!$C$16:$CX$25,$C94,INDIRECT(ADDRESS(ROW()-8-($C94),COLUMN()))))</f>
        <v/>
      </c>
      <c r="AD94" s="234"/>
      <c r="AE94" s="234"/>
      <c r="AF94" s="235"/>
      <c r="AG94" s="233" t="str" cm="1">
        <f t="array" aca="1" ref="AG94" ca="1">IF(INDEX(集計3!$C$16:$CX$25,$C94,INDIRECT(ADDRESS(ROW()-8-($C94),COLUMN())))="","",INDEX(集計3!$C$16:$CX$25,$C94,INDIRECT(ADDRESS(ROW()-8-($C94),COLUMN()))))</f>
        <v/>
      </c>
      <c r="AH94" s="234"/>
      <c r="AI94" s="234"/>
      <c r="AJ94" s="235"/>
      <c r="AK94" s="233" t="str" cm="1">
        <f t="array" aca="1" ref="AK94" ca="1">IF(INDEX(集計3!$C$16:$CX$25,$C94,INDIRECT(ADDRESS(ROW()-8-($C94),COLUMN())))="","",INDEX(集計3!$C$16:$CX$25,$C94,INDIRECT(ADDRESS(ROW()-8-($C94),COLUMN()))))</f>
        <v/>
      </c>
      <c r="AL94" s="234"/>
      <c r="AM94" s="234"/>
      <c r="AN94" s="235"/>
      <c r="AO94" s="233" t="str" cm="1">
        <f t="array" aca="1" ref="AO94" ca="1">IF(INDEX(集計3!$C$16:$CX$25,$C94,INDIRECT(ADDRESS(ROW()-8-($C94),COLUMN())))="","",INDEX(集計3!$C$16:$CX$25,$C94,INDIRECT(ADDRESS(ROW()-8-($C94),COLUMN()))))</f>
        <v/>
      </c>
      <c r="AP94" s="234"/>
      <c r="AQ94" s="234"/>
      <c r="AR94" s="235"/>
    </row>
    <row r="95" spans="1:44" ht="14.75" customHeight="1" x14ac:dyDescent="0.7">
      <c r="A95" s="250"/>
      <c r="B95" s="250"/>
      <c r="C95" s="236">
        <v>10</v>
      </c>
      <c r="D95" s="237"/>
      <c r="E95" s="238" t="str" cm="1">
        <f t="array" aca="1" ref="E95" ca="1">IF(INDEX(集計3!$C$16:$CX$25,$C95,INDIRECT(ADDRESS(ROW()-8-($C95),COLUMN())))="","",INDEX(集計3!$C$16:$CX$25,$C95,INDIRECT(ADDRESS(ROW()-8-($C95),COLUMN()))))</f>
        <v/>
      </c>
      <c r="F95" s="239"/>
      <c r="G95" s="239"/>
      <c r="H95" s="240"/>
      <c r="I95" s="238" t="str" cm="1">
        <f t="array" aca="1" ref="I95" ca="1">IF(INDEX(集計3!$C$16:$CX$25,$C95,INDIRECT(ADDRESS(ROW()-8-($C95),COLUMN())))="","",INDEX(集計3!$C$16:$CX$25,$C95,INDIRECT(ADDRESS(ROW()-8-($C95),COLUMN()))))</f>
        <v/>
      </c>
      <c r="J95" s="239"/>
      <c r="K95" s="239"/>
      <c r="L95" s="240"/>
      <c r="M95" s="238" t="str" cm="1">
        <f t="array" aca="1" ref="M95" ca="1">IF(INDEX(集計3!$C$16:$CX$25,$C95,INDIRECT(ADDRESS(ROW()-8-($C95),COLUMN())))="","",INDEX(集計3!$C$16:$CX$25,$C95,INDIRECT(ADDRESS(ROW()-8-($C95),COLUMN()))))</f>
        <v/>
      </c>
      <c r="N95" s="239"/>
      <c r="O95" s="239"/>
      <c r="P95" s="240"/>
      <c r="Q95" s="238" t="str" cm="1">
        <f t="array" aca="1" ref="Q95" ca="1">IF(INDEX(集計3!$C$16:$CX$25,$C95,INDIRECT(ADDRESS(ROW()-8-($C95),COLUMN())))="","",INDEX(集計3!$C$16:$CX$25,$C95,INDIRECT(ADDRESS(ROW()-8-($C95),COLUMN()))))</f>
        <v/>
      </c>
      <c r="R95" s="239"/>
      <c r="S95" s="239"/>
      <c r="T95" s="240"/>
      <c r="U95" s="238" t="str" cm="1">
        <f t="array" aca="1" ref="U95" ca="1">IF(INDEX(集計3!$C$16:$CX$25,$C95,INDIRECT(ADDRESS(ROW()-8-($C95),COLUMN())))="","",INDEX(集計3!$C$16:$CX$25,$C95,INDIRECT(ADDRESS(ROW()-8-($C95),COLUMN()))))</f>
        <v/>
      </c>
      <c r="V95" s="239"/>
      <c r="W95" s="239"/>
      <c r="X95" s="240"/>
      <c r="Y95" s="238" t="str" cm="1">
        <f t="array" aca="1" ref="Y95" ca="1">IF(INDEX(集計3!$C$16:$CX$25,$C95,INDIRECT(ADDRESS(ROW()-8-($C95),COLUMN())))="","",INDEX(集計3!$C$16:$CX$25,$C95,INDIRECT(ADDRESS(ROW()-8-($C95),COLUMN()))))</f>
        <v/>
      </c>
      <c r="Z95" s="239"/>
      <c r="AA95" s="239"/>
      <c r="AB95" s="240"/>
      <c r="AC95" s="238" t="str" cm="1">
        <f t="array" aca="1" ref="AC95" ca="1">IF(INDEX(集計3!$C$16:$CX$25,$C95,INDIRECT(ADDRESS(ROW()-8-($C95),COLUMN())))="","",INDEX(集計3!$C$16:$CX$25,$C95,INDIRECT(ADDRESS(ROW()-8-($C95),COLUMN()))))</f>
        <v/>
      </c>
      <c r="AD95" s="239"/>
      <c r="AE95" s="239"/>
      <c r="AF95" s="240"/>
      <c r="AG95" s="238" t="str" cm="1">
        <f t="array" aca="1" ref="AG95" ca="1">IF(INDEX(集計3!$C$16:$CX$25,$C95,INDIRECT(ADDRESS(ROW()-8-($C95),COLUMN())))="","",INDEX(集計3!$C$16:$CX$25,$C95,INDIRECT(ADDRESS(ROW()-8-($C95),COLUMN()))))</f>
        <v/>
      </c>
      <c r="AH95" s="239"/>
      <c r="AI95" s="239"/>
      <c r="AJ95" s="240"/>
      <c r="AK95" s="238" t="str" cm="1">
        <f t="array" aca="1" ref="AK95" ca="1">IF(INDEX(集計3!$C$16:$CX$25,$C95,INDIRECT(ADDRESS(ROW()-8-($C95),COLUMN())))="","",INDEX(集計3!$C$16:$CX$25,$C95,INDIRECT(ADDRESS(ROW()-8-($C95),COLUMN()))))</f>
        <v/>
      </c>
      <c r="AL95" s="239"/>
      <c r="AM95" s="239"/>
      <c r="AN95" s="240"/>
      <c r="AO95" s="238" t="str" cm="1">
        <f t="array" aca="1" ref="AO95" ca="1">IF(INDEX(集計3!$C$16:$CX$25,$C95,INDIRECT(ADDRESS(ROW()-8-($C95),COLUMN())))="","",INDEX(集計3!$C$16:$CX$25,$C95,INDIRECT(ADDRESS(ROW()-8-($C95),COLUMN()))))</f>
        <v/>
      </c>
      <c r="AP95" s="239"/>
      <c r="AQ95" s="239"/>
      <c r="AR95" s="240"/>
    </row>
    <row r="96" spans="1:44" ht="7.25" customHeight="1" x14ac:dyDescent="0.7">
      <c r="A96" s="217" t="s">
        <v>163</v>
      </c>
      <c r="B96" s="217"/>
      <c r="C96" s="217"/>
      <c r="D96" s="217"/>
      <c r="E96" s="219" t="str" cm="1">
        <f t="array" aca="1" ref="E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96" s="220"/>
      <c r="G96" s="220"/>
      <c r="H96" s="221"/>
      <c r="I96" s="219" t="str" cm="1">
        <f t="array" aca="1" ref="I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96" s="220"/>
      <c r="K96" s="220"/>
      <c r="L96" s="221"/>
      <c r="M96" s="219" t="str" cm="1">
        <f t="array" aca="1" ref="M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96" s="220"/>
      <c r="O96" s="220"/>
      <c r="P96" s="221"/>
      <c r="Q96" s="219" t="str" cm="1">
        <f t="array" aca="1" ref="Q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96" s="220"/>
      <c r="S96" s="220"/>
      <c r="T96" s="221"/>
      <c r="U96" s="219" t="str" cm="1">
        <f t="array" aca="1" ref="U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96" s="220"/>
      <c r="W96" s="220"/>
      <c r="X96" s="221"/>
      <c r="Y96" s="219" t="str" cm="1">
        <f t="array" aca="1" ref="Y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96" s="220"/>
      <c r="AA96" s="220"/>
      <c r="AB96" s="221"/>
      <c r="AC96" s="219" t="str" cm="1">
        <f t="array" aca="1" ref="AC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96" s="220"/>
      <c r="AE96" s="220"/>
      <c r="AF96" s="221"/>
      <c r="AG96" s="219" t="str" cm="1">
        <f t="array" aca="1" ref="AG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96" s="220"/>
      <c r="AI96" s="220"/>
      <c r="AJ96" s="221"/>
      <c r="AK96" s="219" t="str" cm="1">
        <f t="array" aca="1" ref="AK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96" s="220"/>
      <c r="AM96" s="220"/>
      <c r="AN96" s="221"/>
      <c r="AO96" s="219" t="str" cm="1">
        <f t="array" aca="1" ref="AO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96" s="220"/>
      <c r="AQ96" s="220"/>
      <c r="AR96" s="221"/>
    </row>
    <row r="97" spans="1:44" ht="7.25" customHeight="1" x14ac:dyDescent="0.7">
      <c r="A97" s="218"/>
      <c r="B97" s="218"/>
      <c r="C97" s="218"/>
      <c r="D97" s="218"/>
      <c r="E97" s="222"/>
      <c r="F97" s="223"/>
      <c r="G97" s="223"/>
      <c r="H97" s="224"/>
      <c r="I97" s="222"/>
      <c r="J97" s="223"/>
      <c r="K97" s="223"/>
      <c r="L97" s="224"/>
      <c r="M97" s="222"/>
      <c r="N97" s="223"/>
      <c r="O97" s="223"/>
      <c r="P97" s="224"/>
      <c r="Q97" s="222"/>
      <c r="R97" s="223"/>
      <c r="S97" s="223"/>
      <c r="T97" s="224"/>
      <c r="U97" s="222"/>
      <c r="V97" s="223"/>
      <c r="W97" s="223"/>
      <c r="X97" s="224"/>
      <c r="Y97" s="222"/>
      <c r="Z97" s="223"/>
      <c r="AA97" s="223"/>
      <c r="AB97" s="224"/>
      <c r="AC97" s="222"/>
      <c r="AD97" s="223"/>
      <c r="AE97" s="223"/>
      <c r="AF97" s="224"/>
      <c r="AG97" s="222"/>
      <c r="AH97" s="223"/>
      <c r="AI97" s="223"/>
      <c r="AJ97" s="224"/>
      <c r="AK97" s="222"/>
      <c r="AL97" s="223"/>
      <c r="AM97" s="223"/>
      <c r="AN97" s="224"/>
      <c r="AO97" s="222"/>
      <c r="AP97" s="223"/>
      <c r="AQ97" s="223"/>
      <c r="AR97" s="224"/>
    </row>
    <row r="98" spans="1:44" ht="9" customHeight="1" x14ac:dyDescent="0.7">
      <c r="A98" s="225" t="s">
        <v>164</v>
      </c>
      <c r="B98" s="226"/>
      <c r="C98" s="226"/>
      <c r="D98" s="227"/>
      <c r="E98" s="228" t="str">
        <f ca="1">IF(COUNT(INDIRECT(ADDRESS(ROW()-12,COLUMN())):INDIRECT(ADDRESS(ROW()-3,COLUMN())))=0,"",MAX(INDIRECT(ADDRESS(ROW()-12,COLUMN())):INDIRECT(ADDRESS(ROW()-3,COLUMN()))))</f>
        <v/>
      </c>
      <c r="F98" s="229"/>
      <c r="G98" s="229"/>
      <c r="H98" s="230"/>
      <c r="I98" s="228" t="str">
        <f ca="1">IF(COUNT(INDIRECT(ADDRESS(ROW()-12,COLUMN())):INDIRECT(ADDRESS(ROW()-3,COLUMN())))=0,"",MAX(INDIRECT(ADDRESS(ROW()-12,COLUMN())):INDIRECT(ADDRESS(ROW()-3,COLUMN()))))</f>
        <v/>
      </c>
      <c r="J98" s="229"/>
      <c r="K98" s="229"/>
      <c r="L98" s="230"/>
      <c r="M98" s="228" t="str">
        <f ca="1">IF(COUNT(INDIRECT(ADDRESS(ROW()-12,COLUMN())):INDIRECT(ADDRESS(ROW()-3,COLUMN())))=0,"",MAX(INDIRECT(ADDRESS(ROW()-12,COLUMN())):INDIRECT(ADDRESS(ROW()-3,COLUMN()))))</f>
        <v/>
      </c>
      <c r="N98" s="229"/>
      <c r="O98" s="229"/>
      <c r="P98" s="230"/>
      <c r="Q98" s="228" t="str">
        <f ca="1">IF(COUNT(INDIRECT(ADDRESS(ROW()-12,COLUMN())):INDIRECT(ADDRESS(ROW()-3,COLUMN())))=0,"",MAX(INDIRECT(ADDRESS(ROW()-12,COLUMN())):INDIRECT(ADDRESS(ROW()-3,COLUMN()))))</f>
        <v/>
      </c>
      <c r="R98" s="229"/>
      <c r="S98" s="229"/>
      <c r="T98" s="230"/>
      <c r="U98" s="228" t="str">
        <f ca="1">IF(COUNT(INDIRECT(ADDRESS(ROW()-12,COLUMN())):INDIRECT(ADDRESS(ROW()-3,COLUMN())))=0,"",MAX(INDIRECT(ADDRESS(ROW()-12,COLUMN())):INDIRECT(ADDRESS(ROW()-3,COLUMN()))))</f>
        <v/>
      </c>
      <c r="V98" s="229"/>
      <c r="W98" s="229"/>
      <c r="X98" s="230"/>
      <c r="Y98" s="228" t="str">
        <f ca="1">IF(COUNT(INDIRECT(ADDRESS(ROW()-12,COLUMN())):INDIRECT(ADDRESS(ROW()-3,COLUMN())))=0,"",MAX(INDIRECT(ADDRESS(ROW()-12,COLUMN())):INDIRECT(ADDRESS(ROW()-3,COLUMN()))))</f>
        <v/>
      </c>
      <c r="Z98" s="229"/>
      <c r="AA98" s="229"/>
      <c r="AB98" s="230"/>
      <c r="AC98" s="228" t="str">
        <f ca="1">IF(COUNT(INDIRECT(ADDRESS(ROW()-12,COLUMN())):INDIRECT(ADDRESS(ROW()-3,COLUMN())))=0,"",MAX(INDIRECT(ADDRESS(ROW()-12,COLUMN())):INDIRECT(ADDRESS(ROW()-3,COLUMN()))))</f>
        <v/>
      </c>
      <c r="AD98" s="229"/>
      <c r="AE98" s="229"/>
      <c r="AF98" s="230"/>
      <c r="AG98" s="228" t="str">
        <f ca="1">IF(COUNT(INDIRECT(ADDRESS(ROW()-12,COLUMN())):INDIRECT(ADDRESS(ROW()-3,COLUMN())))=0,"",MAX(INDIRECT(ADDRESS(ROW()-12,COLUMN())):INDIRECT(ADDRESS(ROW()-3,COLUMN()))))</f>
        <v/>
      </c>
      <c r="AH98" s="229"/>
      <c r="AI98" s="229"/>
      <c r="AJ98" s="230"/>
      <c r="AK98" s="228" t="str">
        <f ca="1">IF(COUNT(INDIRECT(ADDRESS(ROW()-12,COLUMN())):INDIRECT(ADDRESS(ROW()-3,COLUMN())))=0,"",MAX(INDIRECT(ADDRESS(ROW()-12,COLUMN())):INDIRECT(ADDRESS(ROW()-3,COLUMN()))))</f>
        <v/>
      </c>
      <c r="AL98" s="229"/>
      <c r="AM98" s="229"/>
      <c r="AN98" s="230"/>
      <c r="AO98" s="228" t="str">
        <f ca="1">IF(COUNT(INDIRECT(ADDRESS(ROW()-12,COLUMN())):INDIRECT(ADDRESS(ROW()-3,COLUMN())))=0,"",MAX(INDIRECT(ADDRESS(ROW()-12,COLUMN())):INDIRECT(ADDRESS(ROW()-3,COLUMN()))))</f>
        <v/>
      </c>
      <c r="AP98" s="229"/>
      <c r="AQ98" s="229"/>
      <c r="AR98" s="230"/>
    </row>
    <row r="99" spans="1:44" ht="9" customHeight="1" x14ac:dyDescent="0.7">
      <c r="A99" s="211" t="s">
        <v>165</v>
      </c>
      <c r="B99" s="212"/>
      <c r="C99" s="212"/>
      <c r="D99" s="213"/>
      <c r="E99" s="214" t="str">
        <f ca="1">IF(COUNT(INDIRECT(ADDRESS(ROW()-13,COLUMN())):INDIRECT(ADDRESS(ROW()-4,COLUMN())))=0,"",MIN(INDIRECT(ADDRESS(ROW()-13,COLUMN())):INDIRECT(ADDRESS(ROW()-4,COLUMN()))))</f>
        <v/>
      </c>
      <c r="F99" s="215"/>
      <c r="G99" s="215"/>
      <c r="H99" s="216"/>
      <c r="I99" s="214" t="str">
        <f ca="1">IF(COUNT(INDIRECT(ADDRESS(ROW()-13,COLUMN())):INDIRECT(ADDRESS(ROW()-4,COLUMN())))=0,"",MIN(INDIRECT(ADDRESS(ROW()-13,COLUMN())):INDIRECT(ADDRESS(ROW()-4,COLUMN()))))</f>
        <v/>
      </c>
      <c r="J99" s="215"/>
      <c r="K99" s="215"/>
      <c r="L99" s="216"/>
      <c r="M99" s="214" t="str">
        <f ca="1">IF(COUNT(INDIRECT(ADDRESS(ROW()-13,COLUMN())):INDIRECT(ADDRESS(ROW()-4,COLUMN())))=0,"",MIN(INDIRECT(ADDRESS(ROW()-13,COLUMN())):INDIRECT(ADDRESS(ROW()-4,COLUMN()))))</f>
        <v/>
      </c>
      <c r="N99" s="215"/>
      <c r="O99" s="215"/>
      <c r="P99" s="216"/>
      <c r="Q99" s="214" t="str">
        <f ca="1">IF(COUNT(INDIRECT(ADDRESS(ROW()-13,COLUMN())):INDIRECT(ADDRESS(ROW()-4,COLUMN())))=0,"",MIN(INDIRECT(ADDRESS(ROW()-13,COLUMN())):INDIRECT(ADDRESS(ROW()-4,COLUMN()))))</f>
        <v/>
      </c>
      <c r="R99" s="215"/>
      <c r="S99" s="215"/>
      <c r="T99" s="216"/>
      <c r="U99" s="214" t="str">
        <f ca="1">IF(COUNT(INDIRECT(ADDRESS(ROW()-13,COLUMN())):INDIRECT(ADDRESS(ROW()-4,COLUMN())))=0,"",MIN(INDIRECT(ADDRESS(ROW()-13,COLUMN())):INDIRECT(ADDRESS(ROW()-4,COLUMN()))))</f>
        <v/>
      </c>
      <c r="V99" s="215"/>
      <c r="W99" s="215"/>
      <c r="X99" s="216"/>
      <c r="Y99" s="214" t="str">
        <f ca="1">IF(COUNT(INDIRECT(ADDRESS(ROW()-13,COLUMN())):INDIRECT(ADDRESS(ROW()-4,COLUMN())))=0,"",MIN(INDIRECT(ADDRESS(ROW()-13,COLUMN())):INDIRECT(ADDRESS(ROW()-4,COLUMN()))))</f>
        <v/>
      </c>
      <c r="Z99" s="215"/>
      <c r="AA99" s="215"/>
      <c r="AB99" s="216"/>
      <c r="AC99" s="214" t="str">
        <f ca="1">IF(COUNT(INDIRECT(ADDRESS(ROW()-13,COLUMN())):INDIRECT(ADDRESS(ROW()-4,COLUMN())))=0,"",MIN(INDIRECT(ADDRESS(ROW()-13,COLUMN())):INDIRECT(ADDRESS(ROW()-4,COLUMN()))))</f>
        <v/>
      </c>
      <c r="AD99" s="215"/>
      <c r="AE99" s="215"/>
      <c r="AF99" s="216"/>
      <c r="AG99" s="214" t="str">
        <f ca="1">IF(COUNT(INDIRECT(ADDRESS(ROW()-13,COLUMN())):INDIRECT(ADDRESS(ROW()-4,COLUMN())))=0,"",MIN(INDIRECT(ADDRESS(ROW()-13,COLUMN())):INDIRECT(ADDRESS(ROW()-4,COLUMN()))))</f>
        <v/>
      </c>
      <c r="AH99" s="215"/>
      <c r="AI99" s="215"/>
      <c r="AJ99" s="216"/>
      <c r="AK99" s="214" t="str">
        <f ca="1">IF(COUNT(INDIRECT(ADDRESS(ROW()-13,COLUMN())):INDIRECT(ADDRESS(ROW()-4,COLUMN())))=0,"",MIN(INDIRECT(ADDRESS(ROW()-13,COLUMN())):INDIRECT(ADDRESS(ROW()-4,COLUMN()))))</f>
        <v/>
      </c>
      <c r="AL99" s="215"/>
      <c r="AM99" s="215"/>
      <c r="AN99" s="216"/>
      <c r="AO99" s="214" t="str">
        <f ca="1">IF(COUNT(INDIRECT(ADDRESS(ROW()-13,COLUMN())):INDIRECT(ADDRESS(ROW()-4,COLUMN())))=0,"",MIN(INDIRECT(ADDRESS(ROW()-13,COLUMN())):INDIRECT(ADDRESS(ROW()-4,COLUMN()))))</f>
        <v/>
      </c>
      <c r="AP99" s="215"/>
      <c r="AQ99" s="215"/>
      <c r="AR99" s="216"/>
    </row>
    <row r="100" spans="1:44" ht="8" customHeight="1" x14ac:dyDescent="0.7">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row>
    <row r="101" spans="1:44" ht="8" customHeight="1" x14ac:dyDescent="0.7">
      <c r="A101" s="217" t="s">
        <v>157</v>
      </c>
      <c r="B101" s="217"/>
      <c r="C101" s="217"/>
      <c r="D101" s="217"/>
      <c r="E101" s="275">
        <v>31</v>
      </c>
      <c r="F101" s="276"/>
      <c r="G101" s="276"/>
      <c r="H101" s="277"/>
      <c r="I101" s="275">
        <v>32</v>
      </c>
      <c r="J101" s="276"/>
      <c r="K101" s="276"/>
      <c r="L101" s="277"/>
      <c r="M101" s="275">
        <v>33</v>
      </c>
      <c r="N101" s="276"/>
      <c r="O101" s="276"/>
      <c r="P101" s="277"/>
      <c r="Q101" s="275">
        <v>34</v>
      </c>
      <c r="R101" s="276"/>
      <c r="S101" s="276"/>
      <c r="T101" s="277"/>
      <c r="U101" s="275">
        <v>35</v>
      </c>
      <c r="V101" s="276"/>
      <c r="W101" s="276"/>
      <c r="X101" s="277"/>
      <c r="Y101" s="275">
        <v>36</v>
      </c>
      <c r="Z101" s="276"/>
      <c r="AA101" s="276"/>
      <c r="AB101" s="277"/>
      <c r="AC101" s="275">
        <v>37</v>
      </c>
      <c r="AD101" s="276"/>
      <c r="AE101" s="276"/>
      <c r="AF101" s="277"/>
      <c r="AG101" s="275">
        <v>38</v>
      </c>
      <c r="AH101" s="276"/>
      <c r="AI101" s="276"/>
      <c r="AJ101" s="277"/>
      <c r="AK101" s="275">
        <v>39</v>
      </c>
      <c r="AL101" s="276"/>
      <c r="AM101" s="276"/>
      <c r="AN101" s="277"/>
      <c r="AO101" s="275">
        <v>40</v>
      </c>
      <c r="AP101" s="276"/>
      <c r="AQ101" s="276"/>
      <c r="AR101" s="277"/>
    </row>
    <row r="102" spans="1:44" ht="8" customHeight="1" x14ac:dyDescent="0.7">
      <c r="A102" s="217"/>
      <c r="B102" s="217"/>
      <c r="C102" s="217"/>
      <c r="D102" s="217"/>
      <c r="E102" s="278"/>
      <c r="F102" s="279"/>
      <c r="G102" s="279"/>
      <c r="H102" s="280"/>
      <c r="I102" s="278"/>
      <c r="J102" s="279"/>
      <c r="K102" s="279"/>
      <c r="L102" s="280"/>
      <c r="M102" s="278"/>
      <c r="N102" s="279"/>
      <c r="O102" s="279"/>
      <c r="P102" s="280"/>
      <c r="Q102" s="278"/>
      <c r="R102" s="279"/>
      <c r="S102" s="279"/>
      <c r="T102" s="280"/>
      <c r="U102" s="278"/>
      <c r="V102" s="279"/>
      <c r="W102" s="279"/>
      <c r="X102" s="280"/>
      <c r="Y102" s="278"/>
      <c r="Z102" s="279"/>
      <c r="AA102" s="279"/>
      <c r="AB102" s="280"/>
      <c r="AC102" s="278"/>
      <c r="AD102" s="279"/>
      <c r="AE102" s="279"/>
      <c r="AF102" s="280"/>
      <c r="AG102" s="278"/>
      <c r="AH102" s="279"/>
      <c r="AI102" s="279"/>
      <c r="AJ102" s="280"/>
      <c r="AK102" s="278"/>
      <c r="AL102" s="279"/>
      <c r="AM102" s="279"/>
      <c r="AN102" s="280"/>
      <c r="AO102" s="278"/>
      <c r="AP102" s="279"/>
      <c r="AQ102" s="279"/>
      <c r="AR102" s="280"/>
    </row>
    <row r="103" spans="1:44" ht="10.25" customHeight="1" x14ac:dyDescent="0.7">
      <c r="A103" s="217" t="s">
        <v>158</v>
      </c>
      <c r="B103" s="217"/>
      <c r="C103" s="217"/>
      <c r="D103" s="217"/>
      <c r="E103" s="262" t="str" cm="1">
        <f t="array" aca="1" ref="E103" ca="1">IFERROR(INDEX(INDIRECT("'"&amp;集計3!$A$1&amp;"'!$C$4:$CX$4"),1,E101),"")</f>
        <v/>
      </c>
      <c r="F103" s="263"/>
      <c r="G103" s="263"/>
      <c r="H103" s="264"/>
      <c r="I103" s="262" t="str" cm="1">
        <f t="array" aca="1" ref="I103" ca="1">IFERROR(INDEX(INDIRECT("'"&amp;集計3!$A$1&amp;"'!$C$4:$CX$4"),1,I101),"")</f>
        <v/>
      </c>
      <c r="J103" s="263"/>
      <c r="K103" s="263"/>
      <c r="L103" s="264"/>
      <c r="M103" s="262" t="str" cm="1">
        <f t="array" aca="1" ref="M103" ca="1">IFERROR(INDEX(INDIRECT("'"&amp;集計3!$A$1&amp;"'!$C$4:$CX$4"),1,M101),"")</f>
        <v/>
      </c>
      <c r="N103" s="263"/>
      <c r="O103" s="263"/>
      <c r="P103" s="264"/>
      <c r="Q103" s="262" t="str" cm="1">
        <f t="array" aca="1" ref="Q103" ca="1">IFERROR(INDEX(INDIRECT("'"&amp;集計3!$A$1&amp;"'!$C$4:$CX$4"),1,Q101),"")</f>
        <v/>
      </c>
      <c r="R103" s="263"/>
      <c r="S103" s="263"/>
      <c r="T103" s="264"/>
      <c r="U103" s="262" t="str" cm="1">
        <f t="array" aca="1" ref="U103" ca="1">IFERROR(INDEX(INDIRECT("'"&amp;集計3!$A$1&amp;"'!$C$4:$CX$4"),1,U101),"")</f>
        <v/>
      </c>
      <c r="V103" s="263"/>
      <c r="W103" s="263"/>
      <c r="X103" s="264"/>
      <c r="Y103" s="262" t="str" cm="1">
        <f t="array" aca="1" ref="Y103" ca="1">IFERROR(INDEX(INDIRECT("'"&amp;集計3!$A$1&amp;"'!$C$4:$CX$4"),1,Y101),"")</f>
        <v/>
      </c>
      <c r="Z103" s="263"/>
      <c r="AA103" s="263"/>
      <c r="AB103" s="264"/>
      <c r="AC103" s="262" t="str" cm="1">
        <f t="array" aca="1" ref="AC103" ca="1">IFERROR(INDEX(INDIRECT("'"&amp;集計3!$A$1&amp;"'!$C$4:$CX$4"),1,AC101),"")</f>
        <v/>
      </c>
      <c r="AD103" s="263"/>
      <c r="AE103" s="263"/>
      <c r="AF103" s="264"/>
      <c r="AG103" s="262" t="str" cm="1">
        <f t="array" aca="1" ref="AG103" ca="1">IFERROR(INDEX(INDIRECT("'"&amp;集計3!$A$1&amp;"'!$C$4:$CX$4"),1,AG101),"")</f>
        <v/>
      </c>
      <c r="AH103" s="263"/>
      <c r="AI103" s="263"/>
      <c r="AJ103" s="264"/>
      <c r="AK103" s="262" t="str" cm="1">
        <f t="array" aca="1" ref="AK103" ca="1">IFERROR(INDEX(INDIRECT("'"&amp;集計3!$A$1&amp;"'!$C$4:$CX$4"),1,AK101),"")</f>
        <v/>
      </c>
      <c r="AL103" s="263"/>
      <c r="AM103" s="263"/>
      <c r="AN103" s="264"/>
      <c r="AO103" s="262" t="str" cm="1">
        <f t="array" aca="1" ref="AO103" ca="1">IFERROR(INDEX(INDIRECT("'"&amp;集計3!$A$1&amp;"'!$C$4:$CX$4"),1,AO101),"")</f>
        <v/>
      </c>
      <c r="AP103" s="263"/>
      <c r="AQ103" s="263"/>
      <c r="AR103" s="264"/>
    </row>
    <row r="104" spans="1:44" ht="10.25" customHeight="1" x14ac:dyDescent="0.7">
      <c r="A104" s="218"/>
      <c r="B104" s="218"/>
      <c r="C104" s="218"/>
      <c r="D104" s="218"/>
      <c r="E104" s="265"/>
      <c r="F104" s="266"/>
      <c r="G104" s="266"/>
      <c r="H104" s="267"/>
      <c r="I104" s="265"/>
      <c r="J104" s="266"/>
      <c r="K104" s="266"/>
      <c r="L104" s="267"/>
      <c r="M104" s="265"/>
      <c r="N104" s="266"/>
      <c r="O104" s="266"/>
      <c r="P104" s="267"/>
      <c r="Q104" s="265"/>
      <c r="R104" s="266"/>
      <c r="S104" s="266"/>
      <c r="T104" s="267"/>
      <c r="U104" s="265"/>
      <c r="V104" s="266"/>
      <c r="W104" s="266"/>
      <c r="X104" s="267"/>
      <c r="Y104" s="265"/>
      <c r="Z104" s="266"/>
      <c r="AA104" s="266"/>
      <c r="AB104" s="267"/>
      <c r="AC104" s="265"/>
      <c r="AD104" s="266"/>
      <c r="AE104" s="266"/>
      <c r="AF104" s="267"/>
      <c r="AG104" s="265"/>
      <c r="AH104" s="266"/>
      <c r="AI104" s="266"/>
      <c r="AJ104" s="267"/>
      <c r="AK104" s="265"/>
      <c r="AL104" s="266"/>
      <c r="AM104" s="266"/>
      <c r="AN104" s="267"/>
      <c r="AO104" s="265"/>
      <c r="AP104" s="266"/>
      <c r="AQ104" s="266"/>
      <c r="AR104" s="267"/>
    </row>
    <row r="105" spans="1:44" ht="10.25" customHeight="1" x14ac:dyDescent="0.7">
      <c r="A105" s="268" t="s">
        <v>127</v>
      </c>
      <c r="B105" s="269"/>
      <c r="C105" s="269"/>
      <c r="D105" s="270"/>
      <c r="E105" s="271" t="str" cm="1">
        <f t="array" aca="1" ref="E105" ca="1">IFERROR(INDEX(INDIRECT("'"&amp;集計3!$A$1&amp;"'!$C$5:$CX$5"),1,E101),"")</f>
        <v/>
      </c>
      <c r="F105" s="272"/>
      <c r="G105" s="273" t="str" cm="1">
        <f t="array" aca="1" ref="G105" ca="1">IFERROR(INDEX(INDIRECT("'"&amp;集計3!$A$1&amp;"'!$C$6:$CX$6"),1,E101),"")</f>
        <v/>
      </c>
      <c r="H105" s="274"/>
      <c r="I105" s="271" t="str" cm="1">
        <f t="array" aca="1" ref="I105" ca="1">IFERROR(INDEX(INDIRECT("'"&amp;集計3!$A$1&amp;"'!$C$5:$CX$5"),1,I101),"")</f>
        <v/>
      </c>
      <c r="J105" s="272"/>
      <c r="K105" s="273" t="str" cm="1">
        <f t="array" aca="1" ref="K105" ca="1">IFERROR(INDEX(INDIRECT("'"&amp;集計3!$A$1&amp;"'!$C$6:$CX$6"),1,I101),"")</f>
        <v/>
      </c>
      <c r="L105" s="274"/>
      <c r="M105" s="271" t="str" cm="1">
        <f t="array" aca="1" ref="M105" ca="1">IFERROR(INDEX(INDIRECT("'"&amp;集計3!$A$1&amp;"'!$C$5:$CX$5"),1,M101),"")</f>
        <v/>
      </c>
      <c r="N105" s="272"/>
      <c r="O105" s="273" t="str" cm="1">
        <f t="array" aca="1" ref="O105" ca="1">IFERROR(INDEX(INDIRECT("'"&amp;集計3!$A$1&amp;"'!$C$6:$CX$6"),1,M101),"")</f>
        <v/>
      </c>
      <c r="P105" s="274"/>
      <c r="Q105" s="271" t="str" cm="1">
        <f t="array" aca="1" ref="Q105" ca="1">IFERROR(INDEX(INDIRECT("'"&amp;集計3!$A$1&amp;"'!$C$5:$CX$5"),1,Q101),"")</f>
        <v/>
      </c>
      <c r="R105" s="272"/>
      <c r="S105" s="273" t="str" cm="1">
        <f t="array" aca="1" ref="S105" ca="1">IFERROR(INDEX(INDIRECT("'"&amp;集計3!$A$1&amp;"'!$C$6:$CX$6"),1,Q101),"")</f>
        <v/>
      </c>
      <c r="T105" s="274"/>
      <c r="U105" s="271" t="str" cm="1">
        <f t="array" aca="1" ref="U105" ca="1">IFERROR(INDEX(INDIRECT("'"&amp;集計3!$A$1&amp;"'!$C$5:$CX$5"),1,U101),"")</f>
        <v/>
      </c>
      <c r="V105" s="272"/>
      <c r="W105" s="273" t="str" cm="1">
        <f t="array" aca="1" ref="W105" ca="1">IFERROR(INDEX(INDIRECT("'"&amp;集計3!$A$1&amp;"'!$C$6:$CX$6"),1,U101),"")</f>
        <v/>
      </c>
      <c r="X105" s="274"/>
      <c r="Y105" s="271" t="str" cm="1">
        <f t="array" aca="1" ref="Y105" ca="1">IFERROR(INDEX(INDIRECT("'"&amp;集計3!$A$1&amp;"'!$C$5:$CX$5"),1,Y101),"")</f>
        <v/>
      </c>
      <c r="Z105" s="272"/>
      <c r="AA105" s="273" t="str" cm="1">
        <f t="array" aca="1" ref="AA105" ca="1">IFERROR(INDEX(INDIRECT("'"&amp;集計3!$A$1&amp;"'!$C$6:$CX$6"),1,Y101),"")</f>
        <v/>
      </c>
      <c r="AB105" s="274"/>
      <c r="AC105" s="271" t="str" cm="1">
        <f t="array" aca="1" ref="AC105" ca="1">IFERROR(INDEX(INDIRECT("'"&amp;集計3!$A$1&amp;"'!$C$5:$CX$5"),1,AC101),"")</f>
        <v/>
      </c>
      <c r="AD105" s="272"/>
      <c r="AE105" s="273" t="str" cm="1">
        <f t="array" aca="1" ref="AE105" ca="1">IFERROR(INDEX(INDIRECT("'"&amp;集計3!$A$1&amp;"'!$C$6:$CX$6"),1,AC101),"")</f>
        <v/>
      </c>
      <c r="AF105" s="274"/>
      <c r="AG105" s="271" t="str" cm="1">
        <f t="array" aca="1" ref="AG105" ca="1">IFERROR(INDEX(INDIRECT("'"&amp;集計3!$A$1&amp;"'!$C$5:$CX$5"),1,AG101),"")</f>
        <v/>
      </c>
      <c r="AH105" s="272"/>
      <c r="AI105" s="273" t="str" cm="1">
        <f t="array" aca="1" ref="AI105" ca="1">IFERROR(INDEX(INDIRECT("'"&amp;集計3!$A$1&amp;"'!$C$6:$CX$6"),1,AG101),"")</f>
        <v/>
      </c>
      <c r="AJ105" s="274"/>
      <c r="AK105" s="271" t="str" cm="1">
        <f t="array" aca="1" ref="AK105" ca="1">IFERROR(INDEX(INDIRECT("'"&amp;集計3!$A$1&amp;"'!$C$5:$CX$5"),1,AK101),"")</f>
        <v/>
      </c>
      <c r="AL105" s="272"/>
      <c r="AM105" s="273" t="str" cm="1">
        <f t="array" aca="1" ref="AM105" ca="1">IFERROR(INDEX(INDIRECT("'"&amp;集計3!$A$1&amp;"'!$C$6:$CX$6"),1,AK101),"")</f>
        <v/>
      </c>
      <c r="AN105" s="274"/>
      <c r="AO105" s="271" t="str" cm="1">
        <f t="array" aca="1" ref="AO105" ca="1">IFERROR(INDEX(INDIRECT("'"&amp;集計3!$A$1&amp;"'!$C$5:$CX$5"),1,AO101),"")</f>
        <v/>
      </c>
      <c r="AP105" s="272"/>
      <c r="AQ105" s="273" t="str" cm="1">
        <f t="array" aca="1" ref="AQ105" ca="1">IFERROR(INDEX(INDIRECT("'"&amp;集計3!$A$1&amp;"'!$C$6:$CX$6"),1,AO101),"")</f>
        <v/>
      </c>
      <c r="AR105" s="274"/>
    </row>
    <row r="106" spans="1:44" ht="10.25" customHeight="1" x14ac:dyDescent="0.7">
      <c r="A106" s="256" t="s">
        <v>159</v>
      </c>
      <c r="B106" s="256"/>
      <c r="C106" s="256"/>
      <c r="D106" s="256"/>
      <c r="E106" s="16" t="str" cm="1">
        <f t="array" aca="1" ref="E106" ca="1">IFERROR(INDEX(INDIRECT("'"&amp;集計3!$A$1&amp;"'!$C$10:$CX$10"),1,E101),"")</f>
        <v/>
      </c>
      <c r="F106" s="257" t="str" cm="1">
        <f t="array" aca="1" ref="F106" ca="1">IFERROR(IF(INDEX(INDIRECT("'"&amp;集計3!$A$1&amp;"'!$C$7:$CX$7"),1,E101)=0,"",INDEX(INDIRECT("'"&amp;集計3!$A$1&amp;"'!$C$7:$CX$7"),1,E101)),"")</f>
        <v/>
      </c>
      <c r="G106" s="257"/>
      <c r="H106" s="258"/>
      <c r="I106" s="16" t="str" cm="1">
        <f t="array" aca="1" ref="I106" ca="1">IFERROR(INDEX(INDIRECT("'"&amp;集計3!$A$1&amp;"'!$C$10:$CX$10"),1,I101),"")</f>
        <v/>
      </c>
      <c r="J106" s="257" t="str" cm="1">
        <f t="array" aca="1" ref="J106" ca="1">IFERROR(IF(INDEX(INDIRECT("'"&amp;集計3!$A$1&amp;"'!$C$7:$CX$7"),1,I101)=0,"",INDEX(INDIRECT("'"&amp;集計3!$A$1&amp;"'!$C$7:$CX$7"),1,I101)),"")</f>
        <v/>
      </c>
      <c r="K106" s="257"/>
      <c r="L106" s="258"/>
      <c r="M106" s="16" t="str" cm="1">
        <f t="array" aca="1" ref="M106" ca="1">IFERROR(INDEX(INDIRECT("'"&amp;集計3!$A$1&amp;"'!$C$10:$CX$10"),1,M101),"")</f>
        <v/>
      </c>
      <c r="N106" s="257" t="str" cm="1">
        <f t="array" aca="1" ref="N106" ca="1">IFERROR(IF(INDEX(INDIRECT("'"&amp;集計3!$A$1&amp;"'!$C$7:$CX$7"),1,M101)=0,"",INDEX(INDIRECT("'"&amp;集計3!$A$1&amp;"'!$C$7:$CX$7"),1,M101)),"")</f>
        <v/>
      </c>
      <c r="O106" s="257"/>
      <c r="P106" s="258"/>
      <c r="Q106" s="16" t="str" cm="1">
        <f t="array" aca="1" ref="Q106" ca="1">IFERROR(INDEX(INDIRECT("'"&amp;集計3!$A$1&amp;"'!$C$10:$CX$10"),1,Q101),"")</f>
        <v/>
      </c>
      <c r="R106" s="257" t="str" cm="1">
        <f t="array" aca="1" ref="R106" ca="1">IFERROR(IF(INDEX(INDIRECT("'"&amp;集計3!$A$1&amp;"'!$C$7:$CX$7"),1,Q101)=0,"",INDEX(INDIRECT("'"&amp;集計3!$A$1&amp;"'!$C$7:$CX$7"),1,Q101)),"")</f>
        <v/>
      </c>
      <c r="S106" s="257"/>
      <c r="T106" s="258"/>
      <c r="U106" s="16" t="str" cm="1">
        <f t="array" aca="1" ref="U106" ca="1">IFERROR(INDEX(INDIRECT("'"&amp;集計3!$A$1&amp;"'!$C$10:$CX$10"),1,U101),"")</f>
        <v/>
      </c>
      <c r="V106" s="257" t="str" cm="1">
        <f t="array" aca="1" ref="V106" ca="1">IFERROR(IF(INDEX(INDIRECT("'"&amp;集計3!$A$1&amp;"'!$C$7:$CX$7"),1,U101)=0,"",INDEX(INDIRECT("'"&amp;集計3!$A$1&amp;"'!$C$7:$CX$7"),1,U101)),"")</f>
        <v/>
      </c>
      <c r="W106" s="257"/>
      <c r="X106" s="258"/>
      <c r="Y106" s="16" t="str" cm="1">
        <f t="array" aca="1" ref="Y106" ca="1">IFERROR(INDEX(INDIRECT("'"&amp;集計3!$A$1&amp;"'!$C$10:$CX$10"),1,Y101),"")</f>
        <v/>
      </c>
      <c r="Z106" s="257" t="str" cm="1">
        <f t="array" aca="1" ref="Z106" ca="1">IFERROR(IF(INDEX(INDIRECT("'"&amp;集計3!$A$1&amp;"'!$C$7:$CX$7"),1,Y101)=0,"",INDEX(INDIRECT("'"&amp;集計3!$A$1&amp;"'!$C$7:$CX$7"),1,Y101)),"")</f>
        <v/>
      </c>
      <c r="AA106" s="257"/>
      <c r="AB106" s="258"/>
      <c r="AC106" s="16" t="str" cm="1">
        <f t="array" aca="1" ref="AC106" ca="1">IFERROR(INDEX(INDIRECT("'"&amp;集計3!$A$1&amp;"'!$C$10:$CX$10"),1,AC101),"")</f>
        <v/>
      </c>
      <c r="AD106" s="257" t="str" cm="1">
        <f t="array" aca="1" ref="AD106" ca="1">IFERROR(IF(INDEX(INDIRECT("'"&amp;集計3!$A$1&amp;"'!$C$7:$CX$7"),1,AC101)=0,"",INDEX(INDIRECT("'"&amp;集計3!$A$1&amp;"'!$C$7:$CX$7"),1,AC101)),"")</f>
        <v/>
      </c>
      <c r="AE106" s="257"/>
      <c r="AF106" s="258"/>
      <c r="AG106" s="16" t="str" cm="1">
        <f t="array" aca="1" ref="AG106" ca="1">IFERROR(INDEX(INDIRECT("'"&amp;集計3!$A$1&amp;"'!$C$10:$CX$10"),1,AG101),"")</f>
        <v/>
      </c>
      <c r="AH106" s="257" t="str" cm="1">
        <f t="array" aca="1" ref="AH106" ca="1">IFERROR(IF(INDEX(INDIRECT("'"&amp;集計3!$A$1&amp;"'!$C$7:$CX$7"),1,AG101)=0,"",INDEX(INDIRECT("'"&amp;集計3!$A$1&amp;"'!$C$7:$CX$7"),1,AG101)),"")</f>
        <v/>
      </c>
      <c r="AI106" s="257"/>
      <c r="AJ106" s="258"/>
      <c r="AK106" s="16" t="str" cm="1">
        <f t="array" aca="1" ref="AK106" ca="1">IFERROR(INDEX(INDIRECT("'"&amp;集計3!$A$1&amp;"'!$C$10:$CX$10"),1,AK101),"")</f>
        <v/>
      </c>
      <c r="AL106" s="257" t="str" cm="1">
        <f t="array" aca="1" ref="AL106" ca="1">IFERROR(IF(INDEX(INDIRECT("'"&amp;集計3!$A$1&amp;"'!$C$7:$CX$7"),1,AK101)=0,"",INDEX(INDIRECT("'"&amp;集計3!$A$1&amp;"'!$C$7:$CX$7"),1,AK101)),"")</f>
        <v/>
      </c>
      <c r="AM106" s="257"/>
      <c r="AN106" s="258"/>
      <c r="AO106" s="16" t="str" cm="1">
        <f t="array" aca="1" ref="AO106" ca="1">IFERROR(INDEX(INDIRECT("'"&amp;集計3!$A$1&amp;"'!$C$10:$CX$10"),1,AO101),"")</f>
        <v/>
      </c>
      <c r="AP106" s="257" t="str" cm="1">
        <f t="array" aca="1" ref="AP106" ca="1">IFERROR(IF(INDEX(INDIRECT("'"&amp;集計3!$A$1&amp;"'!$C$7:$CX$7"),1,AO101)=0,"",INDEX(INDIRECT("'"&amp;集計3!$A$1&amp;"'!$C$7:$CX$7"),1,AO101)),"")</f>
        <v/>
      </c>
      <c r="AQ106" s="257"/>
      <c r="AR106" s="258"/>
    </row>
    <row r="107" spans="1:44" ht="10.25" customHeight="1" x14ac:dyDescent="0.7">
      <c r="A107" s="259" t="s">
        <v>160</v>
      </c>
      <c r="B107" s="259"/>
      <c r="C107" s="259"/>
      <c r="D107" s="259"/>
      <c r="E107" s="17" t="str" cm="1">
        <f t="array" aca="1" ref="E107" ca="1">IFERROR(INDEX(INDIRECT("'"&amp;集計3!$A$1&amp;"'!$C$11:$CX$11"),1,E101),"")</f>
        <v/>
      </c>
      <c r="F107" s="260" t="str" cm="1">
        <f t="array" aca="1" ref="F107" ca="1">IFERROR(IF(INDEX(INDIRECT("'"&amp;集計3!$A$1&amp;"'!$C$8:$CX$8"),1,E101)=0,"",INDEX(INDIRECT("'"&amp;集計3!$A$1&amp;"'!$C$8:$CX$8"),1,E101)),"")</f>
        <v/>
      </c>
      <c r="G107" s="260"/>
      <c r="H107" s="261"/>
      <c r="I107" s="17" t="str" cm="1">
        <f t="array" aca="1" ref="I107" ca="1">IFERROR(INDEX(INDIRECT("'"&amp;集計3!$A$1&amp;"'!$C$11:$CX$11"),1,I101),"")</f>
        <v/>
      </c>
      <c r="J107" s="260" t="str" cm="1">
        <f t="array" aca="1" ref="J107" ca="1">IFERROR(IF(INDEX(INDIRECT("'"&amp;集計3!$A$1&amp;"'!$C$8:$CX$8"),1,I101)=0,"",INDEX(INDIRECT("'"&amp;集計3!$A$1&amp;"'!$C$8:$CX$8"),1,I101)),"")</f>
        <v/>
      </c>
      <c r="K107" s="260"/>
      <c r="L107" s="261"/>
      <c r="M107" s="17" t="str" cm="1">
        <f t="array" aca="1" ref="M107" ca="1">IFERROR(INDEX(INDIRECT("'"&amp;集計3!$A$1&amp;"'!$C$11:$CX$11"),1,M101),"")</f>
        <v/>
      </c>
      <c r="N107" s="260" t="str" cm="1">
        <f t="array" aca="1" ref="N107" ca="1">IFERROR(IF(INDEX(INDIRECT("'"&amp;集計3!$A$1&amp;"'!$C$8:$CX$8"),1,M101)=0,"",INDEX(INDIRECT("'"&amp;集計3!$A$1&amp;"'!$C$8:$CX$8"),1,M101)),"")</f>
        <v/>
      </c>
      <c r="O107" s="260"/>
      <c r="P107" s="261"/>
      <c r="Q107" s="17" t="str" cm="1">
        <f t="array" aca="1" ref="Q107" ca="1">IFERROR(INDEX(INDIRECT("'"&amp;集計3!$A$1&amp;"'!$C$11:$CX$11"),1,Q101),"")</f>
        <v/>
      </c>
      <c r="R107" s="260" t="str" cm="1">
        <f t="array" aca="1" ref="R107" ca="1">IFERROR(IF(INDEX(INDIRECT("'"&amp;集計3!$A$1&amp;"'!$C$8:$CX$8"),1,Q101)=0,"",INDEX(INDIRECT("'"&amp;集計3!$A$1&amp;"'!$C$8:$CX$8"),1,Q101)),"")</f>
        <v/>
      </c>
      <c r="S107" s="260"/>
      <c r="T107" s="261"/>
      <c r="U107" s="17" t="str" cm="1">
        <f t="array" aca="1" ref="U107" ca="1">IFERROR(INDEX(INDIRECT("'"&amp;集計3!$A$1&amp;"'!$C$11:$CX$11"),1,U101),"")</f>
        <v/>
      </c>
      <c r="V107" s="260" t="str" cm="1">
        <f t="array" aca="1" ref="V107" ca="1">IFERROR(IF(INDEX(INDIRECT("'"&amp;集計3!$A$1&amp;"'!$C$8:$CX$8"),1,U101)=0,"",INDEX(INDIRECT("'"&amp;集計3!$A$1&amp;"'!$C$8:$CX$8"),1,U101)),"")</f>
        <v/>
      </c>
      <c r="W107" s="260"/>
      <c r="X107" s="261"/>
      <c r="Y107" s="17" t="str" cm="1">
        <f t="array" aca="1" ref="Y107" ca="1">IFERROR(INDEX(INDIRECT("'"&amp;集計3!$A$1&amp;"'!$C$11:$CX$11"),1,Y101),"")</f>
        <v/>
      </c>
      <c r="Z107" s="260" t="str" cm="1">
        <f t="array" aca="1" ref="Z107" ca="1">IFERROR(IF(INDEX(INDIRECT("'"&amp;集計3!$A$1&amp;"'!$C$8:$CX$8"),1,Y101)=0,"",INDEX(INDIRECT("'"&amp;集計3!$A$1&amp;"'!$C$8:$CX$8"),1,Y101)),"")</f>
        <v/>
      </c>
      <c r="AA107" s="260"/>
      <c r="AB107" s="261"/>
      <c r="AC107" s="17" t="str" cm="1">
        <f t="array" aca="1" ref="AC107" ca="1">IFERROR(INDEX(INDIRECT("'"&amp;集計3!$A$1&amp;"'!$C$11:$CX$11"),1,AC101),"")</f>
        <v/>
      </c>
      <c r="AD107" s="260" t="str" cm="1">
        <f t="array" aca="1" ref="AD107" ca="1">IFERROR(IF(INDEX(INDIRECT("'"&amp;集計3!$A$1&amp;"'!$C$8:$CX$8"),1,AC101)=0,"",INDEX(INDIRECT("'"&amp;集計3!$A$1&amp;"'!$C$8:$CX$8"),1,AC101)),"")</f>
        <v/>
      </c>
      <c r="AE107" s="260"/>
      <c r="AF107" s="261"/>
      <c r="AG107" s="17" t="str" cm="1">
        <f t="array" aca="1" ref="AG107" ca="1">IFERROR(INDEX(INDIRECT("'"&amp;集計3!$A$1&amp;"'!$C$11:$CX$11"),1,AG101),"")</f>
        <v/>
      </c>
      <c r="AH107" s="260" t="str" cm="1">
        <f t="array" aca="1" ref="AH107" ca="1">IFERROR(IF(INDEX(INDIRECT("'"&amp;集計3!$A$1&amp;"'!$C$8:$CX$8"),1,AG101)=0,"",INDEX(INDIRECT("'"&amp;集計3!$A$1&amp;"'!$C$8:$CX$8"),1,AG101)),"")</f>
        <v/>
      </c>
      <c r="AI107" s="260"/>
      <c r="AJ107" s="261"/>
      <c r="AK107" s="17" t="str" cm="1">
        <f t="array" aca="1" ref="AK107" ca="1">IFERROR(INDEX(INDIRECT("'"&amp;集計3!$A$1&amp;"'!$C$11:$CX$11"),1,AK101),"")</f>
        <v/>
      </c>
      <c r="AL107" s="260" t="str" cm="1">
        <f t="array" aca="1" ref="AL107" ca="1">IFERROR(IF(INDEX(INDIRECT("'"&amp;集計3!$A$1&amp;"'!$C$8:$CX$8"),1,AK101)=0,"",INDEX(INDIRECT("'"&amp;集計3!$A$1&amp;"'!$C$8:$CX$8"),1,AK101)),"")</f>
        <v/>
      </c>
      <c r="AM107" s="260"/>
      <c r="AN107" s="261"/>
      <c r="AO107" s="17" t="str" cm="1">
        <f t="array" aca="1" ref="AO107" ca="1">IFERROR(INDEX(INDIRECT("'"&amp;集計3!$A$1&amp;"'!$C$11:$CX$11"),1,AO101),"")</f>
        <v/>
      </c>
      <c r="AP107" s="260" t="str" cm="1">
        <f t="array" aca="1" ref="AP107" ca="1">IFERROR(IF(INDEX(INDIRECT("'"&amp;集計3!$A$1&amp;"'!$C$8:$CX$8"),1,AO101)=0,"",INDEX(INDIRECT("'"&amp;集計3!$A$1&amp;"'!$C$8:$CX$8"),1,AO101)),"")</f>
        <v/>
      </c>
      <c r="AQ107" s="260"/>
      <c r="AR107" s="261"/>
    </row>
    <row r="108" spans="1:44" ht="8" customHeight="1" x14ac:dyDescent="0.7">
      <c r="A108" s="217" t="s">
        <v>161</v>
      </c>
      <c r="B108" s="217"/>
      <c r="C108" s="217"/>
      <c r="D108" s="217"/>
      <c r="E108" s="244" t="str" cm="1">
        <f t="array" aca="1" ref="E108" ca="1">IFERROR(INDEX(INDIRECT("'"&amp;集計3!$A$1&amp;"'!$C$3:$CX$3"),1,E101),"")</f>
        <v/>
      </c>
      <c r="F108" s="245"/>
      <c r="G108" s="245"/>
      <c r="H108" s="246"/>
      <c r="I108" s="244" t="str" cm="1">
        <f t="array" aca="1" ref="I108" ca="1">IFERROR(INDEX(INDIRECT("'"&amp;集計3!$A$1&amp;"'!$C$3:$CX$3"),1,I101),"")</f>
        <v/>
      </c>
      <c r="J108" s="245"/>
      <c r="K108" s="245"/>
      <c r="L108" s="246"/>
      <c r="M108" s="244" t="str" cm="1">
        <f t="array" aca="1" ref="M108" ca="1">IFERROR(INDEX(INDIRECT("'"&amp;集計3!$A$1&amp;"'!$C$3:$CX$3"),1,M101),"")</f>
        <v/>
      </c>
      <c r="N108" s="245"/>
      <c r="O108" s="245"/>
      <c r="P108" s="246"/>
      <c r="Q108" s="244" t="str" cm="1">
        <f t="array" aca="1" ref="Q108" ca="1">IFERROR(INDEX(INDIRECT("'"&amp;集計3!$A$1&amp;"'!$C$3:$CX$3"),1,Q101),"")</f>
        <v/>
      </c>
      <c r="R108" s="245"/>
      <c r="S108" s="245"/>
      <c r="T108" s="246"/>
      <c r="U108" s="244" t="str" cm="1">
        <f t="array" aca="1" ref="U108" ca="1">IFERROR(INDEX(INDIRECT("'"&amp;集計3!$A$1&amp;"'!$C$3:$CX$3"),1,U101),"")</f>
        <v/>
      </c>
      <c r="V108" s="245"/>
      <c r="W108" s="245"/>
      <c r="X108" s="246"/>
      <c r="Y108" s="244" t="str" cm="1">
        <f t="array" aca="1" ref="Y108" ca="1">IFERROR(INDEX(INDIRECT("'"&amp;集計3!$A$1&amp;"'!$C$3:$CX$3"),1,Y101),"")</f>
        <v/>
      </c>
      <c r="Z108" s="245"/>
      <c r="AA108" s="245"/>
      <c r="AB108" s="246"/>
      <c r="AC108" s="244" t="str" cm="1">
        <f t="array" aca="1" ref="AC108" ca="1">IFERROR(INDEX(INDIRECT("'"&amp;集計3!$A$1&amp;"'!$C$3:$CX$3"),1,AC101),"")</f>
        <v/>
      </c>
      <c r="AD108" s="245"/>
      <c r="AE108" s="245"/>
      <c r="AF108" s="246"/>
      <c r="AG108" s="244" t="str" cm="1">
        <f t="array" aca="1" ref="AG108" ca="1">IFERROR(INDEX(INDIRECT("'"&amp;集計3!$A$1&amp;"'!$C$3:$CX$3"),1,AG101),"")</f>
        <v/>
      </c>
      <c r="AH108" s="245"/>
      <c r="AI108" s="245"/>
      <c r="AJ108" s="246"/>
      <c r="AK108" s="244" t="str" cm="1">
        <f t="array" aca="1" ref="AK108" ca="1">IFERROR(INDEX(INDIRECT("'"&amp;集計3!$A$1&amp;"'!$C$3:$CX$3"),1,AK101),"")</f>
        <v/>
      </c>
      <c r="AL108" s="245"/>
      <c r="AM108" s="245"/>
      <c r="AN108" s="246"/>
      <c r="AO108" s="244" t="str" cm="1">
        <f t="array" aca="1" ref="AO108" ca="1">IFERROR(INDEX(INDIRECT("'"&amp;集計3!$A$1&amp;"'!$C$3:$CX$3"),1,AO101),"")</f>
        <v/>
      </c>
      <c r="AP108" s="245"/>
      <c r="AQ108" s="245"/>
      <c r="AR108" s="246"/>
    </row>
    <row r="109" spans="1:44" ht="8" customHeight="1" x14ac:dyDescent="0.7">
      <c r="A109" s="217"/>
      <c r="B109" s="217"/>
      <c r="C109" s="217"/>
      <c r="D109" s="217"/>
      <c r="E109" s="247"/>
      <c r="F109" s="248"/>
      <c r="G109" s="248"/>
      <c r="H109" s="249"/>
      <c r="I109" s="247"/>
      <c r="J109" s="248"/>
      <c r="K109" s="248"/>
      <c r="L109" s="249"/>
      <c r="M109" s="247"/>
      <c r="N109" s="248"/>
      <c r="O109" s="248"/>
      <c r="P109" s="249"/>
      <c r="Q109" s="247"/>
      <c r="R109" s="248"/>
      <c r="S109" s="248"/>
      <c r="T109" s="249"/>
      <c r="U109" s="247"/>
      <c r="V109" s="248"/>
      <c r="W109" s="248"/>
      <c r="X109" s="249"/>
      <c r="Y109" s="247"/>
      <c r="Z109" s="248"/>
      <c r="AA109" s="248"/>
      <c r="AB109" s="249"/>
      <c r="AC109" s="247"/>
      <c r="AD109" s="248"/>
      <c r="AE109" s="248"/>
      <c r="AF109" s="249"/>
      <c r="AG109" s="247"/>
      <c r="AH109" s="248"/>
      <c r="AI109" s="248"/>
      <c r="AJ109" s="249"/>
      <c r="AK109" s="247"/>
      <c r="AL109" s="248"/>
      <c r="AM109" s="248"/>
      <c r="AN109" s="249"/>
      <c r="AO109" s="247"/>
      <c r="AP109" s="248"/>
      <c r="AQ109" s="248"/>
      <c r="AR109" s="249"/>
    </row>
    <row r="110" spans="1:44" ht="14.75" customHeight="1" x14ac:dyDescent="0.7">
      <c r="A110" s="250" t="s">
        <v>162</v>
      </c>
      <c r="B110" s="250"/>
      <c r="C110" s="251">
        <v>1</v>
      </c>
      <c r="D110" s="252"/>
      <c r="E110" s="253" t="str" cm="1">
        <f t="array" aca="1" ref="E110" ca="1">IF(INDEX(集計3!$C$16:$CX$25,$C110,INDIRECT(ADDRESS(ROW()-8-($C110),COLUMN())))="","",INDEX(集計3!$C$16:$CX$25,$C110,INDIRECT(ADDRESS(ROW()-8-($C110),COLUMN()))))</f>
        <v/>
      </c>
      <c r="F110" s="254"/>
      <c r="G110" s="254"/>
      <c r="H110" s="255"/>
      <c r="I110" s="253" t="str" cm="1">
        <f t="array" aca="1" ref="I110" ca="1">IF(INDEX(集計3!$C$16:$CX$25,$C110,INDIRECT(ADDRESS(ROW()-8-($C110),COLUMN())))="","",INDEX(集計3!$C$16:$CX$25,$C110,INDIRECT(ADDRESS(ROW()-8-($C110),COLUMN()))))</f>
        <v/>
      </c>
      <c r="J110" s="254"/>
      <c r="K110" s="254"/>
      <c r="L110" s="255"/>
      <c r="M110" s="253" t="str" cm="1">
        <f t="array" aca="1" ref="M110" ca="1">IF(INDEX(集計3!$C$16:$CX$25,$C110,INDIRECT(ADDRESS(ROW()-8-($C110),COLUMN())))="","",INDEX(集計3!$C$16:$CX$25,$C110,INDIRECT(ADDRESS(ROW()-8-($C110),COLUMN()))))</f>
        <v/>
      </c>
      <c r="N110" s="254"/>
      <c r="O110" s="254"/>
      <c r="P110" s="255"/>
      <c r="Q110" s="253" t="str" cm="1">
        <f t="array" aca="1" ref="Q110" ca="1">IF(INDEX(集計3!$C$16:$CX$25,$C110,INDIRECT(ADDRESS(ROW()-8-($C110),COLUMN())))="","",INDEX(集計3!$C$16:$CX$25,$C110,INDIRECT(ADDRESS(ROW()-8-($C110),COLUMN()))))</f>
        <v/>
      </c>
      <c r="R110" s="254"/>
      <c r="S110" s="254"/>
      <c r="T110" s="255"/>
      <c r="U110" s="253" t="str" cm="1">
        <f t="array" aca="1" ref="U110" ca="1">IF(INDEX(集計3!$C$16:$CX$25,$C110,INDIRECT(ADDRESS(ROW()-8-($C110),COLUMN())))="","",INDEX(集計3!$C$16:$CX$25,$C110,INDIRECT(ADDRESS(ROW()-8-($C110),COLUMN()))))</f>
        <v/>
      </c>
      <c r="V110" s="254"/>
      <c r="W110" s="254"/>
      <c r="X110" s="255"/>
      <c r="Y110" s="253" t="str" cm="1">
        <f t="array" aca="1" ref="Y110" ca="1">IF(INDEX(集計3!$C$16:$CX$25,$C110,INDIRECT(ADDRESS(ROW()-8-($C110),COLUMN())))="","",INDEX(集計3!$C$16:$CX$25,$C110,INDIRECT(ADDRESS(ROW()-8-($C110),COLUMN()))))</f>
        <v/>
      </c>
      <c r="Z110" s="254"/>
      <c r="AA110" s="254"/>
      <c r="AB110" s="255"/>
      <c r="AC110" s="253" t="str" cm="1">
        <f t="array" aca="1" ref="AC110" ca="1">IF(INDEX(集計3!$C$16:$CX$25,$C110,INDIRECT(ADDRESS(ROW()-8-($C110),COLUMN())))="","",INDEX(集計3!$C$16:$CX$25,$C110,INDIRECT(ADDRESS(ROW()-8-($C110),COLUMN()))))</f>
        <v/>
      </c>
      <c r="AD110" s="254"/>
      <c r="AE110" s="254"/>
      <c r="AF110" s="255"/>
      <c r="AG110" s="253" t="str" cm="1">
        <f t="array" aca="1" ref="AG110" ca="1">IF(INDEX(集計3!$C$16:$CX$25,$C110,INDIRECT(ADDRESS(ROW()-8-($C110),COLUMN())))="","",INDEX(集計3!$C$16:$CX$25,$C110,INDIRECT(ADDRESS(ROW()-8-($C110),COLUMN()))))</f>
        <v/>
      </c>
      <c r="AH110" s="254"/>
      <c r="AI110" s="254"/>
      <c r="AJ110" s="255"/>
      <c r="AK110" s="253" t="str" cm="1">
        <f t="array" aca="1" ref="AK110" ca="1">IF(INDEX(集計3!$C$16:$CX$25,$C110,INDIRECT(ADDRESS(ROW()-8-($C110),COLUMN())))="","",INDEX(集計3!$C$16:$CX$25,$C110,INDIRECT(ADDRESS(ROW()-8-($C110),COLUMN()))))</f>
        <v/>
      </c>
      <c r="AL110" s="254"/>
      <c r="AM110" s="254"/>
      <c r="AN110" s="255"/>
      <c r="AO110" s="253" t="str" cm="1">
        <f t="array" aca="1" ref="AO110" ca="1">IF(INDEX(集計3!$C$16:$CX$25,$C110,INDIRECT(ADDRESS(ROW()-8-($C110),COLUMN())))="","",INDEX(集計3!$C$16:$CX$25,$C110,INDIRECT(ADDRESS(ROW()-8-($C110),COLUMN()))))</f>
        <v/>
      </c>
      <c r="AP110" s="254"/>
      <c r="AQ110" s="254"/>
      <c r="AR110" s="255"/>
    </row>
    <row r="111" spans="1:44" ht="14.75" customHeight="1" x14ac:dyDescent="0.7">
      <c r="A111" s="250"/>
      <c r="B111" s="250"/>
      <c r="C111" s="231">
        <v>2</v>
      </c>
      <c r="D111" s="232"/>
      <c r="E111" s="241" t="str" cm="1">
        <f t="array" aca="1" ref="E111" ca="1">IF(INDEX(集計3!$C$16:$CX$25,$C111,INDIRECT(ADDRESS(ROW()-8-($C111),COLUMN())))="","",INDEX(集計3!$C$16:$CX$25,$C111,INDIRECT(ADDRESS(ROW()-8-($C111),COLUMN()))))</f>
        <v/>
      </c>
      <c r="F111" s="242"/>
      <c r="G111" s="242"/>
      <c r="H111" s="243"/>
      <c r="I111" s="241" t="str" cm="1">
        <f t="array" aca="1" ref="I111" ca="1">IF(INDEX(集計3!$C$16:$CX$25,$C111,INDIRECT(ADDRESS(ROW()-8-($C111),COLUMN())))="","",INDEX(集計3!$C$16:$CX$25,$C111,INDIRECT(ADDRESS(ROW()-8-($C111),COLUMN()))))</f>
        <v/>
      </c>
      <c r="J111" s="242"/>
      <c r="K111" s="242"/>
      <c r="L111" s="243"/>
      <c r="M111" s="241" t="str" cm="1">
        <f t="array" aca="1" ref="M111" ca="1">IF(INDEX(集計3!$C$16:$CX$25,$C111,INDIRECT(ADDRESS(ROW()-8-($C111),COLUMN())))="","",INDEX(集計3!$C$16:$CX$25,$C111,INDIRECT(ADDRESS(ROW()-8-($C111),COLUMN()))))</f>
        <v/>
      </c>
      <c r="N111" s="242"/>
      <c r="O111" s="242"/>
      <c r="P111" s="243"/>
      <c r="Q111" s="241" t="str" cm="1">
        <f t="array" aca="1" ref="Q111" ca="1">IF(INDEX(集計3!$C$16:$CX$25,$C111,INDIRECT(ADDRESS(ROW()-8-($C111),COLUMN())))="","",INDEX(集計3!$C$16:$CX$25,$C111,INDIRECT(ADDRESS(ROW()-8-($C111),COLUMN()))))</f>
        <v/>
      </c>
      <c r="R111" s="242"/>
      <c r="S111" s="242"/>
      <c r="T111" s="243"/>
      <c r="U111" s="241" t="str" cm="1">
        <f t="array" aca="1" ref="U111" ca="1">IF(INDEX(集計3!$C$16:$CX$25,$C111,INDIRECT(ADDRESS(ROW()-8-($C111),COLUMN())))="","",INDEX(集計3!$C$16:$CX$25,$C111,INDIRECT(ADDRESS(ROW()-8-($C111),COLUMN()))))</f>
        <v/>
      </c>
      <c r="V111" s="242"/>
      <c r="W111" s="242"/>
      <c r="X111" s="243"/>
      <c r="Y111" s="241" t="str" cm="1">
        <f t="array" aca="1" ref="Y111" ca="1">IF(INDEX(集計3!$C$16:$CX$25,$C111,INDIRECT(ADDRESS(ROW()-8-($C111),COLUMN())))="","",INDEX(集計3!$C$16:$CX$25,$C111,INDIRECT(ADDRESS(ROW()-8-($C111),COLUMN()))))</f>
        <v/>
      </c>
      <c r="Z111" s="242"/>
      <c r="AA111" s="242"/>
      <c r="AB111" s="243"/>
      <c r="AC111" s="241" t="str" cm="1">
        <f t="array" aca="1" ref="AC111" ca="1">IF(INDEX(集計3!$C$16:$CX$25,$C111,INDIRECT(ADDRESS(ROW()-8-($C111),COLUMN())))="","",INDEX(集計3!$C$16:$CX$25,$C111,INDIRECT(ADDRESS(ROW()-8-($C111),COLUMN()))))</f>
        <v/>
      </c>
      <c r="AD111" s="242"/>
      <c r="AE111" s="242"/>
      <c r="AF111" s="243"/>
      <c r="AG111" s="241" t="str" cm="1">
        <f t="array" aca="1" ref="AG111" ca="1">IF(INDEX(集計3!$C$16:$CX$25,$C111,INDIRECT(ADDRESS(ROW()-8-($C111),COLUMN())))="","",INDEX(集計3!$C$16:$CX$25,$C111,INDIRECT(ADDRESS(ROW()-8-($C111),COLUMN()))))</f>
        <v/>
      </c>
      <c r="AH111" s="242"/>
      <c r="AI111" s="242"/>
      <c r="AJ111" s="243"/>
      <c r="AK111" s="241" t="str" cm="1">
        <f t="array" aca="1" ref="AK111" ca="1">IF(INDEX(集計3!$C$16:$CX$25,$C111,INDIRECT(ADDRESS(ROW()-8-($C111),COLUMN())))="","",INDEX(集計3!$C$16:$CX$25,$C111,INDIRECT(ADDRESS(ROW()-8-($C111),COLUMN()))))</f>
        <v/>
      </c>
      <c r="AL111" s="242"/>
      <c r="AM111" s="242"/>
      <c r="AN111" s="243"/>
      <c r="AO111" s="241" t="str" cm="1">
        <f t="array" aca="1" ref="AO111" ca="1">IF(INDEX(集計3!$C$16:$CX$25,$C111,INDIRECT(ADDRESS(ROW()-8-($C111),COLUMN())))="","",INDEX(集計3!$C$16:$CX$25,$C111,INDIRECT(ADDRESS(ROW()-8-($C111),COLUMN()))))</f>
        <v/>
      </c>
      <c r="AP111" s="242"/>
      <c r="AQ111" s="242"/>
      <c r="AR111" s="243"/>
    </row>
    <row r="112" spans="1:44" ht="14.75" customHeight="1" x14ac:dyDescent="0.7">
      <c r="A112" s="250"/>
      <c r="B112" s="250"/>
      <c r="C112" s="231">
        <v>3</v>
      </c>
      <c r="D112" s="232"/>
      <c r="E112" s="241" t="str" cm="1">
        <f t="array" aca="1" ref="E112" ca="1">IF(INDEX(集計3!$C$16:$CX$25,$C112,INDIRECT(ADDRESS(ROW()-8-($C112),COLUMN())))="","",INDEX(集計3!$C$16:$CX$25,$C112,INDIRECT(ADDRESS(ROW()-8-($C112),COLUMN()))))</f>
        <v/>
      </c>
      <c r="F112" s="242"/>
      <c r="G112" s="242"/>
      <c r="H112" s="243"/>
      <c r="I112" s="241" t="str" cm="1">
        <f t="array" aca="1" ref="I112" ca="1">IF(INDEX(集計3!$C$16:$CX$25,$C112,INDIRECT(ADDRESS(ROW()-8-($C112),COLUMN())))="","",INDEX(集計3!$C$16:$CX$25,$C112,INDIRECT(ADDRESS(ROW()-8-($C112),COLUMN()))))</f>
        <v/>
      </c>
      <c r="J112" s="242"/>
      <c r="K112" s="242"/>
      <c r="L112" s="243"/>
      <c r="M112" s="241" t="str" cm="1">
        <f t="array" aca="1" ref="M112" ca="1">IF(INDEX(集計3!$C$16:$CX$25,$C112,INDIRECT(ADDRESS(ROW()-8-($C112),COLUMN())))="","",INDEX(集計3!$C$16:$CX$25,$C112,INDIRECT(ADDRESS(ROW()-8-($C112),COLUMN()))))</f>
        <v/>
      </c>
      <c r="N112" s="242"/>
      <c r="O112" s="242"/>
      <c r="P112" s="243"/>
      <c r="Q112" s="241" t="str" cm="1">
        <f t="array" aca="1" ref="Q112" ca="1">IF(INDEX(集計3!$C$16:$CX$25,$C112,INDIRECT(ADDRESS(ROW()-8-($C112),COLUMN())))="","",INDEX(集計3!$C$16:$CX$25,$C112,INDIRECT(ADDRESS(ROW()-8-($C112),COLUMN()))))</f>
        <v/>
      </c>
      <c r="R112" s="242"/>
      <c r="S112" s="242"/>
      <c r="T112" s="243"/>
      <c r="U112" s="241" t="str" cm="1">
        <f t="array" aca="1" ref="U112" ca="1">IF(INDEX(集計3!$C$16:$CX$25,$C112,INDIRECT(ADDRESS(ROW()-8-($C112),COLUMN())))="","",INDEX(集計3!$C$16:$CX$25,$C112,INDIRECT(ADDRESS(ROW()-8-($C112),COLUMN()))))</f>
        <v/>
      </c>
      <c r="V112" s="242"/>
      <c r="W112" s="242"/>
      <c r="X112" s="243"/>
      <c r="Y112" s="241" t="str" cm="1">
        <f t="array" aca="1" ref="Y112" ca="1">IF(INDEX(集計3!$C$16:$CX$25,$C112,INDIRECT(ADDRESS(ROW()-8-($C112),COLUMN())))="","",INDEX(集計3!$C$16:$CX$25,$C112,INDIRECT(ADDRESS(ROW()-8-($C112),COLUMN()))))</f>
        <v/>
      </c>
      <c r="Z112" s="242"/>
      <c r="AA112" s="242"/>
      <c r="AB112" s="243"/>
      <c r="AC112" s="241" t="str" cm="1">
        <f t="array" aca="1" ref="AC112" ca="1">IF(INDEX(集計3!$C$16:$CX$25,$C112,INDIRECT(ADDRESS(ROW()-8-($C112),COLUMN())))="","",INDEX(集計3!$C$16:$CX$25,$C112,INDIRECT(ADDRESS(ROW()-8-($C112),COLUMN()))))</f>
        <v/>
      </c>
      <c r="AD112" s="242"/>
      <c r="AE112" s="242"/>
      <c r="AF112" s="243"/>
      <c r="AG112" s="241" t="str" cm="1">
        <f t="array" aca="1" ref="AG112" ca="1">IF(INDEX(集計3!$C$16:$CX$25,$C112,INDIRECT(ADDRESS(ROW()-8-($C112),COLUMN())))="","",INDEX(集計3!$C$16:$CX$25,$C112,INDIRECT(ADDRESS(ROW()-8-($C112),COLUMN()))))</f>
        <v/>
      </c>
      <c r="AH112" s="242"/>
      <c r="AI112" s="242"/>
      <c r="AJ112" s="243"/>
      <c r="AK112" s="241" t="str" cm="1">
        <f t="array" aca="1" ref="AK112" ca="1">IF(INDEX(集計3!$C$16:$CX$25,$C112,INDIRECT(ADDRESS(ROW()-8-($C112),COLUMN())))="","",INDEX(集計3!$C$16:$CX$25,$C112,INDIRECT(ADDRESS(ROW()-8-($C112),COLUMN()))))</f>
        <v/>
      </c>
      <c r="AL112" s="242"/>
      <c r="AM112" s="242"/>
      <c r="AN112" s="243"/>
      <c r="AO112" s="241" t="str" cm="1">
        <f t="array" aca="1" ref="AO112" ca="1">IF(INDEX(集計3!$C$16:$CX$25,$C112,INDIRECT(ADDRESS(ROW()-8-($C112),COLUMN())))="","",INDEX(集計3!$C$16:$CX$25,$C112,INDIRECT(ADDRESS(ROW()-8-($C112),COLUMN()))))</f>
        <v/>
      </c>
      <c r="AP112" s="242"/>
      <c r="AQ112" s="242"/>
      <c r="AR112" s="243"/>
    </row>
    <row r="113" spans="1:44" ht="14.75" customHeight="1" x14ac:dyDescent="0.7">
      <c r="A113" s="250"/>
      <c r="B113" s="250"/>
      <c r="C113" s="231">
        <v>4</v>
      </c>
      <c r="D113" s="232"/>
      <c r="E113" s="241" t="str" cm="1">
        <f t="array" aca="1" ref="E113" ca="1">IF(INDEX(集計3!$C$16:$CX$25,$C113,INDIRECT(ADDRESS(ROW()-8-($C113),COLUMN())))="","",INDEX(集計3!$C$16:$CX$25,$C113,INDIRECT(ADDRESS(ROW()-8-($C113),COLUMN()))))</f>
        <v/>
      </c>
      <c r="F113" s="242"/>
      <c r="G113" s="242"/>
      <c r="H113" s="243"/>
      <c r="I113" s="241" t="str" cm="1">
        <f t="array" aca="1" ref="I113" ca="1">IF(INDEX(集計3!$C$16:$CX$25,$C113,INDIRECT(ADDRESS(ROW()-8-($C113),COLUMN())))="","",INDEX(集計3!$C$16:$CX$25,$C113,INDIRECT(ADDRESS(ROW()-8-($C113),COLUMN()))))</f>
        <v/>
      </c>
      <c r="J113" s="242"/>
      <c r="K113" s="242"/>
      <c r="L113" s="243"/>
      <c r="M113" s="241" t="str" cm="1">
        <f t="array" aca="1" ref="M113" ca="1">IF(INDEX(集計3!$C$16:$CX$25,$C113,INDIRECT(ADDRESS(ROW()-8-($C113),COLUMN())))="","",INDEX(集計3!$C$16:$CX$25,$C113,INDIRECT(ADDRESS(ROW()-8-($C113),COLUMN()))))</f>
        <v/>
      </c>
      <c r="N113" s="242"/>
      <c r="O113" s="242"/>
      <c r="P113" s="243"/>
      <c r="Q113" s="241" t="str" cm="1">
        <f t="array" aca="1" ref="Q113" ca="1">IF(INDEX(集計3!$C$16:$CX$25,$C113,INDIRECT(ADDRESS(ROW()-8-($C113),COLUMN())))="","",INDEX(集計3!$C$16:$CX$25,$C113,INDIRECT(ADDRESS(ROW()-8-($C113),COLUMN()))))</f>
        <v/>
      </c>
      <c r="R113" s="242"/>
      <c r="S113" s="242"/>
      <c r="T113" s="243"/>
      <c r="U113" s="241" t="str" cm="1">
        <f t="array" aca="1" ref="U113" ca="1">IF(INDEX(集計3!$C$16:$CX$25,$C113,INDIRECT(ADDRESS(ROW()-8-($C113),COLUMN())))="","",INDEX(集計3!$C$16:$CX$25,$C113,INDIRECT(ADDRESS(ROW()-8-($C113),COLUMN()))))</f>
        <v/>
      </c>
      <c r="V113" s="242"/>
      <c r="W113" s="242"/>
      <c r="X113" s="243"/>
      <c r="Y113" s="241" t="str" cm="1">
        <f t="array" aca="1" ref="Y113" ca="1">IF(INDEX(集計3!$C$16:$CX$25,$C113,INDIRECT(ADDRESS(ROW()-8-($C113),COLUMN())))="","",INDEX(集計3!$C$16:$CX$25,$C113,INDIRECT(ADDRESS(ROW()-8-($C113),COLUMN()))))</f>
        <v/>
      </c>
      <c r="Z113" s="242"/>
      <c r="AA113" s="242"/>
      <c r="AB113" s="243"/>
      <c r="AC113" s="241" t="str" cm="1">
        <f t="array" aca="1" ref="AC113" ca="1">IF(INDEX(集計3!$C$16:$CX$25,$C113,INDIRECT(ADDRESS(ROW()-8-($C113),COLUMN())))="","",INDEX(集計3!$C$16:$CX$25,$C113,INDIRECT(ADDRESS(ROW()-8-($C113),COLUMN()))))</f>
        <v/>
      </c>
      <c r="AD113" s="242"/>
      <c r="AE113" s="242"/>
      <c r="AF113" s="243"/>
      <c r="AG113" s="241" t="str" cm="1">
        <f t="array" aca="1" ref="AG113" ca="1">IF(INDEX(集計3!$C$16:$CX$25,$C113,INDIRECT(ADDRESS(ROW()-8-($C113),COLUMN())))="","",INDEX(集計3!$C$16:$CX$25,$C113,INDIRECT(ADDRESS(ROW()-8-($C113),COLUMN()))))</f>
        <v/>
      </c>
      <c r="AH113" s="242"/>
      <c r="AI113" s="242"/>
      <c r="AJ113" s="243"/>
      <c r="AK113" s="241" t="str" cm="1">
        <f t="array" aca="1" ref="AK113" ca="1">IF(INDEX(集計3!$C$16:$CX$25,$C113,INDIRECT(ADDRESS(ROW()-8-($C113),COLUMN())))="","",INDEX(集計3!$C$16:$CX$25,$C113,INDIRECT(ADDRESS(ROW()-8-($C113),COLUMN()))))</f>
        <v/>
      </c>
      <c r="AL113" s="242"/>
      <c r="AM113" s="242"/>
      <c r="AN113" s="243"/>
      <c r="AO113" s="241" t="str" cm="1">
        <f t="array" aca="1" ref="AO113" ca="1">IF(INDEX(集計3!$C$16:$CX$25,$C113,INDIRECT(ADDRESS(ROW()-8-($C113),COLUMN())))="","",INDEX(集計3!$C$16:$CX$25,$C113,INDIRECT(ADDRESS(ROW()-8-($C113),COLUMN()))))</f>
        <v/>
      </c>
      <c r="AP113" s="242"/>
      <c r="AQ113" s="242"/>
      <c r="AR113" s="243"/>
    </row>
    <row r="114" spans="1:44" ht="14.75" customHeight="1" x14ac:dyDescent="0.7">
      <c r="A114" s="250"/>
      <c r="B114" s="250"/>
      <c r="C114" s="231">
        <v>5</v>
      </c>
      <c r="D114" s="232"/>
      <c r="E114" s="241" t="str" cm="1">
        <f t="array" aca="1" ref="E114" ca="1">IF(INDEX(集計3!$C$16:$CX$25,$C114,INDIRECT(ADDRESS(ROW()-8-($C114),COLUMN())))="","",INDEX(集計3!$C$16:$CX$25,$C114,INDIRECT(ADDRESS(ROW()-8-($C114),COLUMN()))))</f>
        <v/>
      </c>
      <c r="F114" s="242"/>
      <c r="G114" s="242"/>
      <c r="H114" s="243"/>
      <c r="I114" s="241" t="str" cm="1">
        <f t="array" aca="1" ref="I114" ca="1">IF(INDEX(集計3!$C$16:$CX$25,$C114,INDIRECT(ADDRESS(ROW()-8-($C114),COLUMN())))="","",INDEX(集計3!$C$16:$CX$25,$C114,INDIRECT(ADDRESS(ROW()-8-($C114),COLUMN()))))</f>
        <v/>
      </c>
      <c r="J114" s="242"/>
      <c r="K114" s="242"/>
      <c r="L114" s="243"/>
      <c r="M114" s="241" t="str" cm="1">
        <f t="array" aca="1" ref="M114" ca="1">IF(INDEX(集計3!$C$16:$CX$25,$C114,INDIRECT(ADDRESS(ROW()-8-($C114),COLUMN())))="","",INDEX(集計3!$C$16:$CX$25,$C114,INDIRECT(ADDRESS(ROW()-8-($C114),COLUMN()))))</f>
        <v/>
      </c>
      <c r="N114" s="242"/>
      <c r="O114" s="242"/>
      <c r="P114" s="243"/>
      <c r="Q114" s="241" t="str" cm="1">
        <f t="array" aca="1" ref="Q114" ca="1">IF(INDEX(集計3!$C$16:$CX$25,$C114,INDIRECT(ADDRESS(ROW()-8-($C114),COLUMN())))="","",INDEX(集計3!$C$16:$CX$25,$C114,INDIRECT(ADDRESS(ROW()-8-($C114),COLUMN()))))</f>
        <v/>
      </c>
      <c r="R114" s="242"/>
      <c r="S114" s="242"/>
      <c r="T114" s="243"/>
      <c r="U114" s="241" t="str" cm="1">
        <f t="array" aca="1" ref="U114" ca="1">IF(INDEX(集計3!$C$16:$CX$25,$C114,INDIRECT(ADDRESS(ROW()-8-($C114),COLUMN())))="","",INDEX(集計3!$C$16:$CX$25,$C114,INDIRECT(ADDRESS(ROW()-8-($C114),COLUMN()))))</f>
        <v/>
      </c>
      <c r="V114" s="242"/>
      <c r="W114" s="242"/>
      <c r="X114" s="243"/>
      <c r="Y114" s="241" t="str" cm="1">
        <f t="array" aca="1" ref="Y114" ca="1">IF(INDEX(集計3!$C$16:$CX$25,$C114,INDIRECT(ADDRESS(ROW()-8-($C114),COLUMN())))="","",INDEX(集計3!$C$16:$CX$25,$C114,INDIRECT(ADDRESS(ROW()-8-($C114),COLUMN()))))</f>
        <v/>
      </c>
      <c r="Z114" s="242"/>
      <c r="AA114" s="242"/>
      <c r="AB114" s="243"/>
      <c r="AC114" s="241" t="str" cm="1">
        <f t="array" aca="1" ref="AC114" ca="1">IF(INDEX(集計3!$C$16:$CX$25,$C114,INDIRECT(ADDRESS(ROW()-8-($C114),COLUMN())))="","",INDEX(集計3!$C$16:$CX$25,$C114,INDIRECT(ADDRESS(ROW()-8-($C114),COLUMN()))))</f>
        <v/>
      </c>
      <c r="AD114" s="242"/>
      <c r="AE114" s="242"/>
      <c r="AF114" s="243"/>
      <c r="AG114" s="241" t="str" cm="1">
        <f t="array" aca="1" ref="AG114" ca="1">IF(INDEX(集計3!$C$16:$CX$25,$C114,INDIRECT(ADDRESS(ROW()-8-($C114),COLUMN())))="","",INDEX(集計3!$C$16:$CX$25,$C114,INDIRECT(ADDRESS(ROW()-8-($C114),COLUMN()))))</f>
        <v/>
      </c>
      <c r="AH114" s="242"/>
      <c r="AI114" s="242"/>
      <c r="AJ114" s="243"/>
      <c r="AK114" s="241" t="str" cm="1">
        <f t="array" aca="1" ref="AK114" ca="1">IF(INDEX(集計3!$C$16:$CX$25,$C114,INDIRECT(ADDRESS(ROW()-8-($C114),COLUMN())))="","",INDEX(集計3!$C$16:$CX$25,$C114,INDIRECT(ADDRESS(ROW()-8-($C114),COLUMN()))))</f>
        <v/>
      </c>
      <c r="AL114" s="242"/>
      <c r="AM114" s="242"/>
      <c r="AN114" s="243"/>
      <c r="AO114" s="241" t="str" cm="1">
        <f t="array" aca="1" ref="AO114" ca="1">IF(INDEX(集計3!$C$16:$CX$25,$C114,INDIRECT(ADDRESS(ROW()-8-($C114),COLUMN())))="","",INDEX(集計3!$C$16:$CX$25,$C114,INDIRECT(ADDRESS(ROW()-8-($C114),COLUMN()))))</f>
        <v/>
      </c>
      <c r="AP114" s="242"/>
      <c r="AQ114" s="242"/>
      <c r="AR114" s="243"/>
    </row>
    <row r="115" spans="1:44" ht="14.75" customHeight="1" x14ac:dyDescent="0.7">
      <c r="A115" s="250"/>
      <c r="B115" s="250"/>
      <c r="C115" s="231">
        <v>6</v>
      </c>
      <c r="D115" s="232"/>
      <c r="E115" s="233" t="str" cm="1">
        <f t="array" aca="1" ref="E115" ca="1">IF(INDEX(集計3!$C$16:$CX$25,$C115,INDIRECT(ADDRESS(ROW()-8-($C115),COLUMN())))="","",INDEX(集計3!$C$16:$CX$25,$C115,INDIRECT(ADDRESS(ROW()-8-($C115),COLUMN()))))</f>
        <v/>
      </c>
      <c r="F115" s="234"/>
      <c r="G115" s="234"/>
      <c r="H115" s="235"/>
      <c r="I115" s="233" t="str" cm="1">
        <f t="array" aca="1" ref="I115" ca="1">IF(INDEX(集計3!$C$16:$CX$25,$C115,INDIRECT(ADDRESS(ROW()-8-($C115),COLUMN())))="","",INDEX(集計3!$C$16:$CX$25,$C115,INDIRECT(ADDRESS(ROW()-8-($C115),COLUMN()))))</f>
        <v/>
      </c>
      <c r="J115" s="234"/>
      <c r="K115" s="234"/>
      <c r="L115" s="235"/>
      <c r="M115" s="233" t="str" cm="1">
        <f t="array" aca="1" ref="M115" ca="1">IF(INDEX(集計3!$C$16:$CX$25,$C115,INDIRECT(ADDRESS(ROW()-8-($C115),COLUMN())))="","",INDEX(集計3!$C$16:$CX$25,$C115,INDIRECT(ADDRESS(ROW()-8-($C115),COLUMN()))))</f>
        <v/>
      </c>
      <c r="N115" s="234"/>
      <c r="O115" s="234"/>
      <c r="P115" s="235"/>
      <c r="Q115" s="233" t="str" cm="1">
        <f t="array" aca="1" ref="Q115" ca="1">IF(INDEX(集計3!$C$16:$CX$25,$C115,INDIRECT(ADDRESS(ROW()-8-($C115),COLUMN())))="","",INDEX(集計3!$C$16:$CX$25,$C115,INDIRECT(ADDRESS(ROW()-8-($C115),COLUMN()))))</f>
        <v/>
      </c>
      <c r="R115" s="234"/>
      <c r="S115" s="234"/>
      <c r="T115" s="235"/>
      <c r="U115" s="233" t="str" cm="1">
        <f t="array" aca="1" ref="U115" ca="1">IF(INDEX(集計3!$C$16:$CX$25,$C115,INDIRECT(ADDRESS(ROW()-8-($C115),COLUMN())))="","",INDEX(集計3!$C$16:$CX$25,$C115,INDIRECT(ADDRESS(ROW()-8-($C115),COLUMN()))))</f>
        <v/>
      </c>
      <c r="V115" s="234"/>
      <c r="W115" s="234"/>
      <c r="X115" s="235"/>
      <c r="Y115" s="233" t="str" cm="1">
        <f t="array" aca="1" ref="Y115" ca="1">IF(INDEX(集計3!$C$16:$CX$25,$C115,INDIRECT(ADDRESS(ROW()-8-($C115),COLUMN())))="","",INDEX(集計3!$C$16:$CX$25,$C115,INDIRECT(ADDRESS(ROW()-8-($C115),COLUMN()))))</f>
        <v/>
      </c>
      <c r="Z115" s="234"/>
      <c r="AA115" s="234"/>
      <c r="AB115" s="235"/>
      <c r="AC115" s="233" t="str" cm="1">
        <f t="array" aca="1" ref="AC115" ca="1">IF(INDEX(集計3!$C$16:$CX$25,$C115,INDIRECT(ADDRESS(ROW()-8-($C115),COLUMN())))="","",INDEX(集計3!$C$16:$CX$25,$C115,INDIRECT(ADDRESS(ROW()-8-($C115),COLUMN()))))</f>
        <v/>
      </c>
      <c r="AD115" s="234"/>
      <c r="AE115" s="234"/>
      <c r="AF115" s="235"/>
      <c r="AG115" s="233" t="str" cm="1">
        <f t="array" aca="1" ref="AG115" ca="1">IF(INDEX(集計3!$C$16:$CX$25,$C115,INDIRECT(ADDRESS(ROW()-8-($C115),COLUMN())))="","",INDEX(集計3!$C$16:$CX$25,$C115,INDIRECT(ADDRESS(ROW()-8-($C115),COLUMN()))))</f>
        <v/>
      </c>
      <c r="AH115" s="234"/>
      <c r="AI115" s="234"/>
      <c r="AJ115" s="235"/>
      <c r="AK115" s="233" t="str" cm="1">
        <f t="array" aca="1" ref="AK115" ca="1">IF(INDEX(集計3!$C$16:$CX$25,$C115,INDIRECT(ADDRESS(ROW()-8-($C115),COLUMN())))="","",INDEX(集計3!$C$16:$CX$25,$C115,INDIRECT(ADDRESS(ROW()-8-($C115),COLUMN()))))</f>
        <v/>
      </c>
      <c r="AL115" s="234"/>
      <c r="AM115" s="234"/>
      <c r="AN115" s="235"/>
      <c r="AO115" s="233" t="str" cm="1">
        <f t="array" aca="1" ref="AO115" ca="1">IF(INDEX(集計3!$C$16:$CX$25,$C115,INDIRECT(ADDRESS(ROW()-8-($C115),COLUMN())))="","",INDEX(集計3!$C$16:$CX$25,$C115,INDIRECT(ADDRESS(ROW()-8-($C115),COLUMN()))))</f>
        <v/>
      </c>
      <c r="AP115" s="234"/>
      <c r="AQ115" s="234"/>
      <c r="AR115" s="235"/>
    </row>
    <row r="116" spans="1:44" ht="14.75" customHeight="1" x14ac:dyDescent="0.7">
      <c r="A116" s="250"/>
      <c r="B116" s="250"/>
      <c r="C116" s="231">
        <v>7</v>
      </c>
      <c r="D116" s="232"/>
      <c r="E116" s="233" t="str" cm="1">
        <f t="array" aca="1" ref="E116" ca="1">IF(INDEX(集計3!$C$16:$CX$25,$C116,INDIRECT(ADDRESS(ROW()-8-($C116),COLUMN())))="","",INDEX(集計3!$C$16:$CX$25,$C116,INDIRECT(ADDRESS(ROW()-8-($C116),COLUMN()))))</f>
        <v/>
      </c>
      <c r="F116" s="234"/>
      <c r="G116" s="234"/>
      <c r="H116" s="235"/>
      <c r="I116" s="233" t="str" cm="1">
        <f t="array" aca="1" ref="I116" ca="1">IF(INDEX(集計3!$C$16:$CX$25,$C116,INDIRECT(ADDRESS(ROW()-8-($C116),COLUMN())))="","",INDEX(集計3!$C$16:$CX$25,$C116,INDIRECT(ADDRESS(ROW()-8-($C116),COLUMN()))))</f>
        <v/>
      </c>
      <c r="J116" s="234"/>
      <c r="K116" s="234"/>
      <c r="L116" s="235"/>
      <c r="M116" s="233" t="str" cm="1">
        <f t="array" aca="1" ref="M116" ca="1">IF(INDEX(集計3!$C$16:$CX$25,$C116,INDIRECT(ADDRESS(ROW()-8-($C116),COLUMN())))="","",INDEX(集計3!$C$16:$CX$25,$C116,INDIRECT(ADDRESS(ROW()-8-($C116),COLUMN()))))</f>
        <v/>
      </c>
      <c r="N116" s="234"/>
      <c r="O116" s="234"/>
      <c r="P116" s="235"/>
      <c r="Q116" s="233" t="str" cm="1">
        <f t="array" aca="1" ref="Q116" ca="1">IF(INDEX(集計3!$C$16:$CX$25,$C116,INDIRECT(ADDRESS(ROW()-8-($C116),COLUMN())))="","",INDEX(集計3!$C$16:$CX$25,$C116,INDIRECT(ADDRESS(ROW()-8-($C116),COLUMN()))))</f>
        <v/>
      </c>
      <c r="R116" s="234"/>
      <c r="S116" s="234"/>
      <c r="T116" s="235"/>
      <c r="U116" s="233" t="str" cm="1">
        <f t="array" aca="1" ref="U116" ca="1">IF(INDEX(集計3!$C$16:$CX$25,$C116,INDIRECT(ADDRESS(ROW()-8-($C116),COLUMN())))="","",INDEX(集計3!$C$16:$CX$25,$C116,INDIRECT(ADDRESS(ROW()-8-($C116),COLUMN()))))</f>
        <v/>
      </c>
      <c r="V116" s="234"/>
      <c r="W116" s="234"/>
      <c r="X116" s="235"/>
      <c r="Y116" s="233" t="str" cm="1">
        <f t="array" aca="1" ref="Y116" ca="1">IF(INDEX(集計3!$C$16:$CX$25,$C116,INDIRECT(ADDRESS(ROW()-8-($C116),COLUMN())))="","",INDEX(集計3!$C$16:$CX$25,$C116,INDIRECT(ADDRESS(ROW()-8-($C116),COLUMN()))))</f>
        <v/>
      </c>
      <c r="Z116" s="234"/>
      <c r="AA116" s="234"/>
      <c r="AB116" s="235"/>
      <c r="AC116" s="233" t="str" cm="1">
        <f t="array" aca="1" ref="AC116" ca="1">IF(INDEX(集計3!$C$16:$CX$25,$C116,INDIRECT(ADDRESS(ROW()-8-($C116),COLUMN())))="","",INDEX(集計3!$C$16:$CX$25,$C116,INDIRECT(ADDRESS(ROW()-8-($C116),COLUMN()))))</f>
        <v/>
      </c>
      <c r="AD116" s="234"/>
      <c r="AE116" s="234"/>
      <c r="AF116" s="235"/>
      <c r="AG116" s="233" t="str" cm="1">
        <f t="array" aca="1" ref="AG116" ca="1">IF(INDEX(集計3!$C$16:$CX$25,$C116,INDIRECT(ADDRESS(ROW()-8-($C116),COLUMN())))="","",INDEX(集計3!$C$16:$CX$25,$C116,INDIRECT(ADDRESS(ROW()-8-($C116),COLUMN()))))</f>
        <v/>
      </c>
      <c r="AH116" s="234"/>
      <c r="AI116" s="234"/>
      <c r="AJ116" s="235"/>
      <c r="AK116" s="233" t="str" cm="1">
        <f t="array" aca="1" ref="AK116" ca="1">IF(INDEX(集計3!$C$16:$CX$25,$C116,INDIRECT(ADDRESS(ROW()-8-($C116),COLUMN())))="","",INDEX(集計3!$C$16:$CX$25,$C116,INDIRECT(ADDRESS(ROW()-8-($C116),COLUMN()))))</f>
        <v/>
      </c>
      <c r="AL116" s="234"/>
      <c r="AM116" s="234"/>
      <c r="AN116" s="235"/>
      <c r="AO116" s="233" t="str" cm="1">
        <f t="array" aca="1" ref="AO116" ca="1">IF(INDEX(集計3!$C$16:$CX$25,$C116,INDIRECT(ADDRESS(ROW()-8-($C116),COLUMN())))="","",INDEX(集計3!$C$16:$CX$25,$C116,INDIRECT(ADDRESS(ROW()-8-($C116),COLUMN()))))</f>
        <v/>
      </c>
      <c r="AP116" s="234"/>
      <c r="AQ116" s="234"/>
      <c r="AR116" s="235"/>
    </row>
    <row r="117" spans="1:44" ht="14.75" customHeight="1" x14ac:dyDescent="0.7">
      <c r="A117" s="250"/>
      <c r="B117" s="250"/>
      <c r="C117" s="231">
        <v>8</v>
      </c>
      <c r="D117" s="232"/>
      <c r="E117" s="233" t="str" cm="1">
        <f t="array" aca="1" ref="E117" ca="1">IF(INDEX(集計3!$C$16:$CX$25,$C117,INDIRECT(ADDRESS(ROW()-8-($C117),COLUMN())))="","",INDEX(集計3!$C$16:$CX$25,$C117,INDIRECT(ADDRESS(ROW()-8-($C117),COLUMN()))))</f>
        <v/>
      </c>
      <c r="F117" s="234"/>
      <c r="G117" s="234"/>
      <c r="H117" s="235"/>
      <c r="I117" s="233" t="str" cm="1">
        <f t="array" aca="1" ref="I117" ca="1">IF(INDEX(集計3!$C$16:$CX$25,$C117,INDIRECT(ADDRESS(ROW()-8-($C117),COLUMN())))="","",INDEX(集計3!$C$16:$CX$25,$C117,INDIRECT(ADDRESS(ROW()-8-($C117),COLUMN()))))</f>
        <v/>
      </c>
      <c r="J117" s="234"/>
      <c r="K117" s="234"/>
      <c r="L117" s="235"/>
      <c r="M117" s="233" t="str" cm="1">
        <f t="array" aca="1" ref="M117" ca="1">IF(INDEX(集計3!$C$16:$CX$25,$C117,INDIRECT(ADDRESS(ROW()-8-($C117),COLUMN())))="","",INDEX(集計3!$C$16:$CX$25,$C117,INDIRECT(ADDRESS(ROW()-8-($C117),COLUMN()))))</f>
        <v/>
      </c>
      <c r="N117" s="234"/>
      <c r="O117" s="234"/>
      <c r="P117" s="235"/>
      <c r="Q117" s="233" t="str" cm="1">
        <f t="array" aca="1" ref="Q117" ca="1">IF(INDEX(集計3!$C$16:$CX$25,$C117,INDIRECT(ADDRESS(ROW()-8-($C117),COLUMN())))="","",INDEX(集計3!$C$16:$CX$25,$C117,INDIRECT(ADDRESS(ROW()-8-($C117),COLUMN()))))</f>
        <v/>
      </c>
      <c r="R117" s="234"/>
      <c r="S117" s="234"/>
      <c r="T117" s="235"/>
      <c r="U117" s="233" t="str" cm="1">
        <f t="array" aca="1" ref="U117" ca="1">IF(INDEX(集計3!$C$16:$CX$25,$C117,INDIRECT(ADDRESS(ROW()-8-($C117),COLUMN())))="","",INDEX(集計3!$C$16:$CX$25,$C117,INDIRECT(ADDRESS(ROW()-8-($C117),COLUMN()))))</f>
        <v/>
      </c>
      <c r="V117" s="234"/>
      <c r="W117" s="234"/>
      <c r="X117" s="235"/>
      <c r="Y117" s="233" t="str" cm="1">
        <f t="array" aca="1" ref="Y117" ca="1">IF(INDEX(集計3!$C$16:$CX$25,$C117,INDIRECT(ADDRESS(ROW()-8-($C117),COLUMN())))="","",INDEX(集計3!$C$16:$CX$25,$C117,INDIRECT(ADDRESS(ROW()-8-($C117),COLUMN()))))</f>
        <v/>
      </c>
      <c r="Z117" s="234"/>
      <c r="AA117" s="234"/>
      <c r="AB117" s="235"/>
      <c r="AC117" s="233" t="str" cm="1">
        <f t="array" aca="1" ref="AC117" ca="1">IF(INDEX(集計3!$C$16:$CX$25,$C117,INDIRECT(ADDRESS(ROW()-8-($C117),COLUMN())))="","",INDEX(集計3!$C$16:$CX$25,$C117,INDIRECT(ADDRESS(ROW()-8-($C117),COLUMN()))))</f>
        <v/>
      </c>
      <c r="AD117" s="234"/>
      <c r="AE117" s="234"/>
      <c r="AF117" s="235"/>
      <c r="AG117" s="233" t="str" cm="1">
        <f t="array" aca="1" ref="AG117" ca="1">IF(INDEX(集計3!$C$16:$CX$25,$C117,INDIRECT(ADDRESS(ROW()-8-($C117),COLUMN())))="","",INDEX(集計3!$C$16:$CX$25,$C117,INDIRECT(ADDRESS(ROW()-8-($C117),COLUMN()))))</f>
        <v/>
      </c>
      <c r="AH117" s="234"/>
      <c r="AI117" s="234"/>
      <c r="AJ117" s="235"/>
      <c r="AK117" s="233" t="str" cm="1">
        <f t="array" aca="1" ref="AK117" ca="1">IF(INDEX(集計3!$C$16:$CX$25,$C117,INDIRECT(ADDRESS(ROW()-8-($C117),COLUMN())))="","",INDEX(集計3!$C$16:$CX$25,$C117,INDIRECT(ADDRESS(ROW()-8-($C117),COLUMN()))))</f>
        <v/>
      </c>
      <c r="AL117" s="234"/>
      <c r="AM117" s="234"/>
      <c r="AN117" s="235"/>
      <c r="AO117" s="233" t="str" cm="1">
        <f t="array" aca="1" ref="AO117" ca="1">IF(INDEX(集計3!$C$16:$CX$25,$C117,INDIRECT(ADDRESS(ROW()-8-($C117),COLUMN())))="","",INDEX(集計3!$C$16:$CX$25,$C117,INDIRECT(ADDRESS(ROW()-8-($C117),COLUMN()))))</f>
        <v/>
      </c>
      <c r="AP117" s="234"/>
      <c r="AQ117" s="234"/>
      <c r="AR117" s="235"/>
    </row>
    <row r="118" spans="1:44" ht="14.75" customHeight="1" x14ac:dyDescent="0.7">
      <c r="A118" s="250"/>
      <c r="B118" s="250"/>
      <c r="C118" s="231">
        <v>9</v>
      </c>
      <c r="D118" s="232"/>
      <c r="E118" s="233" t="str" cm="1">
        <f t="array" aca="1" ref="E118" ca="1">IF(INDEX(集計3!$C$16:$CX$25,$C118,INDIRECT(ADDRESS(ROW()-8-($C118),COLUMN())))="","",INDEX(集計3!$C$16:$CX$25,$C118,INDIRECT(ADDRESS(ROW()-8-($C118),COLUMN()))))</f>
        <v/>
      </c>
      <c r="F118" s="234"/>
      <c r="G118" s="234"/>
      <c r="H118" s="235"/>
      <c r="I118" s="233" t="str" cm="1">
        <f t="array" aca="1" ref="I118" ca="1">IF(INDEX(集計3!$C$16:$CX$25,$C118,INDIRECT(ADDRESS(ROW()-8-($C118),COLUMN())))="","",INDEX(集計3!$C$16:$CX$25,$C118,INDIRECT(ADDRESS(ROW()-8-($C118),COLUMN()))))</f>
        <v/>
      </c>
      <c r="J118" s="234"/>
      <c r="K118" s="234"/>
      <c r="L118" s="235"/>
      <c r="M118" s="233" t="str" cm="1">
        <f t="array" aca="1" ref="M118" ca="1">IF(INDEX(集計3!$C$16:$CX$25,$C118,INDIRECT(ADDRESS(ROW()-8-($C118),COLUMN())))="","",INDEX(集計3!$C$16:$CX$25,$C118,INDIRECT(ADDRESS(ROW()-8-($C118),COLUMN()))))</f>
        <v/>
      </c>
      <c r="N118" s="234"/>
      <c r="O118" s="234"/>
      <c r="P118" s="235"/>
      <c r="Q118" s="233" t="str" cm="1">
        <f t="array" aca="1" ref="Q118" ca="1">IF(INDEX(集計3!$C$16:$CX$25,$C118,INDIRECT(ADDRESS(ROW()-8-($C118),COLUMN())))="","",INDEX(集計3!$C$16:$CX$25,$C118,INDIRECT(ADDRESS(ROW()-8-($C118),COLUMN()))))</f>
        <v/>
      </c>
      <c r="R118" s="234"/>
      <c r="S118" s="234"/>
      <c r="T118" s="235"/>
      <c r="U118" s="233" t="str" cm="1">
        <f t="array" aca="1" ref="U118" ca="1">IF(INDEX(集計3!$C$16:$CX$25,$C118,INDIRECT(ADDRESS(ROW()-8-($C118),COLUMN())))="","",INDEX(集計3!$C$16:$CX$25,$C118,INDIRECT(ADDRESS(ROW()-8-($C118),COLUMN()))))</f>
        <v/>
      </c>
      <c r="V118" s="234"/>
      <c r="W118" s="234"/>
      <c r="X118" s="235"/>
      <c r="Y118" s="233" t="str" cm="1">
        <f t="array" aca="1" ref="Y118" ca="1">IF(INDEX(集計3!$C$16:$CX$25,$C118,INDIRECT(ADDRESS(ROW()-8-($C118),COLUMN())))="","",INDEX(集計3!$C$16:$CX$25,$C118,INDIRECT(ADDRESS(ROW()-8-($C118),COLUMN()))))</f>
        <v/>
      </c>
      <c r="Z118" s="234"/>
      <c r="AA118" s="234"/>
      <c r="AB118" s="235"/>
      <c r="AC118" s="233" t="str" cm="1">
        <f t="array" aca="1" ref="AC118" ca="1">IF(INDEX(集計3!$C$16:$CX$25,$C118,INDIRECT(ADDRESS(ROW()-8-($C118),COLUMN())))="","",INDEX(集計3!$C$16:$CX$25,$C118,INDIRECT(ADDRESS(ROW()-8-($C118),COLUMN()))))</f>
        <v/>
      </c>
      <c r="AD118" s="234"/>
      <c r="AE118" s="234"/>
      <c r="AF118" s="235"/>
      <c r="AG118" s="233" t="str" cm="1">
        <f t="array" aca="1" ref="AG118" ca="1">IF(INDEX(集計3!$C$16:$CX$25,$C118,INDIRECT(ADDRESS(ROW()-8-($C118),COLUMN())))="","",INDEX(集計3!$C$16:$CX$25,$C118,INDIRECT(ADDRESS(ROW()-8-($C118),COLUMN()))))</f>
        <v/>
      </c>
      <c r="AH118" s="234"/>
      <c r="AI118" s="234"/>
      <c r="AJ118" s="235"/>
      <c r="AK118" s="233" t="str" cm="1">
        <f t="array" aca="1" ref="AK118" ca="1">IF(INDEX(集計3!$C$16:$CX$25,$C118,INDIRECT(ADDRESS(ROW()-8-($C118),COLUMN())))="","",INDEX(集計3!$C$16:$CX$25,$C118,INDIRECT(ADDRESS(ROW()-8-($C118),COLUMN()))))</f>
        <v/>
      </c>
      <c r="AL118" s="234"/>
      <c r="AM118" s="234"/>
      <c r="AN118" s="235"/>
      <c r="AO118" s="233" t="str" cm="1">
        <f t="array" aca="1" ref="AO118" ca="1">IF(INDEX(集計3!$C$16:$CX$25,$C118,INDIRECT(ADDRESS(ROW()-8-($C118),COLUMN())))="","",INDEX(集計3!$C$16:$CX$25,$C118,INDIRECT(ADDRESS(ROW()-8-($C118),COLUMN()))))</f>
        <v/>
      </c>
      <c r="AP118" s="234"/>
      <c r="AQ118" s="234"/>
      <c r="AR118" s="235"/>
    </row>
    <row r="119" spans="1:44" ht="14.75" customHeight="1" x14ac:dyDescent="0.7">
      <c r="A119" s="250"/>
      <c r="B119" s="250"/>
      <c r="C119" s="236">
        <v>10</v>
      </c>
      <c r="D119" s="237"/>
      <c r="E119" s="238" t="str" cm="1">
        <f t="array" aca="1" ref="E119" ca="1">IF(INDEX(集計3!$C$16:$CX$25,$C119,INDIRECT(ADDRESS(ROW()-8-($C119),COLUMN())))="","",INDEX(集計3!$C$16:$CX$25,$C119,INDIRECT(ADDRESS(ROW()-8-($C119),COLUMN()))))</f>
        <v/>
      </c>
      <c r="F119" s="239"/>
      <c r="G119" s="239"/>
      <c r="H119" s="240"/>
      <c r="I119" s="238" t="str" cm="1">
        <f t="array" aca="1" ref="I119" ca="1">IF(INDEX(集計3!$C$16:$CX$25,$C119,INDIRECT(ADDRESS(ROW()-8-($C119),COLUMN())))="","",INDEX(集計3!$C$16:$CX$25,$C119,INDIRECT(ADDRESS(ROW()-8-($C119),COLUMN()))))</f>
        <v/>
      </c>
      <c r="J119" s="239"/>
      <c r="K119" s="239"/>
      <c r="L119" s="240"/>
      <c r="M119" s="238" t="str" cm="1">
        <f t="array" aca="1" ref="M119" ca="1">IF(INDEX(集計3!$C$16:$CX$25,$C119,INDIRECT(ADDRESS(ROW()-8-($C119),COLUMN())))="","",INDEX(集計3!$C$16:$CX$25,$C119,INDIRECT(ADDRESS(ROW()-8-($C119),COLUMN()))))</f>
        <v/>
      </c>
      <c r="N119" s="239"/>
      <c r="O119" s="239"/>
      <c r="P119" s="240"/>
      <c r="Q119" s="238" t="str" cm="1">
        <f t="array" aca="1" ref="Q119" ca="1">IF(INDEX(集計3!$C$16:$CX$25,$C119,INDIRECT(ADDRESS(ROW()-8-($C119),COLUMN())))="","",INDEX(集計3!$C$16:$CX$25,$C119,INDIRECT(ADDRESS(ROW()-8-($C119),COLUMN()))))</f>
        <v/>
      </c>
      <c r="R119" s="239"/>
      <c r="S119" s="239"/>
      <c r="T119" s="240"/>
      <c r="U119" s="238" t="str" cm="1">
        <f t="array" aca="1" ref="U119" ca="1">IF(INDEX(集計3!$C$16:$CX$25,$C119,INDIRECT(ADDRESS(ROW()-8-($C119),COLUMN())))="","",INDEX(集計3!$C$16:$CX$25,$C119,INDIRECT(ADDRESS(ROW()-8-($C119),COLUMN()))))</f>
        <v/>
      </c>
      <c r="V119" s="239"/>
      <c r="W119" s="239"/>
      <c r="X119" s="240"/>
      <c r="Y119" s="238" t="str" cm="1">
        <f t="array" aca="1" ref="Y119" ca="1">IF(INDEX(集計3!$C$16:$CX$25,$C119,INDIRECT(ADDRESS(ROW()-8-($C119),COLUMN())))="","",INDEX(集計3!$C$16:$CX$25,$C119,INDIRECT(ADDRESS(ROW()-8-($C119),COLUMN()))))</f>
        <v/>
      </c>
      <c r="Z119" s="239"/>
      <c r="AA119" s="239"/>
      <c r="AB119" s="240"/>
      <c r="AC119" s="238" t="str" cm="1">
        <f t="array" aca="1" ref="AC119" ca="1">IF(INDEX(集計3!$C$16:$CX$25,$C119,INDIRECT(ADDRESS(ROW()-8-($C119),COLUMN())))="","",INDEX(集計3!$C$16:$CX$25,$C119,INDIRECT(ADDRESS(ROW()-8-($C119),COLUMN()))))</f>
        <v/>
      </c>
      <c r="AD119" s="239"/>
      <c r="AE119" s="239"/>
      <c r="AF119" s="240"/>
      <c r="AG119" s="238" t="str" cm="1">
        <f t="array" aca="1" ref="AG119" ca="1">IF(INDEX(集計3!$C$16:$CX$25,$C119,INDIRECT(ADDRESS(ROW()-8-($C119),COLUMN())))="","",INDEX(集計3!$C$16:$CX$25,$C119,INDIRECT(ADDRESS(ROW()-8-($C119),COLUMN()))))</f>
        <v/>
      </c>
      <c r="AH119" s="239"/>
      <c r="AI119" s="239"/>
      <c r="AJ119" s="240"/>
      <c r="AK119" s="238" t="str" cm="1">
        <f t="array" aca="1" ref="AK119" ca="1">IF(INDEX(集計3!$C$16:$CX$25,$C119,INDIRECT(ADDRESS(ROW()-8-($C119),COLUMN())))="","",INDEX(集計3!$C$16:$CX$25,$C119,INDIRECT(ADDRESS(ROW()-8-($C119),COLUMN()))))</f>
        <v/>
      </c>
      <c r="AL119" s="239"/>
      <c r="AM119" s="239"/>
      <c r="AN119" s="240"/>
      <c r="AO119" s="238" t="str" cm="1">
        <f t="array" aca="1" ref="AO119" ca="1">IF(INDEX(集計3!$C$16:$CX$25,$C119,INDIRECT(ADDRESS(ROW()-8-($C119),COLUMN())))="","",INDEX(集計3!$C$16:$CX$25,$C119,INDIRECT(ADDRESS(ROW()-8-($C119),COLUMN()))))</f>
        <v/>
      </c>
      <c r="AP119" s="239"/>
      <c r="AQ119" s="239"/>
      <c r="AR119" s="240"/>
    </row>
    <row r="120" spans="1:44" ht="7.25" customHeight="1" x14ac:dyDescent="0.7">
      <c r="A120" s="217" t="s">
        <v>163</v>
      </c>
      <c r="B120" s="217"/>
      <c r="C120" s="217"/>
      <c r="D120" s="217"/>
      <c r="E120" s="219" t="str" cm="1">
        <f t="array" aca="1" ref="E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20" s="220"/>
      <c r="G120" s="220"/>
      <c r="H120" s="221"/>
      <c r="I120" s="219" t="str" cm="1">
        <f t="array" aca="1" ref="I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20" s="220"/>
      <c r="K120" s="220"/>
      <c r="L120" s="221"/>
      <c r="M120" s="219" t="str" cm="1">
        <f t="array" aca="1" ref="M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20" s="220"/>
      <c r="O120" s="220"/>
      <c r="P120" s="221"/>
      <c r="Q120" s="219" t="str" cm="1">
        <f t="array" aca="1" ref="Q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20" s="220"/>
      <c r="S120" s="220"/>
      <c r="T120" s="221"/>
      <c r="U120" s="219" t="str" cm="1">
        <f t="array" aca="1" ref="U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20" s="220"/>
      <c r="W120" s="220"/>
      <c r="X120" s="221"/>
      <c r="Y120" s="219" t="str" cm="1">
        <f t="array" aca="1" ref="Y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20" s="220"/>
      <c r="AA120" s="220"/>
      <c r="AB120" s="221"/>
      <c r="AC120" s="219" t="str" cm="1">
        <f t="array" aca="1" ref="AC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20" s="220"/>
      <c r="AE120" s="220"/>
      <c r="AF120" s="221"/>
      <c r="AG120" s="219" t="str" cm="1">
        <f t="array" aca="1" ref="AG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20" s="220"/>
      <c r="AI120" s="220"/>
      <c r="AJ120" s="221"/>
      <c r="AK120" s="219" t="str" cm="1">
        <f t="array" aca="1" ref="AK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20" s="220"/>
      <c r="AM120" s="220"/>
      <c r="AN120" s="221"/>
      <c r="AO120" s="219" t="str" cm="1">
        <f t="array" aca="1" ref="AO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20" s="220"/>
      <c r="AQ120" s="220"/>
      <c r="AR120" s="221"/>
    </row>
    <row r="121" spans="1:44" ht="7.25" customHeight="1" x14ac:dyDescent="0.7">
      <c r="A121" s="218"/>
      <c r="B121" s="218"/>
      <c r="C121" s="218"/>
      <c r="D121" s="218"/>
      <c r="E121" s="222"/>
      <c r="F121" s="223"/>
      <c r="G121" s="223"/>
      <c r="H121" s="224"/>
      <c r="I121" s="222"/>
      <c r="J121" s="223"/>
      <c r="K121" s="223"/>
      <c r="L121" s="224"/>
      <c r="M121" s="222"/>
      <c r="N121" s="223"/>
      <c r="O121" s="223"/>
      <c r="P121" s="224"/>
      <c r="Q121" s="222"/>
      <c r="R121" s="223"/>
      <c r="S121" s="223"/>
      <c r="T121" s="224"/>
      <c r="U121" s="222"/>
      <c r="V121" s="223"/>
      <c r="W121" s="223"/>
      <c r="X121" s="224"/>
      <c r="Y121" s="222"/>
      <c r="Z121" s="223"/>
      <c r="AA121" s="223"/>
      <c r="AB121" s="224"/>
      <c r="AC121" s="222"/>
      <c r="AD121" s="223"/>
      <c r="AE121" s="223"/>
      <c r="AF121" s="224"/>
      <c r="AG121" s="222"/>
      <c r="AH121" s="223"/>
      <c r="AI121" s="223"/>
      <c r="AJ121" s="224"/>
      <c r="AK121" s="222"/>
      <c r="AL121" s="223"/>
      <c r="AM121" s="223"/>
      <c r="AN121" s="224"/>
      <c r="AO121" s="222"/>
      <c r="AP121" s="223"/>
      <c r="AQ121" s="223"/>
      <c r="AR121" s="224"/>
    </row>
    <row r="122" spans="1:44" ht="9" customHeight="1" x14ac:dyDescent="0.7">
      <c r="A122" s="225" t="s">
        <v>164</v>
      </c>
      <c r="B122" s="226"/>
      <c r="C122" s="226"/>
      <c r="D122" s="227"/>
      <c r="E122" s="228" t="str">
        <f ca="1">IF(COUNT(INDIRECT(ADDRESS(ROW()-12,COLUMN())):INDIRECT(ADDRESS(ROW()-3,COLUMN())))=0,"",MAX(INDIRECT(ADDRESS(ROW()-12,COLUMN())):INDIRECT(ADDRESS(ROW()-3,COLUMN()))))</f>
        <v/>
      </c>
      <c r="F122" s="229"/>
      <c r="G122" s="229"/>
      <c r="H122" s="230"/>
      <c r="I122" s="228" t="str">
        <f ca="1">IF(COUNT(INDIRECT(ADDRESS(ROW()-12,COLUMN())):INDIRECT(ADDRESS(ROW()-3,COLUMN())))=0,"",MAX(INDIRECT(ADDRESS(ROW()-12,COLUMN())):INDIRECT(ADDRESS(ROW()-3,COLUMN()))))</f>
        <v/>
      </c>
      <c r="J122" s="229"/>
      <c r="K122" s="229"/>
      <c r="L122" s="230"/>
      <c r="M122" s="228" t="str">
        <f ca="1">IF(COUNT(INDIRECT(ADDRESS(ROW()-12,COLUMN())):INDIRECT(ADDRESS(ROW()-3,COLUMN())))=0,"",MAX(INDIRECT(ADDRESS(ROW()-12,COLUMN())):INDIRECT(ADDRESS(ROW()-3,COLUMN()))))</f>
        <v/>
      </c>
      <c r="N122" s="229"/>
      <c r="O122" s="229"/>
      <c r="P122" s="230"/>
      <c r="Q122" s="228" t="str">
        <f ca="1">IF(COUNT(INDIRECT(ADDRESS(ROW()-12,COLUMN())):INDIRECT(ADDRESS(ROW()-3,COLUMN())))=0,"",MAX(INDIRECT(ADDRESS(ROW()-12,COLUMN())):INDIRECT(ADDRESS(ROW()-3,COLUMN()))))</f>
        <v/>
      </c>
      <c r="R122" s="229"/>
      <c r="S122" s="229"/>
      <c r="T122" s="230"/>
      <c r="U122" s="228" t="str">
        <f ca="1">IF(COUNT(INDIRECT(ADDRESS(ROW()-12,COLUMN())):INDIRECT(ADDRESS(ROW()-3,COLUMN())))=0,"",MAX(INDIRECT(ADDRESS(ROW()-12,COLUMN())):INDIRECT(ADDRESS(ROW()-3,COLUMN()))))</f>
        <v/>
      </c>
      <c r="V122" s="229"/>
      <c r="W122" s="229"/>
      <c r="X122" s="230"/>
      <c r="Y122" s="228" t="str">
        <f ca="1">IF(COUNT(INDIRECT(ADDRESS(ROW()-12,COLUMN())):INDIRECT(ADDRESS(ROW()-3,COLUMN())))=0,"",MAX(INDIRECT(ADDRESS(ROW()-12,COLUMN())):INDIRECT(ADDRESS(ROW()-3,COLUMN()))))</f>
        <v/>
      </c>
      <c r="Z122" s="229"/>
      <c r="AA122" s="229"/>
      <c r="AB122" s="230"/>
      <c r="AC122" s="228" t="str">
        <f ca="1">IF(COUNT(INDIRECT(ADDRESS(ROW()-12,COLUMN())):INDIRECT(ADDRESS(ROW()-3,COLUMN())))=0,"",MAX(INDIRECT(ADDRESS(ROW()-12,COLUMN())):INDIRECT(ADDRESS(ROW()-3,COLUMN()))))</f>
        <v/>
      </c>
      <c r="AD122" s="229"/>
      <c r="AE122" s="229"/>
      <c r="AF122" s="230"/>
      <c r="AG122" s="228" t="str">
        <f ca="1">IF(COUNT(INDIRECT(ADDRESS(ROW()-12,COLUMN())):INDIRECT(ADDRESS(ROW()-3,COLUMN())))=0,"",MAX(INDIRECT(ADDRESS(ROW()-12,COLUMN())):INDIRECT(ADDRESS(ROW()-3,COLUMN()))))</f>
        <v/>
      </c>
      <c r="AH122" s="229"/>
      <c r="AI122" s="229"/>
      <c r="AJ122" s="230"/>
      <c r="AK122" s="228" t="str">
        <f ca="1">IF(COUNT(INDIRECT(ADDRESS(ROW()-12,COLUMN())):INDIRECT(ADDRESS(ROW()-3,COLUMN())))=0,"",MAX(INDIRECT(ADDRESS(ROW()-12,COLUMN())):INDIRECT(ADDRESS(ROW()-3,COLUMN()))))</f>
        <v/>
      </c>
      <c r="AL122" s="229"/>
      <c r="AM122" s="229"/>
      <c r="AN122" s="230"/>
      <c r="AO122" s="228" t="str">
        <f ca="1">IF(COUNT(INDIRECT(ADDRESS(ROW()-12,COLUMN())):INDIRECT(ADDRESS(ROW()-3,COLUMN())))=0,"",MAX(INDIRECT(ADDRESS(ROW()-12,COLUMN())):INDIRECT(ADDRESS(ROW()-3,COLUMN()))))</f>
        <v/>
      </c>
      <c r="AP122" s="229"/>
      <c r="AQ122" s="229"/>
      <c r="AR122" s="230"/>
    </row>
    <row r="123" spans="1:44" ht="9" customHeight="1" x14ac:dyDescent="0.7">
      <c r="A123" s="211" t="s">
        <v>165</v>
      </c>
      <c r="B123" s="212"/>
      <c r="C123" s="212"/>
      <c r="D123" s="213"/>
      <c r="E123" s="214" t="str">
        <f ca="1">IF(COUNT(INDIRECT(ADDRESS(ROW()-13,COLUMN())):INDIRECT(ADDRESS(ROW()-4,COLUMN())))=0,"",MIN(INDIRECT(ADDRESS(ROW()-13,COLUMN())):INDIRECT(ADDRESS(ROW()-4,COLUMN()))))</f>
        <v/>
      </c>
      <c r="F123" s="215"/>
      <c r="G123" s="215"/>
      <c r="H123" s="216"/>
      <c r="I123" s="214" t="str">
        <f ca="1">IF(COUNT(INDIRECT(ADDRESS(ROW()-13,COLUMN())):INDIRECT(ADDRESS(ROW()-4,COLUMN())))=0,"",MIN(INDIRECT(ADDRESS(ROW()-13,COLUMN())):INDIRECT(ADDRESS(ROW()-4,COLUMN()))))</f>
        <v/>
      </c>
      <c r="J123" s="215"/>
      <c r="K123" s="215"/>
      <c r="L123" s="216"/>
      <c r="M123" s="214" t="str">
        <f ca="1">IF(COUNT(INDIRECT(ADDRESS(ROW()-13,COLUMN())):INDIRECT(ADDRESS(ROW()-4,COLUMN())))=0,"",MIN(INDIRECT(ADDRESS(ROW()-13,COLUMN())):INDIRECT(ADDRESS(ROW()-4,COLUMN()))))</f>
        <v/>
      </c>
      <c r="N123" s="215"/>
      <c r="O123" s="215"/>
      <c r="P123" s="216"/>
      <c r="Q123" s="214" t="str">
        <f ca="1">IF(COUNT(INDIRECT(ADDRESS(ROW()-13,COLUMN())):INDIRECT(ADDRESS(ROW()-4,COLUMN())))=0,"",MIN(INDIRECT(ADDRESS(ROW()-13,COLUMN())):INDIRECT(ADDRESS(ROW()-4,COLUMN()))))</f>
        <v/>
      </c>
      <c r="R123" s="215"/>
      <c r="S123" s="215"/>
      <c r="T123" s="216"/>
      <c r="U123" s="214" t="str">
        <f ca="1">IF(COUNT(INDIRECT(ADDRESS(ROW()-13,COLUMN())):INDIRECT(ADDRESS(ROW()-4,COLUMN())))=0,"",MIN(INDIRECT(ADDRESS(ROW()-13,COLUMN())):INDIRECT(ADDRESS(ROW()-4,COLUMN()))))</f>
        <v/>
      </c>
      <c r="V123" s="215"/>
      <c r="W123" s="215"/>
      <c r="X123" s="216"/>
      <c r="Y123" s="214" t="str">
        <f ca="1">IF(COUNT(INDIRECT(ADDRESS(ROW()-13,COLUMN())):INDIRECT(ADDRESS(ROW()-4,COLUMN())))=0,"",MIN(INDIRECT(ADDRESS(ROW()-13,COLUMN())):INDIRECT(ADDRESS(ROW()-4,COLUMN()))))</f>
        <v/>
      </c>
      <c r="Z123" s="215"/>
      <c r="AA123" s="215"/>
      <c r="AB123" s="216"/>
      <c r="AC123" s="214" t="str">
        <f ca="1">IF(COUNT(INDIRECT(ADDRESS(ROW()-13,COLUMN())):INDIRECT(ADDRESS(ROW()-4,COLUMN())))=0,"",MIN(INDIRECT(ADDRESS(ROW()-13,COLUMN())):INDIRECT(ADDRESS(ROW()-4,COLUMN()))))</f>
        <v/>
      </c>
      <c r="AD123" s="215"/>
      <c r="AE123" s="215"/>
      <c r="AF123" s="216"/>
      <c r="AG123" s="214" t="str">
        <f ca="1">IF(COUNT(INDIRECT(ADDRESS(ROW()-13,COLUMN())):INDIRECT(ADDRESS(ROW()-4,COLUMN())))=0,"",MIN(INDIRECT(ADDRESS(ROW()-13,COLUMN())):INDIRECT(ADDRESS(ROW()-4,COLUMN()))))</f>
        <v/>
      </c>
      <c r="AH123" s="215"/>
      <c r="AI123" s="215"/>
      <c r="AJ123" s="216"/>
      <c r="AK123" s="214" t="str">
        <f ca="1">IF(COUNT(INDIRECT(ADDRESS(ROW()-13,COLUMN())):INDIRECT(ADDRESS(ROW()-4,COLUMN())))=0,"",MIN(INDIRECT(ADDRESS(ROW()-13,COLUMN())):INDIRECT(ADDRESS(ROW()-4,COLUMN()))))</f>
        <v/>
      </c>
      <c r="AL123" s="215"/>
      <c r="AM123" s="215"/>
      <c r="AN123" s="216"/>
      <c r="AO123" s="214" t="str">
        <f ca="1">IF(COUNT(INDIRECT(ADDRESS(ROW()-13,COLUMN())):INDIRECT(ADDRESS(ROW()-4,COLUMN())))=0,"",MIN(INDIRECT(ADDRESS(ROW()-13,COLUMN())):INDIRECT(ADDRESS(ROW()-4,COLUMN()))))</f>
        <v/>
      </c>
      <c r="AP123" s="215"/>
      <c r="AQ123" s="215"/>
      <c r="AR123" s="216"/>
    </row>
    <row r="124" spans="1:44" ht="8" customHeight="1" x14ac:dyDescent="0.7">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row>
    <row r="125" spans="1:44" ht="8" customHeight="1" x14ac:dyDescent="0.7">
      <c r="A125" s="217" t="s">
        <v>157</v>
      </c>
      <c r="B125" s="217"/>
      <c r="C125" s="217"/>
      <c r="D125" s="217"/>
      <c r="E125" s="275">
        <v>41</v>
      </c>
      <c r="F125" s="276"/>
      <c r="G125" s="276"/>
      <c r="H125" s="277"/>
      <c r="I125" s="275">
        <v>42</v>
      </c>
      <c r="J125" s="276"/>
      <c r="K125" s="276"/>
      <c r="L125" s="277"/>
      <c r="M125" s="275">
        <v>43</v>
      </c>
      <c r="N125" s="276"/>
      <c r="O125" s="276"/>
      <c r="P125" s="277"/>
      <c r="Q125" s="275">
        <v>44</v>
      </c>
      <c r="R125" s="276"/>
      <c r="S125" s="276"/>
      <c r="T125" s="277"/>
      <c r="U125" s="275">
        <v>45</v>
      </c>
      <c r="V125" s="276"/>
      <c r="W125" s="276"/>
      <c r="X125" s="277"/>
      <c r="Y125" s="275">
        <v>46</v>
      </c>
      <c r="Z125" s="276"/>
      <c r="AA125" s="276"/>
      <c r="AB125" s="277"/>
      <c r="AC125" s="275">
        <v>47</v>
      </c>
      <c r="AD125" s="276"/>
      <c r="AE125" s="276"/>
      <c r="AF125" s="277"/>
      <c r="AG125" s="275">
        <v>48</v>
      </c>
      <c r="AH125" s="276"/>
      <c r="AI125" s="276"/>
      <c r="AJ125" s="277"/>
      <c r="AK125" s="275">
        <v>49</v>
      </c>
      <c r="AL125" s="276"/>
      <c r="AM125" s="276"/>
      <c r="AN125" s="277"/>
      <c r="AO125" s="275">
        <v>50</v>
      </c>
      <c r="AP125" s="276"/>
      <c r="AQ125" s="276"/>
      <c r="AR125" s="277"/>
    </row>
    <row r="126" spans="1:44" ht="8" customHeight="1" x14ac:dyDescent="0.7">
      <c r="A126" s="217"/>
      <c r="B126" s="217"/>
      <c r="C126" s="217"/>
      <c r="D126" s="217"/>
      <c r="E126" s="278"/>
      <c r="F126" s="279"/>
      <c r="G126" s="279"/>
      <c r="H126" s="280"/>
      <c r="I126" s="278"/>
      <c r="J126" s="279"/>
      <c r="K126" s="279"/>
      <c r="L126" s="280"/>
      <c r="M126" s="278"/>
      <c r="N126" s="279"/>
      <c r="O126" s="279"/>
      <c r="P126" s="280"/>
      <c r="Q126" s="278"/>
      <c r="R126" s="279"/>
      <c r="S126" s="279"/>
      <c r="T126" s="280"/>
      <c r="U126" s="278"/>
      <c r="V126" s="279"/>
      <c r="W126" s="279"/>
      <c r="X126" s="280"/>
      <c r="Y126" s="278"/>
      <c r="Z126" s="279"/>
      <c r="AA126" s="279"/>
      <c r="AB126" s="280"/>
      <c r="AC126" s="278"/>
      <c r="AD126" s="279"/>
      <c r="AE126" s="279"/>
      <c r="AF126" s="280"/>
      <c r="AG126" s="278"/>
      <c r="AH126" s="279"/>
      <c r="AI126" s="279"/>
      <c r="AJ126" s="280"/>
      <c r="AK126" s="278"/>
      <c r="AL126" s="279"/>
      <c r="AM126" s="279"/>
      <c r="AN126" s="280"/>
      <c r="AO126" s="278"/>
      <c r="AP126" s="279"/>
      <c r="AQ126" s="279"/>
      <c r="AR126" s="280"/>
    </row>
    <row r="127" spans="1:44" ht="10.25" customHeight="1" x14ac:dyDescent="0.7">
      <c r="A127" s="217" t="s">
        <v>158</v>
      </c>
      <c r="B127" s="217"/>
      <c r="C127" s="217"/>
      <c r="D127" s="217"/>
      <c r="E127" s="262" t="str" cm="1">
        <f t="array" aca="1" ref="E127" ca="1">IFERROR(INDEX(INDIRECT("'"&amp;集計3!$A$1&amp;"'!$C$4:$CX$4"),1,E125),"")</f>
        <v/>
      </c>
      <c r="F127" s="263"/>
      <c r="G127" s="263"/>
      <c r="H127" s="264"/>
      <c r="I127" s="262" t="str" cm="1">
        <f t="array" aca="1" ref="I127" ca="1">IFERROR(INDEX(INDIRECT("'"&amp;集計3!$A$1&amp;"'!$C$4:$CX$4"),1,I125),"")</f>
        <v/>
      </c>
      <c r="J127" s="263"/>
      <c r="K127" s="263"/>
      <c r="L127" s="264"/>
      <c r="M127" s="262" t="str" cm="1">
        <f t="array" aca="1" ref="M127" ca="1">IFERROR(INDEX(INDIRECT("'"&amp;集計3!$A$1&amp;"'!$C$4:$CX$4"),1,M125),"")</f>
        <v/>
      </c>
      <c r="N127" s="263"/>
      <c r="O127" s="263"/>
      <c r="P127" s="264"/>
      <c r="Q127" s="262" t="str" cm="1">
        <f t="array" aca="1" ref="Q127" ca="1">IFERROR(INDEX(INDIRECT("'"&amp;集計3!$A$1&amp;"'!$C$4:$CX$4"),1,Q125),"")</f>
        <v/>
      </c>
      <c r="R127" s="263"/>
      <c r="S127" s="263"/>
      <c r="T127" s="264"/>
      <c r="U127" s="262" t="str" cm="1">
        <f t="array" aca="1" ref="U127" ca="1">IFERROR(INDEX(INDIRECT("'"&amp;集計3!$A$1&amp;"'!$C$4:$CX$4"),1,U125),"")</f>
        <v/>
      </c>
      <c r="V127" s="263"/>
      <c r="W127" s="263"/>
      <c r="X127" s="264"/>
      <c r="Y127" s="262" t="str" cm="1">
        <f t="array" aca="1" ref="Y127" ca="1">IFERROR(INDEX(INDIRECT("'"&amp;集計3!$A$1&amp;"'!$C$4:$CX$4"),1,Y125),"")</f>
        <v/>
      </c>
      <c r="Z127" s="263"/>
      <c r="AA127" s="263"/>
      <c r="AB127" s="264"/>
      <c r="AC127" s="262" t="str" cm="1">
        <f t="array" aca="1" ref="AC127" ca="1">IFERROR(INDEX(INDIRECT("'"&amp;集計3!$A$1&amp;"'!$C$4:$CX$4"),1,AC125),"")</f>
        <v/>
      </c>
      <c r="AD127" s="263"/>
      <c r="AE127" s="263"/>
      <c r="AF127" s="264"/>
      <c r="AG127" s="262" t="str" cm="1">
        <f t="array" aca="1" ref="AG127" ca="1">IFERROR(INDEX(INDIRECT("'"&amp;集計3!$A$1&amp;"'!$C$4:$CX$4"),1,AG125),"")</f>
        <v/>
      </c>
      <c r="AH127" s="263"/>
      <c r="AI127" s="263"/>
      <c r="AJ127" s="264"/>
      <c r="AK127" s="262" t="str" cm="1">
        <f t="array" aca="1" ref="AK127" ca="1">IFERROR(INDEX(INDIRECT("'"&amp;集計3!$A$1&amp;"'!$C$4:$CX$4"),1,AK125),"")</f>
        <v/>
      </c>
      <c r="AL127" s="263"/>
      <c r="AM127" s="263"/>
      <c r="AN127" s="264"/>
      <c r="AO127" s="262" t="str" cm="1">
        <f t="array" aca="1" ref="AO127" ca="1">IFERROR(INDEX(INDIRECT("'"&amp;集計3!$A$1&amp;"'!$C$4:$CX$4"),1,AO125),"")</f>
        <v/>
      </c>
      <c r="AP127" s="263"/>
      <c r="AQ127" s="263"/>
      <c r="AR127" s="264"/>
    </row>
    <row r="128" spans="1:44" ht="10.25" customHeight="1" x14ac:dyDescent="0.7">
      <c r="A128" s="218"/>
      <c r="B128" s="218"/>
      <c r="C128" s="218"/>
      <c r="D128" s="218"/>
      <c r="E128" s="265"/>
      <c r="F128" s="266"/>
      <c r="G128" s="266"/>
      <c r="H128" s="267"/>
      <c r="I128" s="265"/>
      <c r="J128" s="266"/>
      <c r="K128" s="266"/>
      <c r="L128" s="267"/>
      <c r="M128" s="265"/>
      <c r="N128" s="266"/>
      <c r="O128" s="266"/>
      <c r="P128" s="267"/>
      <c r="Q128" s="265"/>
      <c r="R128" s="266"/>
      <c r="S128" s="266"/>
      <c r="T128" s="267"/>
      <c r="U128" s="265"/>
      <c r="V128" s="266"/>
      <c r="W128" s="266"/>
      <c r="X128" s="267"/>
      <c r="Y128" s="265"/>
      <c r="Z128" s="266"/>
      <c r="AA128" s="266"/>
      <c r="AB128" s="267"/>
      <c r="AC128" s="265"/>
      <c r="AD128" s="266"/>
      <c r="AE128" s="266"/>
      <c r="AF128" s="267"/>
      <c r="AG128" s="265"/>
      <c r="AH128" s="266"/>
      <c r="AI128" s="266"/>
      <c r="AJ128" s="267"/>
      <c r="AK128" s="265"/>
      <c r="AL128" s="266"/>
      <c r="AM128" s="266"/>
      <c r="AN128" s="267"/>
      <c r="AO128" s="265"/>
      <c r="AP128" s="266"/>
      <c r="AQ128" s="266"/>
      <c r="AR128" s="267"/>
    </row>
    <row r="129" spans="1:44" ht="10.25" customHeight="1" x14ac:dyDescent="0.7">
      <c r="A129" s="268" t="s">
        <v>127</v>
      </c>
      <c r="B129" s="269"/>
      <c r="C129" s="269"/>
      <c r="D129" s="270"/>
      <c r="E129" s="271" t="str" cm="1">
        <f t="array" aca="1" ref="E129" ca="1">IFERROR(INDEX(INDIRECT("'"&amp;集計3!$A$1&amp;"'!$C$5:$CX$5"),1,E125),"")</f>
        <v/>
      </c>
      <c r="F129" s="272"/>
      <c r="G129" s="273" t="str" cm="1">
        <f t="array" aca="1" ref="G129" ca="1">IFERROR(INDEX(INDIRECT("'"&amp;集計3!$A$1&amp;"'!$C$6:$CX$6"),1,E125),"")</f>
        <v/>
      </c>
      <c r="H129" s="274"/>
      <c r="I129" s="271" t="str" cm="1">
        <f t="array" aca="1" ref="I129" ca="1">IFERROR(INDEX(INDIRECT("'"&amp;集計3!$A$1&amp;"'!$C$5:$CX$5"),1,I125),"")</f>
        <v/>
      </c>
      <c r="J129" s="272"/>
      <c r="K129" s="273" t="str" cm="1">
        <f t="array" aca="1" ref="K129" ca="1">IFERROR(INDEX(INDIRECT("'"&amp;集計3!$A$1&amp;"'!$C$6:$CX$6"),1,I125),"")</f>
        <v/>
      </c>
      <c r="L129" s="274"/>
      <c r="M129" s="271" t="str" cm="1">
        <f t="array" aca="1" ref="M129" ca="1">IFERROR(INDEX(INDIRECT("'"&amp;集計3!$A$1&amp;"'!$C$5:$CX$5"),1,M125),"")</f>
        <v/>
      </c>
      <c r="N129" s="272"/>
      <c r="O129" s="273" t="str" cm="1">
        <f t="array" aca="1" ref="O129" ca="1">IFERROR(INDEX(INDIRECT("'"&amp;集計3!$A$1&amp;"'!$C$6:$CX$6"),1,M125),"")</f>
        <v/>
      </c>
      <c r="P129" s="274"/>
      <c r="Q129" s="271" t="str" cm="1">
        <f t="array" aca="1" ref="Q129" ca="1">IFERROR(INDEX(INDIRECT("'"&amp;集計3!$A$1&amp;"'!$C$5:$CX$5"),1,Q125),"")</f>
        <v/>
      </c>
      <c r="R129" s="272"/>
      <c r="S129" s="273" t="str" cm="1">
        <f t="array" aca="1" ref="S129" ca="1">IFERROR(INDEX(INDIRECT("'"&amp;集計3!$A$1&amp;"'!$C$6:$CX$6"),1,Q125),"")</f>
        <v/>
      </c>
      <c r="T129" s="274"/>
      <c r="U129" s="271" t="str" cm="1">
        <f t="array" aca="1" ref="U129" ca="1">IFERROR(INDEX(INDIRECT("'"&amp;集計3!$A$1&amp;"'!$C$5:$CX$5"),1,U125),"")</f>
        <v/>
      </c>
      <c r="V129" s="272"/>
      <c r="W129" s="273" t="str" cm="1">
        <f t="array" aca="1" ref="W129" ca="1">IFERROR(INDEX(INDIRECT("'"&amp;集計3!$A$1&amp;"'!$C$6:$CX$6"),1,U125),"")</f>
        <v/>
      </c>
      <c r="X129" s="274"/>
      <c r="Y129" s="271" t="str" cm="1">
        <f t="array" aca="1" ref="Y129" ca="1">IFERROR(INDEX(INDIRECT("'"&amp;集計3!$A$1&amp;"'!$C$5:$CX$5"),1,Y125),"")</f>
        <v/>
      </c>
      <c r="Z129" s="272"/>
      <c r="AA129" s="273" t="str" cm="1">
        <f t="array" aca="1" ref="AA129" ca="1">IFERROR(INDEX(INDIRECT("'"&amp;集計3!$A$1&amp;"'!$C$6:$CX$6"),1,Y125),"")</f>
        <v/>
      </c>
      <c r="AB129" s="274"/>
      <c r="AC129" s="271" t="str" cm="1">
        <f t="array" aca="1" ref="AC129" ca="1">IFERROR(INDEX(INDIRECT("'"&amp;集計3!$A$1&amp;"'!$C$5:$CX$5"),1,AC125),"")</f>
        <v/>
      </c>
      <c r="AD129" s="272"/>
      <c r="AE129" s="273" t="str" cm="1">
        <f t="array" aca="1" ref="AE129" ca="1">IFERROR(INDEX(INDIRECT("'"&amp;集計3!$A$1&amp;"'!$C$6:$CX$6"),1,AC125),"")</f>
        <v/>
      </c>
      <c r="AF129" s="274"/>
      <c r="AG129" s="271" t="str" cm="1">
        <f t="array" aca="1" ref="AG129" ca="1">IFERROR(INDEX(INDIRECT("'"&amp;集計3!$A$1&amp;"'!$C$5:$CX$5"),1,AG125),"")</f>
        <v/>
      </c>
      <c r="AH129" s="272"/>
      <c r="AI129" s="273" t="str" cm="1">
        <f t="array" aca="1" ref="AI129" ca="1">IFERROR(INDEX(INDIRECT("'"&amp;集計3!$A$1&amp;"'!$C$6:$CX$6"),1,AG125),"")</f>
        <v/>
      </c>
      <c r="AJ129" s="274"/>
      <c r="AK129" s="271" t="str" cm="1">
        <f t="array" aca="1" ref="AK129" ca="1">IFERROR(INDEX(INDIRECT("'"&amp;集計3!$A$1&amp;"'!$C$5:$CX$5"),1,AK125),"")</f>
        <v/>
      </c>
      <c r="AL129" s="272"/>
      <c r="AM129" s="273" t="str" cm="1">
        <f t="array" aca="1" ref="AM129" ca="1">IFERROR(INDEX(INDIRECT("'"&amp;集計3!$A$1&amp;"'!$C$6:$CX$6"),1,AK125),"")</f>
        <v/>
      </c>
      <c r="AN129" s="274"/>
      <c r="AO129" s="271" t="str" cm="1">
        <f t="array" aca="1" ref="AO129" ca="1">IFERROR(INDEX(INDIRECT("'"&amp;集計3!$A$1&amp;"'!$C$5:$CX$5"),1,AO125),"")</f>
        <v/>
      </c>
      <c r="AP129" s="272"/>
      <c r="AQ129" s="273" t="str" cm="1">
        <f t="array" aca="1" ref="AQ129" ca="1">IFERROR(INDEX(INDIRECT("'"&amp;集計3!$A$1&amp;"'!$C$6:$CX$6"),1,AO125),"")</f>
        <v/>
      </c>
      <c r="AR129" s="274"/>
    </row>
    <row r="130" spans="1:44" ht="10.25" customHeight="1" x14ac:dyDescent="0.7">
      <c r="A130" s="256" t="s">
        <v>159</v>
      </c>
      <c r="B130" s="256"/>
      <c r="C130" s="256"/>
      <c r="D130" s="256"/>
      <c r="E130" s="16" t="str" cm="1">
        <f t="array" aca="1" ref="E130" ca="1">IFERROR(INDEX(INDIRECT("'"&amp;集計3!$A$1&amp;"'!$C$10:$CX$10"),1,E125),"")</f>
        <v/>
      </c>
      <c r="F130" s="257" t="str" cm="1">
        <f t="array" aca="1" ref="F130" ca="1">IFERROR(IF(INDEX(INDIRECT("'"&amp;集計3!$A$1&amp;"'!$C$7:$CX$7"),1,E125)=0,"",INDEX(INDIRECT("'"&amp;集計3!$A$1&amp;"'!$C$7:$CX$7"),1,E125)),"")</f>
        <v/>
      </c>
      <c r="G130" s="257"/>
      <c r="H130" s="258"/>
      <c r="I130" s="16" t="str" cm="1">
        <f t="array" aca="1" ref="I130" ca="1">IFERROR(INDEX(INDIRECT("'"&amp;集計3!$A$1&amp;"'!$C$10:$CX$10"),1,I125),"")</f>
        <v/>
      </c>
      <c r="J130" s="257" t="str" cm="1">
        <f t="array" aca="1" ref="J130" ca="1">IFERROR(IF(INDEX(INDIRECT("'"&amp;集計3!$A$1&amp;"'!$C$7:$CX$7"),1,I125)=0,"",INDEX(INDIRECT("'"&amp;集計3!$A$1&amp;"'!$C$7:$CX$7"),1,I125)),"")</f>
        <v/>
      </c>
      <c r="K130" s="257"/>
      <c r="L130" s="258"/>
      <c r="M130" s="16" t="str" cm="1">
        <f t="array" aca="1" ref="M130" ca="1">IFERROR(INDEX(INDIRECT("'"&amp;集計3!$A$1&amp;"'!$C$10:$CX$10"),1,M125),"")</f>
        <v/>
      </c>
      <c r="N130" s="257" t="str" cm="1">
        <f t="array" aca="1" ref="N130" ca="1">IFERROR(IF(INDEX(INDIRECT("'"&amp;集計3!$A$1&amp;"'!$C$7:$CX$7"),1,M125)=0,"",INDEX(INDIRECT("'"&amp;集計3!$A$1&amp;"'!$C$7:$CX$7"),1,M125)),"")</f>
        <v/>
      </c>
      <c r="O130" s="257"/>
      <c r="P130" s="258"/>
      <c r="Q130" s="16" t="str" cm="1">
        <f t="array" aca="1" ref="Q130" ca="1">IFERROR(INDEX(INDIRECT("'"&amp;集計3!$A$1&amp;"'!$C$10:$CX$10"),1,Q125),"")</f>
        <v/>
      </c>
      <c r="R130" s="257" t="str" cm="1">
        <f t="array" aca="1" ref="R130" ca="1">IFERROR(IF(INDEX(INDIRECT("'"&amp;集計3!$A$1&amp;"'!$C$7:$CX$7"),1,Q125)=0,"",INDEX(INDIRECT("'"&amp;集計3!$A$1&amp;"'!$C$7:$CX$7"),1,Q125)),"")</f>
        <v/>
      </c>
      <c r="S130" s="257"/>
      <c r="T130" s="258"/>
      <c r="U130" s="16" t="str" cm="1">
        <f t="array" aca="1" ref="U130" ca="1">IFERROR(INDEX(INDIRECT("'"&amp;集計3!$A$1&amp;"'!$C$10:$CX$10"),1,U125),"")</f>
        <v/>
      </c>
      <c r="V130" s="257" t="str" cm="1">
        <f t="array" aca="1" ref="V130" ca="1">IFERROR(IF(INDEX(INDIRECT("'"&amp;集計3!$A$1&amp;"'!$C$7:$CX$7"),1,U125)=0,"",INDEX(INDIRECT("'"&amp;集計3!$A$1&amp;"'!$C$7:$CX$7"),1,U125)),"")</f>
        <v/>
      </c>
      <c r="W130" s="257"/>
      <c r="X130" s="258"/>
      <c r="Y130" s="16" t="str" cm="1">
        <f t="array" aca="1" ref="Y130" ca="1">IFERROR(INDEX(INDIRECT("'"&amp;集計3!$A$1&amp;"'!$C$10:$CX$10"),1,Y125),"")</f>
        <v/>
      </c>
      <c r="Z130" s="257" t="str" cm="1">
        <f t="array" aca="1" ref="Z130" ca="1">IFERROR(IF(INDEX(INDIRECT("'"&amp;集計3!$A$1&amp;"'!$C$7:$CX$7"),1,Y125)=0,"",INDEX(INDIRECT("'"&amp;集計3!$A$1&amp;"'!$C$7:$CX$7"),1,Y125)),"")</f>
        <v/>
      </c>
      <c r="AA130" s="257"/>
      <c r="AB130" s="258"/>
      <c r="AC130" s="16" t="str" cm="1">
        <f t="array" aca="1" ref="AC130" ca="1">IFERROR(INDEX(INDIRECT("'"&amp;集計3!$A$1&amp;"'!$C$10:$CX$10"),1,AC125),"")</f>
        <v/>
      </c>
      <c r="AD130" s="257" t="str" cm="1">
        <f t="array" aca="1" ref="AD130" ca="1">IFERROR(IF(INDEX(INDIRECT("'"&amp;集計3!$A$1&amp;"'!$C$7:$CX$7"),1,AC125)=0,"",INDEX(INDIRECT("'"&amp;集計3!$A$1&amp;"'!$C$7:$CX$7"),1,AC125)),"")</f>
        <v/>
      </c>
      <c r="AE130" s="257"/>
      <c r="AF130" s="258"/>
      <c r="AG130" s="16" t="str" cm="1">
        <f t="array" aca="1" ref="AG130" ca="1">IFERROR(INDEX(INDIRECT("'"&amp;集計3!$A$1&amp;"'!$C$10:$CX$10"),1,AG125),"")</f>
        <v/>
      </c>
      <c r="AH130" s="257" t="str" cm="1">
        <f t="array" aca="1" ref="AH130" ca="1">IFERROR(IF(INDEX(INDIRECT("'"&amp;集計3!$A$1&amp;"'!$C$7:$CX$7"),1,AG125)=0,"",INDEX(INDIRECT("'"&amp;集計3!$A$1&amp;"'!$C$7:$CX$7"),1,AG125)),"")</f>
        <v/>
      </c>
      <c r="AI130" s="257"/>
      <c r="AJ130" s="258"/>
      <c r="AK130" s="16" t="str" cm="1">
        <f t="array" aca="1" ref="AK130" ca="1">IFERROR(INDEX(INDIRECT("'"&amp;集計3!$A$1&amp;"'!$C$10:$CX$10"),1,AK125),"")</f>
        <v/>
      </c>
      <c r="AL130" s="257" t="str" cm="1">
        <f t="array" aca="1" ref="AL130" ca="1">IFERROR(IF(INDEX(INDIRECT("'"&amp;集計3!$A$1&amp;"'!$C$7:$CX$7"),1,AK125)=0,"",INDEX(INDIRECT("'"&amp;集計3!$A$1&amp;"'!$C$7:$CX$7"),1,AK125)),"")</f>
        <v/>
      </c>
      <c r="AM130" s="257"/>
      <c r="AN130" s="258"/>
      <c r="AO130" s="16" t="str" cm="1">
        <f t="array" aca="1" ref="AO130" ca="1">IFERROR(INDEX(INDIRECT("'"&amp;集計3!$A$1&amp;"'!$C$10:$CX$10"),1,AO125),"")</f>
        <v/>
      </c>
      <c r="AP130" s="257" t="str" cm="1">
        <f t="array" aca="1" ref="AP130" ca="1">IFERROR(IF(INDEX(INDIRECT("'"&amp;集計3!$A$1&amp;"'!$C$7:$CX$7"),1,AO125)=0,"",INDEX(INDIRECT("'"&amp;集計3!$A$1&amp;"'!$C$7:$CX$7"),1,AO125)),"")</f>
        <v/>
      </c>
      <c r="AQ130" s="257"/>
      <c r="AR130" s="258"/>
    </row>
    <row r="131" spans="1:44" ht="10.25" customHeight="1" x14ac:dyDescent="0.7">
      <c r="A131" s="259" t="s">
        <v>160</v>
      </c>
      <c r="B131" s="259"/>
      <c r="C131" s="259"/>
      <c r="D131" s="259"/>
      <c r="E131" s="17" t="str" cm="1">
        <f t="array" aca="1" ref="E131" ca="1">IFERROR(INDEX(INDIRECT("'"&amp;集計3!$A$1&amp;"'!$C$11:$CX$11"),1,E125),"")</f>
        <v/>
      </c>
      <c r="F131" s="260" t="str" cm="1">
        <f t="array" aca="1" ref="F131" ca="1">IFERROR(IF(INDEX(INDIRECT("'"&amp;集計3!$A$1&amp;"'!$C$8:$CX$8"),1,E125)=0,"",INDEX(INDIRECT("'"&amp;集計3!$A$1&amp;"'!$C$8:$CX$8"),1,E125)),"")</f>
        <v/>
      </c>
      <c r="G131" s="260"/>
      <c r="H131" s="261"/>
      <c r="I131" s="17" t="str" cm="1">
        <f t="array" aca="1" ref="I131" ca="1">IFERROR(INDEX(INDIRECT("'"&amp;集計3!$A$1&amp;"'!$C$11:$CX$11"),1,I125),"")</f>
        <v/>
      </c>
      <c r="J131" s="260" t="str" cm="1">
        <f t="array" aca="1" ref="J131" ca="1">IFERROR(IF(INDEX(INDIRECT("'"&amp;集計3!$A$1&amp;"'!$C$8:$CX$8"),1,I125)=0,"",INDEX(INDIRECT("'"&amp;集計3!$A$1&amp;"'!$C$8:$CX$8"),1,I125)),"")</f>
        <v/>
      </c>
      <c r="K131" s="260"/>
      <c r="L131" s="261"/>
      <c r="M131" s="17" t="str" cm="1">
        <f t="array" aca="1" ref="M131" ca="1">IFERROR(INDEX(INDIRECT("'"&amp;集計3!$A$1&amp;"'!$C$11:$CX$11"),1,M125),"")</f>
        <v/>
      </c>
      <c r="N131" s="260" t="str" cm="1">
        <f t="array" aca="1" ref="N131" ca="1">IFERROR(IF(INDEX(INDIRECT("'"&amp;集計3!$A$1&amp;"'!$C$8:$CX$8"),1,M125)=0,"",INDEX(INDIRECT("'"&amp;集計3!$A$1&amp;"'!$C$8:$CX$8"),1,M125)),"")</f>
        <v/>
      </c>
      <c r="O131" s="260"/>
      <c r="P131" s="261"/>
      <c r="Q131" s="17" t="str" cm="1">
        <f t="array" aca="1" ref="Q131" ca="1">IFERROR(INDEX(INDIRECT("'"&amp;集計3!$A$1&amp;"'!$C$11:$CX$11"),1,Q125),"")</f>
        <v/>
      </c>
      <c r="R131" s="260" t="str" cm="1">
        <f t="array" aca="1" ref="R131" ca="1">IFERROR(IF(INDEX(INDIRECT("'"&amp;集計3!$A$1&amp;"'!$C$8:$CX$8"),1,Q125)=0,"",INDEX(INDIRECT("'"&amp;集計3!$A$1&amp;"'!$C$8:$CX$8"),1,Q125)),"")</f>
        <v/>
      </c>
      <c r="S131" s="260"/>
      <c r="T131" s="261"/>
      <c r="U131" s="17" t="str" cm="1">
        <f t="array" aca="1" ref="U131" ca="1">IFERROR(INDEX(INDIRECT("'"&amp;集計3!$A$1&amp;"'!$C$11:$CX$11"),1,U125),"")</f>
        <v/>
      </c>
      <c r="V131" s="260" t="str" cm="1">
        <f t="array" aca="1" ref="V131" ca="1">IFERROR(IF(INDEX(INDIRECT("'"&amp;集計3!$A$1&amp;"'!$C$8:$CX$8"),1,U125)=0,"",INDEX(INDIRECT("'"&amp;集計3!$A$1&amp;"'!$C$8:$CX$8"),1,U125)),"")</f>
        <v/>
      </c>
      <c r="W131" s="260"/>
      <c r="X131" s="261"/>
      <c r="Y131" s="17" t="str" cm="1">
        <f t="array" aca="1" ref="Y131" ca="1">IFERROR(INDEX(INDIRECT("'"&amp;集計3!$A$1&amp;"'!$C$11:$CX$11"),1,Y125),"")</f>
        <v/>
      </c>
      <c r="Z131" s="260" t="str" cm="1">
        <f t="array" aca="1" ref="Z131" ca="1">IFERROR(IF(INDEX(INDIRECT("'"&amp;集計3!$A$1&amp;"'!$C$8:$CX$8"),1,Y125)=0,"",INDEX(INDIRECT("'"&amp;集計3!$A$1&amp;"'!$C$8:$CX$8"),1,Y125)),"")</f>
        <v/>
      </c>
      <c r="AA131" s="260"/>
      <c r="AB131" s="261"/>
      <c r="AC131" s="17" t="str" cm="1">
        <f t="array" aca="1" ref="AC131" ca="1">IFERROR(INDEX(INDIRECT("'"&amp;集計3!$A$1&amp;"'!$C$11:$CX$11"),1,AC125),"")</f>
        <v/>
      </c>
      <c r="AD131" s="260" t="str" cm="1">
        <f t="array" aca="1" ref="AD131" ca="1">IFERROR(IF(INDEX(INDIRECT("'"&amp;集計3!$A$1&amp;"'!$C$8:$CX$8"),1,AC125)=0,"",INDEX(INDIRECT("'"&amp;集計3!$A$1&amp;"'!$C$8:$CX$8"),1,AC125)),"")</f>
        <v/>
      </c>
      <c r="AE131" s="260"/>
      <c r="AF131" s="261"/>
      <c r="AG131" s="17" t="str" cm="1">
        <f t="array" aca="1" ref="AG131" ca="1">IFERROR(INDEX(INDIRECT("'"&amp;集計3!$A$1&amp;"'!$C$11:$CX$11"),1,AG125),"")</f>
        <v/>
      </c>
      <c r="AH131" s="260" t="str" cm="1">
        <f t="array" aca="1" ref="AH131" ca="1">IFERROR(IF(INDEX(INDIRECT("'"&amp;集計3!$A$1&amp;"'!$C$8:$CX$8"),1,AG125)=0,"",INDEX(INDIRECT("'"&amp;集計3!$A$1&amp;"'!$C$8:$CX$8"),1,AG125)),"")</f>
        <v/>
      </c>
      <c r="AI131" s="260"/>
      <c r="AJ131" s="261"/>
      <c r="AK131" s="17" t="str" cm="1">
        <f t="array" aca="1" ref="AK131" ca="1">IFERROR(INDEX(INDIRECT("'"&amp;集計3!$A$1&amp;"'!$C$11:$CX$11"),1,AK125),"")</f>
        <v/>
      </c>
      <c r="AL131" s="260" t="str" cm="1">
        <f t="array" aca="1" ref="AL131" ca="1">IFERROR(IF(INDEX(INDIRECT("'"&amp;集計3!$A$1&amp;"'!$C$8:$CX$8"),1,AK125)=0,"",INDEX(INDIRECT("'"&amp;集計3!$A$1&amp;"'!$C$8:$CX$8"),1,AK125)),"")</f>
        <v/>
      </c>
      <c r="AM131" s="260"/>
      <c r="AN131" s="261"/>
      <c r="AO131" s="17" t="str" cm="1">
        <f t="array" aca="1" ref="AO131" ca="1">IFERROR(INDEX(INDIRECT("'"&amp;集計3!$A$1&amp;"'!$C$11:$CX$11"),1,AO125),"")</f>
        <v/>
      </c>
      <c r="AP131" s="260" t="str" cm="1">
        <f t="array" aca="1" ref="AP131" ca="1">IFERROR(IF(INDEX(INDIRECT("'"&amp;集計3!$A$1&amp;"'!$C$8:$CX$8"),1,AO125)=0,"",INDEX(INDIRECT("'"&amp;集計3!$A$1&amp;"'!$C$8:$CX$8"),1,AO125)),"")</f>
        <v/>
      </c>
      <c r="AQ131" s="260"/>
      <c r="AR131" s="261"/>
    </row>
    <row r="132" spans="1:44" ht="8" customHeight="1" x14ac:dyDescent="0.7">
      <c r="A132" s="217" t="s">
        <v>161</v>
      </c>
      <c r="B132" s="217"/>
      <c r="C132" s="217"/>
      <c r="D132" s="217"/>
      <c r="E132" s="244" t="str" cm="1">
        <f t="array" aca="1" ref="E132" ca="1">IFERROR(INDEX(INDIRECT("'"&amp;集計3!$A$1&amp;"'!$C$3:$CX$3"),1,E125),"")</f>
        <v/>
      </c>
      <c r="F132" s="245"/>
      <c r="G132" s="245"/>
      <c r="H132" s="246"/>
      <c r="I132" s="244" t="str" cm="1">
        <f t="array" aca="1" ref="I132" ca="1">IFERROR(INDEX(INDIRECT("'"&amp;集計3!$A$1&amp;"'!$C$3:$CX$3"),1,I125),"")</f>
        <v/>
      </c>
      <c r="J132" s="245"/>
      <c r="K132" s="245"/>
      <c r="L132" s="246"/>
      <c r="M132" s="244" t="str" cm="1">
        <f t="array" aca="1" ref="M132" ca="1">IFERROR(INDEX(INDIRECT("'"&amp;集計3!$A$1&amp;"'!$C$3:$CX$3"),1,M125),"")</f>
        <v/>
      </c>
      <c r="N132" s="245"/>
      <c r="O132" s="245"/>
      <c r="P132" s="246"/>
      <c r="Q132" s="244" t="str" cm="1">
        <f t="array" aca="1" ref="Q132" ca="1">IFERROR(INDEX(INDIRECT("'"&amp;集計3!$A$1&amp;"'!$C$3:$CX$3"),1,Q125),"")</f>
        <v/>
      </c>
      <c r="R132" s="245"/>
      <c r="S132" s="245"/>
      <c r="T132" s="246"/>
      <c r="U132" s="244" t="str" cm="1">
        <f t="array" aca="1" ref="U132" ca="1">IFERROR(INDEX(INDIRECT("'"&amp;集計3!$A$1&amp;"'!$C$3:$CX$3"),1,U125),"")</f>
        <v/>
      </c>
      <c r="V132" s="245"/>
      <c r="W132" s="245"/>
      <c r="X132" s="246"/>
      <c r="Y132" s="244" t="str" cm="1">
        <f t="array" aca="1" ref="Y132" ca="1">IFERROR(INDEX(INDIRECT("'"&amp;集計3!$A$1&amp;"'!$C$3:$CX$3"),1,Y125),"")</f>
        <v/>
      </c>
      <c r="Z132" s="245"/>
      <c r="AA132" s="245"/>
      <c r="AB132" s="246"/>
      <c r="AC132" s="244" t="str" cm="1">
        <f t="array" aca="1" ref="AC132" ca="1">IFERROR(INDEX(INDIRECT("'"&amp;集計3!$A$1&amp;"'!$C$3:$CX$3"),1,AC125),"")</f>
        <v/>
      </c>
      <c r="AD132" s="245"/>
      <c r="AE132" s="245"/>
      <c r="AF132" s="246"/>
      <c r="AG132" s="244" t="str" cm="1">
        <f t="array" aca="1" ref="AG132" ca="1">IFERROR(INDEX(INDIRECT("'"&amp;集計3!$A$1&amp;"'!$C$3:$CX$3"),1,AG125),"")</f>
        <v/>
      </c>
      <c r="AH132" s="245"/>
      <c r="AI132" s="245"/>
      <c r="AJ132" s="246"/>
      <c r="AK132" s="244" t="str" cm="1">
        <f t="array" aca="1" ref="AK132" ca="1">IFERROR(INDEX(INDIRECT("'"&amp;集計3!$A$1&amp;"'!$C$3:$CX$3"),1,AK125),"")</f>
        <v/>
      </c>
      <c r="AL132" s="245"/>
      <c r="AM132" s="245"/>
      <c r="AN132" s="246"/>
      <c r="AO132" s="244" t="str" cm="1">
        <f t="array" aca="1" ref="AO132" ca="1">IFERROR(INDEX(INDIRECT("'"&amp;集計3!$A$1&amp;"'!$C$3:$CX$3"),1,AO125),"")</f>
        <v/>
      </c>
      <c r="AP132" s="245"/>
      <c r="AQ132" s="245"/>
      <c r="AR132" s="246"/>
    </row>
    <row r="133" spans="1:44" ht="8" customHeight="1" x14ac:dyDescent="0.7">
      <c r="A133" s="217"/>
      <c r="B133" s="217"/>
      <c r="C133" s="217"/>
      <c r="D133" s="217"/>
      <c r="E133" s="247"/>
      <c r="F133" s="248"/>
      <c r="G133" s="248"/>
      <c r="H133" s="249"/>
      <c r="I133" s="247"/>
      <c r="J133" s="248"/>
      <c r="K133" s="248"/>
      <c r="L133" s="249"/>
      <c r="M133" s="247"/>
      <c r="N133" s="248"/>
      <c r="O133" s="248"/>
      <c r="P133" s="249"/>
      <c r="Q133" s="247"/>
      <c r="R133" s="248"/>
      <c r="S133" s="248"/>
      <c r="T133" s="249"/>
      <c r="U133" s="247"/>
      <c r="V133" s="248"/>
      <c r="W133" s="248"/>
      <c r="X133" s="249"/>
      <c r="Y133" s="247"/>
      <c r="Z133" s="248"/>
      <c r="AA133" s="248"/>
      <c r="AB133" s="249"/>
      <c r="AC133" s="247"/>
      <c r="AD133" s="248"/>
      <c r="AE133" s="248"/>
      <c r="AF133" s="249"/>
      <c r="AG133" s="247"/>
      <c r="AH133" s="248"/>
      <c r="AI133" s="248"/>
      <c r="AJ133" s="249"/>
      <c r="AK133" s="247"/>
      <c r="AL133" s="248"/>
      <c r="AM133" s="248"/>
      <c r="AN133" s="249"/>
      <c r="AO133" s="247"/>
      <c r="AP133" s="248"/>
      <c r="AQ133" s="248"/>
      <c r="AR133" s="249"/>
    </row>
    <row r="134" spans="1:44" ht="14.75" customHeight="1" x14ac:dyDescent="0.7">
      <c r="A134" s="250" t="s">
        <v>162</v>
      </c>
      <c r="B134" s="250"/>
      <c r="C134" s="251">
        <v>1</v>
      </c>
      <c r="D134" s="252"/>
      <c r="E134" s="253" t="str" cm="1">
        <f t="array" aca="1" ref="E134" ca="1">IF(INDEX(集計3!$C$16:$CX$25,$C134,INDIRECT(ADDRESS(ROW()-8-($C134),COLUMN())))="","",INDEX(集計3!$C$16:$CX$25,$C134,INDIRECT(ADDRESS(ROW()-8-($C134),COLUMN()))))</f>
        <v/>
      </c>
      <c r="F134" s="254"/>
      <c r="G134" s="254"/>
      <c r="H134" s="255"/>
      <c r="I134" s="253" t="str" cm="1">
        <f t="array" aca="1" ref="I134" ca="1">IF(INDEX(集計3!$C$16:$CX$25,$C134,INDIRECT(ADDRESS(ROW()-8-($C134),COLUMN())))="","",INDEX(集計3!$C$16:$CX$25,$C134,INDIRECT(ADDRESS(ROW()-8-($C134),COLUMN()))))</f>
        <v/>
      </c>
      <c r="J134" s="254"/>
      <c r="K134" s="254"/>
      <c r="L134" s="255"/>
      <c r="M134" s="253" t="str" cm="1">
        <f t="array" aca="1" ref="M134" ca="1">IF(INDEX(集計3!$C$16:$CX$25,$C134,INDIRECT(ADDRESS(ROW()-8-($C134),COLUMN())))="","",INDEX(集計3!$C$16:$CX$25,$C134,INDIRECT(ADDRESS(ROW()-8-($C134),COLUMN()))))</f>
        <v/>
      </c>
      <c r="N134" s="254"/>
      <c r="O134" s="254"/>
      <c r="P134" s="255"/>
      <c r="Q134" s="253" t="str" cm="1">
        <f t="array" aca="1" ref="Q134" ca="1">IF(INDEX(集計3!$C$16:$CX$25,$C134,INDIRECT(ADDRESS(ROW()-8-($C134),COLUMN())))="","",INDEX(集計3!$C$16:$CX$25,$C134,INDIRECT(ADDRESS(ROW()-8-($C134),COLUMN()))))</f>
        <v/>
      </c>
      <c r="R134" s="254"/>
      <c r="S134" s="254"/>
      <c r="T134" s="255"/>
      <c r="U134" s="253" t="str" cm="1">
        <f t="array" aca="1" ref="U134" ca="1">IF(INDEX(集計3!$C$16:$CX$25,$C134,INDIRECT(ADDRESS(ROW()-8-($C134),COLUMN())))="","",INDEX(集計3!$C$16:$CX$25,$C134,INDIRECT(ADDRESS(ROW()-8-($C134),COLUMN()))))</f>
        <v/>
      </c>
      <c r="V134" s="254"/>
      <c r="W134" s="254"/>
      <c r="X134" s="255"/>
      <c r="Y134" s="253" t="str" cm="1">
        <f t="array" aca="1" ref="Y134" ca="1">IF(INDEX(集計3!$C$16:$CX$25,$C134,INDIRECT(ADDRESS(ROW()-8-($C134),COLUMN())))="","",INDEX(集計3!$C$16:$CX$25,$C134,INDIRECT(ADDRESS(ROW()-8-($C134),COLUMN()))))</f>
        <v/>
      </c>
      <c r="Z134" s="254"/>
      <c r="AA134" s="254"/>
      <c r="AB134" s="255"/>
      <c r="AC134" s="253" t="str" cm="1">
        <f t="array" aca="1" ref="AC134" ca="1">IF(INDEX(集計3!$C$16:$CX$25,$C134,INDIRECT(ADDRESS(ROW()-8-($C134),COLUMN())))="","",INDEX(集計3!$C$16:$CX$25,$C134,INDIRECT(ADDRESS(ROW()-8-($C134),COLUMN()))))</f>
        <v/>
      </c>
      <c r="AD134" s="254"/>
      <c r="AE134" s="254"/>
      <c r="AF134" s="255"/>
      <c r="AG134" s="253" t="str" cm="1">
        <f t="array" aca="1" ref="AG134" ca="1">IF(INDEX(集計3!$C$16:$CX$25,$C134,INDIRECT(ADDRESS(ROW()-8-($C134),COLUMN())))="","",INDEX(集計3!$C$16:$CX$25,$C134,INDIRECT(ADDRESS(ROW()-8-($C134),COLUMN()))))</f>
        <v/>
      </c>
      <c r="AH134" s="254"/>
      <c r="AI134" s="254"/>
      <c r="AJ134" s="255"/>
      <c r="AK134" s="253" t="str" cm="1">
        <f t="array" aca="1" ref="AK134" ca="1">IF(INDEX(集計3!$C$16:$CX$25,$C134,INDIRECT(ADDRESS(ROW()-8-($C134),COLUMN())))="","",INDEX(集計3!$C$16:$CX$25,$C134,INDIRECT(ADDRESS(ROW()-8-($C134),COLUMN()))))</f>
        <v/>
      </c>
      <c r="AL134" s="254"/>
      <c r="AM134" s="254"/>
      <c r="AN134" s="255"/>
      <c r="AO134" s="253" t="str" cm="1">
        <f t="array" aca="1" ref="AO134" ca="1">IF(INDEX(集計3!$C$16:$CX$25,$C134,INDIRECT(ADDRESS(ROW()-8-($C134),COLUMN())))="","",INDEX(集計3!$C$16:$CX$25,$C134,INDIRECT(ADDRESS(ROW()-8-($C134),COLUMN()))))</f>
        <v/>
      </c>
      <c r="AP134" s="254"/>
      <c r="AQ134" s="254"/>
      <c r="AR134" s="255"/>
    </row>
    <row r="135" spans="1:44" ht="14.75" customHeight="1" x14ac:dyDescent="0.7">
      <c r="A135" s="250"/>
      <c r="B135" s="250"/>
      <c r="C135" s="231">
        <v>2</v>
      </c>
      <c r="D135" s="232"/>
      <c r="E135" s="241" t="str" cm="1">
        <f t="array" aca="1" ref="E135" ca="1">IF(INDEX(集計3!$C$16:$CX$25,$C135,INDIRECT(ADDRESS(ROW()-8-($C135),COLUMN())))="","",INDEX(集計3!$C$16:$CX$25,$C135,INDIRECT(ADDRESS(ROW()-8-($C135),COLUMN()))))</f>
        <v/>
      </c>
      <c r="F135" s="242"/>
      <c r="G135" s="242"/>
      <c r="H135" s="243"/>
      <c r="I135" s="241" t="str" cm="1">
        <f t="array" aca="1" ref="I135" ca="1">IF(INDEX(集計3!$C$16:$CX$25,$C135,INDIRECT(ADDRESS(ROW()-8-($C135),COLUMN())))="","",INDEX(集計3!$C$16:$CX$25,$C135,INDIRECT(ADDRESS(ROW()-8-($C135),COLUMN()))))</f>
        <v/>
      </c>
      <c r="J135" s="242"/>
      <c r="K135" s="242"/>
      <c r="L135" s="243"/>
      <c r="M135" s="241" t="str" cm="1">
        <f t="array" aca="1" ref="M135" ca="1">IF(INDEX(集計3!$C$16:$CX$25,$C135,INDIRECT(ADDRESS(ROW()-8-($C135),COLUMN())))="","",INDEX(集計3!$C$16:$CX$25,$C135,INDIRECT(ADDRESS(ROW()-8-($C135),COLUMN()))))</f>
        <v/>
      </c>
      <c r="N135" s="242"/>
      <c r="O135" s="242"/>
      <c r="P135" s="243"/>
      <c r="Q135" s="241" t="str" cm="1">
        <f t="array" aca="1" ref="Q135" ca="1">IF(INDEX(集計3!$C$16:$CX$25,$C135,INDIRECT(ADDRESS(ROW()-8-($C135),COLUMN())))="","",INDEX(集計3!$C$16:$CX$25,$C135,INDIRECT(ADDRESS(ROW()-8-($C135),COLUMN()))))</f>
        <v/>
      </c>
      <c r="R135" s="242"/>
      <c r="S135" s="242"/>
      <c r="T135" s="243"/>
      <c r="U135" s="241" t="str" cm="1">
        <f t="array" aca="1" ref="U135" ca="1">IF(INDEX(集計3!$C$16:$CX$25,$C135,INDIRECT(ADDRESS(ROW()-8-($C135),COLUMN())))="","",INDEX(集計3!$C$16:$CX$25,$C135,INDIRECT(ADDRESS(ROW()-8-($C135),COLUMN()))))</f>
        <v/>
      </c>
      <c r="V135" s="242"/>
      <c r="W135" s="242"/>
      <c r="X135" s="243"/>
      <c r="Y135" s="241" t="str" cm="1">
        <f t="array" aca="1" ref="Y135" ca="1">IF(INDEX(集計3!$C$16:$CX$25,$C135,INDIRECT(ADDRESS(ROW()-8-($C135),COLUMN())))="","",INDEX(集計3!$C$16:$CX$25,$C135,INDIRECT(ADDRESS(ROW()-8-($C135),COLUMN()))))</f>
        <v/>
      </c>
      <c r="Z135" s="242"/>
      <c r="AA135" s="242"/>
      <c r="AB135" s="243"/>
      <c r="AC135" s="241" t="str" cm="1">
        <f t="array" aca="1" ref="AC135" ca="1">IF(INDEX(集計3!$C$16:$CX$25,$C135,INDIRECT(ADDRESS(ROW()-8-($C135),COLUMN())))="","",INDEX(集計3!$C$16:$CX$25,$C135,INDIRECT(ADDRESS(ROW()-8-($C135),COLUMN()))))</f>
        <v/>
      </c>
      <c r="AD135" s="242"/>
      <c r="AE135" s="242"/>
      <c r="AF135" s="243"/>
      <c r="AG135" s="241" t="str" cm="1">
        <f t="array" aca="1" ref="AG135" ca="1">IF(INDEX(集計3!$C$16:$CX$25,$C135,INDIRECT(ADDRESS(ROW()-8-($C135),COLUMN())))="","",INDEX(集計3!$C$16:$CX$25,$C135,INDIRECT(ADDRESS(ROW()-8-($C135),COLUMN()))))</f>
        <v/>
      </c>
      <c r="AH135" s="242"/>
      <c r="AI135" s="242"/>
      <c r="AJ135" s="243"/>
      <c r="AK135" s="241" t="str" cm="1">
        <f t="array" aca="1" ref="AK135" ca="1">IF(INDEX(集計3!$C$16:$CX$25,$C135,INDIRECT(ADDRESS(ROW()-8-($C135),COLUMN())))="","",INDEX(集計3!$C$16:$CX$25,$C135,INDIRECT(ADDRESS(ROW()-8-($C135),COLUMN()))))</f>
        <v/>
      </c>
      <c r="AL135" s="242"/>
      <c r="AM135" s="242"/>
      <c r="AN135" s="243"/>
      <c r="AO135" s="241" t="str" cm="1">
        <f t="array" aca="1" ref="AO135" ca="1">IF(INDEX(集計3!$C$16:$CX$25,$C135,INDIRECT(ADDRESS(ROW()-8-($C135),COLUMN())))="","",INDEX(集計3!$C$16:$CX$25,$C135,INDIRECT(ADDRESS(ROW()-8-($C135),COLUMN()))))</f>
        <v/>
      </c>
      <c r="AP135" s="242"/>
      <c r="AQ135" s="242"/>
      <c r="AR135" s="243"/>
    </row>
    <row r="136" spans="1:44" ht="14.75" customHeight="1" x14ac:dyDescent="0.7">
      <c r="A136" s="250"/>
      <c r="B136" s="250"/>
      <c r="C136" s="231">
        <v>3</v>
      </c>
      <c r="D136" s="232"/>
      <c r="E136" s="241" t="str" cm="1">
        <f t="array" aca="1" ref="E136" ca="1">IF(INDEX(集計3!$C$16:$CX$25,$C136,INDIRECT(ADDRESS(ROW()-8-($C136),COLUMN())))="","",INDEX(集計3!$C$16:$CX$25,$C136,INDIRECT(ADDRESS(ROW()-8-($C136),COLUMN()))))</f>
        <v/>
      </c>
      <c r="F136" s="242"/>
      <c r="G136" s="242"/>
      <c r="H136" s="243"/>
      <c r="I136" s="241" t="str" cm="1">
        <f t="array" aca="1" ref="I136" ca="1">IF(INDEX(集計3!$C$16:$CX$25,$C136,INDIRECT(ADDRESS(ROW()-8-($C136),COLUMN())))="","",INDEX(集計3!$C$16:$CX$25,$C136,INDIRECT(ADDRESS(ROW()-8-($C136),COLUMN()))))</f>
        <v/>
      </c>
      <c r="J136" s="242"/>
      <c r="K136" s="242"/>
      <c r="L136" s="243"/>
      <c r="M136" s="241" t="str" cm="1">
        <f t="array" aca="1" ref="M136" ca="1">IF(INDEX(集計3!$C$16:$CX$25,$C136,INDIRECT(ADDRESS(ROW()-8-($C136),COLUMN())))="","",INDEX(集計3!$C$16:$CX$25,$C136,INDIRECT(ADDRESS(ROW()-8-($C136),COLUMN()))))</f>
        <v/>
      </c>
      <c r="N136" s="242"/>
      <c r="O136" s="242"/>
      <c r="P136" s="243"/>
      <c r="Q136" s="241" t="str" cm="1">
        <f t="array" aca="1" ref="Q136" ca="1">IF(INDEX(集計3!$C$16:$CX$25,$C136,INDIRECT(ADDRESS(ROW()-8-($C136),COLUMN())))="","",INDEX(集計3!$C$16:$CX$25,$C136,INDIRECT(ADDRESS(ROW()-8-($C136),COLUMN()))))</f>
        <v/>
      </c>
      <c r="R136" s="242"/>
      <c r="S136" s="242"/>
      <c r="T136" s="243"/>
      <c r="U136" s="241" t="str" cm="1">
        <f t="array" aca="1" ref="U136" ca="1">IF(INDEX(集計3!$C$16:$CX$25,$C136,INDIRECT(ADDRESS(ROW()-8-($C136),COLUMN())))="","",INDEX(集計3!$C$16:$CX$25,$C136,INDIRECT(ADDRESS(ROW()-8-($C136),COLUMN()))))</f>
        <v/>
      </c>
      <c r="V136" s="242"/>
      <c r="W136" s="242"/>
      <c r="X136" s="243"/>
      <c r="Y136" s="241" t="str" cm="1">
        <f t="array" aca="1" ref="Y136" ca="1">IF(INDEX(集計3!$C$16:$CX$25,$C136,INDIRECT(ADDRESS(ROW()-8-($C136),COLUMN())))="","",INDEX(集計3!$C$16:$CX$25,$C136,INDIRECT(ADDRESS(ROW()-8-($C136),COLUMN()))))</f>
        <v/>
      </c>
      <c r="Z136" s="242"/>
      <c r="AA136" s="242"/>
      <c r="AB136" s="243"/>
      <c r="AC136" s="241" t="str" cm="1">
        <f t="array" aca="1" ref="AC136" ca="1">IF(INDEX(集計3!$C$16:$CX$25,$C136,INDIRECT(ADDRESS(ROW()-8-($C136),COLUMN())))="","",INDEX(集計3!$C$16:$CX$25,$C136,INDIRECT(ADDRESS(ROW()-8-($C136),COLUMN()))))</f>
        <v/>
      </c>
      <c r="AD136" s="242"/>
      <c r="AE136" s="242"/>
      <c r="AF136" s="243"/>
      <c r="AG136" s="241" t="str" cm="1">
        <f t="array" aca="1" ref="AG136" ca="1">IF(INDEX(集計3!$C$16:$CX$25,$C136,INDIRECT(ADDRESS(ROW()-8-($C136),COLUMN())))="","",INDEX(集計3!$C$16:$CX$25,$C136,INDIRECT(ADDRESS(ROW()-8-($C136),COLUMN()))))</f>
        <v/>
      </c>
      <c r="AH136" s="242"/>
      <c r="AI136" s="242"/>
      <c r="AJ136" s="243"/>
      <c r="AK136" s="241" t="str" cm="1">
        <f t="array" aca="1" ref="AK136" ca="1">IF(INDEX(集計3!$C$16:$CX$25,$C136,INDIRECT(ADDRESS(ROW()-8-($C136),COLUMN())))="","",INDEX(集計3!$C$16:$CX$25,$C136,INDIRECT(ADDRESS(ROW()-8-($C136),COLUMN()))))</f>
        <v/>
      </c>
      <c r="AL136" s="242"/>
      <c r="AM136" s="242"/>
      <c r="AN136" s="243"/>
      <c r="AO136" s="241" t="str" cm="1">
        <f t="array" aca="1" ref="AO136" ca="1">IF(INDEX(集計3!$C$16:$CX$25,$C136,INDIRECT(ADDRESS(ROW()-8-($C136),COLUMN())))="","",INDEX(集計3!$C$16:$CX$25,$C136,INDIRECT(ADDRESS(ROW()-8-($C136),COLUMN()))))</f>
        <v/>
      </c>
      <c r="AP136" s="242"/>
      <c r="AQ136" s="242"/>
      <c r="AR136" s="243"/>
    </row>
    <row r="137" spans="1:44" ht="14.75" customHeight="1" x14ac:dyDescent="0.7">
      <c r="A137" s="250"/>
      <c r="B137" s="250"/>
      <c r="C137" s="231">
        <v>4</v>
      </c>
      <c r="D137" s="232"/>
      <c r="E137" s="241" t="str" cm="1">
        <f t="array" aca="1" ref="E137" ca="1">IF(INDEX(集計3!$C$16:$CX$25,$C137,INDIRECT(ADDRESS(ROW()-8-($C137),COLUMN())))="","",INDEX(集計3!$C$16:$CX$25,$C137,INDIRECT(ADDRESS(ROW()-8-($C137),COLUMN()))))</f>
        <v/>
      </c>
      <c r="F137" s="242"/>
      <c r="G137" s="242"/>
      <c r="H137" s="243"/>
      <c r="I137" s="241" t="str" cm="1">
        <f t="array" aca="1" ref="I137" ca="1">IF(INDEX(集計3!$C$16:$CX$25,$C137,INDIRECT(ADDRESS(ROW()-8-($C137),COLUMN())))="","",INDEX(集計3!$C$16:$CX$25,$C137,INDIRECT(ADDRESS(ROW()-8-($C137),COLUMN()))))</f>
        <v/>
      </c>
      <c r="J137" s="242"/>
      <c r="K137" s="242"/>
      <c r="L137" s="243"/>
      <c r="M137" s="241" t="str" cm="1">
        <f t="array" aca="1" ref="M137" ca="1">IF(INDEX(集計3!$C$16:$CX$25,$C137,INDIRECT(ADDRESS(ROW()-8-($C137),COLUMN())))="","",INDEX(集計3!$C$16:$CX$25,$C137,INDIRECT(ADDRESS(ROW()-8-($C137),COLUMN()))))</f>
        <v/>
      </c>
      <c r="N137" s="242"/>
      <c r="O137" s="242"/>
      <c r="P137" s="243"/>
      <c r="Q137" s="241" t="str" cm="1">
        <f t="array" aca="1" ref="Q137" ca="1">IF(INDEX(集計3!$C$16:$CX$25,$C137,INDIRECT(ADDRESS(ROW()-8-($C137),COLUMN())))="","",INDEX(集計3!$C$16:$CX$25,$C137,INDIRECT(ADDRESS(ROW()-8-($C137),COLUMN()))))</f>
        <v/>
      </c>
      <c r="R137" s="242"/>
      <c r="S137" s="242"/>
      <c r="T137" s="243"/>
      <c r="U137" s="241" t="str" cm="1">
        <f t="array" aca="1" ref="U137" ca="1">IF(INDEX(集計3!$C$16:$CX$25,$C137,INDIRECT(ADDRESS(ROW()-8-($C137),COLUMN())))="","",INDEX(集計3!$C$16:$CX$25,$C137,INDIRECT(ADDRESS(ROW()-8-($C137),COLUMN()))))</f>
        <v/>
      </c>
      <c r="V137" s="242"/>
      <c r="W137" s="242"/>
      <c r="X137" s="243"/>
      <c r="Y137" s="241" t="str" cm="1">
        <f t="array" aca="1" ref="Y137" ca="1">IF(INDEX(集計3!$C$16:$CX$25,$C137,INDIRECT(ADDRESS(ROW()-8-($C137),COLUMN())))="","",INDEX(集計3!$C$16:$CX$25,$C137,INDIRECT(ADDRESS(ROW()-8-($C137),COLUMN()))))</f>
        <v/>
      </c>
      <c r="Z137" s="242"/>
      <c r="AA137" s="242"/>
      <c r="AB137" s="243"/>
      <c r="AC137" s="241" t="str" cm="1">
        <f t="array" aca="1" ref="AC137" ca="1">IF(INDEX(集計3!$C$16:$CX$25,$C137,INDIRECT(ADDRESS(ROW()-8-($C137),COLUMN())))="","",INDEX(集計3!$C$16:$CX$25,$C137,INDIRECT(ADDRESS(ROW()-8-($C137),COLUMN()))))</f>
        <v/>
      </c>
      <c r="AD137" s="242"/>
      <c r="AE137" s="242"/>
      <c r="AF137" s="243"/>
      <c r="AG137" s="241" t="str" cm="1">
        <f t="array" aca="1" ref="AG137" ca="1">IF(INDEX(集計3!$C$16:$CX$25,$C137,INDIRECT(ADDRESS(ROW()-8-($C137),COLUMN())))="","",INDEX(集計3!$C$16:$CX$25,$C137,INDIRECT(ADDRESS(ROW()-8-($C137),COLUMN()))))</f>
        <v/>
      </c>
      <c r="AH137" s="242"/>
      <c r="AI137" s="242"/>
      <c r="AJ137" s="243"/>
      <c r="AK137" s="241" t="str" cm="1">
        <f t="array" aca="1" ref="AK137" ca="1">IF(INDEX(集計3!$C$16:$CX$25,$C137,INDIRECT(ADDRESS(ROW()-8-($C137),COLUMN())))="","",INDEX(集計3!$C$16:$CX$25,$C137,INDIRECT(ADDRESS(ROW()-8-($C137),COLUMN()))))</f>
        <v/>
      </c>
      <c r="AL137" s="242"/>
      <c r="AM137" s="242"/>
      <c r="AN137" s="243"/>
      <c r="AO137" s="241" t="str" cm="1">
        <f t="array" aca="1" ref="AO137" ca="1">IF(INDEX(集計3!$C$16:$CX$25,$C137,INDIRECT(ADDRESS(ROW()-8-($C137),COLUMN())))="","",INDEX(集計3!$C$16:$CX$25,$C137,INDIRECT(ADDRESS(ROW()-8-($C137),COLUMN()))))</f>
        <v/>
      </c>
      <c r="AP137" s="242"/>
      <c r="AQ137" s="242"/>
      <c r="AR137" s="243"/>
    </row>
    <row r="138" spans="1:44" ht="14.75" customHeight="1" x14ac:dyDescent="0.7">
      <c r="A138" s="250"/>
      <c r="B138" s="250"/>
      <c r="C138" s="231">
        <v>5</v>
      </c>
      <c r="D138" s="232"/>
      <c r="E138" s="241" t="str" cm="1">
        <f t="array" aca="1" ref="E138" ca="1">IF(INDEX(集計3!$C$16:$CX$25,$C138,INDIRECT(ADDRESS(ROW()-8-($C138),COLUMN())))="","",INDEX(集計3!$C$16:$CX$25,$C138,INDIRECT(ADDRESS(ROW()-8-($C138),COLUMN()))))</f>
        <v/>
      </c>
      <c r="F138" s="242"/>
      <c r="G138" s="242"/>
      <c r="H138" s="243"/>
      <c r="I138" s="241" t="str" cm="1">
        <f t="array" aca="1" ref="I138" ca="1">IF(INDEX(集計3!$C$16:$CX$25,$C138,INDIRECT(ADDRESS(ROW()-8-($C138),COLUMN())))="","",INDEX(集計3!$C$16:$CX$25,$C138,INDIRECT(ADDRESS(ROW()-8-($C138),COLUMN()))))</f>
        <v/>
      </c>
      <c r="J138" s="242"/>
      <c r="K138" s="242"/>
      <c r="L138" s="243"/>
      <c r="M138" s="241" t="str" cm="1">
        <f t="array" aca="1" ref="M138" ca="1">IF(INDEX(集計3!$C$16:$CX$25,$C138,INDIRECT(ADDRESS(ROW()-8-($C138),COLUMN())))="","",INDEX(集計3!$C$16:$CX$25,$C138,INDIRECT(ADDRESS(ROW()-8-($C138),COLUMN()))))</f>
        <v/>
      </c>
      <c r="N138" s="242"/>
      <c r="O138" s="242"/>
      <c r="P138" s="243"/>
      <c r="Q138" s="241" t="str" cm="1">
        <f t="array" aca="1" ref="Q138" ca="1">IF(INDEX(集計3!$C$16:$CX$25,$C138,INDIRECT(ADDRESS(ROW()-8-($C138),COLUMN())))="","",INDEX(集計3!$C$16:$CX$25,$C138,INDIRECT(ADDRESS(ROW()-8-($C138),COLUMN()))))</f>
        <v/>
      </c>
      <c r="R138" s="242"/>
      <c r="S138" s="242"/>
      <c r="T138" s="243"/>
      <c r="U138" s="241" t="str" cm="1">
        <f t="array" aca="1" ref="U138" ca="1">IF(INDEX(集計3!$C$16:$CX$25,$C138,INDIRECT(ADDRESS(ROW()-8-($C138),COLUMN())))="","",INDEX(集計3!$C$16:$CX$25,$C138,INDIRECT(ADDRESS(ROW()-8-($C138),COLUMN()))))</f>
        <v/>
      </c>
      <c r="V138" s="242"/>
      <c r="W138" s="242"/>
      <c r="X138" s="243"/>
      <c r="Y138" s="241" t="str" cm="1">
        <f t="array" aca="1" ref="Y138" ca="1">IF(INDEX(集計3!$C$16:$CX$25,$C138,INDIRECT(ADDRESS(ROW()-8-($C138),COLUMN())))="","",INDEX(集計3!$C$16:$CX$25,$C138,INDIRECT(ADDRESS(ROW()-8-($C138),COLUMN()))))</f>
        <v/>
      </c>
      <c r="Z138" s="242"/>
      <c r="AA138" s="242"/>
      <c r="AB138" s="243"/>
      <c r="AC138" s="241" t="str" cm="1">
        <f t="array" aca="1" ref="AC138" ca="1">IF(INDEX(集計3!$C$16:$CX$25,$C138,INDIRECT(ADDRESS(ROW()-8-($C138),COLUMN())))="","",INDEX(集計3!$C$16:$CX$25,$C138,INDIRECT(ADDRESS(ROW()-8-($C138),COLUMN()))))</f>
        <v/>
      </c>
      <c r="AD138" s="242"/>
      <c r="AE138" s="242"/>
      <c r="AF138" s="243"/>
      <c r="AG138" s="241" t="str" cm="1">
        <f t="array" aca="1" ref="AG138" ca="1">IF(INDEX(集計3!$C$16:$CX$25,$C138,INDIRECT(ADDRESS(ROW()-8-($C138),COLUMN())))="","",INDEX(集計3!$C$16:$CX$25,$C138,INDIRECT(ADDRESS(ROW()-8-($C138),COLUMN()))))</f>
        <v/>
      </c>
      <c r="AH138" s="242"/>
      <c r="AI138" s="242"/>
      <c r="AJ138" s="243"/>
      <c r="AK138" s="241" t="str" cm="1">
        <f t="array" aca="1" ref="AK138" ca="1">IF(INDEX(集計3!$C$16:$CX$25,$C138,INDIRECT(ADDRESS(ROW()-8-($C138),COLUMN())))="","",INDEX(集計3!$C$16:$CX$25,$C138,INDIRECT(ADDRESS(ROW()-8-($C138),COLUMN()))))</f>
        <v/>
      </c>
      <c r="AL138" s="242"/>
      <c r="AM138" s="242"/>
      <c r="AN138" s="243"/>
      <c r="AO138" s="241" t="str" cm="1">
        <f t="array" aca="1" ref="AO138" ca="1">IF(INDEX(集計3!$C$16:$CX$25,$C138,INDIRECT(ADDRESS(ROW()-8-($C138),COLUMN())))="","",INDEX(集計3!$C$16:$CX$25,$C138,INDIRECT(ADDRESS(ROW()-8-($C138),COLUMN()))))</f>
        <v/>
      </c>
      <c r="AP138" s="242"/>
      <c r="AQ138" s="242"/>
      <c r="AR138" s="243"/>
    </row>
    <row r="139" spans="1:44" ht="14.75" customHeight="1" x14ac:dyDescent="0.7">
      <c r="A139" s="250"/>
      <c r="B139" s="250"/>
      <c r="C139" s="231">
        <v>6</v>
      </c>
      <c r="D139" s="232"/>
      <c r="E139" s="233" t="str" cm="1">
        <f t="array" aca="1" ref="E139" ca="1">IF(INDEX(集計3!$C$16:$CX$25,$C139,INDIRECT(ADDRESS(ROW()-8-($C139),COLUMN())))="","",INDEX(集計3!$C$16:$CX$25,$C139,INDIRECT(ADDRESS(ROW()-8-($C139),COLUMN()))))</f>
        <v/>
      </c>
      <c r="F139" s="234"/>
      <c r="G139" s="234"/>
      <c r="H139" s="235"/>
      <c r="I139" s="233" t="str" cm="1">
        <f t="array" aca="1" ref="I139" ca="1">IF(INDEX(集計3!$C$16:$CX$25,$C139,INDIRECT(ADDRESS(ROW()-8-($C139),COLUMN())))="","",INDEX(集計3!$C$16:$CX$25,$C139,INDIRECT(ADDRESS(ROW()-8-($C139),COLUMN()))))</f>
        <v/>
      </c>
      <c r="J139" s="234"/>
      <c r="K139" s="234"/>
      <c r="L139" s="235"/>
      <c r="M139" s="233" t="str" cm="1">
        <f t="array" aca="1" ref="M139" ca="1">IF(INDEX(集計3!$C$16:$CX$25,$C139,INDIRECT(ADDRESS(ROW()-8-($C139),COLUMN())))="","",INDEX(集計3!$C$16:$CX$25,$C139,INDIRECT(ADDRESS(ROW()-8-($C139),COLUMN()))))</f>
        <v/>
      </c>
      <c r="N139" s="234"/>
      <c r="O139" s="234"/>
      <c r="P139" s="235"/>
      <c r="Q139" s="233" t="str" cm="1">
        <f t="array" aca="1" ref="Q139" ca="1">IF(INDEX(集計3!$C$16:$CX$25,$C139,INDIRECT(ADDRESS(ROW()-8-($C139),COLUMN())))="","",INDEX(集計3!$C$16:$CX$25,$C139,INDIRECT(ADDRESS(ROW()-8-($C139),COLUMN()))))</f>
        <v/>
      </c>
      <c r="R139" s="234"/>
      <c r="S139" s="234"/>
      <c r="T139" s="235"/>
      <c r="U139" s="233" t="str" cm="1">
        <f t="array" aca="1" ref="U139" ca="1">IF(INDEX(集計3!$C$16:$CX$25,$C139,INDIRECT(ADDRESS(ROW()-8-($C139),COLUMN())))="","",INDEX(集計3!$C$16:$CX$25,$C139,INDIRECT(ADDRESS(ROW()-8-($C139),COLUMN()))))</f>
        <v/>
      </c>
      <c r="V139" s="234"/>
      <c r="W139" s="234"/>
      <c r="X139" s="235"/>
      <c r="Y139" s="233" t="str" cm="1">
        <f t="array" aca="1" ref="Y139" ca="1">IF(INDEX(集計3!$C$16:$CX$25,$C139,INDIRECT(ADDRESS(ROW()-8-($C139),COLUMN())))="","",INDEX(集計3!$C$16:$CX$25,$C139,INDIRECT(ADDRESS(ROW()-8-($C139),COLUMN()))))</f>
        <v/>
      </c>
      <c r="Z139" s="234"/>
      <c r="AA139" s="234"/>
      <c r="AB139" s="235"/>
      <c r="AC139" s="233" t="str" cm="1">
        <f t="array" aca="1" ref="AC139" ca="1">IF(INDEX(集計3!$C$16:$CX$25,$C139,INDIRECT(ADDRESS(ROW()-8-($C139),COLUMN())))="","",INDEX(集計3!$C$16:$CX$25,$C139,INDIRECT(ADDRESS(ROW()-8-($C139),COLUMN()))))</f>
        <v/>
      </c>
      <c r="AD139" s="234"/>
      <c r="AE139" s="234"/>
      <c r="AF139" s="235"/>
      <c r="AG139" s="233" t="str" cm="1">
        <f t="array" aca="1" ref="AG139" ca="1">IF(INDEX(集計3!$C$16:$CX$25,$C139,INDIRECT(ADDRESS(ROW()-8-($C139),COLUMN())))="","",INDEX(集計3!$C$16:$CX$25,$C139,INDIRECT(ADDRESS(ROW()-8-($C139),COLUMN()))))</f>
        <v/>
      </c>
      <c r="AH139" s="234"/>
      <c r="AI139" s="234"/>
      <c r="AJ139" s="235"/>
      <c r="AK139" s="233" t="str" cm="1">
        <f t="array" aca="1" ref="AK139" ca="1">IF(INDEX(集計3!$C$16:$CX$25,$C139,INDIRECT(ADDRESS(ROW()-8-($C139),COLUMN())))="","",INDEX(集計3!$C$16:$CX$25,$C139,INDIRECT(ADDRESS(ROW()-8-($C139),COLUMN()))))</f>
        <v/>
      </c>
      <c r="AL139" s="234"/>
      <c r="AM139" s="234"/>
      <c r="AN139" s="235"/>
      <c r="AO139" s="233" t="str" cm="1">
        <f t="array" aca="1" ref="AO139" ca="1">IF(INDEX(集計3!$C$16:$CX$25,$C139,INDIRECT(ADDRESS(ROW()-8-($C139),COLUMN())))="","",INDEX(集計3!$C$16:$CX$25,$C139,INDIRECT(ADDRESS(ROW()-8-($C139),COLUMN()))))</f>
        <v/>
      </c>
      <c r="AP139" s="234"/>
      <c r="AQ139" s="234"/>
      <c r="AR139" s="235"/>
    </row>
    <row r="140" spans="1:44" ht="14.75" customHeight="1" x14ac:dyDescent="0.7">
      <c r="A140" s="250"/>
      <c r="B140" s="250"/>
      <c r="C140" s="231">
        <v>7</v>
      </c>
      <c r="D140" s="232"/>
      <c r="E140" s="233" t="str" cm="1">
        <f t="array" aca="1" ref="E140" ca="1">IF(INDEX(集計3!$C$16:$CX$25,$C140,INDIRECT(ADDRESS(ROW()-8-($C140),COLUMN())))="","",INDEX(集計3!$C$16:$CX$25,$C140,INDIRECT(ADDRESS(ROW()-8-($C140),COLUMN()))))</f>
        <v/>
      </c>
      <c r="F140" s="234"/>
      <c r="G140" s="234"/>
      <c r="H140" s="235"/>
      <c r="I140" s="233" t="str" cm="1">
        <f t="array" aca="1" ref="I140" ca="1">IF(INDEX(集計3!$C$16:$CX$25,$C140,INDIRECT(ADDRESS(ROW()-8-($C140),COLUMN())))="","",INDEX(集計3!$C$16:$CX$25,$C140,INDIRECT(ADDRESS(ROW()-8-($C140),COLUMN()))))</f>
        <v/>
      </c>
      <c r="J140" s="234"/>
      <c r="K140" s="234"/>
      <c r="L140" s="235"/>
      <c r="M140" s="233" t="str" cm="1">
        <f t="array" aca="1" ref="M140" ca="1">IF(INDEX(集計3!$C$16:$CX$25,$C140,INDIRECT(ADDRESS(ROW()-8-($C140),COLUMN())))="","",INDEX(集計3!$C$16:$CX$25,$C140,INDIRECT(ADDRESS(ROW()-8-($C140),COLUMN()))))</f>
        <v/>
      </c>
      <c r="N140" s="234"/>
      <c r="O140" s="234"/>
      <c r="P140" s="235"/>
      <c r="Q140" s="233" t="str" cm="1">
        <f t="array" aca="1" ref="Q140" ca="1">IF(INDEX(集計3!$C$16:$CX$25,$C140,INDIRECT(ADDRESS(ROW()-8-($C140),COLUMN())))="","",INDEX(集計3!$C$16:$CX$25,$C140,INDIRECT(ADDRESS(ROW()-8-($C140),COLUMN()))))</f>
        <v/>
      </c>
      <c r="R140" s="234"/>
      <c r="S140" s="234"/>
      <c r="T140" s="235"/>
      <c r="U140" s="233" t="str" cm="1">
        <f t="array" aca="1" ref="U140" ca="1">IF(INDEX(集計3!$C$16:$CX$25,$C140,INDIRECT(ADDRESS(ROW()-8-($C140),COLUMN())))="","",INDEX(集計3!$C$16:$CX$25,$C140,INDIRECT(ADDRESS(ROW()-8-($C140),COLUMN()))))</f>
        <v/>
      </c>
      <c r="V140" s="234"/>
      <c r="W140" s="234"/>
      <c r="X140" s="235"/>
      <c r="Y140" s="233" t="str" cm="1">
        <f t="array" aca="1" ref="Y140" ca="1">IF(INDEX(集計3!$C$16:$CX$25,$C140,INDIRECT(ADDRESS(ROW()-8-($C140),COLUMN())))="","",INDEX(集計3!$C$16:$CX$25,$C140,INDIRECT(ADDRESS(ROW()-8-($C140),COLUMN()))))</f>
        <v/>
      </c>
      <c r="Z140" s="234"/>
      <c r="AA140" s="234"/>
      <c r="AB140" s="235"/>
      <c r="AC140" s="233" t="str" cm="1">
        <f t="array" aca="1" ref="AC140" ca="1">IF(INDEX(集計3!$C$16:$CX$25,$C140,INDIRECT(ADDRESS(ROW()-8-($C140),COLUMN())))="","",INDEX(集計3!$C$16:$CX$25,$C140,INDIRECT(ADDRESS(ROW()-8-($C140),COLUMN()))))</f>
        <v/>
      </c>
      <c r="AD140" s="234"/>
      <c r="AE140" s="234"/>
      <c r="AF140" s="235"/>
      <c r="AG140" s="233" t="str" cm="1">
        <f t="array" aca="1" ref="AG140" ca="1">IF(INDEX(集計3!$C$16:$CX$25,$C140,INDIRECT(ADDRESS(ROW()-8-($C140),COLUMN())))="","",INDEX(集計3!$C$16:$CX$25,$C140,INDIRECT(ADDRESS(ROW()-8-($C140),COLUMN()))))</f>
        <v/>
      </c>
      <c r="AH140" s="234"/>
      <c r="AI140" s="234"/>
      <c r="AJ140" s="235"/>
      <c r="AK140" s="233" t="str" cm="1">
        <f t="array" aca="1" ref="AK140" ca="1">IF(INDEX(集計3!$C$16:$CX$25,$C140,INDIRECT(ADDRESS(ROW()-8-($C140),COLUMN())))="","",INDEX(集計3!$C$16:$CX$25,$C140,INDIRECT(ADDRESS(ROW()-8-($C140),COLUMN()))))</f>
        <v/>
      </c>
      <c r="AL140" s="234"/>
      <c r="AM140" s="234"/>
      <c r="AN140" s="235"/>
      <c r="AO140" s="233" t="str" cm="1">
        <f t="array" aca="1" ref="AO140" ca="1">IF(INDEX(集計3!$C$16:$CX$25,$C140,INDIRECT(ADDRESS(ROW()-8-($C140),COLUMN())))="","",INDEX(集計3!$C$16:$CX$25,$C140,INDIRECT(ADDRESS(ROW()-8-($C140),COLUMN()))))</f>
        <v/>
      </c>
      <c r="AP140" s="234"/>
      <c r="AQ140" s="234"/>
      <c r="AR140" s="235"/>
    </row>
    <row r="141" spans="1:44" ht="14.75" customHeight="1" x14ac:dyDescent="0.7">
      <c r="A141" s="250"/>
      <c r="B141" s="250"/>
      <c r="C141" s="231">
        <v>8</v>
      </c>
      <c r="D141" s="232"/>
      <c r="E141" s="233" t="str" cm="1">
        <f t="array" aca="1" ref="E141" ca="1">IF(INDEX(集計3!$C$16:$CX$25,$C141,INDIRECT(ADDRESS(ROW()-8-($C141),COLUMN())))="","",INDEX(集計3!$C$16:$CX$25,$C141,INDIRECT(ADDRESS(ROW()-8-($C141),COLUMN()))))</f>
        <v/>
      </c>
      <c r="F141" s="234"/>
      <c r="G141" s="234"/>
      <c r="H141" s="235"/>
      <c r="I141" s="233" t="str" cm="1">
        <f t="array" aca="1" ref="I141" ca="1">IF(INDEX(集計3!$C$16:$CX$25,$C141,INDIRECT(ADDRESS(ROW()-8-($C141),COLUMN())))="","",INDEX(集計3!$C$16:$CX$25,$C141,INDIRECT(ADDRESS(ROW()-8-($C141),COLUMN()))))</f>
        <v/>
      </c>
      <c r="J141" s="234"/>
      <c r="K141" s="234"/>
      <c r="L141" s="235"/>
      <c r="M141" s="233" t="str" cm="1">
        <f t="array" aca="1" ref="M141" ca="1">IF(INDEX(集計3!$C$16:$CX$25,$C141,INDIRECT(ADDRESS(ROW()-8-($C141),COLUMN())))="","",INDEX(集計3!$C$16:$CX$25,$C141,INDIRECT(ADDRESS(ROW()-8-($C141),COLUMN()))))</f>
        <v/>
      </c>
      <c r="N141" s="234"/>
      <c r="O141" s="234"/>
      <c r="P141" s="235"/>
      <c r="Q141" s="233" t="str" cm="1">
        <f t="array" aca="1" ref="Q141" ca="1">IF(INDEX(集計3!$C$16:$CX$25,$C141,INDIRECT(ADDRESS(ROW()-8-($C141),COLUMN())))="","",INDEX(集計3!$C$16:$CX$25,$C141,INDIRECT(ADDRESS(ROW()-8-($C141),COLUMN()))))</f>
        <v/>
      </c>
      <c r="R141" s="234"/>
      <c r="S141" s="234"/>
      <c r="T141" s="235"/>
      <c r="U141" s="233" t="str" cm="1">
        <f t="array" aca="1" ref="U141" ca="1">IF(INDEX(集計3!$C$16:$CX$25,$C141,INDIRECT(ADDRESS(ROW()-8-($C141),COLUMN())))="","",INDEX(集計3!$C$16:$CX$25,$C141,INDIRECT(ADDRESS(ROW()-8-($C141),COLUMN()))))</f>
        <v/>
      </c>
      <c r="V141" s="234"/>
      <c r="W141" s="234"/>
      <c r="X141" s="235"/>
      <c r="Y141" s="233" t="str" cm="1">
        <f t="array" aca="1" ref="Y141" ca="1">IF(INDEX(集計3!$C$16:$CX$25,$C141,INDIRECT(ADDRESS(ROW()-8-($C141),COLUMN())))="","",INDEX(集計3!$C$16:$CX$25,$C141,INDIRECT(ADDRESS(ROW()-8-($C141),COLUMN()))))</f>
        <v/>
      </c>
      <c r="Z141" s="234"/>
      <c r="AA141" s="234"/>
      <c r="AB141" s="235"/>
      <c r="AC141" s="233" t="str" cm="1">
        <f t="array" aca="1" ref="AC141" ca="1">IF(INDEX(集計3!$C$16:$CX$25,$C141,INDIRECT(ADDRESS(ROW()-8-($C141),COLUMN())))="","",INDEX(集計3!$C$16:$CX$25,$C141,INDIRECT(ADDRESS(ROW()-8-($C141),COLUMN()))))</f>
        <v/>
      </c>
      <c r="AD141" s="234"/>
      <c r="AE141" s="234"/>
      <c r="AF141" s="235"/>
      <c r="AG141" s="233" t="str" cm="1">
        <f t="array" aca="1" ref="AG141" ca="1">IF(INDEX(集計3!$C$16:$CX$25,$C141,INDIRECT(ADDRESS(ROW()-8-($C141),COLUMN())))="","",INDEX(集計3!$C$16:$CX$25,$C141,INDIRECT(ADDRESS(ROW()-8-($C141),COLUMN()))))</f>
        <v/>
      </c>
      <c r="AH141" s="234"/>
      <c r="AI141" s="234"/>
      <c r="AJ141" s="235"/>
      <c r="AK141" s="233" t="str" cm="1">
        <f t="array" aca="1" ref="AK141" ca="1">IF(INDEX(集計3!$C$16:$CX$25,$C141,INDIRECT(ADDRESS(ROW()-8-($C141),COLUMN())))="","",INDEX(集計3!$C$16:$CX$25,$C141,INDIRECT(ADDRESS(ROW()-8-($C141),COLUMN()))))</f>
        <v/>
      </c>
      <c r="AL141" s="234"/>
      <c r="AM141" s="234"/>
      <c r="AN141" s="235"/>
      <c r="AO141" s="233" t="str" cm="1">
        <f t="array" aca="1" ref="AO141" ca="1">IF(INDEX(集計3!$C$16:$CX$25,$C141,INDIRECT(ADDRESS(ROW()-8-($C141),COLUMN())))="","",INDEX(集計3!$C$16:$CX$25,$C141,INDIRECT(ADDRESS(ROW()-8-($C141),COLUMN()))))</f>
        <v/>
      </c>
      <c r="AP141" s="234"/>
      <c r="AQ141" s="234"/>
      <c r="AR141" s="235"/>
    </row>
    <row r="142" spans="1:44" ht="14.75" customHeight="1" x14ac:dyDescent="0.7">
      <c r="A142" s="250"/>
      <c r="B142" s="250"/>
      <c r="C142" s="231">
        <v>9</v>
      </c>
      <c r="D142" s="232"/>
      <c r="E142" s="233" t="str" cm="1">
        <f t="array" aca="1" ref="E142" ca="1">IF(INDEX(集計3!$C$16:$CX$25,$C142,INDIRECT(ADDRESS(ROW()-8-($C142),COLUMN())))="","",INDEX(集計3!$C$16:$CX$25,$C142,INDIRECT(ADDRESS(ROW()-8-($C142),COLUMN()))))</f>
        <v/>
      </c>
      <c r="F142" s="234"/>
      <c r="G142" s="234"/>
      <c r="H142" s="235"/>
      <c r="I142" s="233" t="str" cm="1">
        <f t="array" aca="1" ref="I142" ca="1">IF(INDEX(集計3!$C$16:$CX$25,$C142,INDIRECT(ADDRESS(ROW()-8-($C142),COLUMN())))="","",INDEX(集計3!$C$16:$CX$25,$C142,INDIRECT(ADDRESS(ROW()-8-($C142),COLUMN()))))</f>
        <v/>
      </c>
      <c r="J142" s="234"/>
      <c r="K142" s="234"/>
      <c r="L142" s="235"/>
      <c r="M142" s="233" t="str" cm="1">
        <f t="array" aca="1" ref="M142" ca="1">IF(INDEX(集計3!$C$16:$CX$25,$C142,INDIRECT(ADDRESS(ROW()-8-($C142),COLUMN())))="","",INDEX(集計3!$C$16:$CX$25,$C142,INDIRECT(ADDRESS(ROW()-8-($C142),COLUMN()))))</f>
        <v/>
      </c>
      <c r="N142" s="234"/>
      <c r="O142" s="234"/>
      <c r="P142" s="235"/>
      <c r="Q142" s="233" t="str" cm="1">
        <f t="array" aca="1" ref="Q142" ca="1">IF(INDEX(集計3!$C$16:$CX$25,$C142,INDIRECT(ADDRESS(ROW()-8-($C142),COLUMN())))="","",INDEX(集計3!$C$16:$CX$25,$C142,INDIRECT(ADDRESS(ROW()-8-($C142),COLUMN()))))</f>
        <v/>
      </c>
      <c r="R142" s="234"/>
      <c r="S142" s="234"/>
      <c r="T142" s="235"/>
      <c r="U142" s="233" t="str" cm="1">
        <f t="array" aca="1" ref="U142" ca="1">IF(INDEX(集計3!$C$16:$CX$25,$C142,INDIRECT(ADDRESS(ROW()-8-($C142),COLUMN())))="","",INDEX(集計3!$C$16:$CX$25,$C142,INDIRECT(ADDRESS(ROW()-8-($C142),COLUMN()))))</f>
        <v/>
      </c>
      <c r="V142" s="234"/>
      <c r="W142" s="234"/>
      <c r="X142" s="235"/>
      <c r="Y142" s="233" t="str" cm="1">
        <f t="array" aca="1" ref="Y142" ca="1">IF(INDEX(集計3!$C$16:$CX$25,$C142,INDIRECT(ADDRESS(ROW()-8-($C142),COLUMN())))="","",INDEX(集計3!$C$16:$CX$25,$C142,INDIRECT(ADDRESS(ROW()-8-($C142),COLUMN()))))</f>
        <v/>
      </c>
      <c r="Z142" s="234"/>
      <c r="AA142" s="234"/>
      <c r="AB142" s="235"/>
      <c r="AC142" s="233" t="str" cm="1">
        <f t="array" aca="1" ref="AC142" ca="1">IF(INDEX(集計3!$C$16:$CX$25,$C142,INDIRECT(ADDRESS(ROW()-8-($C142),COLUMN())))="","",INDEX(集計3!$C$16:$CX$25,$C142,INDIRECT(ADDRESS(ROW()-8-($C142),COLUMN()))))</f>
        <v/>
      </c>
      <c r="AD142" s="234"/>
      <c r="AE142" s="234"/>
      <c r="AF142" s="235"/>
      <c r="AG142" s="233" t="str" cm="1">
        <f t="array" aca="1" ref="AG142" ca="1">IF(INDEX(集計3!$C$16:$CX$25,$C142,INDIRECT(ADDRESS(ROW()-8-($C142),COLUMN())))="","",INDEX(集計3!$C$16:$CX$25,$C142,INDIRECT(ADDRESS(ROW()-8-($C142),COLUMN()))))</f>
        <v/>
      </c>
      <c r="AH142" s="234"/>
      <c r="AI142" s="234"/>
      <c r="AJ142" s="235"/>
      <c r="AK142" s="233" t="str" cm="1">
        <f t="array" aca="1" ref="AK142" ca="1">IF(INDEX(集計3!$C$16:$CX$25,$C142,INDIRECT(ADDRESS(ROW()-8-($C142),COLUMN())))="","",INDEX(集計3!$C$16:$CX$25,$C142,INDIRECT(ADDRESS(ROW()-8-($C142),COLUMN()))))</f>
        <v/>
      </c>
      <c r="AL142" s="234"/>
      <c r="AM142" s="234"/>
      <c r="AN142" s="235"/>
      <c r="AO142" s="233" t="str" cm="1">
        <f t="array" aca="1" ref="AO142" ca="1">IF(INDEX(集計3!$C$16:$CX$25,$C142,INDIRECT(ADDRESS(ROW()-8-($C142),COLUMN())))="","",INDEX(集計3!$C$16:$CX$25,$C142,INDIRECT(ADDRESS(ROW()-8-($C142),COLUMN()))))</f>
        <v/>
      </c>
      <c r="AP142" s="234"/>
      <c r="AQ142" s="234"/>
      <c r="AR142" s="235"/>
    </row>
    <row r="143" spans="1:44" ht="14.75" customHeight="1" x14ac:dyDescent="0.7">
      <c r="A143" s="250"/>
      <c r="B143" s="250"/>
      <c r="C143" s="236">
        <v>10</v>
      </c>
      <c r="D143" s="237"/>
      <c r="E143" s="238" t="str" cm="1">
        <f t="array" aca="1" ref="E143" ca="1">IF(INDEX(集計3!$C$16:$CX$25,$C143,INDIRECT(ADDRESS(ROW()-8-($C143),COLUMN())))="","",INDEX(集計3!$C$16:$CX$25,$C143,INDIRECT(ADDRESS(ROW()-8-($C143),COLUMN()))))</f>
        <v/>
      </c>
      <c r="F143" s="239"/>
      <c r="G143" s="239"/>
      <c r="H143" s="240"/>
      <c r="I143" s="238" t="str" cm="1">
        <f t="array" aca="1" ref="I143" ca="1">IF(INDEX(集計3!$C$16:$CX$25,$C143,INDIRECT(ADDRESS(ROW()-8-($C143),COLUMN())))="","",INDEX(集計3!$C$16:$CX$25,$C143,INDIRECT(ADDRESS(ROW()-8-($C143),COLUMN()))))</f>
        <v/>
      </c>
      <c r="J143" s="239"/>
      <c r="K143" s="239"/>
      <c r="L143" s="240"/>
      <c r="M143" s="238" t="str" cm="1">
        <f t="array" aca="1" ref="M143" ca="1">IF(INDEX(集計3!$C$16:$CX$25,$C143,INDIRECT(ADDRESS(ROW()-8-($C143),COLUMN())))="","",INDEX(集計3!$C$16:$CX$25,$C143,INDIRECT(ADDRESS(ROW()-8-($C143),COLUMN()))))</f>
        <v/>
      </c>
      <c r="N143" s="239"/>
      <c r="O143" s="239"/>
      <c r="P143" s="240"/>
      <c r="Q143" s="238" t="str" cm="1">
        <f t="array" aca="1" ref="Q143" ca="1">IF(INDEX(集計3!$C$16:$CX$25,$C143,INDIRECT(ADDRESS(ROW()-8-($C143),COLUMN())))="","",INDEX(集計3!$C$16:$CX$25,$C143,INDIRECT(ADDRESS(ROW()-8-($C143),COLUMN()))))</f>
        <v/>
      </c>
      <c r="R143" s="239"/>
      <c r="S143" s="239"/>
      <c r="T143" s="240"/>
      <c r="U143" s="238" t="str" cm="1">
        <f t="array" aca="1" ref="U143" ca="1">IF(INDEX(集計3!$C$16:$CX$25,$C143,INDIRECT(ADDRESS(ROW()-8-($C143),COLUMN())))="","",INDEX(集計3!$C$16:$CX$25,$C143,INDIRECT(ADDRESS(ROW()-8-($C143),COLUMN()))))</f>
        <v/>
      </c>
      <c r="V143" s="239"/>
      <c r="W143" s="239"/>
      <c r="X143" s="240"/>
      <c r="Y143" s="238" t="str" cm="1">
        <f t="array" aca="1" ref="Y143" ca="1">IF(INDEX(集計3!$C$16:$CX$25,$C143,INDIRECT(ADDRESS(ROW()-8-($C143),COLUMN())))="","",INDEX(集計3!$C$16:$CX$25,$C143,INDIRECT(ADDRESS(ROW()-8-($C143),COLUMN()))))</f>
        <v/>
      </c>
      <c r="Z143" s="239"/>
      <c r="AA143" s="239"/>
      <c r="AB143" s="240"/>
      <c r="AC143" s="238" t="str" cm="1">
        <f t="array" aca="1" ref="AC143" ca="1">IF(INDEX(集計3!$C$16:$CX$25,$C143,INDIRECT(ADDRESS(ROW()-8-($C143),COLUMN())))="","",INDEX(集計3!$C$16:$CX$25,$C143,INDIRECT(ADDRESS(ROW()-8-($C143),COLUMN()))))</f>
        <v/>
      </c>
      <c r="AD143" s="239"/>
      <c r="AE143" s="239"/>
      <c r="AF143" s="240"/>
      <c r="AG143" s="238" t="str" cm="1">
        <f t="array" aca="1" ref="AG143" ca="1">IF(INDEX(集計3!$C$16:$CX$25,$C143,INDIRECT(ADDRESS(ROW()-8-($C143),COLUMN())))="","",INDEX(集計3!$C$16:$CX$25,$C143,INDIRECT(ADDRESS(ROW()-8-($C143),COLUMN()))))</f>
        <v/>
      </c>
      <c r="AH143" s="239"/>
      <c r="AI143" s="239"/>
      <c r="AJ143" s="240"/>
      <c r="AK143" s="238" t="str" cm="1">
        <f t="array" aca="1" ref="AK143" ca="1">IF(INDEX(集計3!$C$16:$CX$25,$C143,INDIRECT(ADDRESS(ROW()-8-($C143),COLUMN())))="","",INDEX(集計3!$C$16:$CX$25,$C143,INDIRECT(ADDRESS(ROW()-8-($C143),COLUMN()))))</f>
        <v/>
      </c>
      <c r="AL143" s="239"/>
      <c r="AM143" s="239"/>
      <c r="AN143" s="240"/>
      <c r="AO143" s="238" t="str" cm="1">
        <f t="array" aca="1" ref="AO143" ca="1">IF(INDEX(集計3!$C$16:$CX$25,$C143,INDIRECT(ADDRESS(ROW()-8-($C143),COLUMN())))="","",INDEX(集計3!$C$16:$CX$25,$C143,INDIRECT(ADDRESS(ROW()-8-($C143),COLUMN()))))</f>
        <v/>
      </c>
      <c r="AP143" s="239"/>
      <c r="AQ143" s="239"/>
      <c r="AR143" s="240"/>
    </row>
    <row r="144" spans="1:44" ht="7.25" customHeight="1" x14ac:dyDescent="0.7">
      <c r="A144" s="217" t="s">
        <v>163</v>
      </c>
      <c r="B144" s="217"/>
      <c r="C144" s="217"/>
      <c r="D144" s="217"/>
      <c r="E144" s="219" t="str" cm="1">
        <f t="array" aca="1" ref="E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44" s="220"/>
      <c r="G144" s="220"/>
      <c r="H144" s="221"/>
      <c r="I144" s="219" t="str" cm="1">
        <f t="array" aca="1" ref="I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44" s="220"/>
      <c r="K144" s="220"/>
      <c r="L144" s="221"/>
      <c r="M144" s="219" t="str" cm="1">
        <f t="array" aca="1" ref="M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44" s="220"/>
      <c r="O144" s="220"/>
      <c r="P144" s="221"/>
      <c r="Q144" s="219" t="str" cm="1">
        <f t="array" aca="1" ref="Q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44" s="220"/>
      <c r="S144" s="220"/>
      <c r="T144" s="221"/>
      <c r="U144" s="219" t="str" cm="1">
        <f t="array" aca="1" ref="U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44" s="220"/>
      <c r="W144" s="220"/>
      <c r="X144" s="221"/>
      <c r="Y144" s="219" t="str" cm="1">
        <f t="array" aca="1" ref="Y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44" s="220"/>
      <c r="AA144" s="220"/>
      <c r="AB144" s="221"/>
      <c r="AC144" s="219" t="str" cm="1">
        <f t="array" aca="1" ref="AC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44" s="220"/>
      <c r="AE144" s="220"/>
      <c r="AF144" s="221"/>
      <c r="AG144" s="219" t="str" cm="1">
        <f t="array" aca="1" ref="AG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44" s="220"/>
      <c r="AI144" s="220"/>
      <c r="AJ144" s="221"/>
      <c r="AK144" s="219" t="str" cm="1">
        <f t="array" aca="1" ref="AK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44" s="220"/>
      <c r="AM144" s="220"/>
      <c r="AN144" s="221"/>
      <c r="AO144" s="219" t="str" cm="1">
        <f t="array" aca="1" ref="AO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44" s="220"/>
      <c r="AQ144" s="220"/>
      <c r="AR144" s="221"/>
    </row>
    <row r="145" spans="1:44" ht="7.25" customHeight="1" x14ac:dyDescent="0.7">
      <c r="A145" s="218"/>
      <c r="B145" s="218"/>
      <c r="C145" s="218"/>
      <c r="D145" s="218"/>
      <c r="E145" s="222"/>
      <c r="F145" s="223"/>
      <c r="G145" s="223"/>
      <c r="H145" s="224"/>
      <c r="I145" s="222"/>
      <c r="J145" s="223"/>
      <c r="K145" s="223"/>
      <c r="L145" s="224"/>
      <c r="M145" s="222"/>
      <c r="N145" s="223"/>
      <c r="O145" s="223"/>
      <c r="P145" s="224"/>
      <c r="Q145" s="222"/>
      <c r="R145" s="223"/>
      <c r="S145" s="223"/>
      <c r="T145" s="224"/>
      <c r="U145" s="222"/>
      <c r="V145" s="223"/>
      <c r="W145" s="223"/>
      <c r="X145" s="224"/>
      <c r="Y145" s="222"/>
      <c r="Z145" s="223"/>
      <c r="AA145" s="223"/>
      <c r="AB145" s="224"/>
      <c r="AC145" s="222"/>
      <c r="AD145" s="223"/>
      <c r="AE145" s="223"/>
      <c r="AF145" s="224"/>
      <c r="AG145" s="222"/>
      <c r="AH145" s="223"/>
      <c r="AI145" s="223"/>
      <c r="AJ145" s="224"/>
      <c r="AK145" s="222"/>
      <c r="AL145" s="223"/>
      <c r="AM145" s="223"/>
      <c r="AN145" s="224"/>
      <c r="AO145" s="222"/>
      <c r="AP145" s="223"/>
      <c r="AQ145" s="223"/>
      <c r="AR145" s="224"/>
    </row>
    <row r="146" spans="1:44" ht="9" customHeight="1" x14ac:dyDescent="0.7">
      <c r="A146" s="225" t="s">
        <v>164</v>
      </c>
      <c r="B146" s="226"/>
      <c r="C146" s="226"/>
      <c r="D146" s="227"/>
      <c r="E146" s="228" t="str">
        <f ca="1">IF(COUNT(INDIRECT(ADDRESS(ROW()-12,COLUMN())):INDIRECT(ADDRESS(ROW()-3,COLUMN())))=0,"",MAX(INDIRECT(ADDRESS(ROW()-12,COLUMN())):INDIRECT(ADDRESS(ROW()-3,COLUMN()))))</f>
        <v/>
      </c>
      <c r="F146" s="229"/>
      <c r="G146" s="229"/>
      <c r="H146" s="230"/>
      <c r="I146" s="228" t="str">
        <f ca="1">IF(COUNT(INDIRECT(ADDRESS(ROW()-12,COLUMN())):INDIRECT(ADDRESS(ROW()-3,COLUMN())))=0,"",MAX(INDIRECT(ADDRESS(ROW()-12,COLUMN())):INDIRECT(ADDRESS(ROW()-3,COLUMN()))))</f>
        <v/>
      </c>
      <c r="J146" s="229"/>
      <c r="K146" s="229"/>
      <c r="L146" s="230"/>
      <c r="M146" s="228" t="str">
        <f ca="1">IF(COUNT(INDIRECT(ADDRESS(ROW()-12,COLUMN())):INDIRECT(ADDRESS(ROW()-3,COLUMN())))=0,"",MAX(INDIRECT(ADDRESS(ROW()-12,COLUMN())):INDIRECT(ADDRESS(ROW()-3,COLUMN()))))</f>
        <v/>
      </c>
      <c r="N146" s="229"/>
      <c r="O146" s="229"/>
      <c r="P146" s="230"/>
      <c r="Q146" s="228" t="str">
        <f ca="1">IF(COUNT(INDIRECT(ADDRESS(ROW()-12,COLUMN())):INDIRECT(ADDRESS(ROW()-3,COLUMN())))=0,"",MAX(INDIRECT(ADDRESS(ROW()-12,COLUMN())):INDIRECT(ADDRESS(ROW()-3,COLUMN()))))</f>
        <v/>
      </c>
      <c r="R146" s="229"/>
      <c r="S146" s="229"/>
      <c r="T146" s="230"/>
      <c r="U146" s="228" t="str">
        <f ca="1">IF(COUNT(INDIRECT(ADDRESS(ROW()-12,COLUMN())):INDIRECT(ADDRESS(ROW()-3,COLUMN())))=0,"",MAX(INDIRECT(ADDRESS(ROW()-12,COLUMN())):INDIRECT(ADDRESS(ROW()-3,COLUMN()))))</f>
        <v/>
      </c>
      <c r="V146" s="229"/>
      <c r="W146" s="229"/>
      <c r="X146" s="230"/>
      <c r="Y146" s="228" t="str">
        <f ca="1">IF(COUNT(INDIRECT(ADDRESS(ROW()-12,COLUMN())):INDIRECT(ADDRESS(ROW()-3,COLUMN())))=0,"",MAX(INDIRECT(ADDRESS(ROW()-12,COLUMN())):INDIRECT(ADDRESS(ROW()-3,COLUMN()))))</f>
        <v/>
      </c>
      <c r="Z146" s="229"/>
      <c r="AA146" s="229"/>
      <c r="AB146" s="230"/>
      <c r="AC146" s="228" t="str">
        <f ca="1">IF(COUNT(INDIRECT(ADDRESS(ROW()-12,COLUMN())):INDIRECT(ADDRESS(ROW()-3,COLUMN())))=0,"",MAX(INDIRECT(ADDRESS(ROW()-12,COLUMN())):INDIRECT(ADDRESS(ROW()-3,COLUMN()))))</f>
        <v/>
      </c>
      <c r="AD146" s="229"/>
      <c r="AE146" s="229"/>
      <c r="AF146" s="230"/>
      <c r="AG146" s="228" t="str">
        <f ca="1">IF(COUNT(INDIRECT(ADDRESS(ROW()-12,COLUMN())):INDIRECT(ADDRESS(ROW()-3,COLUMN())))=0,"",MAX(INDIRECT(ADDRESS(ROW()-12,COLUMN())):INDIRECT(ADDRESS(ROW()-3,COLUMN()))))</f>
        <v/>
      </c>
      <c r="AH146" s="229"/>
      <c r="AI146" s="229"/>
      <c r="AJ146" s="230"/>
      <c r="AK146" s="228" t="str">
        <f ca="1">IF(COUNT(INDIRECT(ADDRESS(ROW()-12,COLUMN())):INDIRECT(ADDRESS(ROW()-3,COLUMN())))=0,"",MAX(INDIRECT(ADDRESS(ROW()-12,COLUMN())):INDIRECT(ADDRESS(ROW()-3,COLUMN()))))</f>
        <v/>
      </c>
      <c r="AL146" s="229"/>
      <c r="AM146" s="229"/>
      <c r="AN146" s="230"/>
      <c r="AO146" s="228" t="str">
        <f ca="1">IF(COUNT(INDIRECT(ADDRESS(ROW()-12,COLUMN())):INDIRECT(ADDRESS(ROW()-3,COLUMN())))=0,"",MAX(INDIRECT(ADDRESS(ROW()-12,COLUMN())):INDIRECT(ADDRESS(ROW()-3,COLUMN()))))</f>
        <v/>
      </c>
      <c r="AP146" s="229"/>
      <c r="AQ146" s="229"/>
      <c r="AR146" s="230"/>
    </row>
    <row r="147" spans="1:44" ht="9" customHeight="1" x14ac:dyDescent="0.7">
      <c r="A147" s="211" t="s">
        <v>165</v>
      </c>
      <c r="B147" s="212"/>
      <c r="C147" s="212"/>
      <c r="D147" s="213"/>
      <c r="E147" s="214" t="str">
        <f ca="1">IF(COUNT(INDIRECT(ADDRESS(ROW()-13,COLUMN())):INDIRECT(ADDRESS(ROW()-4,COLUMN())))=0,"",MIN(INDIRECT(ADDRESS(ROW()-13,COLUMN())):INDIRECT(ADDRESS(ROW()-4,COLUMN()))))</f>
        <v/>
      </c>
      <c r="F147" s="215"/>
      <c r="G147" s="215"/>
      <c r="H147" s="216"/>
      <c r="I147" s="214" t="str">
        <f ca="1">IF(COUNT(INDIRECT(ADDRESS(ROW()-13,COLUMN())):INDIRECT(ADDRESS(ROW()-4,COLUMN())))=0,"",MIN(INDIRECT(ADDRESS(ROW()-13,COLUMN())):INDIRECT(ADDRESS(ROW()-4,COLUMN()))))</f>
        <v/>
      </c>
      <c r="J147" s="215"/>
      <c r="K147" s="215"/>
      <c r="L147" s="216"/>
      <c r="M147" s="214" t="str">
        <f ca="1">IF(COUNT(INDIRECT(ADDRESS(ROW()-13,COLUMN())):INDIRECT(ADDRESS(ROW()-4,COLUMN())))=0,"",MIN(INDIRECT(ADDRESS(ROW()-13,COLUMN())):INDIRECT(ADDRESS(ROW()-4,COLUMN()))))</f>
        <v/>
      </c>
      <c r="N147" s="215"/>
      <c r="O147" s="215"/>
      <c r="P147" s="216"/>
      <c r="Q147" s="214" t="str">
        <f ca="1">IF(COUNT(INDIRECT(ADDRESS(ROW()-13,COLUMN())):INDIRECT(ADDRESS(ROW()-4,COLUMN())))=0,"",MIN(INDIRECT(ADDRESS(ROW()-13,COLUMN())):INDIRECT(ADDRESS(ROW()-4,COLUMN()))))</f>
        <v/>
      </c>
      <c r="R147" s="215"/>
      <c r="S147" s="215"/>
      <c r="T147" s="216"/>
      <c r="U147" s="214" t="str">
        <f ca="1">IF(COUNT(INDIRECT(ADDRESS(ROW()-13,COLUMN())):INDIRECT(ADDRESS(ROW()-4,COLUMN())))=0,"",MIN(INDIRECT(ADDRESS(ROW()-13,COLUMN())):INDIRECT(ADDRESS(ROW()-4,COLUMN()))))</f>
        <v/>
      </c>
      <c r="V147" s="215"/>
      <c r="W147" s="215"/>
      <c r="X147" s="216"/>
      <c r="Y147" s="214" t="str">
        <f ca="1">IF(COUNT(INDIRECT(ADDRESS(ROW()-13,COLUMN())):INDIRECT(ADDRESS(ROW()-4,COLUMN())))=0,"",MIN(INDIRECT(ADDRESS(ROW()-13,COLUMN())):INDIRECT(ADDRESS(ROW()-4,COLUMN()))))</f>
        <v/>
      </c>
      <c r="Z147" s="215"/>
      <c r="AA147" s="215"/>
      <c r="AB147" s="216"/>
      <c r="AC147" s="214" t="str">
        <f ca="1">IF(COUNT(INDIRECT(ADDRESS(ROW()-13,COLUMN())):INDIRECT(ADDRESS(ROW()-4,COLUMN())))=0,"",MIN(INDIRECT(ADDRESS(ROW()-13,COLUMN())):INDIRECT(ADDRESS(ROW()-4,COLUMN()))))</f>
        <v/>
      </c>
      <c r="AD147" s="215"/>
      <c r="AE147" s="215"/>
      <c r="AF147" s="216"/>
      <c r="AG147" s="214" t="str">
        <f ca="1">IF(COUNT(INDIRECT(ADDRESS(ROW()-13,COLUMN())):INDIRECT(ADDRESS(ROW()-4,COLUMN())))=0,"",MIN(INDIRECT(ADDRESS(ROW()-13,COLUMN())):INDIRECT(ADDRESS(ROW()-4,COLUMN()))))</f>
        <v/>
      </c>
      <c r="AH147" s="215"/>
      <c r="AI147" s="215"/>
      <c r="AJ147" s="216"/>
      <c r="AK147" s="214" t="str">
        <f ca="1">IF(COUNT(INDIRECT(ADDRESS(ROW()-13,COLUMN())):INDIRECT(ADDRESS(ROW()-4,COLUMN())))=0,"",MIN(INDIRECT(ADDRESS(ROW()-13,COLUMN())):INDIRECT(ADDRESS(ROW()-4,COLUMN()))))</f>
        <v/>
      </c>
      <c r="AL147" s="215"/>
      <c r="AM147" s="215"/>
      <c r="AN147" s="216"/>
      <c r="AO147" s="214" t="str">
        <f ca="1">IF(COUNT(INDIRECT(ADDRESS(ROW()-13,COLUMN())):INDIRECT(ADDRESS(ROW()-4,COLUMN())))=0,"",MIN(INDIRECT(ADDRESS(ROW()-13,COLUMN())):INDIRECT(ADDRESS(ROW()-4,COLUMN()))))</f>
        <v/>
      </c>
      <c r="AP147" s="215"/>
      <c r="AQ147" s="215"/>
      <c r="AR147" s="216"/>
    </row>
    <row r="148" spans="1:44" ht="7.5" customHeight="1" x14ac:dyDescent="0.7"/>
    <row r="149" spans="1:44" ht="13.5" customHeight="1" x14ac:dyDescent="0.7">
      <c r="A149" s="281"/>
      <c r="B149" s="282"/>
      <c r="C149" s="282"/>
      <c r="D149" s="282"/>
      <c r="E149" s="282"/>
      <c r="F149" s="282"/>
      <c r="G149" s="282"/>
      <c r="H149" s="282" t="s">
        <v>147</v>
      </c>
      <c r="I149" s="282"/>
      <c r="J149" s="282"/>
      <c r="K149" s="282"/>
      <c r="L149" s="282"/>
      <c r="M149" s="282"/>
      <c r="N149" s="282"/>
      <c r="O149" s="282"/>
      <c r="P149" s="282"/>
      <c r="Q149" s="282"/>
      <c r="R149" s="282"/>
      <c r="S149" s="282"/>
      <c r="T149" s="282"/>
      <c r="U149" s="282"/>
      <c r="V149" s="282"/>
      <c r="W149" s="287"/>
      <c r="X149" s="290" t="s">
        <v>148</v>
      </c>
      <c r="Y149" s="291"/>
      <c r="Z149" s="291"/>
      <c r="AA149" s="291"/>
      <c r="AB149" s="291"/>
      <c r="AC149" s="291"/>
      <c r="AD149" s="291"/>
      <c r="AE149" s="291"/>
      <c r="AF149" s="291"/>
      <c r="AG149" s="291"/>
      <c r="AH149" s="292"/>
      <c r="AI149" s="290" t="s">
        <v>149</v>
      </c>
      <c r="AJ149" s="291"/>
      <c r="AK149" s="291"/>
      <c r="AL149" s="291"/>
      <c r="AM149" s="291"/>
      <c r="AN149" s="291"/>
      <c r="AO149" s="291"/>
      <c r="AP149" s="291"/>
      <c r="AQ149" s="291"/>
      <c r="AR149" s="292"/>
    </row>
    <row r="150" spans="1:44" ht="13.5" customHeight="1" x14ac:dyDescent="0.7">
      <c r="A150" s="283"/>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8"/>
      <c r="X150" s="293" t="str">
        <f>X2</f>
        <v>50136-01211</v>
      </c>
      <c r="Y150" s="294"/>
      <c r="Z150" s="294"/>
      <c r="AA150" s="294"/>
      <c r="AB150" s="294"/>
      <c r="AC150" s="294"/>
      <c r="AD150" s="294"/>
      <c r="AE150" s="294"/>
      <c r="AF150" s="294"/>
      <c r="AG150" s="294"/>
      <c r="AH150" s="295"/>
      <c r="AI150" s="293" t="str">
        <f>AI2</f>
        <v>ﾍﾞﾝｼｰﾄ</v>
      </c>
      <c r="AJ150" s="294"/>
      <c r="AK150" s="294"/>
      <c r="AL150" s="294"/>
      <c r="AM150" s="294"/>
      <c r="AN150" s="294"/>
      <c r="AO150" s="294"/>
      <c r="AP150" s="294"/>
      <c r="AQ150" s="294"/>
      <c r="AR150" s="295"/>
    </row>
    <row r="151" spans="1:44" ht="13.5" customHeight="1" x14ac:dyDescent="0.7">
      <c r="A151" s="285"/>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9"/>
      <c r="X151" s="296"/>
      <c r="Y151" s="297"/>
      <c r="Z151" s="297"/>
      <c r="AA151" s="297"/>
      <c r="AB151" s="297"/>
      <c r="AC151" s="297"/>
      <c r="AD151" s="297"/>
      <c r="AE151" s="297"/>
      <c r="AF151" s="297"/>
      <c r="AG151" s="297"/>
      <c r="AH151" s="298"/>
      <c r="AI151" s="296"/>
      <c r="AJ151" s="297"/>
      <c r="AK151" s="297"/>
      <c r="AL151" s="297"/>
      <c r="AM151" s="297"/>
      <c r="AN151" s="297"/>
      <c r="AO151" s="297"/>
      <c r="AP151" s="297"/>
      <c r="AQ151" s="297"/>
      <c r="AR151" s="298"/>
    </row>
    <row r="152" spans="1:44" ht="8" customHeight="1" x14ac:dyDescent="0.7">
      <c r="A152" s="217" t="s">
        <v>157</v>
      </c>
      <c r="B152" s="217"/>
      <c r="C152" s="217"/>
      <c r="D152" s="217"/>
      <c r="E152" s="275">
        <v>51</v>
      </c>
      <c r="F152" s="276"/>
      <c r="G152" s="276"/>
      <c r="H152" s="277"/>
      <c r="I152" s="275">
        <v>52</v>
      </c>
      <c r="J152" s="276"/>
      <c r="K152" s="276"/>
      <c r="L152" s="277"/>
      <c r="M152" s="275">
        <v>53</v>
      </c>
      <c r="N152" s="276"/>
      <c r="O152" s="276"/>
      <c r="P152" s="277"/>
      <c r="Q152" s="275">
        <v>54</v>
      </c>
      <c r="R152" s="276"/>
      <c r="S152" s="276"/>
      <c r="T152" s="277"/>
      <c r="U152" s="275">
        <v>55</v>
      </c>
      <c r="V152" s="276"/>
      <c r="W152" s="276"/>
      <c r="X152" s="277"/>
      <c r="Y152" s="275">
        <v>56</v>
      </c>
      <c r="Z152" s="276"/>
      <c r="AA152" s="276"/>
      <c r="AB152" s="277"/>
      <c r="AC152" s="275">
        <v>57</v>
      </c>
      <c r="AD152" s="276"/>
      <c r="AE152" s="276"/>
      <c r="AF152" s="277"/>
      <c r="AG152" s="275">
        <v>58</v>
      </c>
      <c r="AH152" s="276"/>
      <c r="AI152" s="276"/>
      <c r="AJ152" s="277"/>
      <c r="AK152" s="275">
        <v>59</v>
      </c>
      <c r="AL152" s="276"/>
      <c r="AM152" s="276"/>
      <c r="AN152" s="277"/>
      <c r="AO152" s="275">
        <v>60</v>
      </c>
      <c r="AP152" s="276"/>
      <c r="AQ152" s="276"/>
      <c r="AR152" s="277"/>
    </row>
    <row r="153" spans="1:44" ht="8" customHeight="1" x14ac:dyDescent="0.7">
      <c r="A153" s="217"/>
      <c r="B153" s="217"/>
      <c r="C153" s="217"/>
      <c r="D153" s="217"/>
      <c r="E153" s="278"/>
      <c r="F153" s="279"/>
      <c r="G153" s="279"/>
      <c r="H153" s="280"/>
      <c r="I153" s="278"/>
      <c r="J153" s="279"/>
      <c r="K153" s="279"/>
      <c r="L153" s="280"/>
      <c r="M153" s="278"/>
      <c r="N153" s="279"/>
      <c r="O153" s="279"/>
      <c r="P153" s="280"/>
      <c r="Q153" s="278"/>
      <c r="R153" s="279"/>
      <c r="S153" s="279"/>
      <c r="T153" s="280"/>
      <c r="U153" s="278"/>
      <c r="V153" s="279"/>
      <c r="W153" s="279"/>
      <c r="X153" s="280"/>
      <c r="Y153" s="278"/>
      <c r="Z153" s="279"/>
      <c r="AA153" s="279"/>
      <c r="AB153" s="280"/>
      <c r="AC153" s="278"/>
      <c r="AD153" s="279"/>
      <c r="AE153" s="279"/>
      <c r="AF153" s="280"/>
      <c r="AG153" s="278"/>
      <c r="AH153" s="279"/>
      <c r="AI153" s="279"/>
      <c r="AJ153" s="280"/>
      <c r="AK153" s="278"/>
      <c r="AL153" s="279"/>
      <c r="AM153" s="279"/>
      <c r="AN153" s="280"/>
      <c r="AO153" s="278"/>
      <c r="AP153" s="279"/>
      <c r="AQ153" s="279"/>
      <c r="AR153" s="280"/>
    </row>
    <row r="154" spans="1:44" ht="10.25" customHeight="1" x14ac:dyDescent="0.7">
      <c r="A154" s="217" t="s">
        <v>158</v>
      </c>
      <c r="B154" s="217"/>
      <c r="C154" s="217"/>
      <c r="D154" s="217"/>
      <c r="E154" s="262" t="str" cm="1">
        <f t="array" aca="1" ref="E154" ca="1">IFERROR(INDEX(INDIRECT("'"&amp;集計3!$A$1&amp;"'!$C$4:$CX$4"),1,E152),"")</f>
        <v/>
      </c>
      <c r="F154" s="263"/>
      <c r="G154" s="263"/>
      <c r="H154" s="264"/>
      <c r="I154" s="262" t="str" cm="1">
        <f t="array" aca="1" ref="I154" ca="1">IFERROR(INDEX(INDIRECT("'"&amp;集計3!$A$1&amp;"'!$C$4:$CX$4"),1,I152),"")</f>
        <v/>
      </c>
      <c r="J154" s="263"/>
      <c r="K154" s="263"/>
      <c r="L154" s="264"/>
      <c r="M154" s="262" t="str" cm="1">
        <f t="array" aca="1" ref="M154" ca="1">IFERROR(INDEX(INDIRECT("'"&amp;集計3!$A$1&amp;"'!$C$4:$CX$4"),1,M152),"")</f>
        <v/>
      </c>
      <c r="N154" s="263"/>
      <c r="O154" s="263"/>
      <c r="P154" s="264"/>
      <c r="Q154" s="262" t="str" cm="1">
        <f t="array" aca="1" ref="Q154" ca="1">IFERROR(INDEX(INDIRECT("'"&amp;集計3!$A$1&amp;"'!$C$4:$CX$4"),1,Q152),"")</f>
        <v/>
      </c>
      <c r="R154" s="263"/>
      <c r="S154" s="263"/>
      <c r="T154" s="264"/>
      <c r="U154" s="262" t="str" cm="1">
        <f t="array" aca="1" ref="U154" ca="1">IFERROR(INDEX(INDIRECT("'"&amp;集計3!$A$1&amp;"'!$C$4:$CX$4"),1,U152),"")</f>
        <v/>
      </c>
      <c r="V154" s="263"/>
      <c r="W154" s="263"/>
      <c r="X154" s="264"/>
      <c r="Y154" s="262" t="str" cm="1">
        <f t="array" aca="1" ref="Y154" ca="1">IFERROR(INDEX(INDIRECT("'"&amp;集計3!$A$1&amp;"'!$C$4:$CX$4"),1,Y152),"")</f>
        <v/>
      </c>
      <c r="Z154" s="263"/>
      <c r="AA154" s="263"/>
      <c r="AB154" s="264"/>
      <c r="AC154" s="262" t="str" cm="1">
        <f t="array" aca="1" ref="AC154" ca="1">IFERROR(INDEX(INDIRECT("'"&amp;集計3!$A$1&amp;"'!$C$4:$CX$4"),1,AC152),"")</f>
        <v/>
      </c>
      <c r="AD154" s="263"/>
      <c r="AE154" s="263"/>
      <c r="AF154" s="264"/>
      <c r="AG154" s="262" t="str" cm="1">
        <f t="array" aca="1" ref="AG154" ca="1">IFERROR(INDEX(INDIRECT("'"&amp;集計3!$A$1&amp;"'!$C$4:$CX$4"),1,AG152),"")</f>
        <v/>
      </c>
      <c r="AH154" s="263"/>
      <c r="AI154" s="263"/>
      <c r="AJ154" s="264"/>
      <c r="AK154" s="262" t="str" cm="1">
        <f t="array" aca="1" ref="AK154" ca="1">IFERROR(INDEX(INDIRECT("'"&amp;集計3!$A$1&amp;"'!$C$4:$CX$4"),1,AK152),"")</f>
        <v/>
      </c>
      <c r="AL154" s="263"/>
      <c r="AM154" s="263"/>
      <c r="AN154" s="264"/>
      <c r="AO154" s="262" t="str" cm="1">
        <f t="array" aca="1" ref="AO154" ca="1">IFERROR(INDEX(INDIRECT("'"&amp;集計3!$A$1&amp;"'!$C$4:$CX$4"),1,AO152),"")</f>
        <v/>
      </c>
      <c r="AP154" s="263"/>
      <c r="AQ154" s="263"/>
      <c r="AR154" s="264"/>
    </row>
    <row r="155" spans="1:44" ht="10.25" customHeight="1" x14ac:dyDescent="0.7">
      <c r="A155" s="218"/>
      <c r="B155" s="218"/>
      <c r="C155" s="218"/>
      <c r="D155" s="218"/>
      <c r="E155" s="265"/>
      <c r="F155" s="266"/>
      <c r="G155" s="266"/>
      <c r="H155" s="267"/>
      <c r="I155" s="265"/>
      <c r="J155" s="266"/>
      <c r="K155" s="266"/>
      <c r="L155" s="267"/>
      <c r="M155" s="265"/>
      <c r="N155" s="266"/>
      <c r="O155" s="266"/>
      <c r="P155" s="267"/>
      <c r="Q155" s="265"/>
      <c r="R155" s="266"/>
      <c r="S155" s="266"/>
      <c r="T155" s="267"/>
      <c r="U155" s="265"/>
      <c r="V155" s="266"/>
      <c r="W155" s="266"/>
      <c r="X155" s="267"/>
      <c r="Y155" s="265"/>
      <c r="Z155" s="266"/>
      <c r="AA155" s="266"/>
      <c r="AB155" s="267"/>
      <c r="AC155" s="265"/>
      <c r="AD155" s="266"/>
      <c r="AE155" s="266"/>
      <c r="AF155" s="267"/>
      <c r="AG155" s="265"/>
      <c r="AH155" s="266"/>
      <c r="AI155" s="266"/>
      <c r="AJ155" s="267"/>
      <c r="AK155" s="265"/>
      <c r="AL155" s="266"/>
      <c r="AM155" s="266"/>
      <c r="AN155" s="267"/>
      <c r="AO155" s="265"/>
      <c r="AP155" s="266"/>
      <c r="AQ155" s="266"/>
      <c r="AR155" s="267"/>
    </row>
    <row r="156" spans="1:44" ht="10.25" customHeight="1" x14ac:dyDescent="0.7">
      <c r="A156" s="268" t="s">
        <v>127</v>
      </c>
      <c r="B156" s="269"/>
      <c r="C156" s="269"/>
      <c r="D156" s="270"/>
      <c r="E156" s="271" t="str" cm="1">
        <f t="array" aca="1" ref="E156" ca="1">IFERROR(INDEX(INDIRECT("'"&amp;集計3!$A$1&amp;"'!$C$5:$CX$5"),1,E152),"")</f>
        <v/>
      </c>
      <c r="F156" s="272"/>
      <c r="G156" s="273" t="str" cm="1">
        <f t="array" aca="1" ref="G156" ca="1">IFERROR(INDEX(INDIRECT("'"&amp;集計3!$A$1&amp;"'!$C$6:$CX$6"),1,E152),"")</f>
        <v/>
      </c>
      <c r="H156" s="274"/>
      <c r="I156" s="271" t="str" cm="1">
        <f t="array" aca="1" ref="I156" ca="1">IFERROR(INDEX(INDIRECT("'"&amp;集計3!$A$1&amp;"'!$C$5:$CX$5"),1,I152),"")</f>
        <v/>
      </c>
      <c r="J156" s="272"/>
      <c r="K156" s="273" t="str" cm="1">
        <f t="array" aca="1" ref="K156" ca="1">IFERROR(INDEX(INDIRECT("'"&amp;集計3!$A$1&amp;"'!$C$6:$CX$6"),1,I152),"")</f>
        <v/>
      </c>
      <c r="L156" s="274"/>
      <c r="M156" s="271" t="str" cm="1">
        <f t="array" aca="1" ref="M156" ca="1">IFERROR(INDEX(INDIRECT("'"&amp;集計3!$A$1&amp;"'!$C$5:$CX$5"),1,M152),"")</f>
        <v/>
      </c>
      <c r="N156" s="272"/>
      <c r="O156" s="273" t="str" cm="1">
        <f t="array" aca="1" ref="O156" ca="1">IFERROR(INDEX(INDIRECT("'"&amp;集計3!$A$1&amp;"'!$C$6:$CX$6"),1,M152),"")</f>
        <v/>
      </c>
      <c r="P156" s="274"/>
      <c r="Q156" s="271" t="str" cm="1">
        <f t="array" aca="1" ref="Q156" ca="1">IFERROR(INDEX(INDIRECT("'"&amp;集計3!$A$1&amp;"'!$C$5:$CX$5"),1,Q152),"")</f>
        <v/>
      </c>
      <c r="R156" s="272"/>
      <c r="S156" s="273" t="str" cm="1">
        <f t="array" aca="1" ref="S156" ca="1">IFERROR(INDEX(INDIRECT("'"&amp;集計3!$A$1&amp;"'!$C$6:$CX$6"),1,Q152),"")</f>
        <v/>
      </c>
      <c r="T156" s="274"/>
      <c r="U156" s="271" t="str" cm="1">
        <f t="array" aca="1" ref="U156" ca="1">IFERROR(INDEX(INDIRECT("'"&amp;集計3!$A$1&amp;"'!$C$5:$CX$5"),1,U152),"")</f>
        <v/>
      </c>
      <c r="V156" s="272"/>
      <c r="W156" s="273" t="str" cm="1">
        <f t="array" aca="1" ref="W156" ca="1">IFERROR(INDEX(INDIRECT("'"&amp;集計3!$A$1&amp;"'!$C$6:$CX$6"),1,U152),"")</f>
        <v/>
      </c>
      <c r="X156" s="274"/>
      <c r="Y156" s="271" t="str" cm="1">
        <f t="array" aca="1" ref="Y156" ca="1">IFERROR(INDEX(INDIRECT("'"&amp;集計3!$A$1&amp;"'!$C$5:$CX$5"),1,Y152),"")</f>
        <v/>
      </c>
      <c r="Z156" s="272"/>
      <c r="AA156" s="273" t="str" cm="1">
        <f t="array" aca="1" ref="AA156" ca="1">IFERROR(INDEX(INDIRECT("'"&amp;集計3!$A$1&amp;"'!$C$6:$CX$6"),1,Y152),"")</f>
        <v/>
      </c>
      <c r="AB156" s="274"/>
      <c r="AC156" s="271" t="str" cm="1">
        <f t="array" aca="1" ref="AC156" ca="1">IFERROR(INDEX(INDIRECT("'"&amp;集計3!$A$1&amp;"'!$C$5:$CX$5"),1,AC152),"")</f>
        <v/>
      </c>
      <c r="AD156" s="272"/>
      <c r="AE156" s="273" t="str" cm="1">
        <f t="array" aca="1" ref="AE156" ca="1">IFERROR(INDEX(INDIRECT("'"&amp;集計3!$A$1&amp;"'!$C$6:$CX$6"),1,AC152),"")</f>
        <v/>
      </c>
      <c r="AF156" s="274"/>
      <c r="AG156" s="271" t="str" cm="1">
        <f t="array" aca="1" ref="AG156" ca="1">IFERROR(INDEX(INDIRECT("'"&amp;集計3!$A$1&amp;"'!$C$5:$CX$5"),1,AG152),"")</f>
        <v/>
      </c>
      <c r="AH156" s="272"/>
      <c r="AI156" s="273" t="str" cm="1">
        <f t="array" aca="1" ref="AI156" ca="1">IFERROR(INDEX(INDIRECT("'"&amp;集計3!$A$1&amp;"'!$C$6:$CX$6"),1,AG152),"")</f>
        <v/>
      </c>
      <c r="AJ156" s="274"/>
      <c r="AK156" s="271" t="str" cm="1">
        <f t="array" aca="1" ref="AK156" ca="1">IFERROR(INDEX(INDIRECT("'"&amp;集計3!$A$1&amp;"'!$C$5:$CX$5"),1,AK152),"")</f>
        <v/>
      </c>
      <c r="AL156" s="272"/>
      <c r="AM156" s="273" t="str" cm="1">
        <f t="array" aca="1" ref="AM156" ca="1">IFERROR(INDEX(INDIRECT("'"&amp;集計3!$A$1&amp;"'!$C$6:$CX$6"),1,AK152),"")</f>
        <v/>
      </c>
      <c r="AN156" s="274"/>
      <c r="AO156" s="271" t="str" cm="1">
        <f t="array" aca="1" ref="AO156" ca="1">IFERROR(INDEX(INDIRECT("'"&amp;集計3!$A$1&amp;"'!$C$5:$CX$5"),1,AO152),"")</f>
        <v/>
      </c>
      <c r="AP156" s="272"/>
      <c r="AQ156" s="273" t="str" cm="1">
        <f t="array" aca="1" ref="AQ156" ca="1">IFERROR(INDEX(INDIRECT("'"&amp;集計3!$A$1&amp;"'!$C$6:$CX$6"),1,AO152),"")</f>
        <v/>
      </c>
      <c r="AR156" s="274"/>
    </row>
    <row r="157" spans="1:44" s="19" customFormat="1" ht="10.25" customHeight="1" x14ac:dyDescent="0.7">
      <c r="A157" s="256" t="s">
        <v>159</v>
      </c>
      <c r="B157" s="256"/>
      <c r="C157" s="256"/>
      <c r="D157" s="256"/>
      <c r="E157" s="16" t="str" cm="1">
        <f t="array" aca="1" ref="E157" ca="1">IFERROR(INDEX(INDIRECT("'"&amp;集計3!$A$1&amp;"'!$C$10:$CX$10"),1,E152),"")</f>
        <v/>
      </c>
      <c r="F157" s="257" t="str" cm="1">
        <f t="array" aca="1" ref="F157" ca="1">IFERROR(IF(INDEX(INDIRECT("'"&amp;集計3!$A$1&amp;"'!$C$7:$CX$7"),1,E152)=0,"",INDEX(INDIRECT("'"&amp;集計3!$A$1&amp;"'!$C$7:$CX$7"),1,E152)),"")</f>
        <v/>
      </c>
      <c r="G157" s="257"/>
      <c r="H157" s="258"/>
      <c r="I157" s="16" t="str" cm="1">
        <f t="array" aca="1" ref="I157" ca="1">IFERROR(INDEX(INDIRECT("'"&amp;集計3!$A$1&amp;"'!$C$10:$CX$10"),1,I152),"")</f>
        <v/>
      </c>
      <c r="J157" s="257" t="str" cm="1">
        <f t="array" aca="1" ref="J157" ca="1">IFERROR(IF(INDEX(INDIRECT("'"&amp;集計3!$A$1&amp;"'!$C$7:$CX$7"),1,I152)=0,"",INDEX(INDIRECT("'"&amp;集計3!$A$1&amp;"'!$C$7:$CX$7"),1,I152)),"")</f>
        <v/>
      </c>
      <c r="K157" s="257"/>
      <c r="L157" s="258"/>
      <c r="M157" s="16" t="str" cm="1">
        <f t="array" aca="1" ref="M157" ca="1">IFERROR(INDEX(INDIRECT("'"&amp;集計3!$A$1&amp;"'!$C$10:$CX$10"),1,M152),"")</f>
        <v/>
      </c>
      <c r="N157" s="257" t="str" cm="1">
        <f t="array" aca="1" ref="N157" ca="1">IFERROR(IF(INDEX(INDIRECT("'"&amp;集計3!$A$1&amp;"'!$C$7:$CX$7"),1,M152)=0,"",INDEX(INDIRECT("'"&amp;集計3!$A$1&amp;"'!$C$7:$CX$7"),1,M152)),"")</f>
        <v/>
      </c>
      <c r="O157" s="257"/>
      <c r="P157" s="258"/>
      <c r="Q157" s="16" t="str" cm="1">
        <f t="array" aca="1" ref="Q157" ca="1">IFERROR(INDEX(INDIRECT("'"&amp;集計3!$A$1&amp;"'!$C$10:$CX$10"),1,Q152),"")</f>
        <v/>
      </c>
      <c r="R157" s="257" t="str" cm="1">
        <f t="array" aca="1" ref="R157" ca="1">IFERROR(IF(INDEX(INDIRECT("'"&amp;集計3!$A$1&amp;"'!$C$7:$CX$7"),1,Q152)=0,"",INDEX(INDIRECT("'"&amp;集計3!$A$1&amp;"'!$C$7:$CX$7"),1,Q152)),"")</f>
        <v/>
      </c>
      <c r="S157" s="257"/>
      <c r="T157" s="258"/>
      <c r="U157" s="16" t="str" cm="1">
        <f t="array" aca="1" ref="U157" ca="1">IFERROR(INDEX(INDIRECT("'"&amp;集計3!$A$1&amp;"'!$C$10:$CX$10"),1,U152),"")</f>
        <v/>
      </c>
      <c r="V157" s="257" t="str" cm="1">
        <f t="array" aca="1" ref="V157" ca="1">IFERROR(IF(INDEX(INDIRECT("'"&amp;集計3!$A$1&amp;"'!$C$7:$CX$7"),1,U152)=0,"",INDEX(INDIRECT("'"&amp;集計3!$A$1&amp;"'!$C$7:$CX$7"),1,U152)),"")</f>
        <v/>
      </c>
      <c r="W157" s="257"/>
      <c r="X157" s="258"/>
      <c r="Y157" s="16" t="str" cm="1">
        <f t="array" aca="1" ref="Y157" ca="1">IFERROR(INDEX(INDIRECT("'"&amp;集計3!$A$1&amp;"'!$C$10:$CX$10"),1,Y152),"")</f>
        <v/>
      </c>
      <c r="Z157" s="257" t="str" cm="1">
        <f t="array" aca="1" ref="Z157" ca="1">IFERROR(IF(INDEX(INDIRECT("'"&amp;集計3!$A$1&amp;"'!$C$7:$CX$7"),1,Y152)=0,"",INDEX(INDIRECT("'"&amp;集計3!$A$1&amp;"'!$C$7:$CX$7"),1,Y152)),"")</f>
        <v/>
      </c>
      <c r="AA157" s="257"/>
      <c r="AB157" s="258"/>
      <c r="AC157" s="16" t="str" cm="1">
        <f t="array" aca="1" ref="AC157" ca="1">IFERROR(INDEX(INDIRECT("'"&amp;集計3!$A$1&amp;"'!$C$10:$CX$10"),1,AC152),"")</f>
        <v/>
      </c>
      <c r="AD157" s="257" t="str" cm="1">
        <f t="array" aca="1" ref="AD157" ca="1">IFERROR(IF(INDEX(INDIRECT("'"&amp;集計3!$A$1&amp;"'!$C$7:$CX$7"),1,AC152)=0,"",INDEX(INDIRECT("'"&amp;集計3!$A$1&amp;"'!$C$7:$CX$7"),1,AC152)),"")</f>
        <v/>
      </c>
      <c r="AE157" s="257"/>
      <c r="AF157" s="258"/>
      <c r="AG157" s="16" t="str" cm="1">
        <f t="array" aca="1" ref="AG157" ca="1">IFERROR(INDEX(INDIRECT("'"&amp;集計3!$A$1&amp;"'!$C$10:$CX$10"),1,AG152),"")</f>
        <v/>
      </c>
      <c r="AH157" s="257" t="str" cm="1">
        <f t="array" aca="1" ref="AH157" ca="1">IFERROR(IF(INDEX(INDIRECT("'"&amp;集計3!$A$1&amp;"'!$C$7:$CX$7"),1,AG152)=0,"",INDEX(INDIRECT("'"&amp;集計3!$A$1&amp;"'!$C$7:$CX$7"),1,AG152)),"")</f>
        <v/>
      </c>
      <c r="AI157" s="257"/>
      <c r="AJ157" s="258"/>
      <c r="AK157" s="16" t="str" cm="1">
        <f t="array" aca="1" ref="AK157" ca="1">IFERROR(INDEX(INDIRECT("'"&amp;集計3!$A$1&amp;"'!$C$10:$CX$10"),1,AK152),"")</f>
        <v/>
      </c>
      <c r="AL157" s="257" t="str" cm="1">
        <f t="array" aca="1" ref="AL157" ca="1">IFERROR(IF(INDEX(INDIRECT("'"&amp;集計3!$A$1&amp;"'!$C$7:$CX$7"),1,AK152)=0,"",INDEX(INDIRECT("'"&amp;集計3!$A$1&amp;"'!$C$7:$CX$7"),1,AK152)),"")</f>
        <v/>
      </c>
      <c r="AM157" s="257"/>
      <c r="AN157" s="258"/>
      <c r="AO157" s="16" t="str" cm="1">
        <f t="array" aca="1" ref="AO157" ca="1">IFERROR(INDEX(INDIRECT("'"&amp;集計3!$A$1&amp;"'!$C$10:$CX$10"),1,AO152),"")</f>
        <v/>
      </c>
      <c r="AP157" s="257" t="str" cm="1">
        <f t="array" aca="1" ref="AP157" ca="1">IFERROR(IF(INDEX(INDIRECT("'"&amp;集計3!$A$1&amp;"'!$C$7:$CX$7"),1,AO152)=0,"",INDEX(INDIRECT("'"&amp;集計3!$A$1&amp;"'!$C$7:$CX$7"),1,AO152)),"")</f>
        <v/>
      </c>
      <c r="AQ157" s="257"/>
      <c r="AR157" s="258"/>
    </row>
    <row r="158" spans="1:44" s="19" customFormat="1" ht="10.25" customHeight="1" x14ac:dyDescent="0.7">
      <c r="A158" s="259" t="s">
        <v>160</v>
      </c>
      <c r="B158" s="259"/>
      <c r="C158" s="259"/>
      <c r="D158" s="259"/>
      <c r="E158" s="17" t="str" cm="1">
        <f t="array" aca="1" ref="E158" ca="1">IFERROR(INDEX(INDIRECT("'"&amp;集計3!$A$1&amp;"'!$C$11:$CX$11"),1,E152),"")</f>
        <v/>
      </c>
      <c r="F158" s="260" t="str" cm="1">
        <f t="array" aca="1" ref="F158" ca="1">IFERROR(IF(INDEX(INDIRECT("'"&amp;集計3!$A$1&amp;"'!$C$8:$CX$8"),1,E152)=0,"",INDEX(INDIRECT("'"&amp;集計3!$A$1&amp;"'!$C$8:$CX$8"),1,E152)),"")</f>
        <v/>
      </c>
      <c r="G158" s="260"/>
      <c r="H158" s="261"/>
      <c r="I158" s="17" t="str" cm="1">
        <f t="array" aca="1" ref="I158" ca="1">IFERROR(INDEX(INDIRECT("'"&amp;集計3!$A$1&amp;"'!$C$11:$CX$11"),1,I152),"")</f>
        <v/>
      </c>
      <c r="J158" s="260" t="str" cm="1">
        <f t="array" aca="1" ref="J158" ca="1">IFERROR(IF(INDEX(INDIRECT("'"&amp;集計3!$A$1&amp;"'!$C$8:$CX$8"),1,I152)=0,"",INDEX(INDIRECT("'"&amp;集計3!$A$1&amp;"'!$C$8:$CX$8"),1,I152)),"")</f>
        <v/>
      </c>
      <c r="K158" s="260"/>
      <c r="L158" s="261"/>
      <c r="M158" s="17" t="str" cm="1">
        <f t="array" aca="1" ref="M158" ca="1">IFERROR(INDEX(INDIRECT("'"&amp;集計3!$A$1&amp;"'!$C$11:$CX$11"),1,M152),"")</f>
        <v/>
      </c>
      <c r="N158" s="260" t="str" cm="1">
        <f t="array" aca="1" ref="N158" ca="1">IFERROR(IF(INDEX(INDIRECT("'"&amp;集計3!$A$1&amp;"'!$C$8:$CX$8"),1,M152)=0,"",INDEX(INDIRECT("'"&amp;集計3!$A$1&amp;"'!$C$8:$CX$8"),1,M152)),"")</f>
        <v/>
      </c>
      <c r="O158" s="260"/>
      <c r="P158" s="261"/>
      <c r="Q158" s="17" t="str" cm="1">
        <f t="array" aca="1" ref="Q158" ca="1">IFERROR(INDEX(INDIRECT("'"&amp;集計3!$A$1&amp;"'!$C$11:$CX$11"),1,Q152),"")</f>
        <v/>
      </c>
      <c r="R158" s="260" t="str" cm="1">
        <f t="array" aca="1" ref="R158" ca="1">IFERROR(IF(INDEX(INDIRECT("'"&amp;集計3!$A$1&amp;"'!$C$8:$CX$8"),1,Q152)=0,"",INDEX(INDIRECT("'"&amp;集計3!$A$1&amp;"'!$C$8:$CX$8"),1,Q152)),"")</f>
        <v/>
      </c>
      <c r="S158" s="260"/>
      <c r="T158" s="261"/>
      <c r="U158" s="17" t="str" cm="1">
        <f t="array" aca="1" ref="U158" ca="1">IFERROR(INDEX(INDIRECT("'"&amp;集計3!$A$1&amp;"'!$C$11:$CX$11"),1,U152),"")</f>
        <v/>
      </c>
      <c r="V158" s="260" t="str" cm="1">
        <f t="array" aca="1" ref="V158" ca="1">IFERROR(IF(INDEX(INDIRECT("'"&amp;集計3!$A$1&amp;"'!$C$8:$CX$8"),1,U152)=0,"",INDEX(INDIRECT("'"&amp;集計3!$A$1&amp;"'!$C$8:$CX$8"),1,U152)),"")</f>
        <v/>
      </c>
      <c r="W158" s="260"/>
      <c r="X158" s="261"/>
      <c r="Y158" s="17" t="str" cm="1">
        <f t="array" aca="1" ref="Y158" ca="1">IFERROR(INDEX(INDIRECT("'"&amp;集計3!$A$1&amp;"'!$C$11:$CX$11"),1,Y152),"")</f>
        <v/>
      </c>
      <c r="Z158" s="260" t="str" cm="1">
        <f t="array" aca="1" ref="Z158" ca="1">IFERROR(IF(INDEX(INDIRECT("'"&amp;集計3!$A$1&amp;"'!$C$8:$CX$8"),1,Y152)=0,"",INDEX(INDIRECT("'"&amp;集計3!$A$1&amp;"'!$C$8:$CX$8"),1,Y152)),"")</f>
        <v/>
      </c>
      <c r="AA158" s="260"/>
      <c r="AB158" s="261"/>
      <c r="AC158" s="17" t="str" cm="1">
        <f t="array" aca="1" ref="AC158" ca="1">IFERROR(INDEX(INDIRECT("'"&amp;集計3!$A$1&amp;"'!$C$11:$CX$11"),1,AC152),"")</f>
        <v/>
      </c>
      <c r="AD158" s="260" t="str" cm="1">
        <f t="array" aca="1" ref="AD158" ca="1">IFERROR(IF(INDEX(INDIRECT("'"&amp;集計3!$A$1&amp;"'!$C$8:$CX$8"),1,AC152)=0,"",INDEX(INDIRECT("'"&amp;集計3!$A$1&amp;"'!$C$8:$CX$8"),1,AC152)),"")</f>
        <v/>
      </c>
      <c r="AE158" s="260"/>
      <c r="AF158" s="261"/>
      <c r="AG158" s="17" t="str" cm="1">
        <f t="array" aca="1" ref="AG158" ca="1">IFERROR(INDEX(INDIRECT("'"&amp;集計3!$A$1&amp;"'!$C$11:$CX$11"),1,AG152),"")</f>
        <v/>
      </c>
      <c r="AH158" s="260" t="str" cm="1">
        <f t="array" aca="1" ref="AH158" ca="1">IFERROR(IF(INDEX(INDIRECT("'"&amp;集計3!$A$1&amp;"'!$C$8:$CX$8"),1,AG152)=0,"",INDEX(INDIRECT("'"&amp;集計3!$A$1&amp;"'!$C$8:$CX$8"),1,AG152)),"")</f>
        <v/>
      </c>
      <c r="AI158" s="260"/>
      <c r="AJ158" s="261"/>
      <c r="AK158" s="17" t="str" cm="1">
        <f t="array" aca="1" ref="AK158" ca="1">IFERROR(INDEX(INDIRECT("'"&amp;集計3!$A$1&amp;"'!$C$11:$CX$11"),1,AK152),"")</f>
        <v/>
      </c>
      <c r="AL158" s="260" t="str" cm="1">
        <f t="array" aca="1" ref="AL158" ca="1">IFERROR(IF(INDEX(INDIRECT("'"&amp;集計3!$A$1&amp;"'!$C$8:$CX$8"),1,AK152)=0,"",INDEX(INDIRECT("'"&amp;集計3!$A$1&amp;"'!$C$8:$CX$8"),1,AK152)),"")</f>
        <v/>
      </c>
      <c r="AM158" s="260"/>
      <c r="AN158" s="261"/>
      <c r="AO158" s="17" t="str" cm="1">
        <f t="array" aca="1" ref="AO158" ca="1">IFERROR(INDEX(INDIRECT("'"&amp;集計3!$A$1&amp;"'!$C$11:$CX$11"),1,AO152),"")</f>
        <v/>
      </c>
      <c r="AP158" s="260" t="str" cm="1">
        <f t="array" aca="1" ref="AP158" ca="1">IFERROR(IF(INDEX(INDIRECT("'"&amp;集計3!$A$1&amp;"'!$C$8:$CX$8"),1,AO152)=0,"",INDEX(INDIRECT("'"&amp;集計3!$A$1&amp;"'!$C$8:$CX$8"),1,AO152)),"")</f>
        <v/>
      </c>
      <c r="AQ158" s="260"/>
      <c r="AR158" s="261"/>
    </row>
    <row r="159" spans="1:44" ht="8" customHeight="1" x14ac:dyDescent="0.7">
      <c r="A159" s="217" t="s">
        <v>161</v>
      </c>
      <c r="B159" s="217"/>
      <c r="C159" s="217"/>
      <c r="D159" s="217"/>
      <c r="E159" s="244" t="str" cm="1">
        <f t="array" aca="1" ref="E159" ca="1">IFERROR(INDEX(INDIRECT("'"&amp;集計3!$A$1&amp;"'!$C$3:$CX$3"),1,E152),"")</f>
        <v/>
      </c>
      <c r="F159" s="245"/>
      <c r="G159" s="245"/>
      <c r="H159" s="246"/>
      <c r="I159" s="244" t="str" cm="1">
        <f t="array" aca="1" ref="I159" ca="1">IFERROR(INDEX(INDIRECT("'"&amp;集計3!$A$1&amp;"'!$C$3:$CX$3"),1,I152),"")</f>
        <v/>
      </c>
      <c r="J159" s="245"/>
      <c r="K159" s="245"/>
      <c r="L159" s="246"/>
      <c r="M159" s="244" t="str" cm="1">
        <f t="array" aca="1" ref="M159" ca="1">IFERROR(INDEX(INDIRECT("'"&amp;集計3!$A$1&amp;"'!$C$3:$CX$3"),1,M152),"")</f>
        <v/>
      </c>
      <c r="N159" s="245"/>
      <c r="O159" s="245"/>
      <c r="P159" s="246"/>
      <c r="Q159" s="244" t="str" cm="1">
        <f t="array" aca="1" ref="Q159" ca="1">IFERROR(INDEX(INDIRECT("'"&amp;集計3!$A$1&amp;"'!$C$3:$CX$3"),1,Q152),"")</f>
        <v/>
      </c>
      <c r="R159" s="245"/>
      <c r="S159" s="245"/>
      <c r="T159" s="246"/>
      <c r="U159" s="244" t="str" cm="1">
        <f t="array" aca="1" ref="U159" ca="1">IFERROR(INDEX(INDIRECT("'"&amp;集計3!$A$1&amp;"'!$C$3:$CX$3"),1,U152),"")</f>
        <v/>
      </c>
      <c r="V159" s="245"/>
      <c r="W159" s="245"/>
      <c r="X159" s="246"/>
      <c r="Y159" s="244" t="str" cm="1">
        <f t="array" aca="1" ref="Y159" ca="1">IFERROR(INDEX(INDIRECT("'"&amp;集計3!$A$1&amp;"'!$C$3:$CX$3"),1,Y152),"")</f>
        <v/>
      </c>
      <c r="Z159" s="245"/>
      <c r="AA159" s="245"/>
      <c r="AB159" s="246"/>
      <c r="AC159" s="244" t="str" cm="1">
        <f t="array" aca="1" ref="AC159" ca="1">IFERROR(INDEX(INDIRECT("'"&amp;集計3!$A$1&amp;"'!$C$3:$CX$3"),1,AC152),"")</f>
        <v/>
      </c>
      <c r="AD159" s="245"/>
      <c r="AE159" s="245"/>
      <c r="AF159" s="246"/>
      <c r="AG159" s="244" t="str" cm="1">
        <f t="array" aca="1" ref="AG159" ca="1">IFERROR(INDEX(INDIRECT("'"&amp;集計3!$A$1&amp;"'!$C$3:$CX$3"),1,AG152),"")</f>
        <v/>
      </c>
      <c r="AH159" s="245"/>
      <c r="AI159" s="245"/>
      <c r="AJ159" s="246"/>
      <c r="AK159" s="244" t="str" cm="1">
        <f t="array" aca="1" ref="AK159" ca="1">IFERROR(INDEX(INDIRECT("'"&amp;集計3!$A$1&amp;"'!$C$3:$CX$3"),1,AK152),"")</f>
        <v/>
      </c>
      <c r="AL159" s="245"/>
      <c r="AM159" s="245"/>
      <c r="AN159" s="246"/>
      <c r="AO159" s="244" t="str" cm="1">
        <f t="array" aca="1" ref="AO159" ca="1">IFERROR(INDEX(INDIRECT("'"&amp;集計3!$A$1&amp;"'!$C$3:$CX$3"),1,AO152),"")</f>
        <v/>
      </c>
      <c r="AP159" s="245"/>
      <c r="AQ159" s="245"/>
      <c r="AR159" s="246"/>
    </row>
    <row r="160" spans="1:44" ht="8" customHeight="1" x14ac:dyDescent="0.7">
      <c r="A160" s="217"/>
      <c r="B160" s="217"/>
      <c r="C160" s="217"/>
      <c r="D160" s="217"/>
      <c r="E160" s="247"/>
      <c r="F160" s="248"/>
      <c r="G160" s="248"/>
      <c r="H160" s="249"/>
      <c r="I160" s="247"/>
      <c r="J160" s="248"/>
      <c r="K160" s="248"/>
      <c r="L160" s="249"/>
      <c r="M160" s="247"/>
      <c r="N160" s="248"/>
      <c r="O160" s="248"/>
      <c r="P160" s="249"/>
      <c r="Q160" s="247"/>
      <c r="R160" s="248"/>
      <c r="S160" s="248"/>
      <c r="T160" s="249"/>
      <c r="U160" s="247"/>
      <c r="V160" s="248"/>
      <c r="W160" s="248"/>
      <c r="X160" s="249"/>
      <c r="Y160" s="247"/>
      <c r="Z160" s="248"/>
      <c r="AA160" s="248"/>
      <c r="AB160" s="249"/>
      <c r="AC160" s="247"/>
      <c r="AD160" s="248"/>
      <c r="AE160" s="248"/>
      <c r="AF160" s="249"/>
      <c r="AG160" s="247"/>
      <c r="AH160" s="248"/>
      <c r="AI160" s="248"/>
      <c r="AJ160" s="249"/>
      <c r="AK160" s="247"/>
      <c r="AL160" s="248"/>
      <c r="AM160" s="248"/>
      <c r="AN160" s="249"/>
      <c r="AO160" s="247"/>
      <c r="AP160" s="248"/>
      <c r="AQ160" s="248"/>
      <c r="AR160" s="249"/>
    </row>
    <row r="161" spans="1:44" ht="14.75" customHeight="1" x14ac:dyDescent="0.7">
      <c r="A161" s="250" t="s">
        <v>162</v>
      </c>
      <c r="B161" s="250"/>
      <c r="C161" s="251">
        <v>1</v>
      </c>
      <c r="D161" s="252"/>
      <c r="E161" s="253" t="str" cm="1">
        <f t="array" aca="1" ref="E161" ca="1">IF(INDEX(集計3!$C$16:$CX$25,$C161,INDIRECT(ADDRESS(ROW()-8-($C161),COLUMN())))="","",INDEX(集計3!$C$16:$CX$25,$C161,INDIRECT(ADDRESS(ROW()-8-($C161),COLUMN()))))</f>
        <v/>
      </c>
      <c r="F161" s="254"/>
      <c r="G161" s="254"/>
      <c r="H161" s="255"/>
      <c r="I161" s="253" t="str" cm="1">
        <f t="array" aca="1" ref="I161" ca="1">IF(INDEX(集計3!$C$16:$CX$25,$C161,INDIRECT(ADDRESS(ROW()-8-($C161),COLUMN())))="","",INDEX(集計3!$C$16:$CX$25,$C161,INDIRECT(ADDRESS(ROW()-8-($C161),COLUMN()))))</f>
        <v/>
      </c>
      <c r="J161" s="254"/>
      <c r="K161" s="254"/>
      <c r="L161" s="255"/>
      <c r="M161" s="253" t="str" cm="1">
        <f t="array" aca="1" ref="M161" ca="1">IF(INDEX(集計3!$C$16:$CX$25,$C161,INDIRECT(ADDRESS(ROW()-8-($C161),COLUMN())))="","",INDEX(集計3!$C$16:$CX$25,$C161,INDIRECT(ADDRESS(ROW()-8-($C161),COLUMN()))))</f>
        <v/>
      </c>
      <c r="N161" s="254"/>
      <c r="O161" s="254"/>
      <c r="P161" s="255"/>
      <c r="Q161" s="253" t="str" cm="1">
        <f t="array" aca="1" ref="Q161" ca="1">IF(INDEX(集計3!$C$16:$CX$25,$C161,INDIRECT(ADDRESS(ROW()-8-($C161),COLUMN())))="","",INDEX(集計3!$C$16:$CX$25,$C161,INDIRECT(ADDRESS(ROW()-8-($C161),COLUMN()))))</f>
        <v/>
      </c>
      <c r="R161" s="254"/>
      <c r="S161" s="254"/>
      <c r="T161" s="255"/>
      <c r="U161" s="253" t="str" cm="1">
        <f t="array" aca="1" ref="U161" ca="1">IF(INDEX(集計3!$C$16:$CX$25,$C161,INDIRECT(ADDRESS(ROW()-8-($C161),COLUMN())))="","",INDEX(集計3!$C$16:$CX$25,$C161,INDIRECT(ADDRESS(ROW()-8-($C161),COLUMN()))))</f>
        <v/>
      </c>
      <c r="V161" s="254"/>
      <c r="W161" s="254"/>
      <c r="X161" s="255"/>
      <c r="Y161" s="253" t="str" cm="1">
        <f t="array" aca="1" ref="Y161" ca="1">IF(INDEX(集計3!$C$16:$CX$25,$C161,INDIRECT(ADDRESS(ROW()-8-($C161),COLUMN())))="","",INDEX(集計3!$C$16:$CX$25,$C161,INDIRECT(ADDRESS(ROW()-8-($C161),COLUMN()))))</f>
        <v/>
      </c>
      <c r="Z161" s="254"/>
      <c r="AA161" s="254"/>
      <c r="AB161" s="255"/>
      <c r="AC161" s="253" t="str" cm="1">
        <f t="array" aca="1" ref="AC161" ca="1">IF(INDEX(集計3!$C$16:$CX$25,$C161,INDIRECT(ADDRESS(ROW()-8-($C161),COLUMN())))="","",INDEX(集計3!$C$16:$CX$25,$C161,INDIRECT(ADDRESS(ROW()-8-($C161),COLUMN()))))</f>
        <v/>
      </c>
      <c r="AD161" s="254"/>
      <c r="AE161" s="254"/>
      <c r="AF161" s="255"/>
      <c r="AG161" s="253" t="str" cm="1">
        <f t="array" aca="1" ref="AG161" ca="1">IF(INDEX(集計3!$C$16:$CX$25,$C161,INDIRECT(ADDRESS(ROW()-8-($C161),COLUMN())))="","",INDEX(集計3!$C$16:$CX$25,$C161,INDIRECT(ADDRESS(ROW()-8-($C161),COLUMN()))))</f>
        <v/>
      </c>
      <c r="AH161" s="254"/>
      <c r="AI161" s="254"/>
      <c r="AJ161" s="255"/>
      <c r="AK161" s="253" t="str" cm="1">
        <f t="array" aca="1" ref="AK161" ca="1">IF(INDEX(集計3!$C$16:$CX$25,$C161,INDIRECT(ADDRESS(ROW()-8-($C161),COLUMN())))="","",INDEX(集計3!$C$16:$CX$25,$C161,INDIRECT(ADDRESS(ROW()-8-($C161),COLUMN()))))</f>
        <v/>
      </c>
      <c r="AL161" s="254"/>
      <c r="AM161" s="254"/>
      <c r="AN161" s="255"/>
      <c r="AO161" s="253" t="str" cm="1">
        <f t="array" aca="1" ref="AO161" ca="1">IF(INDEX(集計3!$C$16:$CX$25,$C161,INDIRECT(ADDRESS(ROW()-8-($C161),COLUMN())))="","",INDEX(集計3!$C$16:$CX$25,$C161,INDIRECT(ADDRESS(ROW()-8-($C161),COLUMN()))))</f>
        <v/>
      </c>
      <c r="AP161" s="254"/>
      <c r="AQ161" s="254"/>
      <c r="AR161" s="255"/>
    </row>
    <row r="162" spans="1:44" ht="14.75" customHeight="1" x14ac:dyDescent="0.7">
      <c r="A162" s="250"/>
      <c r="B162" s="250"/>
      <c r="C162" s="231">
        <v>2</v>
      </c>
      <c r="D162" s="232"/>
      <c r="E162" s="241" t="str" cm="1">
        <f t="array" aca="1" ref="E162" ca="1">IF(INDEX(集計3!$C$16:$CX$25,$C162,INDIRECT(ADDRESS(ROW()-8-($C162),COLUMN())))="","",INDEX(集計3!$C$16:$CX$25,$C162,INDIRECT(ADDRESS(ROW()-8-($C162),COLUMN()))))</f>
        <v/>
      </c>
      <c r="F162" s="242"/>
      <c r="G162" s="242"/>
      <c r="H162" s="243"/>
      <c r="I162" s="241" t="str" cm="1">
        <f t="array" aca="1" ref="I162" ca="1">IF(INDEX(集計3!$C$16:$CX$25,$C162,INDIRECT(ADDRESS(ROW()-8-($C162),COLUMN())))="","",INDEX(集計3!$C$16:$CX$25,$C162,INDIRECT(ADDRESS(ROW()-8-($C162),COLUMN()))))</f>
        <v/>
      </c>
      <c r="J162" s="242"/>
      <c r="K162" s="242"/>
      <c r="L162" s="243"/>
      <c r="M162" s="241" t="str" cm="1">
        <f t="array" aca="1" ref="M162" ca="1">IF(INDEX(集計3!$C$16:$CX$25,$C162,INDIRECT(ADDRESS(ROW()-8-($C162),COLUMN())))="","",INDEX(集計3!$C$16:$CX$25,$C162,INDIRECT(ADDRESS(ROW()-8-($C162),COLUMN()))))</f>
        <v/>
      </c>
      <c r="N162" s="242"/>
      <c r="O162" s="242"/>
      <c r="P162" s="243"/>
      <c r="Q162" s="241" t="str" cm="1">
        <f t="array" aca="1" ref="Q162" ca="1">IF(INDEX(集計3!$C$16:$CX$25,$C162,INDIRECT(ADDRESS(ROW()-8-($C162),COLUMN())))="","",INDEX(集計3!$C$16:$CX$25,$C162,INDIRECT(ADDRESS(ROW()-8-($C162),COLUMN()))))</f>
        <v/>
      </c>
      <c r="R162" s="242"/>
      <c r="S162" s="242"/>
      <c r="T162" s="243"/>
      <c r="U162" s="241" t="str" cm="1">
        <f t="array" aca="1" ref="U162" ca="1">IF(INDEX(集計3!$C$16:$CX$25,$C162,INDIRECT(ADDRESS(ROW()-8-($C162),COLUMN())))="","",INDEX(集計3!$C$16:$CX$25,$C162,INDIRECT(ADDRESS(ROW()-8-($C162),COLUMN()))))</f>
        <v/>
      </c>
      <c r="V162" s="242"/>
      <c r="W162" s="242"/>
      <c r="X162" s="243"/>
      <c r="Y162" s="241" t="str" cm="1">
        <f t="array" aca="1" ref="Y162" ca="1">IF(INDEX(集計3!$C$16:$CX$25,$C162,INDIRECT(ADDRESS(ROW()-8-($C162),COLUMN())))="","",INDEX(集計3!$C$16:$CX$25,$C162,INDIRECT(ADDRESS(ROW()-8-($C162),COLUMN()))))</f>
        <v/>
      </c>
      <c r="Z162" s="242"/>
      <c r="AA162" s="242"/>
      <c r="AB162" s="243"/>
      <c r="AC162" s="241" t="str" cm="1">
        <f t="array" aca="1" ref="AC162" ca="1">IF(INDEX(集計3!$C$16:$CX$25,$C162,INDIRECT(ADDRESS(ROW()-8-($C162),COLUMN())))="","",INDEX(集計3!$C$16:$CX$25,$C162,INDIRECT(ADDRESS(ROW()-8-($C162),COLUMN()))))</f>
        <v/>
      </c>
      <c r="AD162" s="242"/>
      <c r="AE162" s="242"/>
      <c r="AF162" s="243"/>
      <c r="AG162" s="241" t="str" cm="1">
        <f t="array" aca="1" ref="AG162" ca="1">IF(INDEX(集計3!$C$16:$CX$25,$C162,INDIRECT(ADDRESS(ROW()-8-($C162),COLUMN())))="","",INDEX(集計3!$C$16:$CX$25,$C162,INDIRECT(ADDRESS(ROW()-8-($C162),COLUMN()))))</f>
        <v/>
      </c>
      <c r="AH162" s="242"/>
      <c r="AI162" s="242"/>
      <c r="AJ162" s="243"/>
      <c r="AK162" s="241" t="str" cm="1">
        <f t="array" aca="1" ref="AK162" ca="1">IF(INDEX(集計3!$C$16:$CX$25,$C162,INDIRECT(ADDRESS(ROW()-8-($C162),COLUMN())))="","",INDEX(集計3!$C$16:$CX$25,$C162,INDIRECT(ADDRESS(ROW()-8-($C162),COLUMN()))))</f>
        <v/>
      </c>
      <c r="AL162" s="242"/>
      <c r="AM162" s="242"/>
      <c r="AN162" s="243"/>
      <c r="AO162" s="241" t="str" cm="1">
        <f t="array" aca="1" ref="AO162" ca="1">IF(INDEX(集計3!$C$16:$CX$25,$C162,INDIRECT(ADDRESS(ROW()-8-($C162),COLUMN())))="","",INDEX(集計3!$C$16:$CX$25,$C162,INDIRECT(ADDRESS(ROW()-8-($C162),COLUMN()))))</f>
        <v/>
      </c>
      <c r="AP162" s="242"/>
      <c r="AQ162" s="242"/>
      <c r="AR162" s="243"/>
    </row>
    <row r="163" spans="1:44" ht="14.75" customHeight="1" x14ac:dyDescent="0.7">
      <c r="A163" s="250"/>
      <c r="B163" s="250"/>
      <c r="C163" s="231">
        <v>3</v>
      </c>
      <c r="D163" s="232"/>
      <c r="E163" s="241" t="str" cm="1">
        <f t="array" aca="1" ref="E163" ca="1">IF(INDEX(集計3!$C$16:$CX$25,$C163,INDIRECT(ADDRESS(ROW()-8-($C163),COLUMN())))="","",INDEX(集計3!$C$16:$CX$25,$C163,INDIRECT(ADDRESS(ROW()-8-($C163),COLUMN()))))</f>
        <v/>
      </c>
      <c r="F163" s="242"/>
      <c r="G163" s="242"/>
      <c r="H163" s="243"/>
      <c r="I163" s="241" t="str" cm="1">
        <f t="array" aca="1" ref="I163" ca="1">IF(INDEX(集計3!$C$16:$CX$25,$C163,INDIRECT(ADDRESS(ROW()-8-($C163),COLUMN())))="","",INDEX(集計3!$C$16:$CX$25,$C163,INDIRECT(ADDRESS(ROW()-8-($C163),COLUMN()))))</f>
        <v/>
      </c>
      <c r="J163" s="242"/>
      <c r="K163" s="242"/>
      <c r="L163" s="243"/>
      <c r="M163" s="241" t="str" cm="1">
        <f t="array" aca="1" ref="M163" ca="1">IF(INDEX(集計3!$C$16:$CX$25,$C163,INDIRECT(ADDRESS(ROW()-8-($C163),COLUMN())))="","",INDEX(集計3!$C$16:$CX$25,$C163,INDIRECT(ADDRESS(ROW()-8-($C163),COLUMN()))))</f>
        <v/>
      </c>
      <c r="N163" s="242"/>
      <c r="O163" s="242"/>
      <c r="P163" s="243"/>
      <c r="Q163" s="241" t="str" cm="1">
        <f t="array" aca="1" ref="Q163" ca="1">IF(INDEX(集計3!$C$16:$CX$25,$C163,INDIRECT(ADDRESS(ROW()-8-($C163),COLUMN())))="","",INDEX(集計3!$C$16:$CX$25,$C163,INDIRECT(ADDRESS(ROW()-8-($C163),COLUMN()))))</f>
        <v/>
      </c>
      <c r="R163" s="242"/>
      <c r="S163" s="242"/>
      <c r="T163" s="243"/>
      <c r="U163" s="241" t="str" cm="1">
        <f t="array" aca="1" ref="U163" ca="1">IF(INDEX(集計3!$C$16:$CX$25,$C163,INDIRECT(ADDRESS(ROW()-8-($C163),COLUMN())))="","",INDEX(集計3!$C$16:$CX$25,$C163,INDIRECT(ADDRESS(ROW()-8-($C163),COLUMN()))))</f>
        <v/>
      </c>
      <c r="V163" s="242"/>
      <c r="W163" s="242"/>
      <c r="X163" s="243"/>
      <c r="Y163" s="241" t="str" cm="1">
        <f t="array" aca="1" ref="Y163" ca="1">IF(INDEX(集計3!$C$16:$CX$25,$C163,INDIRECT(ADDRESS(ROW()-8-($C163),COLUMN())))="","",INDEX(集計3!$C$16:$CX$25,$C163,INDIRECT(ADDRESS(ROW()-8-($C163),COLUMN()))))</f>
        <v/>
      </c>
      <c r="Z163" s="242"/>
      <c r="AA163" s="242"/>
      <c r="AB163" s="243"/>
      <c r="AC163" s="241" t="str" cm="1">
        <f t="array" aca="1" ref="AC163" ca="1">IF(INDEX(集計3!$C$16:$CX$25,$C163,INDIRECT(ADDRESS(ROW()-8-($C163),COLUMN())))="","",INDEX(集計3!$C$16:$CX$25,$C163,INDIRECT(ADDRESS(ROW()-8-($C163),COLUMN()))))</f>
        <v/>
      </c>
      <c r="AD163" s="242"/>
      <c r="AE163" s="242"/>
      <c r="AF163" s="243"/>
      <c r="AG163" s="241" t="str" cm="1">
        <f t="array" aca="1" ref="AG163" ca="1">IF(INDEX(集計3!$C$16:$CX$25,$C163,INDIRECT(ADDRESS(ROW()-8-($C163),COLUMN())))="","",INDEX(集計3!$C$16:$CX$25,$C163,INDIRECT(ADDRESS(ROW()-8-($C163),COLUMN()))))</f>
        <v/>
      </c>
      <c r="AH163" s="242"/>
      <c r="AI163" s="242"/>
      <c r="AJ163" s="243"/>
      <c r="AK163" s="241" t="str" cm="1">
        <f t="array" aca="1" ref="AK163" ca="1">IF(INDEX(集計3!$C$16:$CX$25,$C163,INDIRECT(ADDRESS(ROW()-8-($C163),COLUMN())))="","",INDEX(集計3!$C$16:$CX$25,$C163,INDIRECT(ADDRESS(ROW()-8-($C163),COLUMN()))))</f>
        <v/>
      </c>
      <c r="AL163" s="242"/>
      <c r="AM163" s="242"/>
      <c r="AN163" s="243"/>
      <c r="AO163" s="241" t="str" cm="1">
        <f t="array" aca="1" ref="AO163" ca="1">IF(INDEX(集計3!$C$16:$CX$25,$C163,INDIRECT(ADDRESS(ROW()-8-($C163),COLUMN())))="","",INDEX(集計3!$C$16:$CX$25,$C163,INDIRECT(ADDRESS(ROW()-8-($C163),COLUMN()))))</f>
        <v/>
      </c>
      <c r="AP163" s="242"/>
      <c r="AQ163" s="242"/>
      <c r="AR163" s="243"/>
    </row>
    <row r="164" spans="1:44" ht="14.75" customHeight="1" x14ac:dyDescent="0.7">
      <c r="A164" s="250"/>
      <c r="B164" s="250"/>
      <c r="C164" s="231">
        <v>4</v>
      </c>
      <c r="D164" s="232"/>
      <c r="E164" s="241" t="str" cm="1">
        <f t="array" aca="1" ref="E164" ca="1">IF(INDEX(集計3!$C$16:$CX$25,$C164,INDIRECT(ADDRESS(ROW()-8-($C164),COLUMN())))="","",INDEX(集計3!$C$16:$CX$25,$C164,INDIRECT(ADDRESS(ROW()-8-($C164),COLUMN()))))</f>
        <v/>
      </c>
      <c r="F164" s="242"/>
      <c r="G164" s="242"/>
      <c r="H164" s="243"/>
      <c r="I164" s="241" t="str" cm="1">
        <f t="array" aca="1" ref="I164" ca="1">IF(INDEX(集計3!$C$16:$CX$25,$C164,INDIRECT(ADDRESS(ROW()-8-($C164),COLUMN())))="","",INDEX(集計3!$C$16:$CX$25,$C164,INDIRECT(ADDRESS(ROW()-8-($C164),COLUMN()))))</f>
        <v/>
      </c>
      <c r="J164" s="242"/>
      <c r="K164" s="242"/>
      <c r="L164" s="243"/>
      <c r="M164" s="241" t="str" cm="1">
        <f t="array" aca="1" ref="M164" ca="1">IF(INDEX(集計3!$C$16:$CX$25,$C164,INDIRECT(ADDRESS(ROW()-8-($C164),COLUMN())))="","",INDEX(集計3!$C$16:$CX$25,$C164,INDIRECT(ADDRESS(ROW()-8-($C164),COLUMN()))))</f>
        <v/>
      </c>
      <c r="N164" s="242"/>
      <c r="O164" s="242"/>
      <c r="P164" s="243"/>
      <c r="Q164" s="241" t="str" cm="1">
        <f t="array" aca="1" ref="Q164" ca="1">IF(INDEX(集計3!$C$16:$CX$25,$C164,INDIRECT(ADDRESS(ROW()-8-($C164),COLUMN())))="","",INDEX(集計3!$C$16:$CX$25,$C164,INDIRECT(ADDRESS(ROW()-8-($C164),COLUMN()))))</f>
        <v/>
      </c>
      <c r="R164" s="242"/>
      <c r="S164" s="242"/>
      <c r="T164" s="243"/>
      <c r="U164" s="241" t="str" cm="1">
        <f t="array" aca="1" ref="U164" ca="1">IF(INDEX(集計3!$C$16:$CX$25,$C164,INDIRECT(ADDRESS(ROW()-8-($C164),COLUMN())))="","",INDEX(集計3!$C$16:$CX$25,$C164,INDIRECT(ADDRESS(ROW()-8-($C164),COLUMN()))))</f>
        <v/>
      </c>
      <c r="V164" s="242"/>
      <c r="W164" s="242"/>
      <c r="X164" s="243"/>
      <c r="Y164" s="241" t="str" cm="1">
        <f t="array" aca="1" ref="Y164" ca="1">IF(INDEX(集計3!$C$16:$CX$25,$C164,INDIRECT(ADDRESS(ROW()-8-($C164),COLUMN())))="","",INDEX(集計3!$C$16:$CX$25,$C164,INDIRECT(ADDRESS(ROW()-8-($C164),COLUMN()))))</f>
        <v/>
      </c>
      <c r="Z164" s="242"/>
      <c r="AA164" s="242"/>
      <c r="AB164" s="243"/>
      <c r="AC164" s="241" t="str" cm="1">
        <f t="array" aca="1" ref="AC164" ca="1">IF(INDEX(集計3!$C$16:$CX$25,$C164,INDIRECT(ADDRESS(ROW()-8-($C164),COLUMN())))="","",INDEX(集計3!$C$16:$CX$25,$C164,INDIRECT(ADDRESS(ROW()-8-($C164),COLUMN()))))</f>
        <v/>
      </c>
      <c r="AD164" s="242"/>
      <c r="AE164" s="242"/>
      <c r="AF164" s="243"/>
      <c r="AG164" s="241" t="str" cm="1">
        <f t="array" aca="1" ref="AG164" ca="1">IF(INDEX(集計3!$C$16:$CX$25,$C164,INDIRECT(ADDRESS(ROW()-8-($C164),COLUMN())))="","",INDEX(集計3!$C$16:$CX$25,$C164,INDIRECT(ADDRESS(ROW()-8-($C164),COLUMN()))))</f>
        <v/>
      </c>
      <c r="AH164" s="242"/>
      <c r="AI164" s="242"/>
      <c r="AJ164" s="243"/>
      <c r="AK164" s="241" t="str" cm="1">
        <f t="array" aca="1" ref="AK164" ca="1">IF(INDEX(集計3!$C$16:$CX$25,$C164,INDIRECT(ADDRESS(ROW()-8-($C164),COLUMN())))="","",INDEX(集計3!$C$16:$CX$25,$C164,INDIRECT(ADDRESS(ROW()-8-($C164),COLUMN()))))</f>
        <v/>
      </c>
      <c r="AL164" s="242"/>
      <c r="AM164" s="242"/>
      <c r="AN164" s="243"/>
      <c r="AO164" s="241" t="str" cm="1">
        <f t="array" aca="1" ref="AO164" ca="1">IF(INDEX(集計3!$C$16:$CX$25,$C164,INDIRECT(ADDRESS(ROW()-8-($C164),COLUMN())))="","",INDEX(集計3!$C$16:$CX$25,$C164,INDIRECT(ADDRESS(ROW()-8-($C164),COLUMN()))))</f>
        <v/>
      </c>
      <c r="AP164" s="242"/>
      <c r="AQ164" s="242"/>
      <c r="AR164" s="243"/>
    </row>
    <row r="165" spans="1:44" ht="14.75" customHeight="1" x14ac:dyDescent="0.7">
      <c r="A165" s="250"/>
      <c r="B165" s="250"/>
      <c r="C165" s="231">
        <v>5</v>
      </c>
      <c r="D165" s="232"/>
      <c r="E165" s="241" t="str" cm="1">
        <f t="array" aca="1" ref="E165" ca="1">IF(INDEX(集計3!$C$16:$CX$25,$C165,INDIRECT(ADDRESS(ROW()-8-($C165),COLUMN())))="","",INDEX(集計3!$C$16:$CX$25,$C165,INDIRECT(ADDRESS(ROW()-8-($C165),COLUMN()))))</f>
        <v/>
      </c>
      <c r="F165" s="242"/>
      <c r="G165" s="242"/>
      <c r="H165" s="243"/>
      <c r="I165" s="241" t="str" cm="1">
        <f t="array" aca="1" ref="I165" ca="1">IF(INDEX(集計3!$C$16:$CX$25,$C165,INDIRECT(ADDRESS(ROW()-8-($C165),COLUMN())))="","",INDEX(集計3!$C$16:$CX$25,$C165,INDIRECT(ADDRESS(ROW()-8-($C165),COLUMN()))))</f>
        <v/>
      </c>
      <c r="J165" s="242"/>
      <c r="K165" s="242"/>
      <c r="L165" s="243"/>
      <c r="M165" s="241" t="str" cm="1">
        <f t="array" aca="1" ref="M165" ca="1">IF(INDEX(集計3!$C$16:$CX$25,$C165,INDIRECT(ADDRESS(ROW()-8-($C165),COLUMN())))="","",INDEX(集計3!$C$16:$CX$25,$C165,INDIRECT(ADDRESS(ROW()-8-($C165),COLUMN()))))</f>
        <v/>
      </c>
      <c r="N165" s="242"/>
      <c r="O165" s="242"/>
      <c r="P165" s="243"/>
      <c r="Q165" s="241" t="str" cm="1">
        <f t="array" aca="1" ref="Q165" ca="1">IF(INDEX(集計3!$C$16:$CX$25,$C165,INDIRECT(ADDRESS(ROW()-8-($C165),COLUMN())))="","",INDEX(集計3!$C$16:$CX$25,$C165,INDIRECT(ADDRESS(ROW()-8-($C165),COLUMN()))))</f>
        <v/>
      </c>
      <c r="R165" s="242"/>
      <c r="S165" s="242"/>
      <c r="T165" s="243"/>
      <c r="U165" s="241" t="str" cm="1">
        <f t="array" aca="1" ref="U165" ca="1">IF(INDEX(集計3!$C$16:$CX$25,$C165,INDIRECT(ADDRESS(ROW()-8-($C165),COLUMN())))="","",INDEX(集計3!$C$16:$CX$25,$C165,INDIRECT(ADDRESS(ROW()-8-($C165),COLUMN()))))</f>
        <v/>
      </c>
      <c r="V165" s="242"/>
      <c r="W165" s="242"/>
      <c r="X165" s="243"/>
      <c r="Y165" s="241" t="str" cm="1">
        <f t="array" aca="1" ref="Y165" ca="1">IF(INDEX(集計3!$C$16:$CX$25,$C165,INDIRECT(ADDRESS(ROW()-8-($C165),COLUMN())))="","",INDEX(集計3!$C$16:$CX$25,$C165,INDIRECT(ADDRESS(ROW()-8-($C165),COLUMN()))))</f>
        <v/>
      </c>
      <c r="Z165" s="242"/>
      <c r="AA165" s="242"/>
      <c r="AB165" s="243"/>
      <c r="AC165" s="241" t="str" cm="1">
        <f t="array" aca="1" ref="AC165" ca="1">IF(INDEX(集計3!$C$16:$CX$25,$C165,INDIRECT(ADDRESS(ROW()-8-($C165),COLUMN())))="","",INDEX(集計3!$C$16:$CX$25,$C165,INDIRECT(ADDRESS(ROW()-8-($C165),COLUMN()))))</f>
        <v/>
      </c>
      <c r="AD165" s="242"/>
      <c r="AE165" s="242"/>
      <c r="AF165" s="243"/>
      <c r="AG165" s="241" t="str" cm="1">
        <f t="array" aca="1" ref="AG165" ca="1">IF(INDEX(集計3!$C$16:$CX$25,$C165,INDIRECT(ADDRESS(ROW()-8-($C165),COLUMN())))="","",INDEX(集計3!$C$16:$CX$25,$C165,INDIRECT(ADDRESS(ROW()-8-($C165),COLUMN()))))</f>
        <v/>
      </c>
      <c r="AH165" s="242"/>
      <c r="AI165" s="242"/>
      <c r="AJ165" s="243"/>
      <c r="AK165" s="241" t="str" cm="1">
        <f t="array" aca="1" ref="AK165" ca="1">IF(INDEX(集計3!$C$16:$CX$25,$C165,INDIRECT(ADDRESS(ROW()-8-($C165),COLUMN())))="","",INDEX(集計3!$C$16:$CX$25,$C165,INDIRECT(ADDRESS(ROW()-8-($C165),COLUMN()))))</f>
        <v/>
      </c>
      <c r="AL165" s="242"/>
      <c r="AM165" s="242"/>
      <c r="AN165" s="243"/>
      <c r="AO165" s="241" t="str" cm="1">
        <f t="array" aca="1" ref="AO165" ca="1">IF(INDEX(集計3!$C$16:$CX$25,$C165,INDIRECT(ADDRESS(ROW()-8-($C165),COLUMN())))="","",INDEX(集計3!$C$16:$CX$25,$C165,INDIRECT(ADDRESS(ROW()-8-($C165),COLUMN()))))</f>
        <v/>
      </c>
      <c r="AP165" s="242"/>
      <c r="AQ165" s="242"/>
      <c r="AR165" s="243"/>
    </row>
    <row r="166" spans="1:44" ht="14.75" customHeight="1" x14ac:dyDescent="0.7">
      <c r="A166" s="250"/>
      <c r="B166" s="250"/>
      <c r="C166" s="231">
        <v>6</v>
      </c>
      <c r="D166" s="232"/>
      <c r="E166" s="233" t="str" cm="1">
        <f t="array" aca="1" ref="E166" ca="1">IF(INDEX(集計3!$C$16:$CX$25,$C166,INDIRECT(ADDRESS(ROW()-8-($C166),COLUMN())))="","",INDEX(集計3!$C$16:$CX$25,$C166,INDIRECT(ADDRESS(ROW()-8-($C166),COLUMN()))))</f>
        <v/>
      </c>
      <c r="F166" s="234"/>
      <c r="G166" s="234"/>
      <c r="H166" s="235"/>
      <c r="I166" s="233" t="str" cm="1">
        <f t="array" aca="1" ref="I166" ca="1">IF(INDEX(集計3!$C$16:$CX$25,$C166,INDIRECT(ADDRESS(ROW()-8-($C166),COLUMN())))="","",INDEX(集計3!$C$16:$CX$25,$C166,INDIRECT(ADDRESS(ROW()-8-($C166),COLUMN()))))</f>
        <v/>
      </c>
      <c r="J166" s="234"/>
      <c r="K166" s="234"/>
      <c r="L166" s="235"/>
      <c r="M166" s="233" t="str" cm="1">
        <f t="array" aca="1" ref="M166" ca="1">IF(INDEX(集計3!$C$16:$CX$25,$C166,INDIRECT(ADDRESS(ROW()-8-($C166),COLUMN())))="","",INDEX(集計3!$C$16:$CX$25,$C166,INDIRECT(ADDRESS(ROW()-8-($C166),COLUMN()))))</f>
        <v/>
      </c>
      <c r="N166" s="234"/>
      <c r="O166" s="234"/>
      <c r="P166" s="235"/>
      <c r="Q166" s="233" t="str" cm="1">
        <f t="array" aca="1" ref="Q166" ca="1">IF(INDEX(集計3!$C$16:$CX$25,$C166,INDIRECT(ADDRESS(ROW()-8-($C166),COLUMN())))="","",INDEX(集計3!$C$16:$CX$25,$C166,INDIRECT(ADDRESS(ROW()-8-($C166),COLUMN()))))</f>
        <v/>
      </c>
      <c r="R166" s="234"/>
      <c r="S166" s="234"/>
      <c r="T166" s="235"/>
      <c r="U166" s="233" t="str" cm="1">
        <f t="array" aca="1" ref="U166" ca="1">IF(INDEX(集計3!$C$16:$CX$25,$C166,INDIRECT(ADDRESS(ROW()-8-($C166),COLUMN())))="","",INDEX(集計3!$C$16:$CX$25,$C166,INDIRECT(ADDRESS(ROW()-8-($C166),COLUMN()))))</f>
        <v/>
      </c>
      <c r="V166" s="234"/>
      <c r="W166" s="234"/>
      <c r="X166" s="235"/>
      <c r="Y166" s="233" t="str" cm="1">
        <f t="array" aca="1" ref="Y166" ca="1">IF(INDEX(集計3!$C$16:$CX$25,$C166,INDIRECT(ADDRESS(ROW()-8-($C166),COLUMN())))="","",INDEX(集計3!$C$16:$CX$25,$C166,INDIRECT(ADDRESS(ROW()-8-($C166),COLUMN()))))</f>
        <v/>
      </c>
      <c r="Z166" s="234"/>
      <c r="AA166" s="234"/>
      <c r="AB166" s="235"/>
      <c r="AC166" s="233" t="str" cm="1">
        <f t="array" aca="1" ref="AC166" ca="1">IF(INDEX(集計3!$C$16:$CX$25,$C166,INDIRECT(ADDRESS(ROW()-8-($C166),COLUMN())))="","",INDEX(集計3!$C$16:$CX$25,$C166,INDIRECT(ADDRESS(ROW()-8-($C166),COLUMN()))))</f>
        <v/>
      </c>
      <c r="AD166" s="234"/>
      <c r="AE166" s="234"/>
      <c r="AF166" s="235"/>
      <c r="AG166" s="233" t="str" cm="1">
        <f t="array" aca="1" ref="AG166" ca="1">IF(INDEX(集計3!$C$16:$CX$25,$C166,INDIRECT(ADDRESS(ROW()-8-($C166),COLUMN())))="","",INDEX(集計3!$C$16:$CX$25,$C166,INDIRECT(ADDRESS(ROW()-8-($C166),COLUMN()))))</f>
        <v/>
      </c>
      <c r="AH166" s="234"/>
      <c r="AI166" s="234"/>
      <c r="AJ166" s="235"/>
      <c r="AK166" s="233" t="str" cm="1">
        <f t="array" aca="1" ref="AK166" ca="1">IF(INDEX(集計3!$C$16:$CX$25,$C166,INDIRECT(ADDRESS(ROW()-8-($C166),COLUMN())))="","",INDEX(集計3!$C$16:$CX$25,$C166,INDIRECT(ADDRESS(ROW()-8-($C166),COLUMN()))))</f>
        <v/>
      </c>
      <c r="AL166" s="234"/>
      <c r="AM166" s="234"/>
      <c r="AN166" s="235"/>
      <c r="AO166" s="233" t="str" cm="1">
        <f t="array" aca="1" ref="AO166" ca="1">IF(INDEX(集計3!$C$16:$CX$25,$C166,INDIRECT(ADDRESS(ROW()-8-($C166),COLUMN())))="","",INDEX(集計3!$C$16:$CX$25,$C166,INDIRECT(ADDRESS(ROW()-8-($C166),COLUMN()))))</f>
        <v/>
      </c>
      <c r="AP166" s="234"/>
      <c r="AQ166" s="234"/>
      <c r="AR166" s="235"/>
    </row>
    <row r="167" spans="1:44" ht="14.75" customHeight="1" x14ac:dyDescent="0.7">
      <c r="A167" s="250"/>
      <c r="B167" s="250"/>
      <c r="C167" s="231">
        <v>7</v>
      </c>
      <c r="D167" s="232"/>
      <c r="E167" s="233" t="str" cm="1">
        <f t="array" aca="1" ref="E167" ca="1">IF(INDEX(集計3!$C$16:$CX$25,$C167,INDIRECT(ADDRESS(ROW()-8-($C167),COLUMN())))="","",INDEX(集計3!$C$16:$CX$25,$C167,INDIRECT(ADDRESS(ROW()-8-($C167),COLUMN()))))</f>
        <v/>
      </c>
      <c r="F167" s="234"/>
      <c r="G167" s="234"/>
      <c r="H167" s="235"/>
      <c r="I167" s="233" t="str" cm="1">
        <f t="array" aca="1" ref="I167" ca="1">IF(INDEX(集計3!$C$16:$CX$25,$C167,INDIRECT(ADDRESS(ROW()-8-($C167),COLUMN())))="","",INDEX(集計3!$C$16:$CX$25,$C167,INDIRECT(ADDRESS(ROW()-8-($C167),COLUMN()))))</f>
        <v/>
      </c>
      <c r="J167" s="234"/>
      <c r="K167" s="234"/>
      <c r="L167" s="235"/>
      <c r="M167" s="233" t="str" cm="1">
        <f t="array" aca="1" ref="M167" ca="1">IF(INDEX(集計3!$C$16:$CX$25,$C167,INDIRECT(ADDRESS(ROW()-8-($C167),COLUMN())))="","",INDEX(集計3!$C$16:$CX$25,$C167,INDIRECT(ADDRESS(ROW()-8-($C167),COLUMN()))))</f>
        <v/>
      </c>
      <c r="N167" s="234"/>
      <c r="O167" s="234"/>
      <c r="P167" s="235"/>
      <c r="Q167" s="233" t="str" cm="1">
        <f t="array" aca="1" ref="Q167" ca="1">IF(INDEX(集計3!$C$16:$CX$25,$C167,INDIRECT(ADDRESS(ROW()-8-($C167),COLUMN())))="","",INDEX(集計3!$C$16:$CX$25,$C167,INDIRECT(ADDRESS(ROW()-8-($C167),COLUMN()))))</f>
        <v/>
      </c>
      <c r="R167" s="234"/>
      <c r="S167" s="234"/>
      <c r="T167" s="235"/>
      <c r="U167" s="233" t="str" cm="1">
        <f t="array" aca="1" ref="U167" ca="1">IF(INDEX(集計3!$C$16:$CX$25,$C167,INDIRECT(ADDRESS(ROW()-8-($C167),COLUMN())))="","",INDEX(集計3!$C$16:$CX$25,$C167,INDIRECT(ADDRESS(ROW()-8-($C167),COLUMN()))))</f>
        <v/>
      </c>
      <c r="V167" s="234"/>
      <c r="W167" s="234"/>
      <c r="X167" s="235"/>
      <c r="Y167" s="233" t="str" cm="1">
        <f t="array" aca="1" ref="Y167" ca="1">IF(INDEX(集計3!$C$16:$CX$25,$C167,INDIRECT(ADDRESS(ROW()-8-($C167),COLUMN())))="","",INDEX(集計3!$C$16:$CX$25,$C167,INDIRECT(ADDRESS(ROW()-8-($C167),COLUMN()))))</f>
        <v/>
      </c>
      <c r="Z167" s="234"/>
      <c r="AA167" s="234"/>
      <c r="AB167" s="235"/>
      <c r="AC167" s="233" t="str" cm="1">
        <f t="array" aca="1" ref="AC167" ca="1">IF(INDEX(集計3!$C$16:$CX$25,$C167,INDIRECT(ADDRESS(ROW()-8-($C167),COLUMN())))="","",INDEX(集計3!$C$16:$CX$25,$C167,INDIRECT(ADDRESS(ROW()-8-($C167),COLUMN()))))</f>
        <v/>
      </c>
      <c r="AD167" s="234"/>
      <c r="AE167" s="234"/>
      <c r="AF167" s="235"/>
      <c r="AG167" s="233" t="str" cm="1">
        <f t="array" aca="1" ref="AG167" ca="1">IF(INDEX(集計3!$C$16:$CX$25,$C167,INDIRECT(ADDRESS(ROW()-8-($C167),COLUMN())))="","",INDEX(集計3!$C$16:$CX$25,$C167,INDIRECT(ADDRESS(ROW()-8-($C167),COLUMN()))))</f>
        <v/>
      </c>
      <c r="AH167" s="234"/>
      <c r="AI167" s="234"/>
      <c r="AJ167" s="235"/>
      <c r="AK167" s="233" t="str" cm="1">
        <f t="array" aca="1" ref="AK167" ca="1">IF(INDEX(集計3!$C$16:$CX$25,$C167,INDIRECT(ADDRESS(ROW()-8-($C167),COLUMN())))="","",INDEX(集計3!$C$16:$CX$25,$C167,INDIRECT(ADDRESS(ROW()-8-($C167),COLUMN()))))</f>
        <v/>
      </c>
      <c r="AL167" s="234"/>
      <c r="AM167" s="234"/>
      <c r="AN167" s="235"/>
      <c r="AO167" s="233" t="str" cm="1">
        <f t="array" aca="1" ref="AO167" ca="1">IF(INDEX(集計3!$C$16:$CX$25,$C167,INDIRECT(ADDRESS(ROW()-8-($C167),COLUMN())))="","",INDEX(集計3!$C$16:$CX$25,$C167,INDIRECT(ADDRESS(ROW()-8-($C167),COLUMN()))))</f>
        <v/>
      </c>
      <c r="AP167" s="234"/>
      <c r="AQ167" s="234"/>
      <c r="AR167" s="235"/>
    </row>
    <row r="168" spans="1:44" ht="14.75" customHeight="1" x14ac:dyDescent="0.7">
      <c r="A168" s="250"/>
      <c r="B168" s="250"/>
      <c r="C168" s="231">
        <v>8</v>
      </c>
      <c r="D168" s="232"/>
      <c r="E168" s="233" t="str" cm="1">
        <f t="array" aca="1" ref="E168" ca="1">IF(INDEX(集計3!$C$16:$CX$25,$C168,INDIRECT(ADDRESS(ROW()-8-($C168),COLUMN())))="","",INDEX(集計3!$C$16:$CX$25,$C168,INDIRECT(ADDRESS(ROW()-8-($C168),COLUMN()))))</f>
        <v/>
      </c>
      <c r="F168" s="234"/>
      <c r="G168" s="234"/>
      <c r="H168" s="235"/>
      <c r="I168" s="233" t="str" cm="1">
        <f t="array" aca="1" ref="I168" ca="1">IF(INDEX(集計3!$C$16:$CX$25,$C168,INDIRECT(ADDRESS(ROW()-8-($C168),COLUMN())))="","",INDEX(集計3!$C$16:$CX$25,$C168,INDIRECT(ADDRESS(ROW()-8-($C168),COLUMN()))))</f>
        <v/>
      </c>
      <c r="J168" s="234"/>
      <c r="K168" s="234"/>
      <c r="L168" s="235"/>
      <c r="M168" s="233" t="str" cm="1">
        <f t="array" aca="1" ref="M168" ca="1">IF(INDEX(集計3!$C$16:$CX$25,$C168,INDIRECT(ADDRESS(ROW()-8-($C168),COLUMN())))="","",INDEX(集計3!$C$16:$CX$25,$C168,INDIRECT(ADDRESS(ROW()-8-($C168),COLUMN()))))</f>
        <v/>
      </c>
      <c r="N168" s="234"/>
      <c r="O168" s="234"/>
      <c r="P168" s="235"/>
      <c r="Q168" s="233" t="str" cm="1">
        <f t="array" aca="1" ref="Q168" ca="1">IF(INDEX(集計3!$C$16:$CX$25,$C168,INDIRECT(ADDRESS(ROW()-8-($C168),COLUMN())))="","",INDEX(集計3!$C$16:$CX$25,$C168,INDIRECT(ADDRESS(ROW()-8-($C168),COLUMN()))))</f>
        <v/>
      </c>
      <c r="R168" s="234"/>
      <c r="S168" s="234"/>
      <c r="T168" s="235"/>
      <c r="U168" s="233" t="str" cm="1">
        <f t="array" aca="1" ref="U168" ca="1">IF(INDEX(集計3!$C$16:$CX$25,$C168,INDIRECT(ADDRESS(ROW()-8-($C168),COLUMN())))="","",INDEX(集計3!$C$16:$CX$25,$C168,INDIRECT(ADDRESS(ROW()-8-($C168),COLUMN()))))</f>
        <v/>
      </c>
      <c r="V168" s="234"/>
      <c r="W168" s="234"/>
      <c r="X168" s="235"/>
      <c r="Y168" s="233" t="str" cm="1">
        <f t="array" aca="1" ref="Y168" ca="1">IF(INDEX(集計3!$C$16:$CX$25,$C168,INDIRECT(ADDRESS(ROW()-8-($C168),COLUMN())))="","",INDEX(集計3!$C$16:$CX$25,$C168,INDIRECT(ADDRESS(ROW()-8-($C168),COLUMN()))))</f>
        <v/>
      </c>
      <c r="Z168" s="234"/>
      <c r="AA168" s="234"/>
      <c r="AB168" s="235"/>
      <c r="AC168" s="233" t="str" cm="1">
        <f t="array" aca="1" ref="AC168" ca="1">IF(INDEX(集計3!$C$16:$CX$25,$C168,INDIRECT(ADDRESS(ROW()-8-($C168),COLUMN())))="","",INDEX(集計3!$C$16:$CX$25,$C168,INDIRECT(ADDRESS(ROW()-8-($C168),COLUMN()))))</f>
        <v/>
      </c>
      <c r="AD168" s="234"/>
      <c r="AE168" s="234"/>
      <c r="AF168" s="235"/>
      <c r="AG168" s="233" t="str" cm="1">
        <f t="array" aca="1" ref="AG168" ca="1">IF(INDEX(集計3!$C$16:$CX$25,$C168,INDIRECT(ADDRESS(ROW()-8-($C168),COLUMN())))="","",INDEX(集計3!$C$16:$CX$25,$C168,INDIRECT(ADDRESS(ROW()-8-($C168),COLUMN()))))</f>
        <v/>
      </c>
      <c r="AH168" s="234"/>
      <c r="AI168" s="234"/>
      <c r="AJ168" s="235"/>
      <c r="AK168" s="233" t="str" cm="1">
        <f t="array" aca="1" ref="AK168" ca="1">IF(INDEX(集計3!$C$16:$CX$25,$C168,INDIRECT(ADDRESS(ROW()-8-($C168),COLUMN())))="","",INDEX(集計3!$C$16:$CX$25,$C168,INDIRECT(ADDRESS(ROW()-8-($C168),COLUMN()))))</f>
        <v/>
      </c>
      <c r="AL168" s="234"/>
      <c r="AM168" s="234"/>
      <c r="AN168" s="235"/>
      <c r="AO168" s="233" t="str" cm="1">
        <f t="array" aca="1" ref="AO168" ca="1">IF(INDEX(集計3!$C$16:$CX$25,$C168,INDIRECT(ADDRESS(ROW()-8-($C168),COLUMN())))="","",INDEX(集計3!$C$16:$CX$25,$C168,INDIRECT(ADDRESS(ROW()-8-($C168),COLUMN()))))</f>
        <v/>
      </c>
      <c r="AP168" s="234"/>
      <c r="AQ168" s="234"/>
      <c r="AR168" s="235"/>
    </row>
    <row r="169" spans="1:44" ht="14.75" customHeight="1" x14ac:dyDescent="0.7">
      <c r="A169" s="250"/>
      <c r="B169" s="250"/>
      <c r="C169" s="231">
        <v>9</v>
      </c>
      <c r="D169" s="232"/>
      <c r="E169" s="233" t="str" cm="1">
        <f t="array" aca="1" ref="E169" ca="1">IF(INDEX(集計3!$C$16:$CX$25,$C169,INDIRECT(ADDRESS(ROW()-8-($C169),COLUMN())))="","",INDEX(集計3!$C$16:$CX$25,$C169,INDIRECT(ADDRESS(ROW()-8-($C169),COLUMN()))))</f>
        <v/>
      </c>
      <c r="F169" s="234"/>
      <c r="G169" s="234"/>
      <c r="H169" s="235"/>
      <c r="I169" s="233" t="str" cm="1">
        <f t="array" aca="1" ref="I169" ca="1">IF(INDEX(集計3!$C$16:$CX$25,$C169,INDIRECT(ADDRESS(ROW()-8-($C169),COLUMN())))="","",INDEX(集計3!$C$16:$CX$25,$C169,INDIRECT(ADDRESS(ROW()-8-($C169),COLUMN()))))</f>
        <v/>
      </c>
      <c r="J169" s="234"/>
      <c r="K169" s="234"/>
      <c r="L169" s="235"/>
      <c r="M169" s="233" t="str" cm="1">
        <f t="array" aca="1" ref="M169" ca="1">IF(INDEX(集計3!$C$16:$CX$25,$C169,INDIRECT(ADDRESS(ROW()-8-($C169),COLUMN())))="","",INDEX(集計3!$C$16:$CX$25,$C169,INDIRECT(ADDRESS(ROW()-8-($C169),COLUMN()))))</f>
        <v/>
      </c>
      <c r="N169" s="234"/>
      <c r="O169" s="234"/>
      <c r="P169" s="235"/>
      <c r="Q169" s="233" t="str" cm="1">
        <f t="array" aca="1" ref="Q169" ca="1">IF(INDEX(集計3!$C$16:$CX$25,$C169,INDIRECT(ADDRESS(ROW()-8-($C169),COLUMN())))="","",INDEX(集計3!$C$16:$CX$25,$C169,INDIRECT(ADDRESS(ROW()-8-($C169),COLUMN()))))</f>
        <v/>
      </c>
      <c r="R169" s="234"/>
      <c r="S169" s="234"/>
      <c r="T169" s="235"/>
      <c r="U169" s="233" t="str" cm="1">
        <f t="array" aca="1" ref="U169" ca="1">IF(INDEX(集計3!$C$16:$CX$25,$C169,INDIRECT(ADDRESS(ROW()-8-($C169),COLUMN())))="","",INDEX(集計3!$C$16:$CX$25,$C169,INDIRECT(ADDRESS(ROW()-8-($C169),COLUMN()))))</f>
        <v/>
      </c>
      <c r="V169" s="234"/>
      <c r="W169" s="234"/>
      <c r="X169" s="235"/>
      <c r="Y169" s="233" t="str" cm="1">
        <f t="array" aca="1" ref="Y169" ca="1">IF(INDEX(集計3!$C$16:$CX$25,$C169,INDIRECT(ADDRESS(ROW()-8-($C169),COLUMN())))="","",INDEX(集計3!$C$16:$CX$25,$C169,INDIRECT(ADDRESS(ROW()-8-($C169),COLUMN()))))</f>
        <v/>
      </c>
      <c r="Z169" s="234"/>
      <c r="AA169" s="234"/>
      <c r="AB169" s="235"/>
      <c r="AC169" s="233" t="str" cm="1">
        <f t="array" aca="1" ref="AC169" ca="1">IF(INDEX(集計3!$C$16:$CX$25,$C169,INDIRECT(ADDRESS(ROW()-8-($C169),COLUMN())))="","",INDEX(集計3!$C$16:$CX$25,$C169,INDIRECT(ADDRESS(ROW()-8-($C169),COLUMN()))))</f>
        <v/>
      </c>
      <c r="AD169" s="234"/>
      <c r="AE169" s="234"/>
      <c r="AF169" s="235"/>
      <c r="AG169" s="233" t="str" cm="1">
        <f t="array" aca="1" ref="AG169" ca="1">IF(INDEX(集計3!$C$16:$CX$25,$C169,INDIRECT(ADDRESS(ROW()-8-($C169),COLUMN())))="","",INDEX(集計3!$C$16:$CX$25,$C169,INDIRECT(ADDRESS(ROW()-8-($C169),COLUMN()))))</f>
        <v/>
      </c>
      <c r="AH169" s="234"/>
      <c r="AI169" s="234"/>
      <c r="AJ169" s="235"/>
      <c r="AK169" s="233" t="str" cm="1">
        <f t="array" aca="1" ref="AK169" ca="1">IF(INDEX(集計3!$C$16:$CX$25,$C169,INDIRECT(ADDRESS(ROW()-8-($C169),COLUMN())))="","",INDEX(集計3!$C$16:$CX$25,$C169,INDIRECT(ADDRESS(ROW()-8-($C169),COLUMN()))))</f>
        <v/>
      </c>
      <c r="AL169" s="234"/>
      <c r="AM169" s="234"/>
      <c r="AN169" s="235"/>
      <c r="AO169" s="233" t="str" cm="1">
        <f t="array" aca="1" ref="AO169" ca="1">IF(INDEX(集計3!$C$16:$CX$25,$C169,INDIRECT(ADDRESS(ROW()-8-($C169),COLUMN())))="","",INDEX(集計3!$C$16:$CX$25,$C169,INDIRECT(ADDRESS(ROW()-8-($C169),COLUMN()))))</f>
        <v/>
      </c>
      <c r="AP169" s="234"/>
      <c r="AQ169" s="234"/>
      <c r="AR169" s="235"/>
    </row>
    <row r="170" spans="1:44" ht="14.75" customHeight="1" x14ac:dyDescent="0.7">
      <c r="A170" s="250"/>
      <c r="B170" s="250"/>
      <c r="C170" s="236">
        <v>10</v>
      </c>
      <c r="D170" s="237"/>
      <c r="E170" s="238" t="str" cm="1">
        <f t="array" aca="1" ref="E170" ca="1">IF(INDEX(集計3!$C$16:$CX$25,$C170,INDIRECT(ADDRESS(ROW()-8-($C170),COLUMN())))="","",INDEX(集計3!$C$16:$CX$25,$C170,INDIRECT(ADDRESS(ROW()-8-($C170),COLUMN()))))</f>
        <v/>
      </c>
      <c r="F170" s="239"/>
      <c r="G170" s="239"/>
      <c r="H170" s="240"/>
      <c r="I170" s="238" t="str" cm="1">
        <f t="array" aca="1" ref="I170" ca="1">IF(INDEX(集計3!$C$16:$CX$25,$C170,INDIRECT(ADDRESS(ROW()-8-($C170),COLUMN())))="","",INDEX(集計3!$C$16:$CX$25,$C170,INDIRECT(ADDRESS(ROW()-8-($C170),COLUMN()))))</f>
        <v/>
      </c>
      <c r="J170" s="239"/>
      <c r="K170" s="239"/>
      <c r="L170" s="240"/>
      <c r="M170" s="238" t="str" cm="1">
        <f t="array" aca="1" ref="M170" ca="1">IF(INDEX(集計3!$C$16:$CX$25,$C170,INDIRECT(ADDRESS(ROW()-8-($C170),COLUMN())))="","",INDEX(集計3!$C$16:$CX$25,$C170,INDIRECT(ADDRESS(ROW()-8-($C170),COLUMN()))))</f>
        <v/>
      </c>
      <c r="N170" s="239"/>
      <c r="O170" s="239"/>
      <c r="P170" s="240"/>
      <c r="Q170" s="238" t="str" cm="1">
        <f t="array" aca="1" ref="Q170" ca="1">IF(INDEX(集計3!$C$16:$CX$25,$C170,INDIRECT(ADDRESS(ROW()-8-($C170),COLUMN())))="","",INDEX(集計3!$C$16:$CX$25,$C170,INDIRECT(ADDRESS(ROW()-8-($C170),COLUMN()))))</f>
        <v/>
      </c>
      <c r="R170" s="239"/>
      <c r="S170" s="239"/>
      <c r="T170" s="240"/>
      <c r="U170" s="238" t="str" cm="1">
        <f t="array" aca="1" ref="U170" ca="1">IF(INDEX(集計3!$C$16:$CX$25,$C170,INDIRECT(ADDRESS(ROW()-8-($C170),COLUMN())))="","",INDEX(集計3!$C$16:$CX$25,$C170,INDIRECT(ADDRESS(ROW()-8-($C170),COLUMN()))))</f>
        <v/>
      </c>
      <c r="V170" s="239"/>
      <c r="W170" s="239"/>
      <c r="X170" s="240"/>
      <c r="Y170" s="238" t="str" cm="1">
        <f t="array" aca="1" ref="Y170" ca="1">IF(INDEX(集計3!$C$16:$CX$25,$C170,INDIRECT(ADDRESS(ROW()-8-($C170),COLUMN())))="","",INDEX(集計3!$C$16:$CX$25,$C170,INDIRECT(ADDRESS(ROW()-8-($C170),COLUMN()))))</f>
        <v/>
      </c>
      <c r="Z170" s="239"/>
      <c r="AA170" s="239"/>
      <c r="AB170" s="240"/>
      <c r="AC170" s="238" t="str" cm="1">
        <f t="array" aca="1" ref="AC170" ca="1">IF(INDEX(集計3!$C$16:$CX$25,$C170,INDIRECT(ADDRESS(ROW()-8-($C170),COLUMN())))="","",INDEX(集計3!$C$16:$CX$25,$C170,INDIRECT(ADDRESS(ROW()-8-($C170),COLUMN()))))</f>
        <v/>
      </c>
      <c r="AD170" s="239"/>
      <c r="AE170" s="239"/>
      <c r="AF170" s="240"/>
      <c r="AG170" s="238" t="str" cm="1">
        <f t="array" aca="1" ref="AG170" ca="1">IF(INDEX(集計3!$C$16:$CX$25,$C170,INDIRECT(ADDRESS(ROW()-8-($C170),COLUMN())))="","",INDEX(集計3!$C$16:$CX$25,$C170,INDIRECT(ADDRESS(ROW()-8-($C170),COLUMN()))))</f>
        <v/>
      </c>
      <c r="AH170" s="239"/>
      <c r="AI170" s="239"/>
      <c r="AJ170" s="240"/>
      <c r="AK170" s="238" t="str" cm="1">
        <f t="array" aca="1" ref="AK170" ca="1">IF(INDEX(集計3!$C$16:$CX$25,$C170,INDIRECT(ADDRESS(ROW()-8-($C170),COLUMN())))="","",INDEX(集計3!$C$16:$CX$25,$C170,INDIRECT(ADDRESS(ROW()-8-($C170),COLUMN()))))</f>
        <v/>
      </c>
      <c r="AL170" s="239"/>
      <c r="AM170" s="239"/>
      <c r="AN170" s="240"/>
      <c r="AO170" s="238" t="str" cm="1">
        <f t="array" aca="1" ref="AO170" ca="1">IF(INDEX(集計3!$C$16:$CX$25,$C170,INDIRECT(ADDRESS(ROW()-8-($C170),COLUMN())))="","",INDEX(集計3!$C$16:$CX$25,$C170,INDIRECT(ADDRESS(ROW()-8-($C170),COLUMN()))))</f>
        <v/>
      </c>
      <c r="AP170" s="239"/>
      <c r="AQ170" s="239"/>
      <c r="AR170" s="240"/>
    </row>
    <row r="171" spans="1:44" ht="7.25" customHeight="1" x14ac:dyDescent="0.7">
      <c r="A171" s="217" t="s">
        <v>163</v>
      </c>
      <c r="B171" s="217"/>
      <c r="C171" s="217"/>
      <c r="D171" s="217"/>
      <c r="E171" s="219" t="str" cm="1">
        <f t="array" aca="1" ref="E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71" s="220"/>
      <c r="G171" s="220"/>
      <c r="H171" s="221"/>
      <c r="I171" s="219" t="str" cm="1">
        <f t="array" aca="1" ref="I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71" s="220"/>
      <c r="K171" s="220"/>
      <c r="L171" s="221"/>
      <c r="M171" s="219" t="str" cm="1">
        <f t="array" aca="1" ref="M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71" s="220"/>
      <c r="O171" s="220"/>
      <c r="P171" s="221"/>
      <c r="Q171" s="219" t="str" cm="1">
        <f t="array" aca="1" ref="Q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71" s="220"/>
      <c r="S171" s="220"/>
      <c r="T171" s="221"/>
      <c r="U171" s="219" t="str" cm="1">
        <f t="array" aca="1" ref="U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71" s="220"/>
      <c r="W171" s="220"/>
      <c r="X171" s="221"/>
      <c r="Y171" s="219" t="str" cm="1">
        <f t="array" aca="1" ref="Y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71" s="220"/>
      <c r="AA171" s="220"/>
      <c r="AB171" s="221"/>
      <c r="AC171" s="219" t="str" cm="1">
        <f t="array" aca="1" ref="AC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71" s="220"/>
      <c r="AE171" s="220"/>
      <c r="AF171" s="221"/>
      <c r="AG171" s="219" t="str" cm="1">
        <f t="array" aca="1" ref="AG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71" s="220"/>
      <c r="AI171" s="220"/>
      <c r="AJ171" s="221"/>
      <c r="AK171" s="219" t="str" cm="1">
        <f t="array" aca="1" ref="AK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71" s="220"/>
      <c r="AM171" s="220"/>
      <c r="AN171" s="221"/>
      <c r="AO171" s="219" t="str" cm="1">
        <f t="array" aca="1" ref="AO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71" s="220"/>
      <c r="AQ171" s="220"/>
      <c r="AR171" s="221"/>
    </row>
    <row r="172" spans="1:44" ht="7.25" customHeight="1" x14ac:dyDescent="0.7">
      <c r="A172" s="218"/>
      <c r="B172" s="218"/>
      <c r="C172" s="218"/>
      <c r="D172" s="218"/>
      <c r="E172" s="222"/>
      <c r="F172" s="223"/>
      <c r="G172" s="223"/>
      <c r="H172" s="224"/>
      <c r="I172" s="222"/>
      <c r="J172" s="223"/>
      <c r="K172" s="223"/>
      <c r="L172" s="224"/>
      <c r="M172" s="222"/>
      <c r="N172" s="223"/>
      <c r="O172" s="223"/>
      <c r="P172" s="224"/>
      <c r="Q172" s="222"/>
      <c r="R172" s="223"/>
      <c r="S172" s="223"/>
      <c r="T172" s="224"/>
      <c r="U172" s="222"/>
      <c r="V172" s="223"/>
      <c r="W172" s="223"/>
      <c r="X172" s="224"/>
      <c r="Y172" s="222"/>
      <c r="Z172" s="223"/>
      <c r="AA172" s="223"/>
      <c r="AB172" s="224"/>
      <c r="AC172" s="222"/>
      <c r="AD172" s="223"/>
      <c r="AE172" s="223"/>
      <c r="AF172" s="224"/>
      <c r="AG172" s="222"/>
      <c r="AH172" s="223"/>
      <c r="AI172" s="223"/>
      <c r="AJ172" s="224"/>
      <c r="AK172" s="222"/>
      <c r="AL172" s="223"/>
      <c r="AM172" s="223"/>
      <c r="AN172" s="224"/>
      <c r="AO172" s="222"/>
      <c r="AP172" s="223"/>
      <c r="AQ172" s="223"/>
      <c r="AR172" s="224"/>
    </row>
    <row r="173" spans="1:44" ht="9" customHeight="1" x14ac:dyDescent="0.7">
      <c r="A173" s="225" t="s">
        <v>164</v>
      </c>
      <c r="B173" s="226"/>
      <c r="C173" s="226"/>
      <c r="D173" s="227"/>
      <c r="E173" s="228" t="str">
        <f ca="1">IF(COUNT(INDIRECT(ADDRESS(ROW()-12,COLUMN())):INDIRECT(ADDRESS(ROW()-3,COLUMN())))=0,"",MAX(INDIRECT(ADDRESS(ROW()-12,COLUMN())):INDIRECT(ADDRESS(ROW()-3,COLUMN()))))</f>
        <v/>
      </c>
      <c r="F173" s="229"/>
      <c r="G173" s="229"/>
      <c r="H173" s="230"/>
      <c r="I173" s="228" t="str">
        <f ca="1">IF(COUNT(INDIRECT(ADDRESS(ROW()-12,COLUMN())):INDIRECT(ADDRESS(ROW()-3,COLUMN())))=0,"",MAX(INDIRECT(ADDRESS(ROW()-12,COLUMN())):INDIRECT(ADDRESS(ROW()-3,COLUMN()))))</f>
        <v/>
      </c>
      <c r="J173" s="229"/>
      <c r="K173" s="229"/>
      <c r="L173" s="230"/>
      <c r="M173" s="228" t="str">
        <f ca="1">IF(COUNT(INDIRECT(ADDRESS(ROW()-12,COLUMN())):INDIRECT(ADDRESS(ROW()-3,COLUMN())))=0,"",MAX(INDIRECT(ADDRESS(ROW()-12,COLUMN())):INDIRECT(ADDRESS(ROW()-3,COLUMN()))))</f>
        <v/>
      </c>
      <c r="N173" s="229"/>
      <c r="O173" s="229"/>
      <c r="P173" s="230"/>
      <c r="Q173" s="228" t="str">
        <f ca="1">IF(COUNT(INDIRECT(ADDRESS(ROW()-12,COLUMN())):INDIRECT(ADDRESS(ROW()-3,COLUMN())))=0,"",MAX(INDIRECT(ADDRESS(ROW()-12,COLUMN())):INDIRECT(ADDRESS(ROW()-3,COLUMN()))))</f>
        <v/>
      </c>
      <c r="R173" s="229"/>
      <c r="S173" s="229"/>
      <c r="T173" s="230"/>
      <c r="U173" s="228" t="str">
        <f ca="1">IF(COUNT(INDIRECT(ADDRESS(ROW()-12,COLUMN())):INDIRECT(ADDRESS(ROW()-3,COLUMN())))=0,"",MAX(INDIRECT(ADDRESS(ROW()-12,COLUMN())):INDIRECT(ADDRESS(ROW()-3,COLUMN()))))</f>
        <v/>
      </c>
      <c r="V173" s="229"/>
      <c r="W173" s="229"/>
      <c r="X173" s="230"/>
      <c r="Y173" s="228" t="str">
        <f ca="1">IF(COUNT(INDIRECT(ADDRESS(ROW()-12,COLUMN())):INDIRECT(ADDRESS(ROW()-3,COLUMN())))=0,"",MAX(INDIRECT(ADDRESS(ROW()-12,COLUMN())):INDIRECT(ADDRESS(ROW()-3,COLUMN()))))</f>
        <v/>
      </c>
      <c r="Z173" s="229"/>
      <c r="AA173" s="229"/>
      <c r="AB173" s="230"/>
      <c r="AC173" s="228" t="str">
        <f ca="1">IF(COUNT(INDIRECT(ADDRESS(ROW()-12,COLUMN())):INDIRECT(ADDRESS(ROW()-3,COLUMN())))=0,"",MAX(INDIRECT(ADDRESS(ROW()-12,COLUMN())):INDIRECT(ADDRESS(ROW()-3,COLUMN()))))</f>
        <v/>
      </c>
      <c r="AD173" s="229"/>
      <c r="AE173" s="229"/>
      <c r="AF173" s="230"/>
      <c r="AG173" s="228" t="str">
        <f ca="1">IF(COUNT(INDIRECT(ADDRESS(ROW()-12,COLUMN())):INDIRECT(ADDRESS(ROW()-3,COLUMN())))=0,"",MAX(INDIRECT(ADDRESS(ROW()-12,COLUMN())):INDIRECT(ADDRESS(ROW()-3,COLUMN()))))</f>
        <v/>
      </c>
      <c r="AH173" s="229"/>
      <c r="AI173" s="229"/>
      <c r="AJ173" s="230"/>
      <c r="AK173" s="228" t="str">
        <f ca="1">IF(COUNT(INDIRECT(ADDRESS(ROW()-12,COLUMN())):INDIRECT(ADDRESS(ROW()-3,COLUMN())))=0,"",MAX(INDIRECT(ADDRESS(ROW()-12,COLUMN())):INDIRECT(ADDRESS(ROW()-3,COLUMN()))))</f>
        <v/>
      </c>
      <c r="AL173" s="229"/>
      <c r="AM173" s="229"/>
      <c r="AN173" s="230"/>
      <c r="AO173" s="228" t="str">
        <f ca="1">IF(COUNT(INDIRECT(ADDRESS(ROW()-12,COLUMN())):INDIRECT(ADDRESS(ROW()-3,COLUMN())))=0,"",MAX(INDIRECT(ADDRESS(ROW()-12,COLUMN())):INDIRECT(ADDRESS(ROW()-3,COLUMN()))))</f>
        <v/>
      </c>
      <c r="AP173" s="229"/>
      <c r="AQ173" s="229"/>
      <c r="AR173" s="230"/>
    </row>
    <row r="174" spans="1:44" ht="9" customHeight="1" x14ac:dyDescent="0.7">
      <c r="A174" s="211" t="s">
        <v>165</v>
      </c>
      <c r="B174" s="212"/>
      <c r="C174" s="212"/>
      <c r="D174" s="213"/>
      <c r="E174" s="214" t="str">
        <f ca="1">IF(COUNT(INDIRECT(ADDRESS(ROW()-13,COLUMN())):INDIRECT(ADDRESS(ROW()-4,COLUMN())))=0,"",MIN(INDIRECT(ADDRESS(ROW()-13,COLUMN())):INDIRECT(ADDRESS(ROW()-4,COLUMN()))))</f>
        <v/>
      </c>
      <c r="F174" s="215"/>
      <c r="G174" s="215"/>
      <c r="H174" s="216"/>
      <c r="I174" s="214" t="str">
        <f ca="1">IF(COUNT(INDIRECT(ADDRESS(ROW()-13,COLUMN())):INDIRECT(ADDRESS(ROW()-4,COLUMN())))=0,"",MIN(INDIRECT(ADDRESS(ROW()-13,COLUMN())):INDIRECT(ADDRESS(ROW()-4,COLUMN()))))</f>
        <v/>
      </c>
      <c r="J174" s="215"/>
      <c r="K174" s="215"/>
      <c r="L174" s="216"/>
      <c r="M174" s="214" t="str">
        <f ca="1">IF(COUNT(INDIRECT(ADDRESS(ROW()-13,COLUMN())):INDIRECT(ADDRESS(ROW()-4,COLUMN())))=0,"",MIN(INDIRECT(ADDRESS(ROW()-13,COLUMN())):INDIRECT(ADDRESS(ROW()-4,COLUMN()))))</f>
        <v/>
      </c>
      <c r="N174" s="215"/>
      <c r="O174" s="215"/>
      <c r="P174" s="216"/>
      <c r="Q174" s="214" t="str">
        <f ca="1">IF(COUNT(INDIRECT(ADDRESS(ROW()-13,COLUMN())):INDIRECT(ADDRESS(ROW()-4,COLUMN())))=0,"",MIN(INDIRECT(ADDRESS(ROW()-13,COLUMN())):INDIRECT(ADDRESS(ROW()-4,COLUMN()))))</f>
        <v/>
      </c>
      <c r="R174" s="215"/>
      <c r="S174" s="215"/>
      <c r="T174" s="216"/>
      <c r="U174" s="214" t="str">
        <f ca="1">IF(COUNT(INDIRECT(ADDRESS(ROW()-13,COLUMN())):INDIRECT(ADDRESS(ROW()-4,COLUMN())))=0,"",MIN(INDIRECT(ADDRESS(ROW()-13,COLUMN())):INDIRECT(ADDRESS(ROW()-4,COLUMN()))))</f>
        <v/>
      </c>
      <c r="V174" s="215"/>
      <c r="W174" s="215"/>
      <c r="X174" s="216"/>
      <c r="Y174" s="214" t="str">
        <f ca="1">IF(COUNT(INDIRECT(ADDRESS(ROW()-13,COLUMN())):INDIRECT(ADDRESS(ROW()-4,COLUMN())))=0,"",MIN(INDIRECT(ADDRESS(ROW()-13,COLUMN())):INDIRECT(ADDRESS(ROW()-4,COLUMN()))))</f>
        <v/>
      </c>
      <c r="Z174" s="215"/>
      <c r="AA174" s="215"/>
      <c r="AB174" s="216"/>
      <c r="AC174" s="214" t="str">
        <f ca="1">IF(COUNT(INDIRECT(ADDRESS(ROW()-13,COLUMN())):INDIRECT(ADDRESS(ROW()-4,COLUMN())))=0,"",MIN(INDIRECT(ADDRESS(ROW()-13,COLUMN())):INDIRECT(ADDRESS(ROW()-4,COLUMN()))))</f>
        <v/>
      </c>
      <c r="AD174" s="215"/>
      <c r="AE174" s="215"/>
      <c r="AF174" s="216"/>
      <c r="AG174" s="214" t="str">
        <f ca="1">IF(COUNT(INDIRECT(ADDRESS(ROW()-13,COLUMN())):INDIRECT(ADDRESS(ROW()-4,COLUMN())))=0,"",MIN(INDIRECT(ADDRESS(ROW()-13,COLUMN())):INDIRECT(ADDRESS(ROW()-4,COLUMN()))))</f>
        <v/>
      </c>
      <c r="AH174" s="215"/>
      <c r="AI174" s="215"/>
      <c r="AJ174" s="216"/>
      <c r="AK174" s="214" t="str">
        <f ca="1">IF(COUNT(INDIRECT(ADDRESS(ROW()-13,COLUMN())):INDIRECT(ADDRESS(ROW()-4,COLUMN())))=0,"",MIN(INDIRECT(ADDRESS(ROW()-13,COLUMN())):INDIRECT(ADDRESS(ROW()-4,COLUMN()))))</f>
        <v/>
      </c>
      <c r="AL174" s="215"/>
      <c r="AM174" s="215"/>
      <c r="AN174" s="216"/>
      <c r="AO174" s="214" t="str">
        <f ca="1">IF(COUNT(INDIRECT(ADDRESS(ROW()-13,COLUMN())):INDIRECT(ADDRESS(ROW()-4,COLUMN())))=0,"",MIN(INDIRECT(ADDRESS(ROW()-13,COLUMN())):INDIRECT(ADDRESS(ROW()-4,COLUMN()))))</f>
        <v/>
      </c>
      <c r="AP174" s="215"/>
      <c r="AQ174" s="215"/>
      <c r="AR174" s="216"/>
    </row>
    <row r="175" spans="1:44" ht="8" customHeight="1" x14ac:dyDescent="0.7">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row>
    <row r="176" spans="1:44" ht="8" customHeight="1" x14ac:dyDescent="0.7">
      <c r="A176" s="217" t="s">
        <v>157</v>
      </c>
      <c r="B176" s="217"/>
      <c r="C176" s="217"/>
      <c r="D176" s="217"/>
      <c r="E176" s="275">
        <v>61</v>
      </c>
      <c r="F176" s="276"/>
      <c r="G176" s="276"/>
      <c r="H176" s="277"/>
      <c r="I176" s="275">
        <v>62</v>
      </c>
      <c r="J176" s="276"/>
      <c r="K176" s="276"/>
      <c r="L176" s="277"/>
      <c r="M176" s="275">
        <v>63</v>
      </c>
      <c r="N176" s="276"/>
      <c r="O176" s="276"/>
      <c r="P176" s="277"/>
      <c r="Q176" s="275">
        <v>64</v>
      </c>
      <c r="R176" s="276"/>
      <c r="S176" s="276"/>
      <c r="T176" s="277"/>
      <c r="U176" s="275">
        <v>65</v>
      </c>
      <c r="V176" s="276"/>
      <c r="W176" s="276"/>
      <c r="X176" s="277"/>
      <c r="Y176" s="275">
        <v>66</v>
      </c>
      <c r="Z176" s="276"/>
      <c r="AA176" s="276"/>
      <c r="AB176" s="277"/>
      <c r="AC176" s="275">
        <v>67</v>
      </c>
      <c r="AD176" s="276"/>
      <c r="AE176" s="276"/>
      <c r="AF176" s="277"/>
      <c r="AG176" s="275">
        <v>68</v>
      </c>
      <c r="AH176" s="276"/>
      <c r="AI176" s="276"/>
      <c r="AJ176" s="277"/>
      <c r="AK176" s="275">
        <v>69</v>
      </c>
      <c r="AL176" s="276"/>
      <c r="AM176" s="276"/>
      <c r="AN176" s="277"/>
      <c r="AO176" s="275">
        <v>70</v>
      </c>
      <c r="AP176" s="276"/>
      <c r="AQ176" s="276"/>
      <c r="AR176" s="277"/>
    </row>
    <row r="177" spans="1:44" ht="8" customHeight="1" x14ac:dyDescent="0.7">
      <c r="A177" s="217"/>
      <c r="B177" s="217"/>
      <c r="C177" s="217"/>
      <c r="D177" s="217"/>
      <c r="E177" s="278"/>
      <c r="F177" s="279"/>
      <c r="G177" s="279"/>
      <c r="H177" s="280"/>
      <c r="I177" s="278"/>
      <c r="J177" s="279"/>
      <c r="K177" s="279"/>
      <c r="L177" s="280"/>
      <c r="M177" s="278"/>
      <c r="N177" s="279"/>
      <c r="O177" s="279"/>
      <c r="P177" s="280"/>
      <c r="Q177" s="278"/>
      <c r="R177" s="279"/>
      <c r="S177" s="279"/>
      <c r="T177" s="280"/>
      <c r="U177" s="278"/>
      <c r="V177" s="279"/>
      <c r="W177" s="279"/>
      <c r="X177" s="280"/>
      <c r="Y177" s="278"/>
      <c r="Z177" s="279"/>
      <c r="AA177" s="279"/>
      <c r="AB177" s="280"/>
      <c r="AC177" s="278"/>
      <c r="AD177" s="279"/>
      <c r="AE177" s="279"/>
      <c r="AF177" s="280"/>
      <c r="AG177" s="278"/>
      <c r="AH177" s="279"/>
      <c r="AI177" s="279"/>
      <c r="AJ177" s="280"/>
      <c r="AK177" s="278"/>
      <c r="AL177" s="279"/>
      <c r="AM177" s="279"/>
      <c r="AN177" s="280"/>
      <c r="AO177" s="278"/>
      <c r="AP177" s="279"/>
      <c r="AQ177" s="279"/>
      <c r="AR177" s="280"/>
    </row>
    <row r="178" spans="1:44" ht="10.25" customHeight="1" x14ac:dyDescent="0.7">
      <c r="A178" s="217" t="s">
        <v>158</v>
      </c>
      <c r="B178" s="217"/>
      <c r="C178" s="217"/>
      <c r="D178" s="217"/>
      <c r="E178" s="262" t="str" cm="1">
        <f t="array" aca="1" ref="E178" ca="1">IFERROR(INDEX(INDIRECT("'"&amp;集計3!$A$1&amp;"'!$C$4:$CX$4"),1,E176),"")</f>
        <v/>
      </c>
      <c r="F178" s="263"/>
      <c r="G178" s="263"/>
      <c r="H178" s="264"/>
      <c r="I178" s="262" t="str" cm="1">
        <f t="array" aca="1" ref="I178" ca="1">IFERROR(INDEX(INDIRECT("'"&amp;集計3!$A$1&amp;"'!$C$4:$CX$4"),1,I176),"")</f>
        <v/>
      </c>
      <c r="J178" s="263"/>
      <c r="K178" s="263"/>
      <c r="L178" s="264"/>
      <c r="M178" s="262" t="str" cm="1">
        <f t="array" aca="1" ref="M178" ca="1">IFERROR(INDEX(INDIRECT("'"&amp;集計3!$A$1&amp;"'!$C$4:$CX$4"),1,M176),"")</f>
        <v/>
      </c>
      <c r="N178" s="263"/>
      <c r="O178" s="263"/>
      <c r="P178" s="264"/>
      <c r="Q178" s="262" t="str" cm="1">
        <f t="array" aca="1" ref="Q178" ca="1">IFERROR(INDEX(INDIRECT("'"&amp;集計3!$A$1&amp;"'!$C$4:$CX$4"),1,Q176),"")</f>
        <v/>
      </c>
      <c r="R178" s="263"/>
      <c r="S178" s="263"/>
      <c r="T178" s="264"/>
      <c r="U178" s="262" t="str" cm="1">
        <f t="array" aca="1" ref="U178" ca="1">IFERROR(INDEX(INDIRECT("'"&amp;集計3!$A$1&amp;"'!$C$4:$CX$4"),1,U176),"")</f>
        <v/>
      </c>
      <c r="V178" s="263"/>
      <c r="W178" s="263"/>
      <c r="X178" s="264"/>
      <c r="Y178" s="262" t="str" cm="1">
        <f t="array" aca="1" ref="Y178" ca="1">IFERROR(INDEX(INDIRECT("'"&amp;集計3!$A$1&amp;"'!$C$4:$CX$4"),1,Y176),"")</f>
        <v/>
      </c>
      <c r="Z178" s="263"/>
      <c r="AA178" s="263"/>
      <c r="AB178" s="264"/>
      <c r="AC178" s="262" t="str" cm="1">
        <f t="array" aca="1" ref="AC178" ca="1">IFERROR(INDEX(INDIRECT("'"&amp;集計3!$A$1&amp;"'!$C$4:$CX$4"),1,AC176),"")</f>
        <v/>
      </c>
      <c r="AD178" s="263"/>
      <c r="AE178" s="263"/>
      <c r="AF178" s="264"/>
      <c r="AG178" s="262" t="str" cm="1">
        <f t="array" aca="1" ref="AG178" ca="1">IFERROR(INDEX(INDIRECT("'"&amp;集計3!$A$1&amp;"'!$C$4:$CX$4"),1,AG176),"")</f>
        <v/>
      </c>
      <c r="AH178" s="263"/>
      <c r="AI178" s="263"/>
      <c r="AJ178" s="264"/>
      <c r="AK178" s="262" t="str" cm="1">
        <f t="array" aca="1" ref="AK178" ca="1">IFERROR(INDEX(INDIRECT("'"&amp;集計3!$A$1&amp;"'!$C$4:$CX$4"),1,AK176),"")</f>
        <v/>
      </c>
      <c r="AL178" s="263"/>
      <c r="AM178" s="263"/>
      <c r="AN178" s="264"/>
      <c r="AO178" s="262" t="str" cm="1">
        <f t="array" aca="1" ref="AO178" ca="1">IFERROR(INDEX(INDIRECT("'"&amp;集計3!$A$1&amp;"'!$C$4:$CX$4"),1,AO176),"")</f>
        <v/>
      </c>
      <c r="AP178" s="263"/>
      <c r="AQ178" s="263"/>
      <c r="AR178" s="264"/>
    </row>
    <row r="179" spans="1:44" ht="10.25" customHeight="1" x14ac:dyDescent="0.7">
      <c r="A179" s="218"/>
      <c r="B179" s="218"/>
      <c r="C179" s="218"/>
      <c r="D179" s="218"/>
      <c r="E179" s="265"/>
      <c r="F179" s="266"/>
      <c r="G179" s="266"/>
      <c r="H179" s="267"/>
      <c r="I179" s="265"/>
      <c r="J179" s="266"/>
      <c r="K179" s="266"/>
      <c r="L179" s="267"/>
      <c r="M179" s="265"/>
      <c r="N179" s="266"/>
      <c r="O179" s="266"/>
      <c r="P179" s="267"/>
      <c r="Q179" s="265"/>
      <c r="R179" s="266"/>
      <c r="S179" s="266"/>
      <c r="T179" s="267"/>
      <c r="U179" s="265"/>
      <c r="V179" s="266"/>
      <c r="W179" s="266"/>
      <c r="X179" s="267"/>
      <c r="Y179" s="265"/>
      <c r="Z179" s="266"/>
      <c r="AA179" s="266"/>
      <c r="AB179" s="267"/>
      <c r="AC179" s="265"/>
      <c r="AD179" s="266"/>
      <c r="AE179" s="266"/>
      <c r="AF179" s="267"/>
      <c r="AG179" s="265"/>
      <c r="AH179" s="266"/>
      <c r="AI179" s="266"/>
      <c r="AJ179" s="267"/>
      <c r="AK179" s="265"/>
      <c r="AL179" s="266"/>
      <c r="AM179" s="266"/>
      <c r="AN179" s="267"/>
      <c r="AO179" s="265"/>
      <c r="AP179" s="266"/>
      <c r="AQ179" s="266"/>
      <c r="AR179" s="267"/>
    </row>
    <row r="180" spans="1:44" ht="10.25" customHeight="1" x14ac:dyDescent="0.7">
      <c r="A180" s="268" t="s">
        <v>127</v>
      </c>
      <c r="B180" s="269"/>
      <c r="C180" s="269"/>
      <c r="D180" s="270"/>
      <c r="E180" s="271" t="str" cm="1">
        <f t="array" aca="1" ref="E180" ca="1">IFERROR(INDEX(INDIRECT("'"&amp;集計3!$A$1&amp;"'!$C$5:$CX$5"),1,E176),"")</f>
        <v/>
      </c>
      <c r="F180" s="272"/>
      <c r="G180" s="273" t="str" cm="1">
        <f t="array" aca="1" ref="G180" ca="1">IFERROR(INDEX(INDIRECT("'"&amp;集計3!$A$1&amp;"'!$C$6:$CX$6"),1,E176),"")</f>
        <v/>
      </c>
      <c r="H180" s="274"/>
      <c r="I180" s="271" t="str" cm="1">
        <f t="array" aca="1" ref="I180" ca="1">IFERROR(INDEX(INDIRECT("'"&amp;集計3!$A$1&amp;"'!$C$5:$CX$5"),1,I176),"")</f>
        <v/>
      </c>
      <c r="J180" s="272"/>
      <c r="K180" s="273" t="str" cm="1">
        <f t="array" aca="1" ref="K180" ca="1">IFERROR(INDEX(INDIRECT("'"&amp;集計3!$A$1&amp;"'!$C$6:$CX$6"),1,I176),"")</f>
        <v/>
      </c>
      <c r="L180" s="274"/>
      <c r="M180" s="271" t="str" cm="1">
        <f t="array" aca="1" ref="M180" ca="1">IFERROR(INDEX(INDIRECT("'"&amp;集計3!$A$1&amp;"'!$C$5:$CX$5"),1,M176),"")</f>
        <v/>
      </c>
      <c r="N180" s="272"/>
      <c r="O180" s="273" t="str" cm="1">
        <f t="array" aca="1" ref="O180" ca="1">IFERROR(INDEX(INDIRECT("'"&amp;集計3!$A$1&amp;"'!$C$6:$CX$6"),1,M176),"")</f>
        <v/>
      </c>
      <c r="P180" s="274"/>
      <c r="Q180" s="271" t="str" cm="1">
        <f t="array" aca="1" ref="Q180" ca="1">IFERROR(INDEX(INDIRECT("'"&amp;集計3!$A$1&amp;"'!$C$5:$CX$5"),1,Q176),"")</f>
        <v/>
      </c>
      <c r="R180" s="272"/>
      <c r="S180" s="273" t="str" cm="1">
        <f t="array" aca="1" ref="S180" ca="1">IFERROR(INDEX(INDIRECT("'"&amp;集計3!$A$1&amp;"'!$C$6:$CX$6"),1,Q176),"")</f>
        <v/>
      </c>
      <c r="T180" s="274"/>
      <c r="U180" s="271" t="str" cm="1">
        <f t="array" aca="1" ref="U180" ca="1">IFERROR(INDEX(INDIRECT("'"&amp;集計3!$A$1&amp;"'!$C$5:$CX$5"),1,U176),"")</f>
        <v/>
      </c>
      <c r="V180" s="272"/>
      <c r="W180" s="273" t="str" cm="1">
        <f t="array" aca="1" ref="W180" ca="1">IFERROR(INDEX(INDIRECT("'"&amp;集計3!$A$1&amp;"'!$C$6:$CX$6"),1,U176),"")</f>
        <v/>
      </c>
      <c r="X180" s="274"/>
      <c r="Y180" s="271" t="str" cm="1">
        <f t="array" aca="1" ref="Y180" ca="1">IFERROR(INDEX(INDIRECT("'"&amp;集計3!$A$1&amp;"'!$C$5:$CX$5"),1,Y176),"")</f>
        <v/>
      </c>
      <c r="Z180" s="272"/>
      <c r="AA180" s="273" t="str" cm="1">
        <f t="array" aca="1" ref="AA180" ca="1">IFERROR(INDEX(INDIRECT("'"&amp;集計3!$A$1&amp;"'!$C$6:$CX$6"),1,Y176),"")</f>
        <v/>
      </c>
      <c r="AB180" s="274"/>
      <c r="AC180" s="271" t="str" cm="1">
        <f t="array" aca="1" ref="AC180" ca="1">IFERROR(INDEX(INDIRECT("'"&amp;集計3!$A$1&amp;"'!$C$5:$CX$5"),1,AC176),"")</f>
        <v/>
      </c>
      <c r="AD180" s="272"/>
      <c r="AE180" s="273" t="str" cm="1">
        <f t="array" aca="1" ref="AE180" ca="1">IFERROR(INDEX(INDIRECT("'"&amp;集計3!$A$1&amp;"'!$C$6:$CX$6"),1,AC176),"")</f>
        <v/>
      </c>
      <c r="AF180" s="274"/>
      <c r="AG180" s="271" t="str" cm="1">
        <f t="array" aca="1" ref="AG180" ca="1">IFERROR(INDEX(INDIRECT("'"&amp;集計3!$A$1&amp;"'!$C$5:$CX$5"),1,AG176),"")</f>
        <v/>
      </c>
      <c r="AH180" s="272"/>
      <c r="AI180" s="273" t="str" cm="1">
        <f t="array" aca="1" ref="AI180" ca="1">IFERROR(INDEX(INDIRECT("'"&amp;集計3!$A$1&amp;"'!$C$6:$CX$6"),1,AG176),"")</f>
        <v/>
      </c>
      <c r="AJ180" s="274"/>
      <c r="AK180" s="271" t="str" cm="1">
        <f t="array" aca="1" ref="AK180" ca="1">IFERROR(INDEX(INDIRECT("'"&amp;集計3!$A$1&amp;"'!$C$5:$CX$5"),1,AK176),"")</f>
        <v/>
      </c>
      <c r="AL180" s="272"/>
      <c r="AM180" s="273" t="str" cm="1">
        <f t="array" aca="1" ref="AM180" ca="1">IFERROR(INDEX(INDIRECT("'"&amp;集計3!$A$1&amp;"'!$C$6:$CX$6"),1,AK176),"")</f>
        <v/>
      </c>
      <c r="AN180" s="274"/>
      <c r="AO180" s="271" t="str" cm="1">
        <f t="array" aca="1" ref="AO180" ca="1">IFERROR(INDEX(INDIRECT("'"&amp;集計3!$A$1&amp;"'!$C$5:$CX$5"),1,AO176),"")</f>
        <v/>
      </c>
      <c r="AP180" s="272"/>
      <c r="AQ180" s="273" t="str" cm="1">
        <f t="array" aca="1" ref="AQ180" ca="1">IFERROR(INDEX(INDIRECT("'"&amp;集計3!$A$1&amp;"'!$C$6:$CX$6"),1,AO176),"")</f>
        <v/>
      </c>
      <c r="AR180" s="274"/>
    </row>
    <row r="181" spans="1:44" ht="10.25" customHeight="1" x14ac:dyDescent="0.7">
      <c r="A181" s="256" t="s">
        <v>159</v>
      </c>
      <c r="B181" s="256"/>
      <c r="C181" s="256"/>
      <c r="D181" s="256"/>
      <c r="E181" s="16" t="str" cm="1">
        <f t="array" aca="1" ref="E181" ca="1">IFERROR(INDEX(INDIRECT("'"&amp;集計3!$A$1&amp;"'!$C$10:$CX$10"),1,E176),"")</f>
        <v/>
      </c>
      <c r="F181" s="257" t="str" cm="1">
        <f t="array" aca="1" ref="F181" ca="1">IFERROR(IF(INDEX(INDIRECT("'"&amp;集計3!$A$1&amp;"'!$C$7:$CX$7"),1,E176)=0,"",INDEX(INDIRECT("'"&amp;集計3!$A$1&amp;"'!$C$7:$CX$7"),1,E176)),"")</f>
        <v/>
      </c>
      <c r="G181" s="257"/>
      <c r="H181" s="258"/>
      <c r="I181" s="16" t="str" cm="1">
        <f t="array" aca="1" ref="I181" ca="1">IFERROR(INDEX(INDIRECT("'"&amp;集計3!$A$1&amp;"'!$C$10:$CX$10"),1,I176),"")</f>
        <v/>
      </c>
      <c r="J181" s="257" t="str" cm="1">
        <f t="array" aca="1" ref="J181" ca="1">IFERROR(IF(INDEX(INDIRECT("'"&amp;集計3!$A$1&amp;"'!$C$7:$CX$7"),1,I176)=0,"",INDEX(INDIRECT("'"&amp;集計3!$A$1&amp;"'!$C$7:$CX$7"),1,I176)),"")</f>
        <v/>
      </c>
      <c r="K181" s="257"/>
      <c r="L181" s="258"/>
      <c r="M181" s="16" t="str" cm="1">
        <f t="array" aca="1" ref="M181" ca="1">IFERROR(INDEX(INDIRECT("'"&amp;集計3!$A$1&amp;"'!$C$10:$CX$10"),1,M176),"")</f>
        <v/>
      </c>
      <c r="N181" s="257" t="str" cm="1">
        <f t="array" aca="1" ref="N181" ca="1">IFERROR(IF(INDEX(INDIRECT("'"&amp;集計3!$A$1&amp;"'!$C$7:$CX$7"),1,M176)=0,"",INDEX(INDIRECT("'"&amp;集計3!$A$1&amp;"'!$C$7:$CX$7"),1,M176)),"")</f>
        <v/>
      </c>
      <c r="O181" s="257"/>
      <c r="P181" s="258"/>
      <c r="Q181" s="16" t="str" cm="1">
        <f t="array" aca="1" ref="Q181" ca="1">IFERROR(INDEX(INDIRECT("'"&amp;集計3!$A$1&amp;"'!$C$10:$CX$10"),1,Q176),"")</f>
        <v/>
      </c>
      <c r="R181" s="257" t="str" cm="1">
        <f t="array" aca="1" ref="R181" ca="1">IFERROR(IF(INDEX(INDIRECT("'"&amp;集計3!$A$1&amp;"'!$C$7:$CX$7"),1,Q176)=0,"",INDEX(INDIRECT("'"&amp;集計3!$A$1&amp;"'!$C$7:$CX$7"),1,Q176)),"")</f>
        <v/>
      </c>
      <c r="S181" s="257"/>
      <c r="T181" s="258"/>
      <c r="U181" s="16" t="str" cm="1">
        <f t="array" aca="1" ref="U181" ca="1">IFERROR(INDEX(INDIRECT("'"&amp;集計3!$A$1&amp;"'!$C$10:$CX$10"),1,U176),"")</f>
        <v/>
      </c>
      <c r="V181" s="257" t="str" cm="1">
        <f t="array" aca="1" ref="V181" ca="1">IFERROR(IF(INDEX(INDIRECT("'"&amp;集計3!$A$1&amp;"'!$C$7:$CX$7"),1,U176)=0,"",INDEX(INDIRECT("'"&amp;集計3!$A$1&amp;"'!$C$7:$CX$7"),1,U176)),"")</f>
        <v/>
      </c>
      <c r="W181" s="257"/>
      <c r="X181" s="258"/>
      <c r="Y181" s="16" t="str" cm="1">
        <f t="array" aca="1" ref="Y181" ca="1">IFERROR(INDEX(INDIRECT("'"&amp;集計3!$A$1&amp;"'!$C$10:$CX$10"),1,Y176),"")</f>
        <v/>
      </c>
      <c r="Z181" s="257" t="str" cm="1">
        <f t="array" aca="1" ref="Z181" ca="1">IFERROR(IF(INDEX(INDIRECT("'"&amp;集計3!$A$1&amp;"'!$C$7:$CX$7"),1,Y176)=0,"",INDEX(INDIRECT("'"&amp;集計3!$A$1&amp;"'!$C$7:$CX$7"),1,Y176)),"")</f>
        <v/>
      </c>
      <c r="AA181" s="257"/>
      <c r="AB181" s="258"/>
      <c r="AC181" s="16" t="str" cm="1">
        <f t="array" aca="1" ref="AC181" ca="1">IFERROR(INDEX(INDIRECT("'"&amp;集計3!$A$1&amp;"'!$C$10:$CX$10"),1,AC176),"")</f>
        <v/>
      </c>
      <c r="AD181" s="257" t="str" cm="1">
        <f t="array" aca="1" ref="AD181" ca="1">IFERROR(IF(INDEX(INDIRECT("'"&amp;集計3!$A$1&amp;"'!$C$7:$CX$7"),1,AC176)=0,"",INDEX(INDIRECT("'"&amp;集計3!$A$1&amp;"'!$C$7:$CX$7"),1,AC176)),"")</f>
        <v/>
      </c>
      <c r="AE181" s="257"/>
      <c r="AF181" s="258"/>
      <c r="AG181" s="16" t="str" cm="1">
        <f t="array" aca="1" ref="AG181" ca="1">IFERROR(INDEX(INDIRECT("'"&amp;集計3!$A$1&amp;"'!$C$10:$CX$10"),1,AG176),"")</f>
        <v/>
      </c>
      <c r="AH181" s="257" t="str" cm="1">
        <f t="array" aca="1" ref="AH181" ca="1">IFERROR(IF(INDEX(INDIRECT("'"&amp;集計3!$A$1&amp;"'!$C$7:$CX$7"),1,AG176)=0,"",INDEX(INDIRECT("'"&amp;集計3!$A$1&amp;"'!$C$7:$CX$7"),1,AG176)),"")</f>
        <v/>
      </c>
      <c r="AI181" s="257"/>
      <c r="AJ181" s="258"/>
      <c r="AK181" s="16" t="str" cm="1">
        <f t="array" aca="1" ref="AK181" ca="1">IFERROR(INDEX(INDIRECT("'"&amp;集計3!$A$1&amp;"'!$C$10:$CX$10"),1,AK176),"")</f>
        <v/>
      </c>
      <c r="AL181" s="257" t="str" cm="1">
        <f t="array" aca="1" ref="AL181" ca="1">IFERROR(IF(INDEX(INDIRECT("'"&amp;集計3!$A$1&amp;"'!$C$7:$CX$7"),1,AK176)=0,"",INDEX(INDIRECT("'"&amp;集計3!$A$1&amp;"'!$C$7:$CX$7"),1,AK176)),"")</f>
        <v/>
      </c>
      <c r="AM181" s="257"/>
      <c r="AN181" s="258"/>
      <c r="AO181" s="16" t="str" cm="1">
        <f t="array" aca="1" ref="AO181" ca="1">IFERROR(INDEX(INDIRECT("'"&amp;集計3!$A$1&amp;"'!$C$10:$CX$10"),1,AO176),"")</f>
        <v/>
      </c>
      <c r="AP181" s="257" t="str" cm="1">
        <f t="array" aca="1" ref="AP181" ca="1">IFERROR(IF(INDEX(INDIRECT("'"&amp;集計3!$A$1&amp;"'!$C$7:$CX$7"),1,AO176)=0,"",INDEX(INDIRECT("'"&amp;集計3!$A$1&amp;"'!$C$7:$CX$7"),1,AO176)),"")</f>
        <v/>
      </c>
      <c r="AQ181" s="257"/>
      <c r="AR181" s="258"/>
    </row>
    <row r="182" spans="1:44" ht="10.25" customHeight="1" x14ac:dyDescent="0.7">
      <c r="A182" s="259" t="s">
        <v>160</v>
      </c>
      <c r="B182" s="259"/>
      <c r="C182" s="259"/>
      <c r="D182" s="259"/>
      <c r="E182" s="17" t="str" cm="1">
        <f t="array" aca="1" ref="E182" ca="1">IFERROR(INDEX(INDIRECT("'"&amp;集計3!$A$1&amp;"'!$C$11:$CX$11"),1,E176),"")</f>
        <v/>
      </c>
      <c r="F182" s="260" t="str" cm="1">
        <f t="array" aca="1" ref="F182" ca="1">IFERROR(IF(INDEX(INDIRECT("'"&amp;集計3!$A$1&amp;"'!$C$8:$CX$8"),1,E176)=0,"",INDEX(INDIRECT("'"&amp;集計3!$A$1&amp;"'!$C$8:$CX$8"),1,E176)),"")</f>
        <v/>
      </c>
      <c r="G182" s="260"/>
      <c r="H182" s="261"/>
      <c r="I182" s="17" t="str" cm="1">
        <f t="array" aca="1" ref="I182" ca="1">IFERROR(INDEX(INDIRECT("'"&amp;集計3!$A$1&amp;"'!$C$11:$CX$11"),1,I176),"")</f>
        <v/>
      </c>
      <c r="J182" s="260" t="str" cm="1">
        <f t="array" aca="1" ref="J182" ca="1">IFERROR(IF(INDEX(INDIRECT("'"&amp;集計3!$A$1&amp;"'!$C$8:$CX$8"),1,I176)=0,"",INDEX(INDIRECT("'"&amp;集計3!$A$1&amp;"'!$C$8:$CX$8"),1,I176)),"")</f>
        <v/>
      </c>
      <c r="K182" s="260"/>
      <c r="L182" s="261"/>
      <c r="M182" s="17" t="str" cm="1">
        <f t="array" aca="1" ref="M182" ca="1">IFERROR(INDEX(INDIRECT("'"&amp;集計3!$A$1&amp;"'!$C$11:$CX$11"),1,M176),"")</f>
        <v/>
      </c>
      <c r="N182" s="260" t="str" cm="1">
        <f t="array" aca="1" ref="N182" ca="1">IFERROR(IF(INDEX(INDIRECT("'"&amp;集計3!$A$1&amp;"'!$C$8:$CX$8"),1,M176)=0,"",INDEX(INDIRECT("'"&amp;集計3!$A$1&amp;"'!$C$8:$CX$8"),1,M176)),"")</f>
        <v/>
      </c>
      <c r="O182" s="260"/>
      <c r="P182" s="261"/>
      <c r="Q182" s="17" t="str" cm="1">
        <f t="array" aca="1" ref="Q182" ca="1">IFERROR(INDEX(INDIRECT("'"&amp;集計3!$A$1&amp;"'!$C$11:$CX$11"),1,Q176),"")</f>
        <v/>
      </c>
      <c r="R182" s="260" t="str" cm="1">
        <f t="array" aca="1" ref="R182" ca="1">IFERROR(IF(INDEX(INDIRECT("'"&amp;集計3!$A$1&amp;"'!$C$8:$CX$8"),1,Q176)=0,"",INDEX(INDIRECT("'"&amp;集計3!$A$1&amp;"'!$C$8:$CX$8"),1,Q176)),"")</f>
        <v/>
      </c>
      <c r="S182" s="260"/>
      <c r="T182" s="261"/>
      <c r="U182" s="17" t="str" cm="1">
        <f t="array" aca="1" ref="U182" ca="1">IFERROR(INDEX(INDIRECT("'"&amp;集計3!$A$1&amp;"'!$C$11:$CX$11"),1,U176),"")</f>
        <v/>
      </c>
      <c r="V182" s="260" t="str" cm="1">
        <f t="array" aca="1" ref="V182" ca="1">IFERROR(IF(INDEX(INDIRECT("'"&amp;集計3!$A$1&amp;"'!$C$8:$CX$8"),1,U176)=0,"",INDEX(INDIRECT("'"&amp;集計3!$A$1&amp;"'!$C$8:$CX$8"),1,U176)),"")</f>
        <v/>
      </c>
      <c r="W182" s="260"/>
      <c r="X182" s="261"/>
      <c r="Y182" s="17" t="str" cm="1">
        <f t="array" aca="1" ref="Y182" ca="1">IFERROR(INDEX(INDIRECT("'"&amp;集計3!$A$1&amp;"'!$C$11:$CX$11"),1,Y176),"")</f>
        <v/>
      </c>
      <c r="Z182" s="260" t="str" cm="1">
        <f t="array" aca="1" ref="Z182" ca="1">IFERROR(IF(INDEX(INDIRECT("'"&amp;集計3!$A$1&amp;"'!$C$8:$CX$8"),1,Y176)=0,"",INDEX(INDIRECT("'"&amp;集計3!$A$1&amp;"'!$C$8:$CX$8"),1,Y176)),"")</f>
        <v/>
      </c>
      <c r="AA182" s="260"/>
      <c r="AB182" s="261"/>
      <c r="AC182" s="17" t="str" cm="1">
        <f t="array" aca="1" ref="AC182" ca="1">IFERROR(INDEX(INDIRECT("'"&amp;集計3!$A$1&amp;"'!$C$11:$CX$11"),1,AC176),"")</f>
        <v/>
      </c>
      <c r="AD182" s="260" t="str" cm="1">
        <f t="array" aca="1" ref="AD182" ca="1">IFERROR(IF(INDEX(INDIRECT("'"&amp;集計3!$A$1&amp;"'!$C$8:$CX$8"),1,AC176)=0,"",INDEX(INDIRECT("'"&amp;集計3!$A$1&amp;"'!$C$8:$CX$8"),1,AC176)),"")</f>
        <v/>
      </c>
      <c r="AE182" s="260"/>
      <c r="AF182" s="261"/>
      <c r="AG182" s="17" t="str" cm="1">
        <f t="array" aca="1" ref="AG182" ca="1">IFERROR(INDEX(INDIRECT("'"&amp;集計3!$A$1&amp;"'!$C$11:$CX$11"),1,AG176),"")</f>
        <v/>
      </c>
      <c r="AH182" s="260" t="str" cm="1">
        <f t="array" aca="1" ref="AH182" ca="1">IFERROR(IF(INDEX(INDIRECT("'"&amp;集計3!$A$1&amp;"'!$C$8:$CX$8"),1,AG176)=0,"",INDEX(INDIRECT("'"&amp;集計3!$A$1&amp;"'!$C$8:$CX$8"),1,AG176)),"")</f>
        <v/>
      </c>
      <c r="AI182" s="260"/>
      <c r="AJ182" s="261"/>
      <c r="AK182" s="17" t="str" cm="1">
        <f t="array" aca="1" ref="AK182" ca="1">IFERROR(INDEX(INDIRECT("'"&amp;集計3!$A$1&amp;"'!$C$11:$CX$11"),1,AK176),"")</f>
        <v/>
      </c>
      <c r="AL182" s="260" t="str" cm="1">
        <f t="array" aca="1" ref="AL182" ca="1">IFERROR(IF(INDEX(INDIRECT("'"&amp;集計3!$A$1&amp;"'!$C$8:$CX$8"),1,AK176)=0,"",INDEX(INDIRECT("'"&amp;集計3!$A$1&amp;"'!$C$8:$CX$8"),1,AK176)),"")</f>
        <v/>
      </c>
      <c r="AM182" s="260"/>
      <c r="AN182" s="261"/>
      <c r="AO182" s="17" t="str" cm="1">
        <f t="array" aca="1" ref="AO182" ca="1">IFERROR(INDEX(INDIRECT("'"&amp;集計3!$A$1&amp;"'!$C$11:$CX$11"),1,AO176),"")</f>
        <v/>
      </c>
      <c r="AP182" s="260" t="str" cm="1">
        <f t="array" aca="1" ref="AP182" ca="1">IFERROR(IF(INDEX(INDIRECT("'"&amp;集計3!$A$1&amp;"'!$C$8:$CX$8"),1,AO176)=0,"",INDEX(INDIRECT("'"&amp;集計3!$A$1&amp;"'!$C$8:$CX$8"),1,AO176)),"")</f>
        <v/>
      </c>
      <c r="AQ182" s="260"/>
      <c r="AR182" s="261"/>
    </row>
    <row r="183" spans="1:44" ht="8" customHeight="1" x14ac:dyDescent="0.7">
      <c r="A183" s="217" t="s">
        <v>161</v>
      </c>
      <c r="B183" s="217"/>
      <c r="C183" s="217"/>
      <c r="D183" s="217"/>
      <c r="E183" s="244" t="str" cm="1">
        <f t="array" aca="1" ref="E183" ca="1">IFERROR(INDEX(INDIRECT("'"&amp;集計3!$A$1&amp;"'!$C$3:$CX$3"),1,E176),"")</f>
        <v/>
      </c>
      <c r="F183" s="245"/>
      <c r="G183" s="245"/>
      <c r="H183" s="246"/>
      <c r="I183" s="244" t="str" cm="1">
        <f t="array" aca="1" ref="I183" ca="1">IFERROR(INDEX(INDIRECT("'"&amp;集計3!$A$1&amp;"'!$C$3:$CX$3"),1,I176),"")</f>
        <v/>
      </c>
      <c r="J183" s="245"/>
      <c r="K183" s="245"/>
      <c r="L183" s="246"/>
      <c r="M183" s="244" t="str" cm="1">
        <f t="array" aca="1" ref="M183" ca="1">IFERROR(INDEX(INDIRECT("'"&amp;集計3!$A$1&amp;"'!$C$3:$CX$3"),1,M176),"")</f>
        <v/>
      </c>
      <c r="N183" s="245"/>
      <c r="O183" s="245"/>
      <c r="P183" s="246"/>
      <c r="Q183" s="244" t="str" cm="1">
        <f t="array" aca="1" ref="Q183" ca="1">IFERROR(INDEX(INDIRECT("'"&amp;集計3!$A$1&amp;"'!$C$3:$CX$3"),1,Q176),"")</f>
        <v/>
      </c>
      <c r="R183" s="245"/>
      <c r="S183" s="245"/>
      <c r="T183" s="246"/>
      <c r="U183" s="244" t="str" cm="1">
        <f t="array" aca="1" ref="U183" ca="1">IFERROR(INDEX(INDIRECT("'"&amp;集計3!$A$1&amp;"'!$C$3:$CX$3"),1,U176),"")</f>
        <v/>
      </c>
      <c r="V183" s="245"/>
      <c r="W183" s="245"/>
      <c r="X183" s="246"/>
      <c r="Y183" s="244" t="str" cm="1">
        <f t="array" aca="1" ref="Y183" ca="1">IFERROR(INDEX(INDIRECT("'"&amp;集計3!$A$1&amp;"'!$C$3:$CX$3"),1,Y176),"")</f>
        <v/>
      </c>
      <c r="Z183" s="245"/>
      <c r="AA183" s="245"/>
      <c r="AB183" s="246"/>
      <c r="AC183" s="244" t="str" cm="1">
        <f t="array" aca="1" ref="AC183" ca="1">IFERROR(INDEX(INDIRECT("'"&amp;集計3!$A$1&amp;"'!$C$3:$CX$3"),1,AC176),"")</f>
        <v/>
      </c>
      <c r="AD183" s="245"/>
      <c r="AE183" s="245"/>
      <c r="AF183" s="246"/>
      <c r="AG183" s="244" t="str" cm="1">
        <f t="array" aca="1" ref="AG183" ca="1">IFERROR(INDEX(INDIRECT("'"&amp;集計3!$A$1&amp;"'!$C$3:$CX$3"),1,AG176),"")</f>
        <v/>
      </c>
      <c r="AH183" s="245"/>
      <c r="AI183" s="245"/>
      <c r="AJ183" s="246"/>
      <c r="AK183" s="244" t="str" cm="1">
        <f t="array" aca="1" ref="AK183" ca="1">IFERROR(INDEX(INDIRECT("'"&amp;集計3!$A$1&amp;"'!$C$3:$CX$3"),1,AK176),"")</f>
        <v/>
      </c>
      <c r="AL183" s="245"/>
      <c r="AM183" s="245"/>
      <c r="AN183" s="246"/>
      <c r="AO183" s="244" t="str" cm="1">
        <f t="array" aca="1" ref="AO183" ca="1">IFERROR(INDEX(INDIRECT("'"&amp;集計3!$A$1&amp;"'!$C$3:$CX$3"),1,AO176),"")</f>
        <v/>
      </c>
      <c r="AP183" s="245"/>
      <c r="AQ183" s="245"/>
      <c r="AR183" s="246"/>
    </row>
    <row r="184" spans="1:44" ht="8" customHeight="1" x14ac:dyDescent="0.7">
      <c r="A184" s="217"/>
      <c r="B184" s="217"/>
      <c r="C184" s="217"/>
      <c r="D184" s="217"/>
      <c r="E184" s="247"/>
      <c r="F184" s="248"/>
      <c r="G184" s="248"/>
      <c r="H184" s="249"/>
      <c r="I184" s="247"/>
      <c r="J184" s="248"/>
      <c r="K184" s="248"/>
      <c r="L184" s="249"/>
      <c r="M184" s="247"/>
      <c r="N184" s="248"/>
      <c r="O184" s="248"/>
      <c r="P184" s="249"/>
      <c r="Q184" s="247"/>
      <c r="R184" s="248"/>
      <c r="S184" s="248"/>
      <c r="T184" s="249"/>
      <c r="U184" s="247"/>
      <c r="V184" s="248"/>
      <c r="W184" s="248"/>
      <c r="X184" s="249"/>
      <c r="Y184" s="247"/>
      <c r="Z184" s="248"/>
      <c r="AA184" s="248"/>
      <c r="AB184" s="249"/>
      <c r="AC184" s="247"/>
      <c r="AD184" s="248"/>
      <c r="AE184" s="248"/>
      <c r="AF184" s="249"/>
      <c r="AG184" s="247"/>
      <c r="AH184" s="248"/>
      <c r="AI184" s="248"/>
      <c r="AJ184" s="249"/>
      <c r="AK184" s="247"/>
      <c r="AL184" s="248"/>
      <c r="AM184" s="248"/>
      <c r="AN184" s="249"/>
      <c r="AO184" s="247"/>
      <c r="AP184" s="248"/>
      <c r="AQ184" s="248"/>
      <c r="AR184" s="249"/>
    </row>
    <row r="185" spans="1:44" ht="14.75" customHeight="1" x14ac:dyDescent="0.7">
      <c r="A185" s="250" t="s">
        <v>162</v>
      </c>
      <c r="B185" s="250"/>
      <c r="C185" s="251">
        <v>1</v>
      </c>
      <c r="D185" s="252"/>
      <c r="E185" s="253" t="str" cm="1">
        <f t="array" aca="1" ref="E185" ca="1">IF(INDEX(集計3!$C$16:$CX$25,$C185,INDIRECT(ADDRESS(ROW()-8-($C185),COLUMN())))="","",INDEX(集計3!$C$16:$CX$25,$C185,INDIRECT(ADDRESS(ROW()-8-($C185),COLUMN()))))</f>
        <v/>
      </c>
      <c r="F185" s="254"/>
      <c r="G185" s="254"/>
      <c r="H185" s="255"/>
      <c r="I185" s="253" t="str" cm="1">
        <f t="array" aca="1" ref="I185" ca="1">IF(INDEX(集計3!$C$16:$CX$25,$C185,INDIRECT(ADDRESS(ROW()-8-($C185),COLUMN())))="","",INDEX(集計3!$C$16:$CX$25,$C185,INDIRECT(ADDRESS(ROW()-8-($C185),COLUMN()))))</f>
        <v/>
      </c>
      <c r="J185" s="254"/>
      <c r="K185" s="254"/>
      <c r="L185" s="255"/>
      <c r="M185" s="253" t="str" cm="1">
        <f t="array" aca="1" ref="M185" ca="1">IF(INDEX(集計3!$C$16:$CX$25,$C185,INDIRECT(ADDRESS(ROW()-8-($C185),COLUMN())))="","",INDEX(集計3!$C$16:$CX$25,$C185,INDIRECT(ADDRESS(ROW()-8-($C185),COLUMN()))))</f>
        <v/>
      </c>
      <c r="N185" s="254"/>
      <c r="O185" s="254"/>
      <c r="P185" s="255"/>
      <c r="Q185" s="253" t="str" cm="1">
        <f t="array" aca="1" ref="Q185" ca="1">IF(INDEX(集計3!$C$16:$CX$25,$C185,INDIRECT(ADDRESS(ROW()-8-($C185),COLUMN())))="","",INDEX(集計3!$C$16:$CX$25,$C185,INDIRECT(ADDRESS(ROW()-8-($C185),COLUMN()))))</f>
        <v/>
      </c>
      <c r="R185" s="254"/>
      <c r="S185" s="254"/>
      <c r="T185" s="255"/>
      <c r="U185" s="253" t="str" cm="1">
        <f t="array" aca="1" ref="U185" ca="1">IF(INDEX(集計3!$C$16:$CX$25,$C185,INDIRECT(ADDRESS(ROW()-8-($C185),COLUMN())))="","",INDEX(集計3!$C$16:$CX$25,$C185,INDIRECT(ADDRESS(ROW()-8-($C185),COLUMN()))))</f>
        <v/>
      </c>
      <c r="V185" s="254"/>
      <c r="W185" s="254"/>
      <c r="X185" s="255"/>
      <c r="Y185" s="253" t="str" cm="1">
        <f t="array" aca="1" ref="Y185" ca="1">IF(INDEX(集計3!$C$16:$CX$25,$C185,INDIRECT(ADDRESS(ROW()-8-($C185),COLUMN())))="","",INDEX(集計3!$C$16:$CX$25,$C185,INDIRECT(ADDRESS(ROW()-8-($C185),COLUMN()))))</f>
        <v/>
      </c>
      <c r="Z185" s="254"/>
      <c r="AA185" s="254"/>
      <c r="AB185" s="255"/>
      <c r="AC185" s="253" t="str" cm="1">
        <f t="array" aca="1" ref="AC185" ca="1">IF(INDEX(集計3!$C$16:$CX$25,$C185,INDIRECT(ADDRESS(ROW()-8-($C185),COLUMN())))="","",INDEX(集計3!$C$16:$CX$25,$C185,INDIRECT(ADDRESS(ROW()-8-($C185),COLUMN()))))</f>
        <v/>
      </c>
      <c r="AD185" s="254"/>
      <c r="AE185" s="254"/>
      <c r="AF185" s="255"/>
      <c r="AG185" s="253" t="str" cm="1">
        <f t="array" aca="1" ref="AG185" ca="1">IF(INDEX(集計3!$C$16:$CX$25,$C185,INDIRECT(ADDRESS(ROW()-8-($C185),COLUMN())))="","",INDEX(集計3!$C$16:$CX$25,$C185,INDIRECT(ADDRESS(ROW()-8-($C185),COLUMN()))))</f>
        <v/>
      </c>
      <c r="AH185" s="254"/>
      <c r="AI185" s="254"/>
      <c r="AJ185" s="255"/>
      <c r="AK185" s="253" t="str" cm="1">
        <f t="array" aca="1" ref="AK185" ca="1">IF(INDEX(集計3!$C$16:$CX$25,$C185,INDIRECT(ADDRESS(ROW()-8-($C185),COLUMN())))="","",INDEX(集計3!$C$16:$CX$25,$C185,INDIRECT(ADDRESS(ROW()-8-($C185),COLUMN()))))</f>
        <v/>
      </c>
      <c r="AL185" s="254"/>
      <c r="AM185" s="254"/>
      <c r="AN185" s="255"/>
      <c r="AO185" s="253" t="str" cm="1">
        <f t="array" aca="1" ref="AO185" ca="1">IF(INDEX(集計3!$C$16:$CX$25,$C185,INDIRECT(ADDRESS(ROW()-8-($C185),COLUMN())))="","",INDEX(集計3!$C$16:$CX$25,$C185,INDIRECT(ADDRESS(ROW()-8-($C185),COLUMN()))))</f>
        <v/>
      </c>
      <c r="AP185" s="254"/>
      <c r="AQ185" s="254"/>
      <c r="AR185" s="255"/>
    </row>
    <row r="186" spans="1:44" ht="14.75" customHeight="1" x14ac:dyDescent="0.7">
      <c r="A186" s="250"/>
      <c r="B186" s="250"/>
      <c r="C186" s="231">
        <v>2</v>
      </c>
      <c r="D186" s="232"/>
      <c r="E186" s="241" t="str" cm="1">
        <f t="array" aca="1" ref="E186" ca="1">IF(INDEX(集計3!$C$16:$CX$25,$C186,INDIRECT(ADDRESS(ROW()-8-($C186),COLUMN())))="","",INDEX(集計3!$C$16:$CX$25,$C186,INDIRECT(ADDRESS(ROW()-8-($C186),COLUMN()))))</f>
        <v/>
      </c>
      <c r="F186" s="242"/>
      <c r="G186" s="242"/>
      <c r="H186" s="243"/>
      <c r="I186" s="241" t="str" cm="1">
        <f t="array" aca="1" ref="I186" ca="1">IF(INDEX(集計3!$C$16:$CX$25,$C186,INDIRECT(ADDRESS(ROW()-8-($C186),COLUMN())))="","",INDEX(集計3!$C$16:$CX$25,$C186,INDIRECT(ADDRESS(ROW()-8-($C186),COLUMN()))))</f>
        <v/>
      </c>
      <c r="J186" s="242"/>
      <c r="K186" s="242"/>
      <c r="L186" s="243"/>
      <c r="M186" s="241" t="str" cm="1">
        <f t="array" aca="1" ref="M186" ca="1">IF(INDEX(集計3!$C$16:$CX$25,$C186,INDIRECT(ADDRESS(ROW()-8-($C186),COLUMN())))="","",INDEX(集計3!$C$16:$CX$25,$C186,INDIRECT(ADDRESS(ROW()-8-($C186),COLUMN()))))</f>
        <v/>
      </c>
      <c r="N186" s="242"/>
      <c r="O186" s="242"/>
      <c r="P186" s="243"/>
      <c r="Q186" s="241" t="str" cm="1">
        <f t="array" aca="1" ref="Q186" ca="1">IF(INDEX(集計3!$C$16:$CX$25,$C186,INDIRECT(ADDRESS(ROW()-8-($C186),COLUMN())))="","",INDEX(集計3!$C$16:$CX$25,$C186,INDIRECT(ADDRESS(ROW()-8-($C186),COLUMN()))))</f>
        <v/>
      </c>
      <c r="R186" s="242"/>
      <c r="S186" s="242"/>
      <c r="T186" s="243"/>
      <c r="U186" s="241" t="str" cm="1">
        <f t="array" aca="1" ref="U186" ca="1">IF(INDEX(集計3!$C$16:$CX$25,$C186,INDIRECT(ADDRESS(ROW()-8-($C186),COLUMN())))="","",INDEX(集計3!$C$16:$CX$25,$C186,INDIRECT(ADDRESS(ROW()-8-($C186),COLUMN()))))</f>
        <v/>
      </c>
      <c r="V186" s="242"/>
      <c r="W186" s="242"/>
      <c r="X186" s="243"/>
      <c r="Y186" s="241" t="str" cm="1">
        <f t="array" aca="1" ref="Y186" ca="1">IF(INDEX(集計3!$C$16:$CX$25,$C186,INDIRECT(ADDRESS(ROW()-8-($C186),COLUMN())))="","",INDEX(集計3!$C$16:$CX$25,$C186,INDIRECT(ADDRESS(ROW()-8-($C186),COLUMN()))))</f>
        <v/>
      </c>
      <c r="Z186" s="242"/>
      <c r="AA186" s="242"/>
      <c r="AB186" s="243"/>
      <c r="AC186" s="241" t="str" cm="1">
        <f t="array" aca="1" ref="AC186" ca="1">IF(INDEX(集計3!$C$16:$CX$25,$C186,INDIRECT(ADDRESS(ROW()-8-($C186),COLUMN())))="","",INDEX(集計3!$C$16:$CX$25,$C186,INDIRECT(ADDRESS(ROW()-8-($C186),COLUMN()))))</f>
        <v/>
      </c>
      <c r="AD186" s="242"/>
      <c r="AE186" s="242"/>
      <c r="AF186" s="243"/>
      <c r="AG186" s="241" t="str" cm="1">
        <f t="array" aca="1" ref="AG186" ca="1">IF(INDEX(集計3!$C$16:$CX$25,$C186,INDIRECT(ADDRESS(ROW()-8-($C186),COLUMN())))="","",INDEX(集計3!$C$16:$CX$25,$C186,INDIRECT(ADDRESS(ROW()-8-($C186),COLUMN()))))</f>
        <v/>
      </c>
      <c r="AH186" s="242"/>
      <c r="AI186" s="242"/>
      <c r="AJ186" s="243"/>
      <c r="AK186" s="241" t="str" cm="1">
        <f t="array" aca="1" ref="AK186" ca="1">IF(INDEX(集計3!$C$16:$CX$25,$C186,INDIRECT(ADDRESS(ROW()-8-($C186),COLUMN())))="","",INDEX(集計3!$C$16:$CX$25,$C186,INDIRECT(ADDRESS(ROW()-8-($C186),COLUMN()))))</f>
        <v/>
      </c>
      <c r="AL186" s="242"/>
      <c r="AM186" s="242"/>
      <c r="AN186" s="243"/>
      <c r="AO186" s="241" t="str" cm="1">
        <f t="array" aca="1" ref="AO186" ca="1">IF(INDEX(集計3!$C$16:$CX$25,$C186,INDIRECT(ADDRESS(ROW()-8-($C186),COLUMN())))="","",INDEX(集計3!$C$16:$CX$25,$C186,INDIRECT(ADDRESS(ROW()-8-($C186),COLUMN()))))</f>
        <v/>
      </c>
      <c r="AP186" s="242"/>
      <c r="AQ186" s="242"/>
      <c r="AR186" s="243"/>
    </row>
    <row r="187" spans="1:44" ht="14.75" customHeight="1" x14ac:dyDescent="0.7">
      <c r="A187" s="250"/>
      <c r="B187" s="250"/>
      <c r="C187" s="231">
        <v>3</v>
      </c>
      <c r="D187" s="232"/>
      <c r="E187" s="241" t="str" cm="1">
        <f t="array" aca="1" ref="E187" ca="1">IF(INDEX(集計3!$C$16:$CX$25,$C187,INDIRECT(ADDRESS(ROW()-8-($C187),COLUMN())))="","",INDEX(集計3!$C$16:$CX$25,$C187,INDIRECT(ADDRESS(ROW()-8-($C187),COLUMN()))))</f>
        <v/>
      </c>
      <c r="F187" s="242"/>
      <c r="G187" s="242"/>
      <c r="H187" s="243"/>
      <c r="I187" s="241" t="str" cm="1">
        <f t="array" aca="1" ref="I187" ca="1">IF(INDEX(集計3!$C$16:$CX$25,$C187,INDIRECT(ADDRESS(ROW()-8-($C187),COLUMN())))="","",INDEX(集計3!$C$16:$CX$25,$C187,INDIRECT(ADDRESS(ROW()-8-($C187),COLUMN()))))</f>
        <v/>
      </c>
      <c r="J187" s="242"/>
      <c r="K187" s="242"/>
      <c r="L187" s="243"/>
      <c r="M187" s="241" t="str" cm="1">
        <f t="array" aca="1" ref="M187" ca="1">IF(INDEX(集計3!$C$16:$CX$25,$C187,INDIRECT(ADDRESS(ROW()-8-($C187),COLUMN())))="","",INDEX(集計3!$C$16:$CX$25,$C187,INDIRECT(ADDRESS(ROW()-8-($C187),COLUMN()))))</f>
        <v/>
      </c>
      <c r="N187" s="242"/>
      <c r="O187" s="242"/>
      <c r="P187" s="243"/>
      <c r="Q187" s="241" t="str" cm="1">
        <f t="array" aca="1" ref="Q187" ca="1">IF(INDEX(集計3!$C$16:$CX$25,$C187,INDIRECT(ADDRESS(ROW()-8-($C187),COLUMN())))="","",INDEX(集計3!$C$16:$CX$25,$C187,INDIRECT(ADDRESS(ROW()-8-($C187),COLUMN()))))</f>
        <v/>
      </c>
      <c r="R187" s="242"/>
      <c r="S187" s="242"/>
      <c r="T187" s="243"/>
      <c r="U187" s="241" t="str" cm="1">
        <f t="array" aca="1" ref="U187" ca="1">IF(INDEX(集計3!$C$16:$CX$25,$C187,INDIRECT(ADDRESS(ROW()-8-($C187),COLUMN())))="","",INDEX(集計3!$C$16:$CX$25,$C187,INDIRECT(ADDRESS(ROW()-8-($C187),COLUMN()))))</f>
        <v/>
      </c>
      <c r="V187" s="242"/>
      <c r="W187" s="242"/>
      <c r="X187" s="243"/>
      <c r="Y187" s="241" t="str" cm="1">
        <f t="array" aca="1" ref="Y187" ca="1">IF(INDEX(集計3!$C$16:$CX$25,$C187,INDIRECT(ADDRESS(ROW()-8-($C187),COLUMN())))="","",INDEX(集計3!$C$16:$CX$25,$C187,INDIRECT(ADDRESS(ROW()-8-($C187),COLUMN()))))</f>
        <v/>
      </c>
      <c r="Z187" s="242"/>
      <c r="AA187" s="242"/>
      <c r="AB187" s="243"/>
      <c r="AC187" s="241" t="str" cm="1">
        <f t="array" aca="1" ref="AC187" ca="1">IF(INDEX(集計3!$C$16:$CX$25,$C187,INDIRECT(ADDRESS(ROW()-8-($C187),COLUMN())))="","",INDEX(集計3!$C$16:$CX$25,$C187,INDIRECT(ADDRESS(ROW()-8-($C187),COLUMN()))))</f>
        <v/>
      </c>
      <c r="AD187" s="242"/>
      <c r="AE187" s="242"/>
      <c r="AF187" s="243"/>
      <c r="AG187" s="241" t="str" cm="1">
        <f t="array" aca="1" ref="AG187" ca="1">IF(INDEX(集計3!$C$16:$CX$25,$C187,INDIRECT(ADDRESS(ROW()-8-($C187),COLUMN())))="","",INDEX(集計3!$C$16:$CX$25,$C187,INDIRECT(ADDRESS(ROW()-8-($C187),COLUMN()))))</f>
        <v/>
      </c>
      <c r="AH187" s="242"/>
      <c r="AI187" s="242"/>
      <c r="AJ187" s="243"/>
      <c r="AK187" s="241" t="str" cm="1">
        <f t="array" aca="1" ref="AK187" ca="1">IF(INDEX(集計3!$C$16:$CX$25,$C187,INDIRECT(ADDRESS(ROW()-8-($C187),COLUMN())))="","",INDEX(集計3!$C$16:$CX$25,$C187,INDIRECT(ADDRESS(ROW()-8-($C187),COLUMN()))))</f>
        <v/>
      </c>
      <c r="AL187" s="242"/>
      <c r="AM187" s="242"/>
      <c r="AN187" s="243"/>
      <c r="AO187" s="241" t="str" cm="1">
        <f t="array" aca="1" ref="AO187" ca="1">IF(INDEX(集計3!$C$16:$CX$25,$C187,INDIRECT(ADDRESS(ROW()-8-($C187),COLUMN())))="","",INDEX(集計3!$C$16:$CX$25,$C187,INDIRECT(ADDRESS(ROW()-8-($C187),COLUMN()))))</f>
        <v/>
      </c>
      <c r="AP187" s="242"/>
      <c r="AQ187" s="242"/>
      <c r="AR187" s="243"/>
    </row>
    <row r="188" spans="1:44" ht="14.75" customHeight="1" x14ac:dyDescent="0.7">
      <c r="A188" s="250"/>
      <c r="B188" s="250"/>
      <c r="C188" s="231">
        <v>4</v>
      </c>
      <c r="D188" s="232"/>
      <c r="E188" s="241" t="str" cm="1">
        <f t="array" aca="1" ref="E188" ca="1">IF(INDEX(集計3!$C$16:$CX$25,$C188,INDIRECT(ADDRESS(ROW()-8-($C188),COLUMN())))="","",INDEX(集計3!$C$16:$CX$25,$C188,INDIRECT(ADDRESS(ROW()-8-($C188),COLUMN()))))</f>
        <v/>
      </c>
      <c r="F188" s="242"/>
      <c r="G188" s="242"/>
      <c r="H188" s="243"/>
      <c r="I188" s="241" t="str" cm="1">
        <f t="array" aca="1" ref="I188" ca="1">IF(INDEX(集計3!$C$16:$CX$25,$C188,INDIRECT(ADDRESS(ROW()-8-($C188),COLUMN())))="","",INDEX(集計3!$C$16:$CX$25,$C188,INDIRECT(ADDRESS(ROW()-8-($C188),COLUMN()))))</f>
        <v/>
      </c>
      <c r="J188" s="242"/>
      <c r="K188" s="242"/>
      <c r="L188" s="243"/>
      <c r="M188" s="241" t="str" cm="1">
        <f t="array" aca="1" ref="M188" ca="1">IF(INDEX(集計3!$C$16:$CX$25,$C188,INDIRECT(ADDRESS(ROW()-8-($C188),COLUMN())))="","",INDEX(集計3!$C$16:$CX$25,$C188,INDIRECT(ADDRESS(ROW()-8-($C188),COLUMN()))))</f>
        <v/>
      </c>
      <c r="N188" s="242"/>
      <c r="O188" s="242"/>
      <c r="P188" s="243"/>
      <c r="Q188" s="241" t="str" cm="1">
        <f t="array" aca="1" ref="Q188" ca="1">IF(INDEX(集計3!$C$16:$CX$25,$C188,INDIRECT(ADDRESS(ROW()-8-($C188),COLUMN())))="","",INDEX(集計3!$C$16:$CX$25,$C188,INDIRECT(ADDRESS(ROW()-8-($C188),COLUMN()))))</f>
        <v/>
      </c>
      <c r="R188" s="242"/>
      <c r="S188" s="242"/>
      <c r="T188" s="243"/>
      <c r="U188" s="241" t="str" cm="1">
        <f t="array" aca="1" ref="U188" ca="1">IF(INDEX(集計3!$C$16:$CX$25,$C188,INDIRECT(ADDRESS(ROW()-8-($C188),COLUMN())))="","",INDEX(集計3!$C$16:$CX$25,$C188,INDIRECT(ADDRESS(ROW()-8-($C188),COLUMN()))))</f>
        <v/>
      </c>
      <c r="V188" s="242"/>
      <c r="W188" s="242"/>
      <c r="X188" s="243"/>
      <c r="Y188" s="241" t="str" cm="1">
        <f t="array" aca="1" ref="Y188" ca="1">IF(INDEX(集計3!$C$16:$CX$25,$C188,INDIRECT(ADDRESS(ROW()-8-($C188),COLUMN())))="","",INDEX(集計3!$C$16:$CX$25,$C188,INDIRECT(ADDRESS(ROW()-8-($C188),COLUMN()))))</f>
        <v/>
      </c>
      <c r="Z188" s="242"/>
      <c r="AA188" s="242"/>
      <c r="AB188" s="243"/>
      <c r="AC188" s="241" t="str" cm="1">
        <f t="array" aca="1" ref="AC188" ca="1">IF(INDEX(集計3!$C$16:$CX$25,$C188,INDIRECT(ADDRESS(ROW()-8-($C188),COLUMN())))="","",INDEX(集計3!$C$16:$CX$25,$C188,INDIRECT(ADDRESS(ROW()-8-($C188),COLUMN()))))</f>
        <v/>
      </c>
      <c r="AD188" s="242"/>
      <c r="AE188" s="242"/>
      <c r="AF188" s="243"/>
      <c r="AG188" s="241" t="str" cm="1">
        <f t="array" aca="1" ref="AG188" ca="1">IF(INDEX(集計3!$C$16:$CX$25,$C188,INDIRECT(ADDRESS(ROW()-8-($C188),COLUMN())))="","",INDEX(集計3!$C$16:$CX$25,$C188,INDIRECT(ADDRESS(ROW()-8-($C188),COLUMN()))))</f>
        <v/>
      </c>
      <c r="AH188" s="242"/>
      <c r="AI188" s="242"/>
      <c r="AJ188" s="243"/>
      <c r="AK188" s="241" t="str" cm="1">
        <f t="array" aca="1" ref="AK188" ca="1">IF(INDEX(集計3!$C$16:$CX$25,$C188,INDIRECT(ADDRESS(ROW()-8-($C188),COLUMN())))="","",INDEX(集計3!$C$16:$CX$25,$C188,INDIRECT(ADDRESS(ROW()-8-($C188),COLUMN()))))</f>
        <v/>
      </c>
      <c r="AL188" s="242"/>
      <c r="AM188" s="242"/>
      <c r="AN188" s="243"/>
      <c r="AO188" s="241" t="str" cm="1">
        <f t="array" aca="1" ref="AO188" ca="1">IF(INDEX(集計3!$C$16:$CX$25,$C188,INDIRECT(ADDRESS(ROW()-8-($C188),COLUMN())))="","",INDEX(集計3!$C$16:$CX$25,$C188,INDIRECT(ADDRESS(ROW()-8-($C188),COLUMN()))))</f>
        <v/>
      </c>
      <c r="AP188" s="242"/>
      <c r="AQ188" s="242"/>
      <c r="AR188" s="243"/>
    </row>
    <row r="189" spans="1:44" ht="14.75" customHeight="1" x14ac:dyDescent="0.7">
      <c r="A189" s="250"/>
      <c r="B189" s="250"/>
      <c r="C189" s="231">
        <v>5</v>
      </c>
      <c r="D189" s="232"/>
      <c r="E189" s="241" t="str" cm="1">
        <f t="array" aca="1" ref="E189" ca="1">IF(INDEX(集計3!$C$16:$CX$25,$C189,INDIRECT(ADDRESS(ROW()-8-($C189),COLUMN())))="","",INDEX(集計3!$C$16:$CX$25,$C189,INDIRECT(ADDRESS(ROW()-8-($C189),COLUMN()))))</f>
        <v/>
      </c>
      <c r="F189" s="242"/>
      <c r="G189" s="242"/>
      <c r="H189" s="243"/>
      <c r="I189" s="241" t="str" cm="1">
        <f t="array" aca="1" ref="I189" ca="1">IF(INDEX(集計3!$C$16:$CX$25,$C189,INDIRECT(ADDRESS(ROW()-8-($C189),COLUMN())))="","",INDEX(集計3!$C$16:$CX$25,$C189,INDIRECT(ADDRESS(ROW()-8-($C189),COLUMN()))))</f>
        <v/>
      </c>
      <c r="J189" s="242"/>
      <c r="K189" s="242"/>
      <c r="L189" s="243"/>
      <c r="M189" s="241" t="str" cm="1">
        <f t="array" aca="1" ref="M189" ca="1">IF(INDEX(集計3!$C$16:$CX$25,$C189,INDIRECT(ADDRESS(ROW()-8-($C189),COLUMN())))="","",INDEX(集計3!$C$16:$CX$25,$C189,INDIRECT(ADDRESS(ROW()-8-($C189),COLUMN()))))</f>
        <v/>
      </c>
      <c r="N189" s="242"/>
      <c r="O189" s="242"/>
      <c r="P189" s="243"/>
      <c r="Q189" s="241" t="str" cm="1">
        <f t="array" aca="1" ref="Q189" ca="1">IF(INDEX(集計3!$C$16:$CX$25,$C189,INDIRECT(ADDRESS(ROW()-8-($C189),COLUMN())))="","",INDEX(集計3!$C$16:$CX$25,$C189,INDIRECT(ADDRESS(ROW()-8-($C189),COLUMN()))))</f>
        <v/>
      </c>
      <c r="R189" s="242"/>
      <c r="S189" s="242"/>
      <c r="T189" s="243"/>
      <c r="U189" s="241" t="str" cm="1">
        <f t="array" aca="1" ref="U189" ca="1">IF(INDEX(集計3!$C$16:$CX$25,$C189,INDIRECT(ADDRESS(ROW()-8-($C189),COLUMN())))="","",INDEX(集計3!$C$16:$CX$25,$C189,INDIRECT(ADDRESS(ROW()-8-($C189),COLUMN()))))</f>
        <v/>
      </c>
      <c r="V189" s="242"/>
      <c r="W189" s="242"/>
      <c r="X189" s="243"/>
      <c r="Y189" s="241" t="str" cm="1">
        <f t="array" aca="1" ref="Y189" ca="1">IF(INDEX(集計3!$C$16:$CX$25,$C189,INDIRECT(ADDRESS(ROW()-8-($C189),COLUMN())))="","",INDEX(集計3!$C$16:$CX$25,$C189,INDIRECT(ADDRESS(ROW()-8-($C189),COLUMN()))))</f>
        <v/>
      </c>
      <c r="Z189" s="242"/>
      <c r="AA189" s="242"/>
      <c r="AB189" s="243"/>
      <c r="AC189" s="241" t="str" cm="1">
        <f t="array" aca="1" ref="AC189" ca="1">IF(INDEX(集計3!$C$16:$CX$25,$C189,INDIRECT(ADDRESS(ROW()-8-($C189),COLUMN())))="","",INDEX(集計3!$C$16:$CX$25,$C189,INDIRECT(ADDRESS(ROW()-8-($C189),COLUMN()))))</f>
        <v/>
      </c>
      <c r="AD189" s="242"/>
      <c r="AE189" s="242"/>
      <c r="AF189" s="243"/>
      <c r="AG189" s="241" t="str" cm="1">
        <f t="array" aca="1" ref="AG189" ca="1">IF(INDEX(集計3!$C$16:$CX$25,$C189,INDIRECT(ADDRESS(ROW()-8-($C189),COLUMN())))="","",INDEX(集計3!$C$16:$CX$25,$C189,INDIRECT(ADDRESS(ROW()-8-($C189),COLUMN()))))</f>
        <v/>
      </c>
      <c r="AH189" s="242"/>
      <c r="AI189" s="242"/>
      <c r="AJ189" s="243"/>
      <c r="AK189" s="241" t="str" cm="1">
        <f t="array" aca="1" ref="AK189" ca="1">IF(INDEX(集計3!$C$16:$CX$25,$C189,INDIRECT(ADDRESS(ROW()-8-($C189),COLUMN())))="","",INDEX(集計3!$C$16:$CX$25,$C189,INDIRECT(ADDRESS(ROW()-8-($C189),COLUMN()))))</f>
        <v/>
      </c>
      <c r="AL189" s="242"/>
      <c r="AM189" s="242"/>
      <c r="AN189" s="243"/>
      <c r="AO189" s="241" t="str" cm="1">
        <f t="array" aca="1" ref="AO189" ca="1">IF(INDEX(集計3!$C$16:$CX$25,$C189,INDIRECT(ADDRESS(ROW()-8-($C189),COLUMN())))="","",INDEX(集計3!$C$16:$CX$25,$C189,INDIRECT(ADDRESS(ROW()-8-($C189),COLUMN()))))</f>
        <v/>
      </c>
      <c r="AP189" s="242"/>
      <c r="AQ189" s="242"/>
      <c r="AR189" s="243"/>
    </row>
    <row r="190" spans="1:44" ht="14.75" customHeight="1" x14ac:dyDescent="0.7">
      <c r="A190" s="250"/>
      <c r="B190" s="250"/>
      <c r="C190" s="231">
        <v>6</v>
      </c>
      <c r="D190" s="232"/>
      <c r="E190" s="233" t="str" cm="1">
        <f t="array" aca="1" ref="E190" ca="1">IF(INDEX(集計3!$C$16:$CX$25,$C190,INDIRECT(ADDRESS(ROW()-8-($C190),COLUMN())))="","",INDEX(集計3!$C$16:$CX$25,$C190,INDIRECT(ADDRESS(ROW()-8-($C190),COLUMN()))))</f>
        <v/>
      </c>
      <c r="F190" s="234"/>
      <c r="G190" s="234"/>
      <c r="H190" s="235"/>
      <c r="I190" s="233" t="str" cm="1">
        <f t="array" aca="1" ref="I190" ca="1">IF(INDEX(集計3!$C$16:$CX$25,$C190,INDIRECT(ADDRESS(ROW()-8-($C190),COLUMN())))="","",INDEX(集計3!$C$16:$CX$25,$C190,INDIRECT(ADDRESS(ROW()-8-($C190),COLUMN()))))</f>
        <v/>
      </c>
      <c r="J190" s="234"/>
      <c r="K190" s="234"/>
      <c r="L190" s="235"/>
      <c r="M190" s="233" t="str" cm="1">
        <f t="array" aca="1" ref="M190" ca="1">IF(INDEX(集計3!$C$16:$CX$25,$C190,INDIRECT(ADDRESS(ROW()-8-($C190),COLUMN())))="","",INDEX(集計3!$C$16:$CX$25,$C190,INDIRECT(ADDRESS(ROW()-8-($C190),COLUMN()))))</f>
        <v/>
      </c>
      <c r="N190" s="234"/>
      <c r="O190" s="234"/>
      <c r="P190" s="235"/>
      <c r="Q190" s="233" t="str" cm="1">
        <f t="array" aca="1" ref="Q190" ca="1">IF(INDEX(集計3!$C$16:$CX$25,$C190,INDIRECT(ADDRESS(ROW()-8-($C190),COLUMN())))="","",INDEX(集計3!$C$16:$CX$25,$C190,INDIRECT(ADDRESS(ROW()-8-($C190),COLUMN()))))</f>
        <v/>
      </c>
      <c r="R190" s="234"/>
      <c r="S190" s="234"/>
      <c r="T190" s="235"/>
      <c r="U190" s="233" t="str" cm="1">
        <f t="array" aca="1" ref="U190" ca="1">IF(INDEX(集計3!$C$16:$CX$25,$C190,INDIRECT(ADDRESS(ROW()-8-($C190),COLUMN())))="","",INDEX(集計3!$C$16:$CX$25,$C190,INDIRECT(ADDRESS(ROW()-8-($C190),COLUMN()))))</f>
        <v/>
      </c>
      <c r="V190" s="234"/>
      <c r="W190" s="234"/>
      <c r="X190" s="235"/>
      <c r="Y190" s="233" t="str" cm="1">
        <f t="array" aca="1" ref="Y190" ca="1">IF(INDEX(集計3!$C$16:$CX$25,$C190,INDIRECT(ADDRESS(ROW()-8-($C190),COLUMN())))="","",INDEX(集計3!$C$16:$CX$25,$C190,INDIRECT(ADDRESS(ROW()-8-($C190),COLUMN()))))</f>
        <v/>
      </c>
      <c r="Z190" s="234"/>
      <c r="AA190" s="234"/>
      <c r="AB190" s="235"/>
      <c r="AC190" s="233" t="str" cm="1">
        <f t="array" aca="1" ref="AC190" ca="1">IF(INDEX(集計3!$C$16:$CX$25,$C190,INDIRECT(ADDRESS(ROW()-8-($C190),COLUMN())))="","",INDEX(集計3!$C$16:$CX$25,$C190,INDIRECT(ADDRESS(ROW()-8-($C190),COLUMN()))))</f>
        <v/>
      </c>
      <c r="AD190" s="234"/>
      <c r="AE190" s="234"/>
      <c r="AF190" s="235"/>
      <c r="AG190" s="233" t="str" cm="1">
        <f t="array" aca="1" ref="AG190" ca="1">IF(INDEX(集計3!$C$16:$CX$25,$C190,INDIRECT(ADDRESS(ROW()-8-($C190),COLUMN())))="","",INDEX(集計3!$C$16:$CX$25,$C190,INDIRECT(ADDRESS(ROW()-8-($C190),COLUMN()))))</f>
        <v/>
      </c>
      <c r="AH190" s="234"/>
      <c r="AI190" s="234"/>
      <c r="AJ190" s="235"/>
      <c r="AK190" s="233" t="str" cm="1">
        <f t="array" aca="1" ref="AK190" ca="1">IF(INDEX(集計3!$C$16:$CX$25,$C190,INDIRECT(ADDRESS(ROW()-8-($C190),COLUMN())))="","",INDEX(集計3!$C$16:$CX$25,$C190,INDIRECT(ADDRESS(ROW()-8-($C190),COLUMN()))))</f>
        <v/>
      </c>
      <c r="AL190" s="234"/>
      <c r="AM190" s="234"/>
      <c r="AN190" s="235"/>
      <c r="AO190" s="233" t="str" cm="1">
        <f t="array" aca="1" ref="AO190" ca="1">IF(INDEX(集計3!$C$16:$CX$25,$C190,INDIRECT(ADDRESS(ROW()-8-($C190),COLUMN())))="","",INDEX(集計3!$C$16:$CX$25,$C190,INDIRECT(ADDRESS(ROW()-8-($C190),COLUMN()))))</f>
        <v/>
      </c>
      <c r="AP190" s="234"/>
      <c r="AQ190" s="234"/>
      <c r="AR190" s="235"/>
    </row>
    <row r="191" spans="1:44" ht="14.75" customHeight="1" x14ac:dyDescent="0.7">
      <c r="A191" s="250"/>
      <c r="B191" s="250"/>
      <c r="C191" s="231">
        <v>7</v>
      </c>
      <c r="D191" s="232"/>
      <c r="E191" s="233" t="str" cm="1">
        <f t="array" aca="1" ref="E191" ca="1">IF(INDEX(集計3!$C$16:$CX$25,$C191,INDIRECT(ADDRESS(ROW()-8-($C191),COLUMN())))="","",INDEX(集計3!$C$16:$CX$25,$C191,INDIRECT(ADDRESS(ROW()-8-($C191),COLUMN()))))</f>
        <v/>
      </c>
      <c r="F191" s="234"/>
      <c r="G191" s="234"/>
      <c r="H191" s="235"/>
      <c r="I191" s="233" t="str" cm="1">
        <f t="array" aca="1" ref="I191" ca="1">IF(INDEX(集計3!$C$16:$CX$25,$C191,INDIRECT(ADDRESS(ROW()-8-($C191),COLUMN())))="","",INDEX(集計3!$C$16:$CX$25,$C191,INDIRECT(ADDRESS(ROW()-8-($C191),COLUMN()))))</f>
        <v/>
      </c>
      <c r="J191" s="234"/>
      <c r="K191" s="234"/>
      <c r="L191" s="235"/>
      <c r="M191" s="233" t="str" cm="1">
        <f t="array" aca="1" ref="M191" ca="1">IF(INDEX(集計3!$C$16:$CX$25,$C191,INDIRECT(ADDRESS(ROW()-8-($C191),COLUMN())))="","",INDEX(集計3!$C$16:$CX$25,$C191,INDIRECT(ADDRESS(ROW()-8-($C191),COLUMN()))))</f>
        <v/>
      </c>
      <c r="N191" s="234"/>
      <c r="O191" s="234"/>
      <c r="P191" s="235"/>
      <c r="Q191" s="233" t="str" cm="1">
        <f t="array" aca="1" ref="Q191" ca="1">IF(INDEX(集計3!$C$16:$CX$25,$C191,INDIRECT(ADDRESS(ROW()-8-($C191),COLUMN())))="","",INDEX(集計3!$C$16:$CX$25,$C191,INDIRECT(ADDRESS(ROW()-8-($C191),COLUMN()))))</f>
        <v/>
      </c>
      <c r="R191" s="234"/>
      <c r="S191" s="234"/>
      <c r="T191" s="235"/>
      <c r="U191" s="233" t="str" cm="1">
        <f t="array" aca="1" ref="U191" ca="1">IF(INDEX(集計3!$C$16:$CX$25,$C191,INDIRECT(ADDRESS(ROW()-8-($C191),COLUMN())))="","",INDEX(集計3!$C$16:$CX$25,$C191,INDIRECT(ADDRESS(ROW()-8-($C191),COLUMN()))))</f>
        <v/>
      </c>
      <c r="V191" s="234"/>
      <c r="W191" s="234"/>
      <c r="X191" s="235"/>
      <c r="Y191" s="233" t="str" cm="1">
        <f t="array" aca="1" ref="Y191" ca="1">IF(INDEX(集計3!$C$16:$CX$25,$C191,INDIRECT(ADDRESS(ROW()-8-($C191),COLUMN())))="","",INDEX(集計3!$C$16:$CX$25,$C191,INDIRECT(ADDRESS(ROW()-8-($C191),COLUMN()))))</f>
        <v/>
      </c>
      <c r="Z191" s="234"/>
      <c r="AA191" s="234"/>
      <c r="AB191" s="235"/>
      <c r="AC191" s="233" t="str" cm="1">
        <f t="array" aca="1" ref="AC191" ca="1">IF(INDEX(集計3!$C$16:$CX$25,$C191,INDIRECT(ADDRESS(ROW()-8-($C191),COLUMN())))="","",INDEX(集計3!$C$16:$CX$25,$C191,INDIRECT(ADDRESS(ROW()-8-($C191),COLUMN()))))</f>
        <v/>
      </c>
      <c r="AD191" s="234"/>
      <c r="AE191" s="234"/>
      <c r="AF191" s="235"/>
      <c r="AG191" s="233" t="str" cm="1">
        <f t="array" aca="1" ref="AG191" ca="1">IF(INDEX(集計3!$C$16:$CX$25,$C191,INDIRECT(ADDRESS(ROW()-8-($C191),COLUMN())))="","",INDEX(集計3!$C$16:$CX$25,$C191,INDIRECT(ADDRESS(ROW()-8-($C191),COLUMN()))))</f>
        <v/>
      </c>
      <c r="AH191" s="234"/>
      <c r="AI191" s="234"/>
      <c r="AJ191" s="235"/>
      <c r="AK191" s="233" t="str" cm="1">
        <f t="array" aca="1" ref="AK191" ca="1">IF(INDEX(集計3!$C$16:$CX$25,$C191,INDIRECT(ADDRESS(ROW()-8-($C191),COLUMN())))="","",INDEX(集計3!$C$16:$CX$25,$C191,INDIRECT(ADDRESS(ROW()-8-($C191),COLUMN()))))</f>
        <v/>
      </c>
      <c r="AL191" s="234"/>
      <c r="AM191" s="234"/>
      <c r="AN191" s="235"/>
      <c r="AO191" s="233" t="str" cm="1">
        <f t="array" aca="1" ref="AO191" ca="1">IF(INDEX(集計3!$C$16:$CX$25,$C191,INDIRECT(ADDRESS(ROW()-8-($C191),COLUMN())))="","",INDEX(集計3!$C$16:$CX$25,$C191,INDIRECT(ADDRESS(ROW()-8-($C191),COLUMN()))))</f>
        <v/>
      </c>
      <c r="AP191" s="234"/>
      <c r="AQ191" s="234"/>
      <c r="AR191" s="235"/>
    </row>
    <row r="192" spans="1:44" ht="14.75" customHeight="1" x14ac:dyDescent="0.7">
      <c r="A192" s="250"/>
      <c r="B192" s="250"/>
      <c r="C192" s="231">
        <v>8</v>
      </c>
      <c r="D192" s="232"/>
      <c r="E192" s="233" t="str" cm="1">
        <f t="array" aca="1" ref="E192" ca="1">IF(INDEX(集計3!$C$16:$CX$25,$C192,INDIRECT(ADDRESS(ROW()-8-($C192),COLUMN())))="","",INDEX(集計3!$C$16:$CX$25,$C192,INDIRECT(ADDRESS(ROW()-8-($C192),COLUMN()))))</f>
        <v/>
      </c>
      <c r="F192" s="234"/>
      <c r="G192" s="234"/>
      <c r="H192" s="235"/>
      <c r="I192" s="233" t="str" cm="1">
        <f t="array" aca="1" ref="I192" ca="1">IF(INDEX(集計3!$C$16:$CX$25,$C192,INDIRECT(ADDRESS(ROW()-8-($C192),COLUMN())))="","",INDEX(集計3!$C$16:$CX$25,$C192,INDIRECT(ADDRESS(ROW()-8-($C192),COLUMN()))))</f>
        <v/>
      </c>
      <c r="J192" s="234"/>
      <c r="K192" s="234"/>
      <c r="L192" s="235"/>
      <c r="M192" s="233" t="str" cm="1">
        <f t="array" aca="1" ref="M192" ca="1">IF(INDEX(集計3!$C$16:$CX$25,$C192,INDIRECT(ADDRESS(ROW()-8-($C192),COLUMN())))="","",INDEX(集計3!$C$16:$CX$25,$C192,INDIRECT(ADDRESS(ROW()-8-($C192),COLUMN()))))</f>
        <v/>
      </c>
      <c r="N192" s="234"/>
      <c r="O192" s="234"/>
      <c r="P192" s="235"/>
      <c r="Q192" s="233" t="str" cm="1">
        <f t="array" aca="1" ref="Q192" ca="1">IF(INDEX(集計3!$C$16:$CX$25,$C192,INDIRECT(ADDRESS(ROW()-8-($C192),COLUMN())))="","",INDEX(集計3!$C$16:$CX$25,$C192,INDIRECT(ADDRESS(ROW()-8-($C192),COLUMN()))))</f>
        <v/>
      </c>
      <c r="R192" s="234"/>
      <c r="S192" s="234"/>
      <c r="T192" s="235"/>
      <c r="U192" s="233" t="str" cm="1">
        <f t="array" aca="1" ref="U192" ca="1">IF(INDEX(集計3!$C$16:$CX$25,$C192,INDIRECT(ADDRESS(ROW()-8-($C192),COLUMN())))="","",INDEX(集計3!$C$16:$CX$25,$C192,INDIRECT(ADDRESS(ROW()-8-($C192),COLUMN()))))</f>
        <v/>
      </c>
      <c r="V192" s="234"/>
      <c r="W192" s="234"/>
      <c r="X192" s="235"/>
      <c r="Y192" s="233" t="str" cm="1">
        <f t="array" aca="1" ref="Y192" ca="1">IF(INDEX(集計3!$C$16:$CX$25,$C192,INDIRECT(ADDRESS(ROW()-8-($C192),COLUMN())))="","",INDEX(集計3!$C$16:$CX$25,$C192,INDIRECT(ADDRESS(ROW()-8-($C192),COLUMN()))))</f>
        <v/>
      </c>
      <c r="Z192" s="234"/>
      <c r="AA192" s="234"/>
      <c r="AB192" s="235"/>
      <c r="AC192" s="233" t="str" cm="1">
        <f t="array" aca="1" ref="AC192" ca="1">IF(INDEX(集計3!$C$16:$CX$25,$C192,INDIRECT(ADDRESS(ROW()-8-($C192),COLUMN())))="","",INDEX(集計3!$C$16:$CX$25,$C192,INDIRECT(ADDRESS(ROW()-8-($C192),COLUMN()))))</f>
        <v/>
      </c>
      <c r="AD192" s="234"/>
      <c r="AE192" s="234"/>
      <c r="AF192" s="235"/>
      <c r="AG192" s="233" t="str" cm="1">
        <f t="array" aca="1" ref="AG192" ca="1">IF(INDEX(集計3!$C$16:$CX$25,$C192,INDIRECT(ADDRESS(ROW()-8-($C192),COLUMN())))="","",INDEX(集計3!$C$16:$CX$25,$C192,INDIRECT(ADDRESS(ROW()-8-($C192),COLUMN()))))</f>
        <v/>
      </c>
      <c r="AH192" s="234"/>
      <c r="AI192" s="234"/>
      <c r="AJ192" s="235"/>
      <c r="AK192" s="233" t="str" cm="1">
        <f t="array" aca="1" ref="AK192" ca="1">IF(INDEX(集計3!$C$16:$CX$25,$C192,INDIRECT(ADDRESS(ROW()-8-($C192),COLUMN())))="","",INDEX(集計3!$C$16:$CX$25,$C192,INDIRECT(ADDRESS(ROW()-8-($C192),COLUMN()))))</f>
        <v/>
      </c>
      <c r="AL192" s="234"/>
      <c r="AM192" s="234"/>
      <c r="AN192" s="235"/>
      <c r="AO192" s="233" t="str" cm="1">
        <f t="array" aca="1" ref="AO192" ca="1">IF(INDEX(集計3!$C$16:$CX$25,$C192,INDIRECT(ADDRESS(ROW()-8-($C192),COLUMN())))="","",INDEX(集計3!$C$16:$CX$25,$C192,INDIRECT(ADDRESS(ROW()-8-($C192),COLUMN()))))</f>
        <v/>
      </c>
      <c r="AP192" s="234"/>
      <c r="AQ192" s="234"/>
      <c r="AR192" s="235"/>
    </row>
    <row r="193" spans="1:44" ht="14.75" customHeight="1" x14ac:dyDescent="0.7">
      <c r="A193" s="250"/>
      <c r="B193" s="250"/>
      <c r="C193" s="231">
        <v>9</v>
      </c>
      <c r="D193" s="232"/>
      <c r="E193" s="233" t="str" cm="1">
        <f t="array" aca="1" ref="E193" ca="1">IF(INDEX(集計3!$C$16:$CX$25,$C193,INDIRECT(ADDRESS(ROW()-8-($C193),COLUMN())))="","",INDEX(集計3!$C$16:$CX$25,$C193,INDIRECT(ADDRESS(ROW()-8-($C193),COLUMN()))))</f>
        <v/>
      </c>
      <c r="F193" s="234"/>
      <c r="G193" s="234"/>
      <c r="H193" s="235"/>
      <c r="I193" s="233" t="str" cm="1">
        <f t="array" aca="1" ref="I193" ca="1">IF(INDEX(集計3!$C$16:$CX$25,$C193,INDIRECT(ADDRESS(ROW()-8-($C193),COLUMN())))="","",INDEX(集計3!$C$16:$CX$25,$C193,INDIRECT(ADDRESS(ROW()-8-($C193),COLUMN()))))</f>
        <v/>
      </c>
      <c r="J193" s="234"/>
      <c r="K193" s="234"/>
      <c r="L193" s="235"/>
      <c r="M193" s="233" t="str" cm="1">
        <f t="array" aca="1" ref="M193" ca="1">IF(INDEX(集計3!$C$16:$CX$25,$C193,INDIRECT(ADDRESS(ROW()-8-($C193),COLUMN())))="","",INDEX(集計3!$C$16:$CX$25,$C193,INDIRECT(ADDRESS(ROW()-8-($C193),COLUMN()))))</f>
        <v/>
      </c>
      <c r="N193" s="234"/>
      <c r="O193" s="234"/>
      <c r="P193" s="235"/>
      <c r="Q193" s="233" t="str" cm="1">
        <f t="array" aca="1" ref="Q193" ca="1">IF(INDEX(集計3!$C$16:$CX$25,$C193,INDIRECT(ADDRESS(ROW()-8-($C193),COLUMN())))="","",INDEX(集計3!$C$16:$CX$25,$C193,INDIRECT(ADDRESS(ROW()-8-($C193),COLUMN()))))</f>
        <v/>
      </c>
      <c r="R193" s="234"/>
      <c r="S193" s="234"/>
      <c r="T193" s="235"/>
      <c r="U193" s="233" t="str" cm="1">
        <f t="array" aca="1" ref="U193" ca="1">IF(INDEX(集計3!$C$16:$CX$25,$C193,INDIRECT(ADDRESS(ROW()-8-($C193),COLUMN())))="","",INDEX(集計3!$C$16:$CX$25,$C193,INDIRECT(ADDRESS(ROW()-8-($C193),COLUMN()))))</f>
        <v/>
      </c>
      <c r="V193" s="234"/>
      <c r="W193" s="234"/>
      <c r="X193" s="235"/>
      <c r="Y193" s="233" t="str" cm="1">
        <f t="array" aca="1" ref="Y193" ca="1">IF(INDEX(集計3!$C$16:$CX$25,$C193,INDIRECT(ADDRESS(ROW()-8-($C193),COLUMN())))="","",INDEX(集計3!$C$16:$CX$25,$C193,INDIRECT(ADDRESS(ROW()-8-($C193),COLUMN()))))</f>
        <v/>
      </c>
      <c r="Z193" s="234"/>
      <c r="AA193" s="234"/>
      <c r="AB193" s="235"/>
      <c r="AC193" s="233" t="str" cm="1">
        <f t="array" aca="1" ref="AC193" ca="1">IF(INDEX(集計3!$C$16:$CX$25,$C193,INDIRECT(ADDRESS(ROW()-8-($C193),COLUMN())))="","",INDEX(集計3!$C$16:$CX$25,$C193,INDIRECT(ADDRESS(ROW()-8-($C193),COLUMN()))))</f>
        <v/>
      </c>
      <c r="AD193" s="234"/>
      <c r="AE193" s="234"/>
      <c r="AF193" s="235"/>
      <c r="AG193" s="233" t="str" cm="1">
        <f t="array" aca="1" ref="AG193" ca="1">IF(INDEX(集計3!$C$16:$CX$25,$C193,INDIRECT(ADDRESS(ROW()-8-($C193),COLUMN())))="","",INDEX(集計3!$C$16:$CX$25,$C193,INDIRECT(ADDRESS(ROW()-8-($C193),COLUMN()))))</f>
        <v/>
      </c>
      <c r="AH193" s="234"/>
      <c r="AI193" s="234"/>
      <c r="AJ193" s="235"/>
      <c r="AK193" s="233" t="str" cm="1">
        <f t="array" aca="1" ref="AK193" ca="1">IF(INDEX(集計3!$C$16:$CX$25,$C193,INDIRECT(ADDRESS(ROW()-8-($C193),COLUMN())))="","",INDEX(集計3!$C$16:$CX$25,$C193,INDIRECT(ADDRESS(ROW()-8-($C193),COLUMN()))))</f>
        <v/>
      </c>
      <c r="AL193" s="234"/>
      <c r="AM193" s="234"/>
      <c r="AN193" s="235"/>
      <c r="AO193" s="233" t="str" cm="1">
        <f t="array" aca="1" ref="AO193" ca="1">IF(INDEX(集計3!$C$16:$CX$25,$C193,INDIRECT(ADDRESS(ROW()-8-($C193),COLUMN())))="","",INDEX(集計3!$C$16:$CX$25,$C193,INDIRECT(ADDRESS(ROW()-8-($C193),COLUMN()))))</f>
        <v/>
      </c>
      <c r="AP193" s="234"/>
      <c r="AQ193" s="234"/>
      <c r="AR193" s="235"/>
    </row>
    <row r="194" spans="1:44" ht="14.75" customHeight="1" x14ac:dyDescent="0.7">
      <c r="A194" s="250"/>
      <c r="B194" s="250"/>
      <c r="C194" s="236">
        <v>10</v>
      </c>
      <c r="D194" s="237"/>
      <c r="E194" s="238" t="str" cm="1">
        <f t="array" aca="1" ref="E194" ca="1">IF(INDEX(集計3!$C$16:$CX$25,$C194,INDIRECT(ADDRESS(ROW()-8-($C194),COLUMN())))="","",INDEX(集計3!$C$16:$CX$25,$C194,INDIRECT(ADDRESS(ROW()-8-($C194),COLUMN()))))</f>
        <v/>
      </c>
      <c r="F194" s="239"/>
      <c r="G194" s="239"/>
      <c r="H194" s="240"/>
      <c r="I194" s="238" t="str" cm="1">
        <f t="array" aca="1" ref="I194" ca="1">IF(INDEX(集計3!$C$16:$CX$25,$C194,INDIRECT(ADDRESS(ROW()-8-($C194),COLUMN())))="","",INDEX(集計3!$C$16:$CX$25,$C194,INDIRECT(ADDRESS(ROW()-8-($C194),COLUMN()))))</f>
        <v/>
      </c>
      <c r="J194" s="239"/>
      <c r="K194" s="239"/>
      <c r="L194" s="240"/>
      <c r="M194" s="238" t="str" cm="1">
        <f t="array" aca="1" ref="M194" ca="1">IF(INDEX(集計3!$C$16:$CX$25,$C194,INDIRECT(ADDRESS(ROW()-8-($C194),COLUMN())))="","",INDEX(集計3!$C$16:$CX$25,$C194,INDIRECT(ADDRESS(ROW()-8-($C194),COLUMN()))))</f>
        <v/>
      </c>
      <c r="N194" s="239"/>
      <c r="O194" s="239"/>
      <c r="P194" s="240"/>
      <c r="Q194" s="238" t="str" cm="1">
        <f t="array" aca="1" ref="Q194" ca="1">IF(INDEX(集計3!$C$16:$CX$25,$C194,INDIRECT(ADDRESS(ROW()-8-($C194),COLUMN())))="","",INDEX(集計3!$C$16:$CX$25,$C194,INDIRECT(ADDRESS(ROW()-8-($C194),COLUMN()))))</f>
        <v/>
      </c>
      <c r="R194" s="239"/>
      <c r="S194" s="239"/>
      <c r="T194" s="240"/>
      <c r="U194" s="238" t="str" cm="1">
        <f t="array" aca="1" ref="U194" ca="1">IF(INDEX(集計3!$C$16:$CX$25,$C194,INDIRECT(ADDRESS(ROW()-8-($C194),COLUMN())))="","",INDEX(集計3!$C$16:$CX$25,$C194,INDIRECT(ADDRESS(ROW()-8-($C194),COLUMN()))))</f>
        <v/>
      </c>
      <c r="V194" s="239"/>
      <c r="W194" s="239"/>
      <c r="X194" s="240"/>
      <c r="Y194" s="238" t="str" cm="1">
        <f t="array" aca="1" ref="Y194" ca="1">IF(INDEX(集計3!$C$16:$CX$25,$C194,INDIRECT(ADDRESS(ROW()-8-($C194),COLUMN())))="","",INDEX(集計3!$C$16:$CX$25,$C194,INDIRECT(ADDRESS(ROW()-8-($C194),COLUMN()))))</f>
        <v/>
      </c>
      <c r="Z194" s="239"/>
      <c r="AA194" s="239"/>
      <c r="AB194" s="240"/>
      <c r="AC194" s="238" t="str" cm="1">
        <f t="array" aca="1" ref="AC194" ca="1">IF(INDEX(集計3!$C$16:$CX$25,$C194,INDIRECT(ADDRESS(ROW()-8-($C194),COLUMN())))="","",INDEX(集計3!$C$16:$CX$25,$C194,INDIRECT(ADDRESS(ROW()-8-($C194),COLUMN()))))</f>
        <v/>
      </c>
      <c r="AD194" s="239"/>
      <c r="AE194" s="239"/>
      <c r="AF194" s="240"/>
      <c r="AG194" s="238" t="str" cm="1">
        <f t="array" aca="1" ref="AG194" ca="1">IF(INDEX(集計3!$C$16:$CX$25,$C194,INDIRECT(ADDRESS(ROW()-8-($C194),COLUMN())))="","",INDEX(集計3!$C$16:$CX$25,$C194,INDIRECT(ADDRESS(ROW()-8-($C194),COLUMN()))))</f>
        <v/>
      </c>
      <c r="AH194" s="239"/>
      <c r="AI194" s="239"/>
      <c r="AJ194" s="240"/>
      <c r="AK194" s="238" t="str" cm="1">
        <f t="array" aca="1" ref="AK194" ca="1">IF(INDEX(集計3!$C$16:$CX$25,$C194,INDIRECT(ADDRESS(ROW()-8-($C194),COLUMN())))="","",INDEX(集計3!$C$16:$CX$25,$C194,INDIRECT(ADDRESS(ROW()-8-($C194),COLUMN()))))</f>
        <v/>
      </c>
      <c r="AL194" s="239"/>
      <c r="AM194" s="239"/>
      <c r="AN194" s="240"/>
      <c r="AO194" s="238" t="str" cm="1">
        <f t="array" aca="1" ref="AO194" ca="1">IF(INDEX(集計3!$C$16:$CX$25,$C194,INDIRECT(ADDRESS(ROW()-8-($C194),COLUMN())))="","",INDEX(集計3!$C$16:$CX$25,$C194,INDIRECT(ADDRESS(ROW()-8-($C194),COLUMN()))))</f>
        <v/>
      </c>
      <c r="AP194" s="239"/>
      <c r="AQ194" s="239"/>
      <c r="AR194" s="240"/>
    </row>
    <row r="195" spans="1:44" ht="7.25" customHeight="1" x14ac:dyDescent="0.7">
      <c r="A195" s="217" t="s">
        <v>163</v>
      </c>
      <c r="B195" s="217"/>
      <c r="C195" s="217"/>
      <c r="D195" s="217"/>
      <c r="E195" s="219" t="str" cm="1">
        <f t="array" aca="1" ref="E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95" s="220"/>
      <c r="G195" s="220"/>
      <c r="H195" s="221"/>
      <c r="I195" s="219" t="str" cm="1">
        <f t="array" aca="1" ref="I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95" s="220"/>
      <c r="K195" s="220"/>
      <c r="L195" s="221"/>
      <c r="M195" s="219" t="str" cm="1">
        <f t="array" aca="1" ref="M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95" s="220"/>
      <c r="O195" s="220"/>
      <c r="P195" s="221"/>
      <c r="Q195" s="219" t="str" cm="1">
        <f t="array" aca="1" ref="Q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95" s="220"/>
      <c r="S195" s="220"/>
      <c r="T195" s="221"/>
      <c r="U195" s="219" t="str" cm="1">
        <f t="array" aca="1" ref="U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95" s="220"/>
      <c r="W195" s="220"/>
      <c r="X195" s="221"/>
      <c r="Y195" s="219" t="str" cm="1">
        <f t="array" aca="1" ref="Y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95" s="220"/>
      <c r="AA195" s="220"/>
      <c r="AB195" s="221"/>
      <c r="AC195" s="219" t="str" cm="1">
        <f t="array" aca="1" ref="AC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95" s="220"/>
      <c r="AE195" s="220"/>
      <c r="AF195" s="221"/>
      <c r="AG195" s="219" t="str" cm="1">
        <f t="array" aca="1" ref="AG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95" s="220"/>
      <c r="AI195" s="220"/>
      <c r="AJ195" s="221"/>
      <c r="AK195" s="219" t="str" cm="1">
        <f t="array" aca="1" ref="AK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95" s="220"/>
      <c r="AM195" s="220"/>
      <c r="AN195" s="221"/>
      <c r="AO195" s="219" t="str" cm="1">
        <f t="array" aca="1" ref="AO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95" s="220"/>
      <c r="AQ195" s="220"/>
      <c r="AR195" s="221"/>
    </row>
    <row r="196" spans="1:44" ht="7.25" customHeight="1" x14ac:dyDescent="0.7">
      <c r="A196" s="218"/>
      <c r="B196" s="218"/>
      <c r="C196" s="218"/>
      <c r="D196" s="218"/>
      <c r="E196" s="222"/>
      <c r="F196" s="223"/>
      <c r="G196" s="223"/>
      <c r="H196" s="224"/>
      <c r="I196" s="222"/>
      <c r="J196" s="223"/>
      <c r="K196" s="223"/>
      <c r="L196" s="224"/>
      <c r="M196" s="222"/>
      <c r="N196" s="223"/>
      <c r="O196" s="223"/>
      <c r="P196" s="224"/>
      <c r="Q196" s="222"/>
      <c r="R196" s="223"/>
      <c r="S196" s="223"/>
      <c r="T196" s="224"/>
      <c r="U196" s="222"/>
      <c r="V196" s="223"/>
      <c r="W196" s="223"/>
      <c r="X196" s="224"/>
      <c r="Y196" s="222"/>
      <c r="Z196" s="223"/>
      <c r="AA196" s="223"/>
      <c r="AB196" s="224"/>
      <c r="AC196" s="222"/>
      <c r="AD196" s="223"/>
      <c r="AE196" s="223"/>
      <c r="AF196" s="224"/>
      <c r="AG196" s="222"/>
      <c r="AH196" s="223"/>
      <c r="AI196" s="223"/>
      <c r="AJ196" s="224"/>
      <c r="AK196" s="222"/>
      <c r="AL196" s="223"/>
      <c r="AM196" s="223"/>
      <c r="AN196" s="224"/>
      <c r="AO196" s="222"/>
      <c r="AP196" s="223"/>
      <c r="AQ196" s="223"/>
      <c r="AR196" s="224"/>
    </row>
    <row r="197" spans="1:44" ht="9" customHeight="1" x14ac:dyDescent="0.7">
      <c r="A197" s="225" t="s">
        <v>164</v>
      </c>
      <c r="B197" s="226"/>
      <c r="C197" s="226"/>
      <c r="D197" s="227"/>
      <c r="E197" s="228" t="str">
        <f ca="1">IF(COUNT(INDIRECT(ADDRESS(ROW()-12,COLUMN())):INDIRECT(ADDRESS(ROW()-3,COLUMN())))=0,"",MAX(INDIRECT(ADDRESS(ROW()-12,COLUMN())):INDIRECT(ADDRESS(ROW()-3,COLUMN()))))</f>
        <v/>
      </c>
      <c r="F197" s="229"/>
      <c r="G197" s="229"/>
      <c r="H197" s="230"/>
      <c r="I197" s="228" t="str">
        <f ca="1">IF(COUNT(INDIRECT(ADDRESS(ROW()-12,COLUMN())):INDIRECT(ADDRESS(ROW()-3,COLUMN())))=0,"",MAX(INDIRECT(ADDRESS(ROW()-12,COLUMN())):INDIRECT(ADDRESS(ROW()-3,COLUMN()))))</f>
        <v/>
      </c>
      <c r="J197" s="229"/>
      <c r="K197" s="229"/>
      <c r="L197" s="230"/>
      <c r="M197" s="228" t="str">
        <f ca="1">IF(COUNT(INDIRECT(ADDRESS(ROW()-12,COLUMN())):INDIRECT(ADDRESS(ROW()-3,COLUMN())))=0,"",MAX(INDIRECT(ADDRESS(ROW()-12,COLUMN())):INDIRECT(ADDRESS(ROW()-3,COLUMN()))))</f>
        <v/>
      </c>
      <c r="N197" s="229"/>
      <c r="O197" s="229"/>
      <c r="P197" s="230"/>
      <c r="Q197" s="228" t="str">
        <f ca="1">IF(COUNT(INDIRECT(ADDRESS(ROW()-12,COLUMN())):INDIRECT(ADDRESS(ROW()-3,COLUMN())))=0,"",MAX(INDIRECT(ADDRESS(ROW()-12,COLUMN())):INDIRECT(ADDRESS(ROW()-3,COLUMN()))))</f>
        <v/>
      </c>
      <c r="R197" s="229"/>
      <c r="S197" s="229"/>
      <c r="T197" s="230"/>
      <c r="U197" s="228" t="str">
        <f ca="1">IF(COUNT(INDIRECT(ADDRESS(ROW()-12,COLUMN())):INDIRECT(ADDRESS(ROW()-3,COLUMN())))=0,"",MAX(INDIRECT(ADDRESS(ROW()-12,COLUMN())):INDIRECT(ADDRESS(ROW()-3,COLUMN()))))</f>
        <v/>
      </c>
      <c r="V197" s="229"/>
      <c r="W197" s="229"/>
      <c r="X197" s="230"/>
      <c r="Y197" s="228" t="str">
        <f ca="1">IF(COUNT(INDIRECT(ADDRESS(ROW()-12,COLUMN())):INDIRECT(ADDRESS(ROW()-3,COLUMN())))=0,"",MAX(INDIRECT(ADDRESS(ROW()-12,COLUMN())):INDIRECT(ADDRESS(ROW()-3,COLUMN()))))</f>
        <v/>
      </c>
      <c r="Z197" s="229"/>
      <c r="AA197" s="229"/>
      <c r="AB197" s="230"/>
      <c r="AC197" s="228" t="str">
        <f ca="1">IF(COUNT(INDIRECT(ADDRESS(ROW()-12,COLUMN())):INDIRECT(ADDRESS(ROW()-3,COLUMN())))=0,"",MAX(INDIRECT(ADDRESS(ROW()-12,COLUMN())):INDIRECT(ADDRESS(ROW()-3,COLUMN()))))</f>
        <v/>
      </c>
      <c r="AD197" s="229"/>
      <c r="AE197" s="229"/>
      <c r="AF197" s="230"/>
      <c r="AG197" s="228" t="str">
        <f ca="1">IF(COUNT(INDIRECT(ADDRESS(ROW()-12,COLUMN())):INDIRECT(ADDRESS(ROW()-3,COLUMN())))=0,"",MAX(INDIRECT(ADDRESS(ROW()-12,COLUMN())):INDIRECT(ADDRESS(ROW()-3,COLUMN()))))</f>
        <v/>
      </c>
      <c r="AH197" s="229"/>
      <c r="AI197" s="229"/>
      <c r="AJ197" s="230"/>
      <c r="AK197" s="228" t="str">
        <f ca="1">IF(COUNT(INDIRECT(ADDRESS(ROW()-12,COLUMN())):INDIRECT(ADDRESS(ROW()-3,COLUMN())))=0,"",MAX(INDIRECT(ADDRESS(ROW()-12,COLUMN())):INDIRECT(ADDRESS(ROW()-3,COLUMN()))))</f>
        <v/>
      </c>
      <c r="AL197" s="229"/>
      <c r="AM197" s="229"/>
      <c r="AN197" s="230"/>
      <c r="AO197" s="228" t="str">
        <f ca="1">IF(COUNT(INDIRECT(ADDRESS(ROW()-12,COLUMN())):INDIRECT(ADDRESS(ROW()-3,COLUMN())))=0,"",MAX(INDIRECT(ADDRESS(ROW()-12,COLUMN())):INDIRECT(ADDRESS(ROW()-3,COLUMN()))))</f>
        <v/>
      </c>
      <c r="AP197" s="229"/>
      <c r="AQ197" s="229"/>
      <c r="AR197" s="230"/>
    </row>
    <row r="198" spans="1:44" ht="9" customHeight="1" x14ac:dyDescent="0.7">
      <c r="A198" s="211" t="s">
        <v>165</v>
      </c>
      <c r="B198" s="212"/>
      <c r="C198" s="212"/>
      <c r="D198" s="213"/>
      <c r="E198" s="214" t="str">
        <f ca="1">IF(COUNT(INDIRECT(ADDRESS(ROW()-13,COLUMN())):INDIRECT(ADDRESS(ROW()-4,COLUMN())))=0,"",MIN(INDIRECT(ADDRESS(ROW()-13,COLUMN())):INDIRECT(ADDRESS(ROW()-4,COLUMN()))))</f>
        <v/>
      </c>
      <c r="F198" s="215"/>
      <c r="G198" s="215"/>
      <c r="H198" s="216"/>
      <c r="I198" s="214" t="str">
        <f ca="1">IF(COUNT(INDIRECT(ADDRESS(ROW()-13,COLUMN())):INDIRECT(ADDRESS(ROW()-4,COLUMN())))=0,"",MIN(INDIRECT(ADDRESS(ROW()-13,COLUMN())):INDIRECT(ADDRESS(ROW()-4,COLUMN()))))</f>
        <v/>
      </c>
      <c r="J198" s="215"/>
      <c r="K198" s="215"/>
      <c r="L198" s="216"/>
      <c r="M198" s="214" t="str">
        <f ca="1">IF(COUNT(INDIRECT(ADDRESS(ROW()-13,COLUMN())):INDIRECT(ADDRESS(ROW()-4,COLUMN())))=0,"",MIN(INDIRECT(ADDRESS(ROW()-13,COLUMN())):INDIRECT(ADDRESS(ROW()-4,COLUMN()))))</f>
        <v/>
      </c>
      <c r="N198" s="215"/>
      <c r="O198" s="215"/>
      <c r="P198" s="216"/>
      <c r="Q198" s="214" t="str">
        <f ca="1">IF(COUNT(INDIRECT(ADDRESS(ROW()-13,COLUMN())):INDIRECT(ADDRESS(ROW()-4,COLUMN())))=0,"",MIN(INDIRECT(ADDRESS(ROW()-13,COLUMN())):INDIRECT(ADDRESS(ROW()-4,COLUMN()))))</f>
        <v/>
      </c>
      <c r="R198" s="215"/>
      <c r="S198" s="215"/>
      <c r="T198" s="216"/>
      <c r="U198" s="214" t="str">
        <f ca="1">IF(COUNT(INDIRECT(ADDRESS(ROW()-13,COLUMN())):INDIRECT(ADDRESS(ROW()-4,COLUMN())))=0,"",MIN(INDIRECT(ADDRESS(ROW()-13,COLUMN())):INDIRECT(ADDRESS(ROW()-4,COLUMN()))))</f>
        <v/>
      </c>
      <c r="V198" s="215"/>
      <c r="W198" s="215"/>
      <c r="X198" s="216"/>
      <c r="Y198" s="214" t="str">
        <f ca="1">IF(COUNT(INDIRECT(ADDRESS(ROW()-13,COLUMN())):INDIRECT(ADDRESS(ROW()-4,COLUMN())))=0,"",MIN(INDIRECT(ADDRESS(ROW()-13,COLUMN())):INDIRECT(ADDRESS(ROW()-4,COLUMN()))))</f>
        <v/>
      </c>
      <c r="Z198" s="215"/>
      <c r="AA198" s="215"/>
      <c r="AB198" s="216"/>
      <c r="AC198" s="214" t="str">
        <f ca="1">IF(COUNT(INDIRECT(ADDRESS(ROW()-13,COLUMN())):INDIRECT(ADDRESS(ROW()-4,COLUMN())))=0,"",MIN(INDIRECT(ADDRESS(ROW()-13,COLUMN())):INDIRECT(ADDRESS(ROW()-4,COLUMN()))))</f>
        <v/>
      </c>
      <c r="AD198" s="215"/>
      <c r="AE198" s="215"/>
      <c r="AF198" s="216"/>
      <c r="AG198" s="214" t="str">
        <f ca="1">IF(COUNT(INDIRECT(ADDRESS(ROW()-13,COLUMN())):INDIRECT(ADDRESS(ROW()-4,COLUMN())))=0,"",MIN(INDIRECT(ADDRESS(ROW()-13,COLUMN())):INDIRECT(ADDRESS(ROW()-4,COLUMN()))))</f>
        <v/>
      </c>
      <c r="AH198" s="215"/>
      <c r="AI198" s="215"/>
      <c r="AJ198" s="216"/>
      <c r="AK198" s="214" t="str">
        <f ca="1">IF(COUNT(INDIRECT(ADDRESS(ROW()-13,COLUMN())):INDIRECT(ADDRESS(ROW()-4,COLUMN())))=0,"",MIN(INDIRECT(ADDRESS(ROW()-13,COLUMN())):INDIRECT(ADDRESS(ROW()-4,COLUMN()))))</f>
        <v/>
      </c>
      <c r="AL198" s="215"/>
      <c r="AM198" s="215"/>
      <c r="AN198" s="216"/>
      <c r="AO198" s="214" t="str">
        <f ca="1">IF(COUNT(INDIRECT(ADDRESS(ROW()-13,COLUMN())):INDIRECT(ADDRESS(ROW()-4,COLUMN())))=0,"",MIN(INDIRECT(ADDRESS(ROW()-13,COLUMN())):INDIRECT(ADDRESS(ROW()-4,COLUMN()))))</f>
        <v/>
      </c>
      <c r="AP198" s="215"/>
      <c r="AQ198" s="215"/>
      <c r="AR198" s="216"/>
    </row>
    <row r="199" spans="1:44" ht="8" customHeight="1" x14ac:dyDescent="0.7">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row>
    <row r="200" spans="1:44" ht="8" customHeight="1" x14ac:dyDescent="0.7">
      <c r="A200" s="217" t="s">
        <v>157</v>
      </c>
      <c r="B200" s="217"/>
      <c r="C200" s="217"/>
      <c r="D200" s="217"/>
      <c r="E200" s="275">
        <v>71</v>
      </c>
      <c r="F200" s="276"/>
      <c r="G200" s="276"/>
      <c r="H200" s="277"/>
      <c r="I200" s="275">
        <v>72</v>
      </c>
      <c r="J200" s="276"/>
      <c r="K200" s="276"/>
      <c r="L200" s="277"/>
      <c r="M200" s="275">
        <v>73</v>
      </c>
      <c r="N200" s="276"/>
      <c r="O200" s="276"/>
      <c r="P200" s="277"/>
      <c r="Q200" s="275">
        <v>74</v>
      </c>
      <c r="R200" s="276"/>
      <c r="S200" s="276"/>
      <c r="T200" s="277"/>
      <c r="U200" s="275">
        <v>75</v>
      </c>
      <c r="V200" s="276"/>
      <c r="W200" s="276"/>
      <c r="X200" s="277"/>
      <c r="Y200" s="275">
        <v>76</v>
      </c>
      <c r="Z200" s="276"/>
      <c r="AA200" s="276"/>
      <c r="AB200" s="277"/>
      <c r="AC200" s="275">
        <v>77</v>
      </c>
      <c r="AD200" s="276"/>
      <c r="AE200" s="276"/>
      <c r="AF200" s="277"/>
      <c r="AG200" s="275">
        <v>78</v>
      </c>
      <c r="AH200" s="276"/>
      <c r="AI200" s="276"/>
      <c r="AJ200" s="277"/>
      <c r="AK200" s="275">
        <v>79</v>
      </c>
      <c r="AL200" s="276"/>
      <c r="AM200" s="276"/>
      <c r="AN200" s="277"/>
      <c r="AO200" s="275">
        <v>80</v>
      </c>
      <c r="AP200" s="276"/>
      <c r="AQ200" s="276"/>
      <c r="AR200" s="277"/>
    </row>
    <row r="201" spans="1:44" ht="8" customHeight="1" x14ac:dyDescent="0.7">
      <c r="A201" s="217"/>
      <c r="B201" s="217"/>
      <c r="C201" s="217"/>
      <c r="D201" s="217"/>
      <c r="E201" s="278"/>
      <c r="F201" s="279"/>
      <c r="G201" s="279"/>
      <c r="H201" s="280"/>
      <c r="I201" s="278"/>
      <c r="J201" s="279"/>
      <c r="K201" s="279"/>
      <c r="L201" s="280"/>
      <c r="M201" s="278"/>
      <c r="N201" s="279"/>
      <c r="O201" s="279"/>
      <c r="P201" s="280"/>
      <c r="Q201" s="278"/>
      <c r="R201" s="279"/>
      <c r="S201" s="279"/>
      <c r="T201" s="280"/>
      <c r="U201" s="278"/>
      <c r="V201" s="279"/>
      <c r="W201" s="279"/>
      <c r="X201" s="280"/>
      <c r="Y201" s="278"/>
      <c r="Z201" s="279"/>
      <c r="AA201" s="279"/>
      <c r="AB201" s="280"/>
      <c r="AC201" s="278"/>
      <c r="AD201" s="279"/>
      <c r="AE201" s="279"/>
      <c r="AF201" s="280"/>
      <c r="AG201" s="278"/>
      <c r="AH201" s="279"/>
      <c r="AI201" s="279"/>
      <c r="AJ201" s="280"/>
      <c r="AK201" s="278"/>
      <c r="AL201" s="279"/>
      <c r="AM201" s="279"/>
      <c r="AN201" s="280"/>
      <c r="AO201" s="278"/>
      <c r="AP201" s="279"/>
      <c r="AQ201" s="279"/>
      <c r="AR201" s="280"/>
    </row>
    <row r="202" spans="1:44" ht="10.25" customHeight="1" x14ac:dyDescent="0.7">
      <c r="A202" s="217" t="s">
        <v>158</v>
      </c>
      <c r="B202" s="217"/>
      <c r="C202" s="217"/>
      <c r="D202" s="217"/>
      <c r="E202" s="262" t="str" cm="1">
        <f t="array" aca="1" ref="E202" ca="1">IFERROR(INDEX(INDIRECT("'"&amp;集計3!$A$1&amp;"'!$C$4:$CX$4"),1,E200),"")</f>
        <v/>
      </c>
      <c r="F202" s="263"/>
      <c r="G202" s="263"/>
      <c r="H202" s="264"/>
      <c r="I202" s="262" t="str" cm="1">
        <f t="array" aca="1" ref="I202" ca="1">IFERROR(INDEX(INDIRECT("'"&amp;集計3!$A$1&amp;"'!$C$4:$CX$4"),1,I200),"")</f>
        <v/>
      </c>
      <c r="J202" s="263"/>
      <c r="K202" s="263"/>
      <c r="L202" s="264"/>
      <c r="M202" s="262" t="str" cm="1">
        <f t="array" aca="1" ref="M202" ca="1">IFERROR(INDEX(INDIRECT("'"&amp;集計3!$A$1&amp;"'!$C$4:$CX$4"),1,M200),"")</f>
        <v/>
      </c>
      <c r="N202" s="263"/>
      <c r="O202" s="263"/>
      <c r="P202" s="264"/>
      <c r="Q202" s="262" t="str" cm="1">
        <f t="array" aca="1" ref="Q202" ca="1">IFERROR(INDEX(INDIRECT("'"&amp;集計3!$A$1&amp;"'!$C$4:$CX$4"),1,Q200),"")</f>
        <v/>
      </c>
      <c r="R202" s="263"/>
      <c r="S202" s="263"/>
      <c r="T202" s="264"/>
      <c r="U202" s="262" t="str" cm="1">
        <f t="array" aca="1" ref="U202" ca="1">IFERROR(INDEX(INDIRECT("'"&amp;集計3!$A$1&amp;"'!$C$4:$CX$4"),1,U200),"")</f>
        <v/>
      </c>
      <c r="V202" s="263"/>
      <c r="W202" s="263"/>
      <c r="X202" s="264"/>
      <c r="Y202" s="262" t="str" cm="1">
        <f t="array" aca="1" ref="Y202" ca="1">IFERROR(INDEX(INDIRECT("'"&amp;集計3!$A$1&amp;"'!$C$4:$CX$4"),1,Y200),"")</f>
        <v/>
      </c>
      <c r="Z202" s="263"/>
      <c r="AA202" s="263"/>
      <c r="AB202" s="264"/>
      <c r="AC202" s="262" t="str" cm="1">
        <f t="array" aca="1" ref="AC202" ca="1">IFERROR(INDEX(INDIRECT("'"&amp;集計3!$A$1&amp;"'!$C$4:$CX$4"),1,AC200),"")</f>
        <v/>
      </c>
      <c r="AD202" s="263"/>
      <c r="AE202" s="263"/>
      <c r="AF202" s="264"/>
      <c r="AG202" s="262" t="str" cm="1">
        <f t="array" aca="1" ref="AG202" ca="1">IFERROR(INDEX(INDIRECT("'"&amp;集計3!$A$1&amp;"'!$C$4:$CX$4"),1,AG200),"")</f>
        <v/>
      </c>
      <c r="AH202" s="263"/>
      <c r="AI202" s="263"/>
      <c r="AJ202" s="264"/>
      <c r="AK202" s="262" t="str" cm="1">
        <f t="array" aca="1" ref="AK202" ca="1">IFERROR(INDEX(INDIRECT("'"&amp;集計3!$A$1&amp;"'!$C$4:$CX$4"),1,AK200),"")</f>
        <v/>
      </c>
      <c r="AL202" s="263"/>
      <c r="AM202" s="263"/>
      <c r="AN202" s="264"/>
      <c r="AO202" s="262" t="str" cm="1">
        <f t="array" aca="1" ref="AO202" ca="1">IFERROR(INDEX(INDIRECT("'"&amp;集計3!$A$1&amp;"'!$C$4:$CX$4"),1,AO200),"")</f>
        <v/>
      </c>
      <c r="AP202" s="263"/>
      <c r="AQ202" s="263"/>
      <c r="AR202" s="264"/>
    </row>
    <row r="203" spans="1:44" ht="10.25" customHeight="1" x14ac:dyDescent="0.7">
      <c r="A203" s="218"/>
      <c r="B203" s="218"/>
      <c r="C203" s="218"/>
      <c r="D203" s="218"/>
      <c r="E203" s="265"/>
      <c r="F203" s="266"/>
      <c r="G203" s="266"/>
      <c r="H203" s="267"/>
      <c r="I203" s="265"/>
      <c r="J203" s="266"/>
      <c r="K203" s="266"/>
      <c r="L203" s="267"/>
      <c r="M203" s="265"/>
      <c r="N203" s="266"/>
      <c r="O203" s="266"/>
      <c r="P203" s="267"/>
      <c r="Q203" s="265"/>
      <c r="R203" s="266"/>
      <c r="S203" s="266"/>
      <c r="T203" s="267"/>
      <c r="U203" s="265"/>
      <c r="V203" s="266"/>
      <c r="W203" s="266"/>
      <c r="X203" s="267"/>
      <c r="Y203" s="265"/>
      <c r="Z203" s="266"/>
      <c r="AA203" s="266"/>
      <c r="AB203" s="267"/>
      <c r="AC203" s="265"/>
      <c r="AD203" s="266"/>
      <c r="AE203" s="266"/>
      <c r="AF203" s="267"/>
      <c r="AG203" s="265"/>
      <c r="AH203" s="266"/>
      <c r="AI203" s="266"/>
      <c r="AJ203" s="267"/>
      <c r="AK203" s="265"/>
      <c r="AL203" s="266"/>
      <c r="AM203" s="266"/>
      <c r="AN203" s="267"/>
      <c r="AO203" s="265"/>
      <c r="AP203" s="266"/>
      <c r="AQ203" s="266"/>
      <c r="AR203" s="267"/>
    </row>
    <row r="204" spans="1:44" ht="10.25" customHeight="1" x14ac:dyDescent="0.7">
      <c r="A204" s="268" t="s">
        <v>127</v>
      </c>
      <c r="B204" s="269"/>
      <c r="C204" s="269"/>
      <c r="D204" s="270"/>
      <c r="E204" s="271" t="str" cm="1">
        <f t="array" aca="1" ref="E204" ca="1">IFERROR(INDEX(INDIRECT("'"&amp;集計3!$A$1&amp;"'!$C$5:$CX$5"),1,E200),"")</f>
        <v/>
      </c>
      <c r="F204" s="272"/>
      <c r="G204" s="273" t="str" cm="1">
        <f t="array" aca="1" ref="G204" ca="1">IFERROR(INDEX(INDIRECT("'"&amp;集計3!$A$1&amp;"'!$C$6:$CX$6"),1,E200),"")</f>
        <v/>
      </c>
      <c r="H204" s="274"/>
      <c r="I204" s="271" t="str" cm="1">
        <f t="array" aca="1" ref="I204" ca="1">IFERROR(INDEX(INDIRECT("'"&amp;集計3!$A$1&amp;"'!$C$5:$CX$5"),1,I200),"")</f>
        <v/>
      </c>
      <c r="J204" s="272"/>
      <c r="K204" s="273" t="str" cm="1">
        <f t="array" aca="1" ref="K204" ca="1">IFERROR(INDEX(INDIRECT("'"&amp;集計3!$A$1&amp;"'!$C$6:$CX$6"),1,I200),"")</f>
        <v/>
      </c>
      <c r="L204" s="274"/>
      <c r="M204" s="271" t="str" cm="1">
        <f t="array" aca="1" ref="M204" ca="1">IFERROR(INDEX(INDIRECT("'"&amp;集計3!$A$1&amp;"'!$C$5:$CX$5"),1,M200),"")</f>
        <v/>
      </c>
      <c r="N204" s="272"/>
      <c r="O204" s="273" t="str" cm="1">
        <f t="array" aca="1" ref="O204" ca="1">IFERROR(INDEX(INDIRECT("'"&amp;集計3!$A$1&amp;"'!$C$6:$CX$6"),1,M200),"")</f>
        <v/>
      </c>
      <c r="P204" s="274"/>
      <c r="Q204" s="271" t="str" cm="1">
        <f t="array" aca="1" ref="Q204" ca="1">IFERROR(INDEX(INDIRECT("'"&amp;集計3!$A$1&amp;"'!$C$5:$CX$5"),1,Q200),"")</f>
        <v/>
      </c>
      <c r="R204" s="272"/>
      <c r="S204" s="273" t="str" cm="1">
        <f t="array" aca="1" ref="S204" ca="1">IFERROR(INDEX(INDIRECT("'"&amp;集計3!$A$1&amp;"'!$C$6:$CX$6"),1,Q200),"")</f>
        <v/>
      </c>
      <c r="T204" s="274"/>
      <c r="U204" s="271" t="str" cm="1">
        <f t="array" aca="1" ref="U204" ca="1">IFERROR(INDEX(INDIRECT("'"&amp;集計3!$A$1&amp;"'!$C$5:$CX$5"),1,U200),"")</f>
        <v/>
      </c>
      <c r="V204" s="272"/>
      <c r="W204" s="273" t="str" cm="1">
        <f t="array" aca="1" ref="W204" ca="1">IFERROR(INDEX(INDIRECT("'"&amp;集計3!$A$1&amp;"'!$C$6:$CX$6"),1,U200),"")</f>
        <v/>
      </c>
      <c r="X204" s="274"/>
      <c r="Y204" s="271" t="str" cm="1">
        <f t="array" aca="1" ref="Y204" ca="1">IFERROR(INDEX(INDIRECT("'"&amp;集計3!$A$1&amp;"'!$C$5:$CX$5"),1,Y200),"")</f>
        <v/>
      </c>
      <c r="Z204" s="272"/>
      <c r="AA204" s="273" t="str" cm="1">
        <f t="array" aca="1" ref="AA204" ca="1">IFERROR(INDEX(INDIRECT("'"&amp;集計3!$A$1&amp;"'!$C$6:$CX$6"),1,Y200),"")</f>
        <v/>
      </c>
      <c r="AB204" s="274"/>
      <c r="AC204" s="271" t="str" cm="1">
        <f t="array" aca="1" ref="AC204" ca="1">IFERROR(INDEX(INDIRECT("'"&amp;集計3!$A$1&amp;"'!$C$5:$CX$5"),1,AC200),"")</f>
        <v/>
      </c>
      <c r="AD204" s="272"/>
      <c r="AE204" s="273" t="str" cm="1">
        <f t="array" aca="1" ref="AE204" ca="1">IFERROR(INDEX(INDIRECT("'"&amp;集計3!$A$1&amp;"'!$C$6:$CX$6"),1,AC200),"")</f>
        <v/>
      </c>
      <c r="AF204" s="274"/>
      <c r="AG204" s="271" t="str" cm="1">
        <f t="array" aca="1" ref="AG204" ca="1">IFERROR(INDEX(INDIRECT("'"&amp;集計3!$A$1&amp;"'!$C$5:$CX$5"),1,AG200),"")</f>
        <v/>
      </c>
      <c r="AH204" s="272"/>
      <c r="AI204" s="273" t="str" cm="1">
        <f t="array" aca="1" ref="AI204" ca="1">IFERROR(INDEX(INDIRECT("'"&amp;集計3!$A$1&amp;"'!$C$6:$CX$6"),1,AG200),"")</f>
        <v/>
      </c>
      <c r="AJ204" s="274"/>
      <c r="AK204" s="271" t="str" cm="1">
        <f t="array" aca="1" ref="AK204" ca="1">IFERROR(INDEX(INDIRECT("'"&amp;集計3!$A$1&amp;"'!$C$5:$CX$5"),1,AK200),"")</f>
        <v/>
      </c>
      <c r="AL204" s="272"/>
      <c r="AM204" s="273" t="str" cm="1">
        <f t="array" aca="1" ref="AM204" ca="1">IFERROR(INDEX(INDIRECT("'"&amp;集計3!$A$1&amp;"'!$C$6:$CX$6"),1,AK200),"")</f>
        <v/>
      </c>
      <c r="AN204" s="274"/>
      <c r="AO204" s="271" t="str" cm="1">
        <f t="array" aca="1" ref="AO204" ca="1">IFERROR(INDEX(INDIRECT("'"&amp;集計3!$A$1&amp;"'!$C$5:$CX$5"),1,AO200),"")</f>
        <v/>
      </c>
      <c r="AP204" s="272"/>
      <c r="AQ204" s="273" t="str" cm="1">
        <f t="array" aca="1" ref="AQ204" ca="1">IFERROR(INDEX(INDIRECT("'"&amp;集計3!$A$1&amp;"'!$C$6:$CX$6"),1,AO200),"")</f>
        <v/>
      </c>
      <c r="AR204" s="274"/>
    </row>
    <row r="205" spans="1:44" ht="10.25" customHeight="1" x14ac:dyDescent="0.7">
      <c r="A205" s="256" t="s">
        <v>159</v>
      </c>
      <c r="B205" s="256"/>
      <c r="C205" s="256"/>
      <c r="D205" s="256"/>
      <c r="E205" s="16" t="str" cm="1">
        <f t="array" aca="1" ref="E205" ca="1">IFERROR(INDEX(INDIRECT("'"&amp;集計3!$A$1&amp;"'!$C$10:$CX$10"),1,E200),"")</f>
        <v/>
      </c>
      <c r="F205" s="257" t="str" cm="1">
        <f t="array" aca="1" ref="F205" ca="1">IFERROR(IF(INDEX(INDIRECT("'"&amp;集計3!$A$1&amp;"'!$C$7:$CX$7"),1,E200)=0,"",INDEX(INDIRECT("'"&amp;集計3!$A$1&amp;"'!$C$7:$CX$7"),1,E200)),"")</f>
        <v/>
      </c>
      <c r="G205" s="257"/>
      <c r="H205" s="258"/>
      <c r="I205" s="16" t="str" cm="1">
        <f t="array" aca="1" ref="I205" ca="1">IFERROR(INDEX(INDIRECT("'"&amp;集計3!$A$1&amp;"'!$C$10:$CX$10"),1,I200),"")</f>
        <v/>
      </c>
      <c r="J205" s="257" t="str" cm="1">
        <f t="array" aca="1" ref="J205" ca="1">IFERROR(IF(INDEX(INDIRECT("'"&amp;集計3!$A$1&amp;"'!$C$7:$CX$7"),1,I200)=0,"",INDEX(INDIRECT("'"&amp;集計3!$A$1&amp;"'!$C$7:$CX$7"),1,I200)),"")</f>
        <v/>
      </c>
      <c r="K205" s="257"/>
      <c r="L205" s="258"/>
      <c r="M205" s="16" t="str" cm="1">
        <f t="array" aca="1" ref="M205" ca="1">IFERROR(INDEX(INDIRECT("'"&amp;集計3!$A$1&amp;"'!$C$10:$CX$10"),1,M200),"")</f>
        <v/>
      </c>
      <c r="N205" s="257" t="str" cm="1">
        <f t="array" aca="1" ref="N205" ca="1">IFERROR(IF(INDEX(INDIRECT("'"&amp;集計3!$A$1&amp;"'!$C$7:$CX$7"),1,M200)=0,"",INDEX(INDIRECT("'"&amp;集計3!$A$1&amp;"'!$C$7:$CX$7"),1,M200)),"")</f>
        <v/>
      </c>
      <c r="O205" s="257"/>
      <c r="P205" s="258"/>
      <c r="Q205" s="16" t="str" cm="1">
        <f t="array" aca="1" ref="Q205" ca="1">IFERROR(INDEX(INDIRECT("'"&amp;集計3!$A$1&amp;"'!$C$10:$CX$10"),1,Q200),"")</f>
        <v/>
      </c>
      <c r="R205" s="257" t="str" cm="1">
        <f t="array" aca="1" ref="R205" ca="1">IFERROR(IF(INDEX(INDIRECT("'"&amp;集計3!$A$1&amp;"'!$C$7:$CX$7"),1,Q200)=0,"",INDEX(INDIRECT("'"&amp;集計3!$A$1&amp;"'!$C$7:$CX$7"),1,Q200)),"")</f>
        <v/>
      </c>
      <c r="S205" s="257"/>
      <c r="T205" s="258"/>
      <c r="U205" s="16" t="str" cm="1">
        <f t="array" aca="1" ref="U205" ca="1">IFERROR(INDEX(INDIRECT("'"&amp;集計3!$A$1&amp;"'!$C$10:$CX$10"),1,U200),"")</f>
        <v/>
      </c>
      <c r="V205" s="257" t="str" cm="1">
        <f t="array" aca="1" ref="V205" ca="1">IFERROR(IF(INDEX(INDIRECT("'"&amp;集計3!$A$1&amp;"'!$C$7:$CX$7"),1,U200)=0,"",INDEX(INDIRECT("'"&amp;集計3!$A$1&amp;"'!$C$7:$CX$7"),1,U200)),"")</f>
        <v/>
      </c>
      <c r="W205" s="257"/>
      <c r="X205" s="258"/>
      <c r="Y205" s="16" t="str" cm="1">
        <f t="array" aca="1" ref="Y205" ca="1">IFERROR(INDEX(INDIRECT("'"&amp;集計3!$A$1&amp;"'!$C$10:$CX$10"),1,Y200),"")</f>
        <v/>
      </c>
      <c r="Z205" s="257" t="str" cm="1">
        <f t="array" aca="1" ref="Z205" ca="1">IFERROR(IF(INDEX(INDIRECT("'"&amp;集計3!$A$1&amp;"'!$C$7:$CX$7"),1,Y200)=0,"",INDEX(INDIRECT("'"&amp;集計3!$A$1&amp;"'!$C$7:$CX$7"),1,Y200)),"")</f>
        <v/>
      </c>
      <c r="AA205" s="257"/>
      <c r="AB205" s="258"/>
      <c r="AC205" s="16" t="str" cm="1">
        <f t="array" aca="1" ref="AC205" ca="1">IFERROR(INDEX(INDIRECT("'"&amp;集計3!$A$1&amp;"'!$C$10:$CX$10"),1,AC200),"")</f>
        <v/>
      </c>
      <c r="AD205" s="257" t="str" cm="1">
        <f t="array" aca="1" ref="AD205" ca="1">IFERROR(IF(INDEX(INDIRECT("'"&amp;集計3!$A$1&amp;"'!$C$7:$CX$7"),1,AC200)=0,"",INDEX(INDIRECT("'"&amp;集計3!$A$1&amp;"'!$C$7:$CX$7"),1,AC200)),"")</f>
        <v/>
      </c>
      <c r="AE205" s="257"/>
      <c r="AF205" s="258"/>
      <c r="AG205" s="16" t="str" cm="1">
        <f t="array" aca="1" ref="AG205" ca="1">IFERROR(INDEX(INDIRECT("'"&amp;集計3!$A$1&amp;"'!$C$10:$CX$10"),1,AG200),"")</f>
        <v/>
      </c>
      <c r="AH205" s="257" t="str" cm="1">
        <f t="array" aca="1" ref="AH205" ca="1">IFERROR(IF(INDEX(INDIRECT("'"&amp;集計3!$A$1&amp;"'!$C$7:$CX$7"),1,AG200)=0,"",INDEX(INDIRECT("'"&amp;集計3!$A$1&amp;"'!$C$7:$CX$7"),1,AG200)),"")</f>
        <v/>
      </c>
      <c r="AI205" s="257"/>
      <c r="AJ205" s="258"/>
      <c r="AK205" s="16" t="str" cm="1">
        <f t="array" aca="1" ref="AK205" ca="1">IFERROR(INDEX(INDIRECT("'"&amp;集計3!$A$1&amp;"'!$C$10:$CX$10"),1,AK200),"")</f>
        <v/>
      </c>
      <c r="AL205" s="257" t="str" cm="1">
        <f t="array" aca="1" ref="AL205" ca="1">IFERROR(IF(INDEX(INDIRECT("'"&amp;集計3!$A$1&amp;"'!$C$7:$CX$7"),1,AK200)=0,"",INDEX(INDIRECT("'"&amp;集計3!$A$1&amp;"'!$C$7:$CX$7"),1,AK200)),"")</f>
        <v/>
      </c>
      <c r="AM205" s="257"/>
      <c r="AN205" s="258"/>
      <c r="AO205" s="16" t="str" cm="1">
        <f t="array" aca="1" ref="AO205" ca="1">IFERROR(INDEX(INDIRECT("'"&amp;集計3!$A$1&amp;"'!$C$10:$CX$10"),1,AO200),"")</f>
        <v/>
      </c>
      <c r="AP205" s="257" t="str" cm="1">
        <f t="array" aca="1" ref="AP205" ca="1">IFERROR(IF(INDEX(INDIRECT("'"&amp;集計3!$A$1&amp;"'!$C$7:$CX$7"),1,AO200)=0,"",INDEX(INDIRECT("'"&amp;集計3!$A$1&amp;"'!$C$7:$CX$7"),1,AO200)),"")</f>
        <v/>
      </c>
      <c r="AQ205" s="257"/>
      <c r="AR205" s="258"/>
    </row>
    <row r="206" spans="1:44" ht="10.25" customHeight="1" x14ac:dyDescent="0.7">
      <c r="A206" s="259" t="s">
        <v>160</v>
      </c>
      <c r="B206" s="259"/>
      <c r="C206" s="259"/>
      <c r="D206" s="259"/>
      <c r="E206" s="17" t="str" cm="1">
        <f t="array" aca="1" ref="E206" ca="1">IFERROR(INDEX(INDIRECT("'"&amp;集計3!$A$1&amp;"'!$C$11:$CX$11"),1,E200),"")</f>
        <v/>
      </c>
      <c r="F206" s="260" t="str" cm="1">
        <f t="array" aca="1" ref="F206" ca="1">IFERROR(IF(INDEX(INDIRECT("'"&amp;集計3!$A$1&amp;"'!$C$8:$CX$8"),1,E200)=0,"",INDEX(INDIRECT("'"&amp;集計3!$A$1&amp;"'!$C$8:$CX$8"),1,E200)),"")</f>
        <v/>
      </c>
      <c r="G206" s="260"/>
      <c r="H206" s="261"/>
      <c r="I206" s="17" t="str" cm="1">
        <f t="array" aca="1" ref="I206" ca="1">IFERROR(INDEX(INDIRECT("'"&amp;集計3!$A$1&amp;"'!$C$11:$CX$11"),1,I200),"")</f>
        <v/>
      </c>
      <c r="J206" s="260" t="str" cm="1">
        <f t="array" aca="1" ref="J206" ca="1">IFERROR(IF(INDEX(INDIRECT("'"&amp;集計3!$A$1&amp;"'!$C$8:$CX$8"),1,I200)=0,"",INDEX(INDIRECT("'"&amp;集計3!$A$1&amp;"'!$C$8:$CX$8"),1,I200)),"")</f>
        <v/>
      </c>
      <c r="K206" s="260"/>
      <c r="L206" s="261"/>
      <c r="M206" s="17" t="str" cm="1">
        <f t="array" aca="1" ref="M206" ca="1">IFERROR(INDEX(INDIRECT("'"&amp;集計3!$A$1&amp;"'!$C$11:$CX$11"),1,M200),"")</f>
        <v/>
      </c>
      <c r="N206" s="260" t="str" cm="1">
        <f t="array" aca="1" ref="N206" ca="1">IFERROR(IF(INDEX(INDIRECT("'"&amp;集計3!$A$1&amp;"'!$C$8:$CX$8"),1,M200)=0,"",INDEX(INDIRECT("'"&amp;集計3!$A$1&amp;"'!$C$8:$CX$8"),1,M200)),"")</f>
        <v/>
      </c>
      <c r="O206" s="260"/>
      <c r="P206" s="261"/>
      <c r="Q206" s="17" t="str" cm="1">
        <f t="array" aca="1" ref="Q206" ca="1">IFERROR(INDEX(INDIRECT("'"&amp;集計3!$A$1&amp;"'!$C$11:$CX$11"),1,Q200),"")</f>
        <v/>
      </c>
      <c r="R206" s="260" t="str" cm="1">
        <f t="array" aca="1" ref="R206" ca="1">IFERROR(IF(INDEX(INDIRECT("'"&amp;集計3!$A$1&amp;"'!$C$8:$CX$8"),1,Q200)=0,"",INDEX(INDIRECT("'"&amp;集計3!$A$1&amp;"'!$C$8:$CX$8"),1,Q200)),"")</f>
        <v/>
      </c>
      <c r="S206" s="260"/>
      <c r="T206" s="261"/>
      <c r="U206" s="17" t="str" cm="1">
        <f t="array" aca="1" ref="U206" ca="1">IFERROR(INDEX(INDIRECT("'"&amp;集計3!$A$1&amp;"'!$C$11:$CX$11"),1,U200),"")</f>
        <v/>
      </c>
      <c r="V206" s="260" t="str" cm="1">
        <f t="array" aca="1" ref="V206" ca="1">IFERROR(IF(INDEX(INDIRECT("'"&amp;集計3!$A$1&amp;"'!$C$8:$CX$8"),1,U200)=0,"",INDEX(INDIRECT("'"&amp;集計3!$A$1&amp;"'!$C$8:$CX$8"),1,U200)),"")</f>
        <v/>
      </c>
      <c r="W206" s="260"/>
      <c r="X206" s="261"/>
      <c r="Y206" s="17" t="str" cm="1">
        <f t="array" aca="1" ref="Y206" ca="1">IFERROR(INDEX(INDIRECT("'"&amp;集計3!$A$1&amp;"'!$C$11:$CX$11"),1,Y200),"")</f>
        <v/>
      </c>
      <c r="Z206" s="260" t="str" cm="1">
        <f t="array" aca="1" ref="Z206" ca="1">IFERROR(IF(INDEX(INDIRECT("'"&amp;集計3!$A$1&amp;"'!$C$8:$CX$8"),1,Y200)=0,"",INDEX(INDIRECT("'"&amp;集計3!$A$1&amp;"'!$C$8:$CX$8"),1,Y200)),"")</f>
        <v/>
      </c>
      <c r="AA206" s="260"/>
      <c r="AB206" s="261"/>
      <c r="AC206" s="17" t="str" cm="1">
        <f t="array" aca="1" ref="AC206" ca="1">IFERROR(INDEX(INDIRECT("'"&amp;集計3!$A$1&amp;"'!$C$11:$CX$11"),1,AC200),"")</f>
        <v/>
      </c>
      <c r="AD206" s="260" t="str" cm="1">
        <f t="array" aca="1" ref="AD206" ca="1">IFERROR(IF(INDEX(INDIRECT("'"&amp;集計3!$A$1&amp;"'!$C$8:$CX$8"),1,AC200)=0,"",INDEX(INDIRECT("'"&amp;集計3!$A$1&amp;"'!$C$8:$CX$8"),1,AC200)),"")</f>
        <v/>
      </c>
      <c r="AE206" s="260"/>
      <c r="AF206" s="261"/>
      <c r="AG206" s="17" t="str" cm="1">
        <f t="array" aca="1" ref="AG206" ca="1">IFERROR(INDEX(INDIRECT("'"&amp;集計3!$A$1&amp;"'!$C$11:$CX$11"),1,AG200),"")</f>
        <v/>
      </c>
      <c r="AH206" s="260" t="str" cm="1">
        <f t="array" aca="1" ref="AH206" ca="1">IFERROR(IF(INDEX(INDIRECT("'"&amp;集計3!$A$1&amp;"'!$C$8:$CX$8"),1,AG200)=0,"",INDEX(INDIRECT("'"&amp;集計3!$A$1&amp;"'!$C$8:$CX$8"),1,AG200)),"")</f>
        <v/>
      </c>
      <c r="AI206" s="260"/>
      <c r="AJ206" s="261"/>
      <c r="AK206" s="17" t="str" cm="1">
        <f t="array" aca="1" ref="AK206" ca="1">IFERROR(INDEX(INDIRECT("'"&amp;集計3!$A$1&amp;"'!$C$11:$CX$11"),1,AK200),"")</f>
        <v/>
      </c>
      <c r="AL206" s="260" t="str" cm="1">
        <f t="array" aca="1" ref="AL206" ca="1">IFERROR(IF(INDEX(INDIRECT("'"&amp;集計3!$A$1&amp;"'!$C$8:$CX$8"),1,AK200)=0,"",INDEX(INDIRECT("'"&amp;集計3!$A$1&amp;"'!$C$8:$CX$8"),1,AK200)),"")</f>
        <v/>
      </c>
      <c r="AM206" s="260"/>
      <c r="AN206" s="261"/>
      <c r="AO206" s="17" t="str" cm="1">
        <f t="array" aca="1" ref="AO206" ca="1">IFERROR(INDEX(INDIRECT("'"&amp;集計3!$A$1&amp;"'!$C$11:$CX$11"),1,AO200),"")</f>
        <v/>
      </c>
      <c r="AP206" s="260" t="str" cm="1">
        <f t="array" aca="1" ref="AP206" ca="1">IFERROR(IF(INDEX(INDIRECT("'"&amp;集計3!$A$1&amp;"'!$C$8:$CX$8"),1,AO200)=0,"",INDEX(INDIRECT("'"&amp;集計3!$A$1&amp;"'!$C$8:$CX$8"),1,AO200)),"")</f>
        <v/>
      </c>
      <c r="AQ206" s="260"/>
      <c r="AR206" s="261"/>
    </row>
    <row r="207" spans="1:44" ht="8" customHeight="1" x14ac:dyDescent="0.7">
      <c r="A207" s="217" t="s">
        <v>161</v>
      </c>
      <c r="B207" s="217"/>
      <c r="C207" s="217"/>
      <c r="D207" s="217"/>
      <c r="E207" s="244" t="str" cm="1">
        <f t="array" aca="1" ref="E207" ca="1">IFERROR(INDEX(INDIRECT("'"&amp;集計3!$A$1&amp;"'!$C$3:$CX$3"),1,E200),"")</f>
        <v/>
      </c>
      <c r="F207" s="245"/>
      <c r="G207" s="245"/>
      <c r="H207" s="246"/>
      <c r="I207" s="244" t="str" cm="1">
        <f t="array" aca="1" ref="I207" ca="1">IFERROR(INDEX(INDIRECT("'"&amp;集計3!$A$1&amp;"'!$C$3:$CX$3"),1,I200),"")</f>
        <v/>
      </c>
      <c r="J207" s="245"/>
      <c r="K207" s="245"/>
      <c r="L207" s="246"/>
      <c r="M207" s="244" t="str" cm="1">
        <f t="array" aca="1" ref="M207" ca="1">IFERROR(INDEX(INDIRECT("'"&amp;集計3!$A$1&amp;"'!$C$3:$CX$3"),1,M200),"")</f>
        <v/>
      </c>
      <c r="N207" s="245"/>
      <c r="O207" s="245"/>
      <c r="P207" s="246"/>
      <c r="Q207" s="244" t="str" cm="1">
        <f t="array" aca="1" ref="Q207" ca="1">IFERROR(INDEX(INDIRECT("'"&amp;集計3!$A$1&amp;"'!$C$3:$CX$3"),1,Q200),"")</f>
        <v/>
      </c>
      <c r="R207" s="245"/>
      <c r="S207" s="245"/>
      <c r="T207" s="246"/>
      <c r="U207" s="244" t="str" cm="1">
        <f t="array" aca="1" ref="U207" ca="1">IFERROR(INDEX(INDIRECT("'"&amp;集計3!$A$1&amp;"'!$C$3:$CX$3"),1,U200),"")</f>
        <v/>
      </c>
      <c r="V207" s="245"/>
      <c r="W207" s="245"/>
      <c r="X207" s="246"/>
      <c r="Y207" s="244" t="str" cm="1">
        <f t="array" aca="1" ref="Y207" ca="1">IFERROR(INDEX(INDIRECT("'"&amp;集計3!$A$1&amp;"'!$C$3:$CX$3"),1,Y200),"")</f>
        <v/>
      </c>
      <c r="Z207" s="245"/>
      <c r="AA207" s="245"/>
      <c r="AB207" s="246"/>
      <c r="AC207" s="244" t="str" cm="1">
        <f t="array" aca="1" ref="AC207" ca="1">IFERROR(INDEX(INDIRECT("'"&amp;集計3!$A$1&amp;"'!$C$3:$CX$3"),1,AC200),"")</f>
        <v/>
      </c>
      <c r="AD207" s="245"/>
      <c r="AE207" s="245"/>
      <c r="AF207" s="246"/>
      <c r="AG207" s="244" t="str" cm="1">
        <f t="array" aca="1" ref="AG207" ca="1">IFERROR(INDEX(INDIRECT("'"&amp;集計3!$A$1&amp;"'!$C$3:$CX$3"),1,AG200),"")</f>
        <v/>
      </c>
      <c r="AH207" s="245"/>
      <c r="AI207" s="245"/>
      <c r="AJ207" s="246"/>
      <c r="AK207" s="244" t="str" cm="1">
        <f t="array" aca="1" ref="AK207" ca="1">IFERROR(INDEX(INDIRECT("'"&amp;集計3!$A$1&amp;"'!$C$3:$CX$3"),1,AK200),"")</f>
        <v/>
      </c>
      <c r="AL207" s="245"/>
      <c r="AM207" s="245"/>
      <c r="AN207" s="246"/>
      <c r="AO207" s="244" t="str" cm="1">
        <f t="array" aca="1" ref="AO207" ca="1">IFERROR(INDEX(INDIRECT("'"&amp;集計3!$A$1&amp;"'!$C$3:$CX$3"),1,AO200),"")</f>
        <v/>
      </c>
      <c r="AP207" s="245"/>
      <c r="AQ207" s="245"/>
      <c r="AR207" s="246"/>
    </row>
    <row r="208" spans="1:44" ht="8" customHeight="1" x14ac:dyDescent="0.7">
      <c r="A208" s="217"/>
      <c r="B208" s="217"/>
      <c r="C208" s="217"/>
      <c r="D208" s="217"/>
      <c r="E208" s="247"/>
      <c r="F208" s="248"/>
      <c r="G208" s="248"/>
      <c r="H208" s="249"/>
      <c r="I208" s="247"/>
      <c r="J208" s="248"/>
      <c r="K208" s="248"/>
      <c r="L208" s="249"/>
      <c r="M208" s="247"/>
      <c r="N208" s="248"/>
      <c r="O208" s="248"/>
      <c r="P208" s="249"/>
      <c r="Q208" s="247"/>
      <c r="R208" s="248"/>
      <c r="S208" s="248"/>
      <c r="T208" s="249"/>
      <c r="U208" s="247"/>
      <c r="V208" s="248"/>
      <c r="W208" s="248"/>
      <c r="X208" s="249"/>
      <c r="Y208" s="247"/>
      <c r="Z208" s="248"/>
      <c r="AA208" s="248"/>
      <c r="AB208" s="249"/>
      <c r="AC208" s="247"/>
      <c r="AD208" s="248"/>
      <c r="AE208" s="248"/>
      <c r="AF208" s="249"/>
      <c r="AG208" s="247"/>
      <c r="AH208" s="248"/>
      <c r="AI208" s="248"/>
      <c r="AJ208" s="249"/>
      <c r="AK208" s="247"/>
      <c r="AL208" s="248"/>
      <c r="AM208" s="248"/>
      <c r="AN208" s="249"/>
      <c r="AO208" s="247"/>
      <c r="AP208" s="248"/>
      <c r="AQ208" s="248"/>
      <c r="AR208" s="249"/>
    </row>
    <row r="209" spans="1:44" ht="14.75" customHeight="1" x14ac:dyDescent="0.7">
      <c r="A209" s="250" t="s">
        <v>162</v>
      </c>
      <c r="B209" s="250"/>
      <c r="C209" s="251">
        <v>1</v>
      </c>
      <c r="D209" s="252"/>
      <c r="E209" s="253" t="str" cm="1">
        <f t="array" aca="1" ref="E209" ca="1">IF(INDEX(集計3!$C$16:$CX$25,$C209,INDIRECT(ADDRESS(ROW()-8-($C209),COLUMN())))="","",INDEX(集計3!$C$16:$CX$25,$C209,INDIRECT(ADDRESS(ROW()-8-($C209),COLUMN()))))</f>
        <v/>
      </c>
      <c r="F209" s="254"/>
      <c r="G209" s="254"/>
      <c r="H209" s="255"/>
      <c r="I209" s="253" t="str" cm="1">
        <f t="array" aca="1" ref="I209" ca="1">IF(INDEX(集計3!$C$16:$CX$25,$C209,INDIRECT(ADDRESS(ROW()-8-($C209),COLUMN())))="","",INDEX(集計3!$C$16:$CX$25,$C209,INDIRECT(ADDRESS(ROW()-8-($C209),COLUMN()))))</f>
        <v/>
      </c>
      <c r="J209" s="254"/>
      <c r="K209" s="254"/>
      <c r="L209" s="255"/>
      <c r="M209" s="253" t="str" cm="1">
        <f t="array" aca="1" ref="M209" ca="1">IF(INDEX(集計3!$C$16:$CX$25,$C209,INDIRECT(ADDRESS(ROW()-8-($C209),COLUMN())))="","",INDEX(集計3!$C$16:$CX$25,$C209,INDIRECT(ADDRESS(ROW()-8-($C209),COLUMN()))))</f>
        <v/>
      </c>
      <c r="N209" s="254"/>
      <c r="O209" s="254"/>
      <c r="P209" s="255"/>
      <c r="Q209" s="253" t="str" cm="1">
        <f t="array" aca="1" ref="Q209" ca="1">IF(INDEX(集計3!$C$16:$CX$25,$C209,INDIRECT(ADDRESS(ROW()-8-($C209),COLUMN())))="","",INDEX(集計3!$C$16:$CX$25,$C209,INDIRECT(ADDRESS(ROW()-8-($C209),COLUMN()))))</f>
        <v/>
      </c>
      <c r="R209" s="254"/>
      <c r="S209" s="254"/>
      <c r="T209" s="255"/>
      <c r="U209" s="253" t="str" cm="1">
        <f t="array" aca="1" ref="U209" ca="1">IF(INDEX(集計3!$C$16:$CX$25,$C209,INDIRECT(ADDRESS(ROW()-8-($C209),COLUMN())))="","",INDEX(集計3!$C$16:$CX$25,$C209,INDIRECT(ADDRESS(ROW()-8-($C209),COLUMN()))))</f>
        <v/>
      </c>
      <c r="V209" s="254"/>
      <c r="W209" s="254"/>
      <c r="X209" s="255"/>
      <c r="Y209" s="253" t="str" cm="1">
        <f t="array" aca="1" ref="Y209" ca="1">IF(INDEX(集計3!$C$16:$CX$25,$C209,INDIRECT(ADDRESS(ROW()-8-($C209),COLUMN())))="","",INDEX(集計3!$C$16:$CX$25,$C209,INDIRECT(ADDRESS(ROW()-8-($C209),COLUMN()))))</f>
        <v/>
      </c>
      <c r="Z209" s="254"/>
      <c r="AA209" s="254"/>
      <c r="AB209" s="255"/>
      <c r="AC209" s="253" t="str" cm="1">
        <f t="array" aca="1" ref="AC209" ca="1">IF(INDEX(集計3!$C$16:$CX$25,$C209,INDIRECT(ADDRESS(ROW()-8-($C209),COLUMN())))="","",INDEX(集計3!$C$16:$CX$25,$C209,INDIRECT(ADDRESS(ROW()-8-($C209),COLUMN()))))</f>
        <v/>
      </c>
      <c r="AD209" s="254"/>
      <c r="AE209" s="254"/>
      <c r="AF209" s="255"/>
      <c r="AG209" s="253" t="str" cm="1">
        <f t="array" aca="1" ref="AG209" ca="1">IF(INDEX(集計3!$C$16:$CX$25,$C209,INDIRECT(ADDRESS(ROW()-8-($C209),COLUMN())))="","",INDEX(集計3!$C$16:$CX$25,$C209,INDIRECT(ADDRESS(ROW()-8-($C209),COLUMN()))))</f>
        <v/>
      </c>
      <c r="AH209" s="254"/>
      <c r="AI209" s="254"/>
      <c r="AJ209" s="255"/>
      <c r="AK209" s="253" t="str" cm="1">
        <f t="array" aca="1" ref="AK209" ca="1">IF(INDEX(集計3!$C$16:$CX$25,$C209,INDIRECT(ADDRESS(ROW()-8-($C209),COLUMN())))="","",INDEX(集計3!$C$16:$CX$25,$C209,INDIRECT(ADDRESS(ROW()-8-($C209),COLUMN()))))</f>
        <v/>
      </c>
      <c r="AL209" s="254"/>
      <c r="AM209" s="254"/>
      <c r="AN209" s="255"/>
      <c r="AO209" s="253" t="str" cm="1">
        <f t="array" aca="1" ref="AO209" ca="1">IF(INDEX(集計3!$C$16:$CX$25,$C209,INDIRECT(ADDRESS(ROW()-8-($C209),COLUMN())))="","",INDEX(集計3!$C$16:$CX$25,$C209,INDIRECT(ADDRESS(ROW()-8-($C209),COLUMN()))))</f>
        <v/>
      </c>
      <c r="AP209" s="254"/>
      <c r="AQ209" s="254"/>
      <c r="AR209" s="255"/>
    </row>
    <row r="210" spans="1:44" ht="14.75" customHeight="1" x14ac:dyDescent="0.7">
      <c r="A210" s="250"/>
      <c r="B210" s="250"/>
      <c r="C210" s="231">
        <v>2</v>
      </c>
      <c r="D210" s="232"/>
      <c r="E210" s="241" t="str" cm="1">
        <f t="array" aca="1" ref="E210" ca="1">IF(INDEX(集計3!$C$16:$CX$25,$C210,INDIRECT(ADDRESS(ROW()-8-($C210),COLUMN())))="","",INDEX(集計3!$C$16:$CX$25,$C210,INDIRECT(ADDRESS(ROW()-8-($C210),COLUMN()))))</f>
        <v/>
      </c>
      <c r="F210" s="242"/>
      <c r="G210" s="242"/>
      <c r="H210" s="243"/>
      <c r="I210" s="241" t="str" cm="1">
        <f t="array" aca="1" ref="I210" ca="1">IF(INDEX(集計3!$C$16:$CX$25,$C210,INDIRECT(ADDRESS(ROW()-8-($C210),COLUMN())))="","",INDEX(集計3!$C$16:$CX$25,$C210,INDIRECT(ADDRESS(ROW()-8-($C210),COLUMN()))))</f>
        <v/>
      </c>
      <c r="J210" s="242"/>
      <c r="K210" s="242"/>
      <c r="L210" s="243"/>
      <c r="M210" s="241" t="str" cm="1">
        <f t="array" aca="1" ref="M210" ca="1">IF(INDEX(集計3!$C$16:$CX$25,$C210,INDIRECT(ADDRESS(ROW()-8-($C210),COLUMN())))="","",INDEX(集計3!$C$16:$CX$25,$C210,INDIRECT(ADDRESS(ROW()-8-($C210),COLUMN()))))</f>
        <v/>
      </c>
      <c r="N210" s="242"/>
      <c r="O210" s="242"/>
      <c r="P210" s="243"/>
      <c r="Q210" s="241" t="str" cm="1">
        <f t="array" aca="1" ref="Q210" ca="1">IF(INDEX(集計3!$C$16:$CX$25,$C210,INDIRECT(ADDRESS(ROW()-8-($C210),COLUMN())))="","",INDEX(集計3!$C$16:$CX$25,$C210,INDIRECT(ADDRESS(ROW()-8-($C210),COLUMN()))))</f>
        <v/>
      </c>
      <c r="R210" s="242"/>
      <c r="S210" s="242"/>
      <c r="T210" s="243"/>
      <c r="U210" s="241" t="str" cm="1">
        <f t="array" aca="1" ref="U210" ca="1">IF(INDEX(集計3!$C$16:$CX$25,$C210,INDIRECT(ADDRESS(ROW()-8-($C210),COLUMN())))="","",INDEX(集計3!$C$16:$CX$25,$C210,INDIRECT(ADDRESS(ROW()-8-($C210),COLUMN()))))</f>
        <v/>
      </c>
      <c r="V210" s="242"/>
      <c r="W210" s="242"/>
      <c r="X210" s="243"/>
      <c r="Y210" s="241" t="str" cm="1">
        <f t="array" aca="1" ref="Y210" ca="1">IF(INDEX(集計3!$C$16:$CX$25,$C210,INDIRECT(ADDRESS(ROW()-8-($C210),COLUMN())))="","",INDEX(集計3!$C$16:$CX$25,$C210,INDIRECT(ADDRESS(ROW()-8-($C210),COLUMN()))))</f>
        <v/>
      </c>
      <c r="Z210" s="242"/>
      <c r="AA210" s="242"/>
      <c r="AB210" s="243"/>
      <c r="AC210" s="241" t="str" cm="1">
        <f t="array" aca="1" ref="AC210" ca="1">IF(INDEX(集計3!$C$16:$CX$25,$C210,INDIRECT(ADDRESS(ROW()-8-($C210),COLUMN())))="","",INDEX(集計3!$C$16:$CX$25,$C210,INDIRECT(ADDRESS(ROW()-8-($C210),COLUMN()))))</f>
        <v/>
      </c>
      <c r="AD210" s="242"/>
      <c r="AE210" s="242"/>
      <c r="AF210" s="243"/>
      <c r="AG210" s="241" t="str" cm="1">
        <f t="array" aca="1" ref="AG210" ca="1">IF(INDEX(集計3!$C$16:$CX$25,$C210,INDIRECT(ADDRESS(ROW()-8-($C210),COLUMN())))="","",INDEX(集計3!$C$16:$CX$25,$C210,INDIRECT(ADDRESS(ROW()-8-($C210),COLUMN()))))</f>
        <v/>
      </c>
      <c r="AH210" s="242"/>
      <c r="AI210" s="242"/>
      <c r="AJ210" s="243"/>
      <c r="AK210" s="241" t="str" cm="1">
        <f t="array" aca="1" ref="AK210" ca="1">IF(INDEX(集計3!$C$16:$CX$25,$C210,INDIRECT(ADDRESS(ROW()-8-($C210),COLUMN())))="","",INDEX(集計3!$C$16:$CX$25,$C210,INDIRECT(ADDRESS(ROW()-8-($C210),COLUMN()))))</f>
        <v/>
      </c>
      <c r="AL210" s="242"/>
      <c r="AM210" s="242"/>
      <c r="AN210" s="243"/>
      <c r="AO210" s="241" t="str" cm="1">
        <f t="array" aca="1" ref="AO210" ca="1">IF(INDEX(集計3!$C$16:$CX$25,$C210,INDIRECT(ADDRESS(ROW()-8-($C210),COLUMN())))="","",INDEX(集計3!$C$16:$CX$25,$C210,INDIRECT(ADDRESS(ROW()-8-($C210),COLUMN()))))</f>
        <v/>
      </c>
      <c r="AP210" s="242"/>
      <c r="AQ210" s="242"/>
      <c r="AR210" s="243"/>
    </row>
    <row r="211" spans="1:44" ht="14.75" customHeight="1" x14ac:dyDescent="0.7">
      <c r="A211" s="250"/>
      <c r="B211" s="250"/>
      <c r="C211" s="231">
        <v>3</v>
      </c>
      <c r="D211" s="232"/>
      <c r="E211" s="241" t="str" cm="1">
        <f t="array" aca="1" ref="E211" ca="1">IF(INDEX(集計3!$C$16:$CX$25,$C211,INDIRECT(ADDRESS(ROW()-8-($C211),COLUMN())))="","",INDEX(集計3!$C$16:$CX$25,$C211,INDIRECT(ADDRESS(ROW()-8-($C211),COLUMN()))))</f>
        <v/>
      </c>
      <c r="F211" s="242"/>
      <c r="G211" s="242"/>
      <c r="H211" s="243"/>
      <c r="I211" s="241" t="str" cm="1">
        <f t="array" aca="1" ref="I211" ca="1">IF(INDEX(集計3!$C$16:$CX$25,$C211,INDIRECT(ADDRESS(ROW()-8-($C211),COLUMN())))="","",INDEX(集計3!$C$16:$CX$25,$C211,INDIRECT(ADDRESS(ROW()-8-($C211),COLUMN()))))</f>
        <v/>
      </c>
      <c r="J211" s="242"/>
      <c r="K211" s="242"/>
      <c r="L211" s="243"/>
      <c r="M211" s="241" t="str" cm="1">
        <f t="array" aca="1" ref="M211" ca="1">IF(INDEX(集計3!$C$16:$CX$25,$C211,INDIRECT(ADDRESS(ROW()-8-($C211),COLUMN())))="","",INDEX(集計3!$C$16:$CX$25,$C211,INDIRECT(ADDRESS(ROW()-8-($C211),COLUMN()))))</f>
        <v/>
      </c>
      <c r="N211" s="242"/>
      <c r="O211" s="242"/>
      <c r="P211" s="243"/>
      <c r="Q211" s="241" t="str" cm="1">
        <f t="array" aca="1" ref="Q211" ca="1">IF(INDEX(集計3!$C$16:$CX$25,$C211,INDIRECT(ADDRESS(ROW()-8-($C211),COLUMN())))="","",INDEX(集計3!$C$16:$CX$25,$C211,INDIRECT(ADDRESS(ROW()-8-($C211),COLUMN()))))</f>
        <v/>
      </c>
      <c r="R211" s="242"/>
      <c r="S211" s="242"/>
      <c r="T211" s="243"/>
      <c r="U211" s="241" t="str" cm="1">
        <f t="array" aca="1" ref="U211" ca="1">IF(INDEX(集計3!$C$16:$CX$25,$C211,INDIRECT(ADDRESS(ROW()-8-($C211),COLUMN())))="","",INDEX(集計3!$C$16:$CX$25,$C211,INDIRECT(ADDRESS(ROW()-8-($C211),COLUMN()))))</f>
        <v/>
      </c>
      <c r="V211" s="242"/>
      <c r="W211" s="242"/>
      <c r="X211" s="243"/>
      <c r="Y211" s="241" t="str" cm="1">
        <f t="array" aca="1" ref="Y211" ca="1">IF(INDEX(集計3!$C$16:$CX$25,$C211,INDIRECT(ADDRESS(ROW()-8-($C211),COLUMN())))="","",INDEX(集計3!$C$16:$CX$25,$C211,INDIRECT(ADDRESS(ROW()-8-($C211),COLUMN()))))</f>
        <v/>
      </c>
      <c r="Z211" s="242"/>
      <c r="AA211" s="242"/>
      <c r="AB211" s="243"/>
      <c r="AC211" s="241" t="str" cm="1">
        <f t="array" aca="1" ref="AC211" ca="1">IF(INDEX(集計3!$C$16:$CX$25,$C211,INDIRECT(ADDRESS(ROW()-8-($C211),COLUMN())))="","",INDEX(集計3!$C$16:$CX$25,$C211,INDIRECT(ADDRESS(ROW()-8-($C211),COLUMN()))))</f>
        <v/>
      </c>
      <c r="AD211" s="242"/>
      <c r="AE211" s="242"/>
      <c r="AF211" s="243"/>
      <c r="AG211" s="241" t="str" cm="1">
        <f t="array" aca="1" ref="AG211" ca="1">IF(INDEX(集計3!$C$16:$CX$25,$C211,INDIRECT(ADDRESS(ROW()-8-($C211),COLUMN())))="","",INDEX(集計3!$C$16:$CX$25,$C211,INDIRECT(ADDRESS(ROW()-8-($C211),COLUMN()))))</f>
        <v/>
      </c>
      <c r="AH211" s="242"/>
      <c r="AI211" s="242"/>
      <c r="AJ211" s="243"/>
      <c r="AK211" s="241" t="str" cm="1">
        <f t="array" aca="1" ref="AK211" ca="1">IF(INDEX(集計3!$C$16:$CX$25,$C211,INDIRECT(ADDRESS(ROW()-8-($C211),COLUMN())))="","",INDEX(集計3!$C$16:$CX$25,$C211,INDIRECT(ADDRESS(ROW()-8-($C211),COLUMN()))))</f>
        <v/>
      </c>
      <c r="AL211" s="242"/>
      <c r="AM211" s="242"/>
      <c r="AN211" s="243"/>
      <c r="AO211" s="241" t="str" cm="1">
        <f t="array" aca="1" ref="AO211" ca="1">IF(INDEX(集計3!$C$16:$CX$25,$C211,INDIRECT(ADDRESS(ROW()-8-($C211),COLUMN())))="","",INDEX(集計3!$C$16:$CX$25,$C211,INDIRECT(ADDRESS(ROW()-8-($C211),COLUMN()))))</f>
        <v/>
      </c>
      <c r="AP211" s="242"/>
      <c r="AQ211" s="242"/>
      <c r="AR211" s="243"/>
    </row>
    <row r="212" spans="1:44" ht="14.75" customHeight="1" x14ac:dyDescent="0.7">
      <c r="A212" s="250"/>
      <c r="B212" s="250"/>
      <c r="C212" s="231">
        <v>4</v>
      </c>
      <c r="D212" s="232"/>
      <c r="E212" s="241" t="str" cm="1">
        <f t="array" aca="1" ref="E212" ca="1">IF(INDEX(集計3!$C$16:$CX$25,$C212,INDIRECT(ADDRESS(ROW()-8-($C212),COLUMN())))="","",INDEX(集計3!$C$16:$CX$25,$C212,INDIRECT(ADDRESS(ROW()-8-($C212),COLUMN()))))</f>
        <v/>
      </c>
      <c r="F212" s="242"/>
      <c r="G212" s="242"/>
      <c r="H212" s="243"/>
      <c r="I212" s="241" t="str" cm="1">
        <f t="array" aca="1" ref="I212" ca="1">IF(INDEX(集計3!$C$16:$CX$25,$C212,INDIRECT(ADDRESS(ROW()-8-($C212),COLUMN())))="","",INDEX(集計3!$C$16:$CX$25,$C212,INDIRECT(ADDRESS(ROW()-8-($C212),COLUMN()))))</f>
        <v/>
      </c>
      <c r="J212" s="242"/>
      <c r="K212" s="242"/>
      <c r="L212" s="243"/>
      <c r="M212" s="241" t="str" cm="1">
        <f t="array" aca="1" ref="M212" ca="1">IF(INDEX(集計3!$C$16:$CX$25,$C212,INDIRECT(ADDRESS(ROW()-8-($C212),COLUMN())))="","",INDEX(集計3!$C$16:$CX$25,$C212,INDIRECT(ADDRESS(ROW()-8-($C212),COLUMN()))))</f>
        <v/>
      </c>
      <c r="N212" s="242"/>
      <c r="O212" s="242"/>
      <c r="P212" s="243"/>
      <c r="Q212" s="241" t="str" cm="1">
        <f t="array" aca="1" ref="Q212" ca="1">IF(INDEX(集計3!$C$16:$CX$25,$C212,INDIRECT(ADDRESS(ROW()-8-($C212),COLUMN())))="","",INDEX(集計3!$C$16:$CX$25,$C212,INDIRECT(ADDRESS(ROW()-8-($C212),COLUMN()))))</f>
        <v/>
      </c>
      <c r="R212" s="242"/>
      <c r="S212" s="242"/>
      <c r="T212" s="243"/>
      <c r="U212" s="241" t="str" cm="1">
        <f t="array" aca="1" ref="U212" ca="1">IF(INDEX(集計3!$C$16:$CX$25,$C212,INDIRECT(ADDRESS(ROW()-8-($C212),COLUMN())))="","",INDEX(集計3!$C$16:$CX$25,$C212,INDIRECT(ADDRESS(ROW()-8-($C212),COLUMN()))))</f>
        <v/>
      </c>
      <c r="V212" s="242"/>
      <c r="W212" s="242"/>
      <c r="X212" s="243"/>
      <c r="Y212" s="241" t="str" cm="1">
        <f t="array" aca="1" ref="Y212" ca="1">IF(INDEX(集計3!$C$16:$CX$25,$C212,INDIRECT(ADDRESS(ROW()-8-($C212),COLUMN())))="","",INDEX(集計3!$C$16:$CX$25,$C212,INDIRECT(ADDRESS(ROW()-8-($C212),COLUMN()))))</f>
        <v/>
      </c>
      <c r="Z212" s="242"/>
      <c r="AA212" s="242"/>
      <c r="AB212" s="243"/>
      <c r="AC212" s="241" t="str" cm="1">
        <f t="array" aca="1" ref="AC212" ca="1">IF(INDEX(集計3!$C$16:$CX$25,$C212,INDIRECT(ADDRESS(ROW()-8-($C212),COLUMN())))="","",INDEX(集計3!$C$16:$CX$25,$C212,INDIRECT(ADDRESS(ROW()-8-($C212),COLUMN()))))</f>
        <v/>
      </c>
      <c r="AD212" s="242"/>
      <c r="AE212" s="242"/>
      <c r="AF212" s="243"/>
      <c r="AG212" s="241" t="str" cm="1">
        <f t="array" aca="1" ref="AG212" ca="1">IF(INDEX(集計3!$C$16:$CX$25,$C212,INDIRECT(ADDRESS(ROW()-8-($C212),COLUMN())))="","",INDEX(集計3!$C$16:$CX$25,$C212,INDIRECT(ADDRESS(ROW()-8-($C212),COLUMN()))))</f>
        <v/>
      </c>
      <c r="AH212" s="242"/>
      <c r="AI212" s="242"/>
      <c r="AJ212" s="243"/>
      <c r="AK212" s="241" t="str" cm="1">
        <f t="array" aca="1" ref="AK212" ca="1">IF(INDEX(集計3!$C$16:$CX$25,$C212,INDIRECT(ADDRESS(ROW()-8-($C212),COLUMN())))="","",INDEX(集計3!$C$16:$CX$25,$C212,INDIRECT(ADDRESS(ROW()-8-($C212),COLUMN()))))</f>
        <v/>
      </c>
      <c r="AL212" s="242"/>
      <c r="AM212" s="242"/>
      <c r="AN212" s="243"/>
      <c r="AO212" s="241" t="str" cm="1">
        <f t="array" aca="1" ref="AO212" ca="1">IF(INDEX(集計3!$C$16:$CX$25,$C212,INDIRECT(ADDRESS(ROW()-8-($C212),COLUMN())))="","",INDEX(集計3!$C$16:$CX$25,$C212,INDIRECT(ADDRESS(ROW()-8-($C212),COLUMN()))))</f>
        <v/>
      </c>
      <c r="AP212" s="242"/>
      <c r="AQ212" s="242"/>
      <c r="AR212" s="243"/>
    </row>
    <row r="213" spans="1:44" ht="14.75" customHeight="1" x14ac:dyDescent="0.7">
      <c r="A213" s="250"/>
      <c r="B213" s="250"/>
      <c r="C213" s="231">
        <v>5</v>
      </c>
      <c r="D213" s="232"/>
      <c r="E213" s="241" t="str" cm="1">
        <f t="array" aca="1" ref="E213" ca="1">IF(INDEX(集計3!$C$16:$CX$25,$C213,INDIRECT(ADDRESS(ROW()-8-($C213),COLUMN())))="","",INDEX(集計3!$C$16:$CX$25,$C213,INDIRECT(ADDRESS(ROW()-8-($C213),COLUMN()))))</f>
        <v/>
      </c>
      <c r="F213" s="242"/>
      <c r="G213" s="242"/>
      <c r="H213" s="243"/>
      <c r="I213" s="241" t="str" cm="1">
        <f t="array" aca="1" ref="I213" ca="1">IF(INDEX(集計3!$C$16:$CX$25,$C213,INDIRECT(ADDRESS(ROW()-8-($C213),COLUMN())))="","",INDEX(集計3!$C$16:$CX$25,$C213,INDIRECT(ADDRESS(ROW()-8-($C213),COLUMN()))))</f>
        <v/>
      </c>
      <c r="J213" s="242"/>
      <c r="K213" s="242"/>
      <c r="L213" s="243"/>
      <c r="M213" s="241" t="str" cm="1">
        <f t="array" aca="1" ref="M213" ca="1">IF(INDEX(集計3!$C$16:$CX$25,$C213,INDIRECT(ADDRESS(ROW()-8-($C213),COLUMN())))="","",INDEX(集計3!$C$16:$CX$25,$C213,INDIRECT(ADDRESS(ROW()-8-($C213),COLUMN()))))</f>
        <v/>
      </c>
      <c r="N213" s="242"/>
      <c r="O213" s="242"/>
      <c r="P213" s="243"/>
      <c r="Q213" s="241" t="str" cm="1">
        <f t="array" aca="1" ref="Q213" ca="1">IF(INDEX(集計3!$C$16:$CX$25,$C213,INDIRECT(ADDRESS(ROW()-8-($C213),COLUMN())))="","",INDEX(集計3!$C$16:$CX$25,$C213,INDIRECT(ADDRESS(ROW()-8-($C213),COLUMN()))))</f>
        <v/>
      </c>
      <c r="R213" s="242"/>
      <c r="S213" s="242"/>
      <c r="T213" s="243"/>
      <c r="U213" s="241" t="str" cm="1">
        <f t="array" aca="1" ref="U213" ca="1">IF(INDEX(集計3!$C$16:$CX$25,$C213,INDIRECT(ADDRESS(ROW()-8-($C213),COLUMN())))="","",INDEX(集計3!$C$16:$CX$25,$C213,INDIRECT(ADDRESS(ROW()-8-($C213),COLUMN()))))</f>
        <v/>
      </c>
      <c r="V213" s="242"/>
      <c r="W213" s="242"/>
      <c r="X213" s="243"/>
      <c r="Y213" s="241" t="str" cm="1">
        <f t="array" aca="1" ref="Y213" ca="1">IF(INDEX(集計3!$C$16:$CX$25,$C213,INDIRECT(ADDRESS(ROW()-8-($C213),COLUMN())))="","",INDEX(集計3!$C$16:$CX$25,$C213,INDIRECT(ADDRESS(ROW()-8-($C213),COLUMN()))))</f>
        <v/>
      </c>
      <c r="Z213" s="242"/>
      <c r="AA213" s="242"/>
      <c r="AB213" s="243"/>
      <c r="AC213" s="241" t="str" cm="1">
        <f t="array" aca="1" ref="AC213" ca="1">IF(INDEX(集計3!$C$16:$CX$25,$C213,INDIRECT(ADDRESS(ROW()-8-($C213),COLUMN())))="","",INDEX(集計3!$C$16:$CX$25,$C213,INDIRECT(ADDRESS(ROW()-8-($C213),COLUMN()))))</f>
        <v/>
      </c>
      <c r="AD213" s="242"/>
      <c r="AE213" s="242"/>
      <c r="AF213" s="243"/>
      <c r="AG213" s="241" t="str" cm="1">
        <f t="array" aca="1" ref="AG213" ca="1">IF(INDEX(集計3!$C$16:$CX$25,$C213,INDIRECT(ADDRESS(ROW()-8-($C213),COLUMN())))="","",INDEX(集計3!$C$16:$CX$25,$C213,INDIRECT(ADDRESS(ROW()-8-($C213),COLUMN()))))</f>
        <v/>
      </c>
      <c r="AH213" s="242"/>
      <c r="AI213" s="242"/>
      <c r="AJ213" s="243"/>
      <c r="AK213" s="241" t="str" cm="1">
        <f t="array" aca="1" ref="AK213" ca="1">IF(INDEX(集計3!$C$16:$CX$25,$C213,INDIRECT(ADDRESS(ROW()-8-($C213),COLUMN())))="","",INDEX(集計3!$C$16:$CX$25,$C213,INDIRECT(ADDRESS(ROW()-8-($C213),COLUMN()))))</f>
        <v/>
      </c>
      <c r="AL213" s="242"/>
      <c r="AM213" s="242"/>
      <c r="AN213" s="243"/>
      <c r="AO213" s="241" t="str" cm="1">
        <f t="array" aca="1" ref="AO213" ca="1">IF(INDEX(集計3!$C$16:$CX$25,$C213,INDIRECT(ADDRESS(ROW()-8-($C213),COLUMN())))="","",INDEX(集計3!$C$16:$CX$25,$C213,INDIRECT(ADDRESS(ROW()-8-($C213),COLUMN()))))</f>
        <v/>
      </c>
      <c r="AP213" s="242"/>
      <c r="AQ213" s="242"/>
      <c r="AR213" s="243"/>
    </row>
    <row r="214" spans="1:44" ht="14.75" customHeight="1" x14ac:dyDescent="0.7">
      <c r="A214" s="250"/>
      <c r="B214" s="250"/>
      <c r="C214" s="231">
        <v>6</v>
      </c>
      <c r="D214" s="232"/>
      <c r="E214" s="233" t="str" cm="1">
        <f t="array" aca="1" ref="E214" ca="1">IF(INDEX(集計3!$C$16:$CX$25,$C214,INDIRECT(ADDRESS(ROW()-8-($C214),COLUMN())))="","",INDEX(集計3!$C$16:$CX$25,$C214,INDIRECT(ADDRESS(ROW()-8-($C214),COLUMN()))))</f>
        <v/>
      </c>
      <c r="F214" s="234"/>
      <c r="G214" s="234"/>
      <c r="H214" s="235"/>
      <c r="I214" s="233" t="str" cm="1">
        <f t="array" aca="1" ref="I214" ca="1">IF(INDEX(集計3!$C$16:$CX$25,$C214,INDIRECT(ADDRESS(ROW()-8-($C214),COLUMN())))="","",INDEX(集計3!$C$16:$CX$25,$C214,INDIRECT(ADDRESS(ROW()-8-($C214),COLUMN()))))</f>
        <v/>
      </c>
      <c r="J214" s="234"/>
      <c r="K214" s="234"/>
      <c r="L214" s="235"/>
      <c r="M214" s="233" t="str" cm="1">
        <f t="array" aca="1" ref="M214" ca="1">IF(INDEX(集計3!$C$16:$CX$25,$C214,INDIRECT(ADDRESS(ROW()-8-($C214),COLUMN())))="","",INDEX(集計3!$C$16:$CX$25,$C214,INDIRECT(ADDRESS(ROW()-8-($C214),COLUMN()))))</f>
        <v/>
      </c>
      <c r="N214" s="234"/>
      <c r="O214" s="234"/>
      <c r="P214" s="235"/>
      <c r="Q214" s="233" t="str" cm="1">
        <f t="array" aca="1" ref="Q214" ca="1">IF(INDEX(集計3!$C$16:$CX$25,$C214,INDIRECT(ADDRESS(ROW()-8-($C214),COLUMN())))="","",INDEX(集計3!$C$16:$CX$25,$C214,INDIRECT(ADDRESS(ROW()-8-($C214),COLUMN()))))</f>
        <v/>
      </c>
      <c r="R214" s="234"/>
      <c r="S214" s="234"/>
      <c r="T214" s="235"/>
      <c r="U214" s="233" t="str" cm="1">
        <f t="array" aca="1" ref="U214" ca="1">IF(INDEX(集計3!$C$16:$CX$25,$C214,INDIRECT(ADDRESS(ROW()-8-($C214),COLUMN())))="","",INDEX(集計3!$C$16:$CX$25,$C214,INDIRECT(ADDRESS(ROW()-8-($C214),COLUMN()))))</f>
        <v/>
      </c>
      <c r="V214" s="234"/>
      <c r="W214" s="234"/>
      <c r="X214" s="235"/>
      <c r="Y214" s="233" t="str" cm="1">
        <f t="array" aca="1" ref="Y214" ca="1">IF(INDEX(集計3!$C$16:$CX$25,$C214,INDIRECT(ADDRESS(ROW()-8-($C214),COLUMN())))="","",INDEX(集計3!$C$16:$CX$25,$C214,INDIRECT(ADDRESS(ROW()-8-($C214),COLUMN()))))</f>
        <v/>
      </c>
      <c r="Z214" s="234"/>
      <c r="AA214" s="234"/>
      <c r="AB214" s="235"/>
      <c r="AC214" s="233" t="str" cm="1">
        <f t="array" aca="1" ref="AC214" ca="1">IF(INDEX(集計3!$C$16:$CX$25,$C214,INDIRECT(ADDRESS(ROW()-8-($C214),COLUMN())))="","",INDEX(集計3!$C$16:$CX$25,$C214,INDIRECT(ADDRESS(ROW()-8-($C214),COLUMN()))))</f>
        <v/>
      </c>
      <c r="AD214" s="234"/>
      <c r="AE214" s="234"/>
      <c r="AF214" s="235"/>
      <c r="AG214" s="233" t="str" cm="1">
        <f t="array" aca="1" ref="AG214" ca="1">IF(INDEX(集計3!$C$16:$CX$25,$C214,INDIRECT(ADDRESS(ROW()-8-($C214),COLUMN())))="","",INDEX(集計3!$C$16:$CX$25,$C214,INDIRECT(ADDRESS(ROW()-8-($C214),COLUMN()))))</f>
        <v/>
      </c>
      <c r="AH214" s="234"/>
      <c r="AI214" s="234"/>
      <c r="AJ214" s="235"/>
      <c r="AK214" s="233" t="str" cm="1">
        <f t="array" aca="1" ref="AK214" ca="1">IF(INDEX(集計3!$C$16:$CX$25,$C214,INDIRECT(ADDRESS(ROW()-8-($C214),COLUMN())))="","",INDEX(集計3!$C$16:$CX$25,$C214,INDIRECT(ADDRESS(ROW()-8-($C214),COLUMN()))))</f>
        <v/>
      </c>
      <c r="AL214" s="234"/>
      <c r="AM214" s="234"/>
      <c r="AN214" s="235"/>
      <c r="AO214" s="233" t="str" cm="1">
        <f t="array" aca="1" ref="AO214" ca="1">IF(INDEX(集計3!$C$16:$CX$25,$C214,INDIRECT(ADDRESS(ROW()-8-($C214),COLUMN())))="","",INDEX(集計3!$C$16:$CX$25,$C214,INDIRECT(ADDRESS(ROW()-8-($C214),COLUMN()))))</f>
        <v/>
      </c>
      <c r="AP214" s="234"/>
      <c r="AQ214" s="234"/>
      <c r="AR214" s="235"/>
    </row>
    <row r="215" spans="1:44" ht="14.75" customHeight="1" x14ac:dyDescent="0.7">
      <c r="A215" s="250"/>
      <c r="B215" s="250"/>
      <c r="C215" s="231">
        <v>7</v>
      </c>
      <c r="D215" s="232"/>
      <c r="E215" s="233" t="str" cm="1">
        <f t="array" aca="1" ref="E215" ca="1">IF(INDEX(集計3!$C$16:$CX$25,$C215,INDIRECT(ADDRESS(ROW()-8-($C215),COLUMN())))="","",INDEX(集計3!$C$16:$CX$25,$C215,INDIRECT(ADDRESS(ROW()-8-($C215),COLUMN()))))</f>
        <v/>
      </c>
      <c r="F215" s="234"/>
      <c r="G215" s="234"/>
      <c r="H215" s="235"/>
      <c r="I215" s="233" t="str" cm="1">
        <f t="array" aca="1" ref="I215" ca="1">IF(INDEX(集計3!$C$16:$CX$25,$C215,INDIRECT(ADDRESS(ROW()-8-($C215),COLUMN())))="","",INDEX(集計3!$C$16:$CX$25,$C215,INDIRECT(ADDRESS(ROW()-8-($C215),COLUMN()))))</f>
        <v/>
      </c>
      <c r="J215" s="234"/>
      <c r="K215" s="234"/>
      <c r="L215" s="235"/>
      <c r="M215" s="233" t="str" cm="1">
        <f t="array" aca="1" ref="M215" ca="1">IF(INDEX(集計3!$C$16:$CX$25,$C215,INDIRECT(ADDRESS(ROW()-8-($C215),COLUMN())))="","",INDEX(集計3!$C$16:$CX$25,$C215,INDIRECT(ADDRESS(ROW()-8-($C215),COLUMN()))))</f>
        <v/>
      </c>
      <c r="N215" s="234"/>
      <c r="O215" s="234"/>
      <c r="P215" s="235"/>
      <c r="Q215" s="233" t="str" cm="1">
        <f t="array" aca="1" ref="Q215" ca="1">IF(INDEX(集計3!$C$16:$CX$25,$C215,INDIRECT(ADDRESS(ROW()-8-($C215),COLUMN())))="","",INDEX(集計3!$C$16:$CX$25,$C215,INDIRECT(ADDRESS(ROW()-8-($C215),COLUMN()))))</f>
        <v/>
      </c>
      <c r="R215" s="234"/>
      <c r="S215" s="234"/>
      <c r="T215" s="235"/>
      <c r="U215" s="233" t="str" cm="1">
        <f t="array" aca="1" ref="U215" ca="1">IF(INDEX(集計3!$C$16:$CX$25,$C215,INDIRECT(ADDRESS(ROW()-8-($C215),COLUMN())))="","",INDEX(集計3!$C$16:$CX$25,$C215,INDIRECT(ADDRESS(ROW()-8-($C215),COLUMN()))))</f>
        <v/>
      </c>
      <c r="V215" s="234"/>
      <c r="W215" s="234"/>
      <c r="X215" s="235"/>
      <c r="Y215" s="233" t="str" cm="1">
        <f t="array" aca="1" ref="Y215" ca="1">IF(INDEX(集計3!$C$16:$CX$25,$C215,INDIRECT(ADDRESS(ROW()-8-($C215),COLUMN())))="","",INDEX(集計3!$C$16:$CX$25,$C215,INDIRECT(ADDRESS(ROW()-8-($C215),COLUMN()))))</f>
        <v/>
      </c>
      <c r="Z215" s="234"/>
      <c r="AA215" s="234"/>
      <c r="AB215" s="235"/>
      <c r="AC215" s="233" t="str" cm="1">
        <f t="array" aca="1" ref="AC215" ca="1">IF(INDEX(集計3!$C$16:$CX$25,$C215,INDIRECT(ADDRESS(ROW()-8-($C215),COLUMN())))="","",INDEX(集計3!$C$16:$CX$25,$C215,INDIRECT(ADDRESS(ROW()-8-($C215),COLUMN()))))</f>
        <v/>
      </c>
      <c r="AD215" s="234"/>
      <c r="AE215" s="234"/>
      <c r="AF215" s="235"/>
      <c r="AG215" s="233" t="str" cm="1">
        <f t="array" aca="1" ref="AG215" ca="1">IF(INDEX(集計3!$C$16:$CX$25,$C215,INDIRECT(ADDRESS(ROW()-8-($C215),COLUMN())))="","",INDEX(集計3!$C$16:$CX$25,$C215,INDIRECT(ADDRESS(ROW()-8-($C215),COLUMN()))))</f>
        <v/>
      </c>
      <c r="AH215" s="234"/>
      <c r="AI215" s="234"/>
      <c r="AJ215" s="235"/>
      <c r="AK215" s="233" t="str" cm="1">
        <f t="array" aca="1" ref="AK215" ca="1">IF(INDEX(集計3!$C$16:$CX$25,$C215,INDIRECT(ADDRESS(ROW()-8-($C215),COLUMN())))="","",INDEX(集計3!$C$16:$CX$25,$C215,INDIRECT(ADDRESS(ROW()-8-($C215),COLUMN()))))</f>
        <v/>
      </c>
      <c r="AL215" s="234"/>
      <c r="AM215" s="234"/>
      <c r="AN215" s="235"/>
      <c r="AO215" s="233" t="str" cm="1">
        <f t="array" aca="1" ref="AO215" ca="1">IF(INDEX(集計3!$C$16:$CX$25,$C215,INDIRECT(ADDRESS(ROW()-8-($C215),COLUMN())))="","",INDEX(集計3!$C$16:$CX$25,$C215,INDIRECT(ADDRESS(ROW()-8-($C215),COLUMN()))))</f>
        <v/>
      </c>
      <c r="AP215" s="234"/>
      <c r="AQ215" s="234"/>
      <c r="AR215" s="235"/>
    </row>
    <row r="216" spans="1:44" ht="14.75" customHeight="1" x14ac:dyDescent="0.7">
      <c r="A216" s="250"/>
      <c r="B216" s="250"/>
      <c r="C216" s="231">
        <v>8</v>
      </c>
      <c r="D216" s="232"/>
      <c r="E216" s="233" t="str" cm="1">
        <f t="array" aca="1" ref="E216" ca="1">IF(INDEX(集計3!$C$16:$CX$25,$C216,INDIRECT(ADDRESS(ROW()-8-($C216),COLUMN())))="","",INDEX(集計3!$C$16:$CX$25,$C216,INDIRECT(ADDRESS(ROW()-8-($C216),COLUMN()))))</f>
        <v/>
      </c>
      <c r="F216" s="234"/>
      <c r="G216" s="234"/>
      <c r="H216" s="235"/>
      <c r="I216" s="233" t="str" cm="1">
        <f t="array" aca="1" ref="I216" ca="1">IF(INDEX(集計3!$C$16:$CX$25,$C216,INDIRECT(ADDRESS(ROW()-8-($C216),COLUMN())))="","",INDEX(集計3!$C$16:$CX$25,$C216,INDIRECT(ADDRESS(ROW()-8-($C216),COLUMN()))))</f>
        <v/>
      </c>
      <c r="J216" s="234"/>
      <c r="K216" s="234"/>
      <c r="L216" s="235"/>
      <c r="M216" s="233" t="str" cm="1">
        <f t="array" aca="1" ref="M216" ca="1">IF(INDEX(集計3!$C$16:$CX$25,$C216,INDIRECT(ADDRESS(ROW()-8-($C216),COLUMN())))="","",INDEX(集計3!$C$16:$CX$25,$C216,INDIRECT(ADDRESS(ROW()-8-($C216),COLUMN()))))</f>
        <v/>
      </c>
      <c r="N216" s="234"/>
      <c r="O216" s="234"/>
      <c r="P216" s="235"/>
      <c r="Q216" s="233" t="str" cm="1">
        <f t="array" aca="1" ref="Q216" ca="1">IF(INDEX(集計3!$C$16:$CX$25,$C216,INDIRECT(ADDRESS(ROW()-8-($C216),COLUMN())))="","",INDEX(集計3!$C$16:$CX$25,$C216,INDIRECT(ADDRESS(ROW()-8-($C216),COLUMN()))))</f>
        <v/>
      </c>
      <c r="R216" s="234"/>
      <c r="S216" s="234"/>
      <c r="T216" s="235"/>
      <c r="U216" s="233" t="str" cm="1">
        <f t="array" aca="1" ref="U216" ca="1">IF(INDEX(集計3!$C$16:$CX$25,$C216,INDIRECT(ADDRESS(ROW()-8-($C216),COLUMN())))="","",INDEX(集計3!$C$16:$CX$25,$C216,INDIRECT(ADDRESS(ROW()-8-($C216),COLUMN()))))</f>
        <v/>
      </c>
      <c r="V216" s="234"/>
      <c r="W216" s="234"/>
      <c r="X216" s="235"/>
      <c r="Y216" s="233" t="str" cm="1">
        <f t="array" aca="1" ref="Y216" ca="1">IF(INDEX(集計3!$C$16:$CX$25,$C216,INDIRECT(ADDRESS(ROW()-8-($C216),COLUMN())))="","",INDEX(集計3!$C$16:$CX$25,$C216,INDIRECT(ADDRESS(ROW()-8-($C216),COLUMN()))))</f>
        <v/>
      </c>
      <c r="Z216" s="234"/>
      <c r="AA216" s="234"/>
      <c r="AB216" s="235"/>
      <c r="AC216" s="233" t="str" cm="1">
        <f t="array" aca="1" ref="AC216" ca="1">IF(INDEX(集計3!$C$16:$CX$25,$C216,INDIRECT(ADDRESS(ROW()-8-($C216),COLUMN())))="","",INDEX(集計3!$C$16:$CX$25,$C216,INDIRECT(ADDRESS(ROW()-8-($C216),COLUMN()))))</f>
        <v/>
      </c>
      <c r="AD216" s="234"/>
      <c r="AE216" s="234"/>
      <c r="AF216" s="235"/>
      <c r="AG216" s="233" t="str" cm="1">
        <f t="array" aca="1" ref="AG216" ca="1">IF(INDEX(集計3!$C$16:$CX$25,$C216,INDIRECT(ADDRESS(ROW()-8-($C216),COLUMN())))="","",INDEX(集計3!$C$16:$CX$25,$C216,INDIRECT(ADDRESS(ROW()-8-($C216),COLUMN()))))</f>
        <v/>
      </c>
      <c r="AH216" s="234"/>
      <c r="AI216" s="234"/>
      <c r="AJ216" s="235"/>
      <c r="AK216" s="233" t="str" cm="1">
        <f t="array" aca="1" ref="AK216" ca="1">IF(INDEX(集計3!$C$16:$CX$25,$C216,INDIRECT(ADDRESS(ROW()-8-($C216),COLUMN())))="","",INDEX(集計3!$C$16:$CX$25,$C216,INDIRECT(ADDRESS(ROW()-8-($C216),COLUMN()))))</f>
        <v/>
      </c>
      <c r="AL216" s="234"/>
      <c r="AM216" s="234"/>
      <c r="AN216" s="235"/>
      <c r="AO216" s="233" t="str" cm="1">
        <f t="array" aca="1" ref="AO216" ca="1">IF(INDEX(集計3!$C$16:$CX$25,$C216,INDIRECT(ADDRESS(ROW()-8-($C216),COLUMN())))="","",INDEX(集計3!$C$16:$CX$25,$C216,INDIRECT(ADDRESS(ROW()-8-($C216),COLUMN()))))</f>
        <v/>
      </c>
      <c r="AP216" s="234"/>
      <c r="AQ216" s="234"/>
      <c r="AR216" s="235"/>
    </row>
    <row r="217" spans="1:44" ht="14.75" customHeight="1" x14ac:dyDescent="0.7">
      <c r="A217" s="250"/>
      <c r="B217" s="250"/>
      <c r="C217" s="231">
        <v>9</v>
      </c>
      <c r="D217" s="232"/>
      <c r="E217" s="233" t="str" cm="1">
        <f t="array" aca="1" ref="E217" ca="1">IF(INDEX(集計3!$C$16:$CX$25,$C217,INDIRECT(ADDRESS(ROW()-8-($C217),COLUMN())))="","",INDEX(集計3!$C$16:$CX$25,$C217,INDIRECT(ADDRESS(ROW()-8-($C217),COLUMN()))))</f>
        <v/>
      </c>
      <c r="F217" s="234"/>
      <c r="G217" s="234"/>
      <c r="H217" s="235"/>
      <c r="I217" s="233" t="str" cm="1">
        <f t="array" aca="1" ref="I217" ca="1">IF(INDEX(集計3!$C$16:$CX$25,$C217,INDIRECT(ADDRESS(ROW()-8-($C217),COLUMN())))="","",INDEX(集計3!$C$16:$CX$25,$C217,INDIRECT(ADDRESS(ROW()-8-($C217),COLUMN()))))</f>
        <v/>
      </c>
      <c r="J217" s="234"/>
      <c r="K217" s="234"/>
      <c r="L217" s="235"/>
      <c r="M217" s="233" t="str" cm="1">
        <f t="array" aca="1" ref="M217" ca="1">IF(INDEX(集計3!$C$16:$CX$25,$C217,INDIRECT(ADDRESS(ROW()-8-($C217),COLUMN())))="","",INDEX(集計3!$C$16:$CX$25,$C217,INDIRECT(ADDRESS(ROW()-8-($C217),COLUMN()))))</f>
        <v/>
      </c>
      <c r="N217" s="234"/>
      <c r="O217" s="234"/>
      <c r="P217" s="235"/>
      <c r="Q217" s="233" t="str" cm="1">
        <f t="array" aca="1" ref="Q217" ca="1">IF(INDEX(集計3!$C$16:$CX$25,$C217,INDIRECT(ADDRESS(ROW()-8-($C217),COLUMN())))="","",INDEX(集計3!$C$16:$CX$25,$C217,INDIRECT(ADDRESS(ROW()-8-($C217),COLUMN()))))</f>
        <v/>
      </c>
      <c r="R217" s="234"/>
      <c r="S217" s="234"/>
      <c r="T217" s="235"/>
      <c r="U217" s="233" t="str" cm="1">
        <f t="array" aca="1" ref="U217" ca="1">IF(INDEX(集計3!$C$16:$CX$25,$C217,INDIRECT(ADDRESS(ROW()-8-($C217),COLUMN())))="","",INDEX(集計3!$C$16:$CX$25,$C217,INDIRECT(ADDRESS(ROW()-8-($C217),COLUMN()))))</f>
        <v/>
      </c>
      <c r="V217" s="234"/>
      <c r="W217" s="234"/>
      <c r="X217" s="235"/>
      <c r="Y217" s="233" t="str" cm="1">
        <f t="array" aca="1" ref="Y217" ca="1">IF(INDEX(集計3!$C$16:$CX$25,$C217,INDIRECT(ADDRESS(ROW()-8-($C217),COLUMN())))="","",INDEX(集計3!$C$16:$CX$25,$C217,INDIRECT(ADDRESS(ROW()-8-($C217),COLUMN()))))</f>
        <v/>
      </c>
      <c r="Z217" s="234"/>
      <c r="AA217" s="234"/>
      <c r="AB217" s="235"/>
      <c r="AC217" s="233" t="str" cm="1">
        <f t="array" aca="1" ref="AC217" ca="1">IF(INDEX(集計3!$C$16:$CX$25,$C217,INDIRECT(ADDRESS(ROW()-8-($C217),COLUMN())))="","",INDEX(集計3!$C$16:$CX$25,$C217,INDIRECT(ADDRESS(ROW()-8-($C217),COLUMN()))))</f>
        <v/>
      </c>
      <c r="AD217" s="234"/>
      <c r="AE217" s="234"/>
      <c r="AF217" s="235"/>
      <c r="AG217" s="233" t="str" cm="1">
        <f t="array" aca="1" ref="AG217" ca="1">IF(INDEX(集計3!$C$16:$CX$25,$C217,INDIRECT(ADDRESS(ROW()-8-($C217),COLUMN())))="","",INDEX(集計3!$C$16:$CX$25,$C217,INDIRECT(ADDRESS(ROW()-8-($C217),COLUMN()))))</f>
        <v/>
      </c>
      <c r="AH217" s="234"/>
      <c r="AI217" s="234"/>
      <c r="AJ217" s="235"/>
      <c r="AK217" s="233" t="str" cm="1">
        <f t="array" aca="1" ref="AK217" ca="1">IF(INDEX(集計3!$C$16:$CX$25,$C217,INDIRECT(ADDRESS(ROW()-8-($C217),COLUMN())))="","",INDEX(集計3!$C$16:$CX$25,$C217,INDIRECT(ADDRESS(ROW()-8-($C217),COLUMN()))))</f>
        <v/>
      </c>
      <c r="AL217" s="234"/>
      <c r="AM217" s="234"/>
      <c r="AN217" s="235"/>
      <c r="AO217" s="233" t="str" cm="1">
        <f t="array" aca="1" ref="AO217" ca="1">IF(INDEX(集計3!$C$16:$CX$25,$C217,INDIRECT(ADDRESS(ROW()-8-($C217),COLUMN())))="","",INDEX(集計3!$C$16:$CX$25,$C217,INDIRECT(ADDRESS(ROW()-8-($C217),COLUMN()))))</f>
        <v/>
      </c>
      <c r="AP217" s="234"/>
      <c r="AQ217" s="234"/>
      <c r="AR217" s="235"/>
    </row>
    <row r="218" spans="1:44" ht="14.75" customHeight="1" x14ac:dyDescent="0.7">
      <c r="A218" s="250"/>
      <c r="B218" s="250"/>
      <c r="C218" s="236">
        <v>10</v>
      </c>
      <c r="D218" s="237"/>
      <c r="E218" s="238" t="str" cm="1">
        <f t="array" aca="1" ref="E218" ca="1">IF(INDEX(集計3!$C$16:$CX$25,$C218,INDIRECT(ADDRESS(ROW()-8-($C218),COLUMN())))="","",INDEX(集計3!$C$16:$CX$25,$C218,INDIRECT(ADDRESS(ROW()-8-($C218),COLUMN()))))</f>
        <v/>
      </c>
      <c r="F218" s="239"/>
      <c r="G218" s="239"/>
      <c r="H218" s="240"/>
      <c r="I218" s="238" t="str" cm="1">
        <f t="array" aca="1" ref="I218" ca="1">IF(INDEX(集計3!$C$16:$CX$25,$C218,INDIRECT(ADDRESS(ROW()-8-($C218),COLUMN())))="","",INDEX(集計3!$C$16:$CX$25,$C218,INDIRECT(ADDRESS(ROW()-8-($C218),COLUMN()))))</f>
        <v/>
      </c>
      <c r="J218" s="239"/>
      <c r="K218" s="239"/>
      <c r="L218" s="240"/>
      <c r="M218" s="238" t="str" cm="1">
        <f t="array" aca="1" ref="M218" ca="1">IF(INDEX(集計3!$C$16:$CX$25,$C218,INDIRECT(ADDRESS(ROW()-8-($C218),COLUMN())))="","",INDEX(集計3!$C$16:$CX$25,$C218,INDIRECT(ADDRESS(ROW()-8-($C218),COLUMN()))))</f>
        <v/>
      </c>
      <c r="N218" s="239"/>
      <c r="O218" s="239"/>
      <c r="P218" s="240"/>
      <c r="Q218" s="238" t="str" cm="1">
        <f t="array" aca="1" ref="Q218" ca="1">IF(INDEX(集計3!$C$16:$CX$25,$C218,INDIRECT(ADDRESS(ROW()-8-($C218),COLUMN())))="","",INDEX(集計3!$C$16:$CX$25,$C218,INDIRECT(ADDRESS(ROW()-8-($C218),COLUMN()))))</f>
        <v/>
      </c>
      <c r="R218" s="239"/>
      <c r="S218" s="239"/>
      <c r="T218" s="240"/>
      <c r="U218" s="238" t="str" cm="1">
        <f t="array" aca="1" ref="U218" ca="1">IF(INDEX(集計3!$C$16:$CX$25,$C218,INDIRECT(ADDRESS(ROW()-8-($C218),COLUMN())))="","",INDEX(集計3!$C$16:$CX$25,$C218,INDIRECT(ADDRESS(ROW()-8-($C218),COLUMN()))))</f>
        <v/>
      </c>
      <c r="V218" s="239"/>
      <c r="W218" s="239"/>
      <c r="X218" s="240"/>
      <c r="Y218" s="238" t="str" cm="1">
        <f t="array" aca="1" ref="Y218" ca="1">IF(INDEX(集計3!$C$16:$CX$25,$C218,INDIRECT(ADDRESS(ROW()-8-($C218),COLUMN())))="","",INDEX(集計3!$C$16:$CX$25,$C218,INDIRECT(ADDRESS(ROW()-8-($C218),COLUMN()))))</f>
        <v/>
      </c>
      <c r="Z218" s="239"/>
      <c r="AA218" s="239"/>
      <c r="AB218" s="240"/>
      <c r="AC218" s="238" t="str" cm="1">
        <f t="array" aca="1" ref="AC218" ca="1">IF(INDEX(集計3!$C$16:$CX$25,$C218,INDIRECT(ADDRESS(ROW()-8-($C218),COLUMN())))="","",INDEX(集計3!$C$16:$CX$25,$C218,INDIRECT(ADDRESS(ROW()-8-($C218),COLUMN()))))</f>
        <v/>
      </c>
      <c r="AD218" s="239"/>
      <c r="AE218" s="239"/>
      <c r="AF218" s="240"/>
      <c r="AG218" s="238" t="str" cm="1">
        <f t="array" aca="1" ref="AG218" ca="1">IF(INDEX(集計3!$C$16:$CX$25,$C218,INDIRECT(ADDRESS(ROW()-8-($C218),COLUMN())))="","",INDEX(集計3!$C$16:$CX$25,$C218,INDIRECT(ADDRESS(ROW()-8-($C218),COLUMN()))))</f>
        <v/>
      </c>
      <c r="AH218" s="239"/>
      <c r="AI218" s="239"/>
      <c r="AJ218" s="240"/>
      <c r="AK218" s="238" t="str" cm="1">
        <f t="array" aca="1" ref="AK218" ca="1">IF(INDEX(集計3!$C$16:$CX$25,$C218,INDIRECT(ADDRESS(ROW()-8-($C218),COLUMN())))="","",INDEX(集計3!$C$16:$CX$25,$C218,INDIRECT(ADDRESS(ROW()-8-($C218),COLUMN()))))</f>
        <v/>
      </c>
      <c r="AL218" s="239"/>
      <c r="AM218" s="239"/>
      <c r="AN218" s="240"/>
      <c r="AO218" s="238" t="str" cm="1">
        <f t="array" aca="1" ref="AO218" ca="1">IF(INDEX(集計3!$C$16:$CX$25,$C218,INDIRECT(ADDRESS(ROW()-8-($C218),COLUMN())))="","",INDEX(集計3!$C$16:$CX$25,$C218,INDIRECT(ADDRESS(ROW()-8-($C218),COLUMN()))))</f>
        <v/>
      </c>
      <c r="AP218" s="239"/>
      <c r="AQ218" s="239"/>
      <c r="AR218" s="240"/>
    </row>
    <row r="219" spans="1:44" ht="7.25" customHeight="1" x14ac:dyDescent="0.7">
      <c r="A219" s="217" t="s">
        <v>163</v>
      </c>
      <c r="B219" s="217"/>
      <c r="C219" s="217"/>
      <c r="D219" s="217"/>
      <c r="E219" s="219" t="str" cm="1">
        <f t="array" aca="1" ref="E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219" s="220"/>
      <c r="G219" s="220"/>
      <c r="H219" s="221"/>
      <c r="I219" s="219" t="str" cm="1">
        <f t="array" aca="1" ref="I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219" s="220"/>
      <c r="K219" s="220"/>
      <c r="L219" s="221"/>
      <c r="M219" s="219" t="str" cm="1">
        <f t="array" aca="1" ref="M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219" s="220"/>
      <c r="O219" s="220"/>
      <c r="P219" s="221"/>
      <c r="Q219" s="219" t="str" cm="1">
        <f t="array" aca="1" ref="Q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219" s="220"/>
      <c r="S219" s="220"/>
      <c r="T219" s="221"/>
      <c r="U219" s="219" t="str" cm="1">
        <f t="array" aca="1" ref="U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219" s="220"/>
      <c r="W219" s="220"/>
      <c r="X219" s="221"/>
      <c r="Y219" s="219" t="str" cm="1">
        <f t="array" aca="1" ref="Y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219" s="220"/>
      <c r="AA219" s="220"/>
      <c r="AB219" s="221"/>
      <c r="AC219" s="219" t="str" cm="1">
        <f t="array" aca="1" ref="AC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219" s="220"/>
      <c r="AE219" s="220"/>
      <c r="AF219" s="221"/>
      <c r="AG219" s="219" t="str" cm="1">
        <f t="array" aca="1" ref="AG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219" s="220"/>
      <c r="AI219" s="220"/>
      <c r="AJ219" s="221"/>
      <c r="AK219" s="219" t="str" cm="1">
        <f t="array" aca="1" ref="AK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219" s="220"/>
      <c r="AM219" s="220"/>
      <c r="AN219" s="221"/>
      <c r="AO219" s="219" t="str" cm="1">
        <f t="array" aca="1" ref="AO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219" s="220"/>
      <c r="AQ219" s="220"/>
      <c r="AR219" s="221"/>
    </row>
    <row r="220" spans="1:44" ht="7.25" customHeight="1" x14ac:dyDescent="0.7">
      <c r="A220" s="218"/>
      <c r="B220" s="218"/>
      <c r="C220" s="218"/>
      <c r="D220" s="218"/>
      <c r="E220" s="222"/>
      <c r="F220" s="223"/>
      <c r="G220" s="223"/>
      <c r="H220" s="224"/>
      <c r="I220" s="222"/>
      <c r="J220" s="223"/>
      <c r="K220" s="223"/>
      <c r="L220" s="224"/>
      <c r="M220" s="222"/>
      <c r="N220" s="223"/>
      <c r="O220" s="223"/>
      <c r="P220" s="224"/>
      <c r="Q220" s="222"/>
      <c r="R220" s="223"/>
      <c r="S220" s="223"/>
      <c r="T220" s="224"/>
      <c r="U220" s="222"/>
      <c r="V220" s="223"/>
      <c r="W220" s="223"/>
      <c r="X220" s="224"/>
      <c r="Y220" s="222"/>
      <c r="Z220" s="223"/>
      <c r="AA220" s="223"/>
      <c r="AB220" s="224"/>
      <c r="AC220" s="222"/>
      <c r="AD220" s="223"/>
      <c r="AE220" s="223"/>
      <c r="AF220" s="224"/>
      <c r="AG220" s="222"/>
      <c r="AH220" s="223"/>
      <c r="AI220" s="223"/>
      <c r="AJ220" s="224"/>
      <c r="AK220" s="222"/>
      <c r="AL220" s="223"/>
      <c r="AM220" s="223"/>
      <c r="AN220" s="224"/>
      <c r="AO220" s="222"/>
      <c r="AP220" s="223"/>
      <c r="AQ220" s="223"/>
      <c r="AR220" s="224"/>
    </row>
    <row r="221" spans="1:44" ht="9" customHeight="1" x14ac:dyDescent="0.7">
      <c r="A221" s="225" t="s">
        <v>164</v>
      </c>
      <c r="B221" s="226"/>
      <c r="C221" s="226"/>
      <c r="D221" s="227"/>
      <c r="E221" s="228" t="str">
        <f ca="1">IF(COUNT(INDIRECT(ADDRESS(ROW()-12,COLUMN())):INDIRECT(ADDRESS(ROW()-3,COLUMN())))=0,"",MAX(INDIRECT(ADDRESS(ROW()-12,COLUMN())):INDIRECT(ADDRESS(ROW()-3,COLUMN()))))</f>
        <v/>
      </c>
      <c r="F221" s="229"/>
      <c r="G221" s="229"/>
      <c r="H221" s="230"/>
      <c r="I221" s="228" t="str">
        <f ca="1">IF(COUNT(INDIRECT(ADDRESS(ROW()-12,COLUMN())):INDIRECT(ADDRESS(ROW()-3,COLUMN())))=0,"",MAX(INDIRECT(ADDRESS(ROW()-12,COLUMN())):INDIRECT(ADDRESS(ROW()-3,COLUMN()))))</f>
        <v/>
      </c>
      <c r="J221" s="229"/>
      <c r="K221" s="229"/>
      <c r="L221" s="230"/>
      <c r="M221" s="228" t="str">
        <f ca="1">IF(COUNT(INDIRECT(ADDRESS(ROW()-12,COLUMN())):INDIRECT(ADDRESS(ROW()-3,COLUMN())))=0,"",MAX(INDIRECT(ADDRESS(ROW()-12,COLUMN())):INDIRECT(ADDRESS(ROW()-3,COLUMN()))))</f>
        <v/>
      </c>
      <c r="N221" s="229"/>
      <c r="O221" s="229"/>
      <c r="P221" s="230"/>
      <c r="Q221" s="228" t="str">
        <f ca="1">IF(COUNT(INDIRECT(ADDRESS(ROW()-12,COLUMN())):INDIRECT(ADDRESS(ROW()-3,COLUMN())))=0,"",MAX(INDIRECT(ADDRESS(ROW()-12,COLUMN())):INDIRECT(ADDRESS(ROW()-3,COLUMN()))))</f>
        <v/>
      </c>
      <c r="R221" s="229"/>
      <c r="S221" s="229"/>
      <c r="T221" s="230"/>
      <c r="U221" s="228" t="str">
        <f ca="1">IF(COUNT(INDIRECT(ADDRESS(ROW()-12,COLUMN())):INDIRECT(ADDRESS(ROW()-3,COLUMN())))=0,"",MAX(INDIRECT(ADDRESS(ROW()-12,COLUMN())):INDIRECT(ADDRESS(ROW()-3,COLUMN()))))</f>
        <v/>
      </c>
      <c r="V221" s="229"/>
      <c r="W221" s="229"/>
      <c r="X221" s="230"/>
      <c r="Y221" s="228" t="str">
        <f ca="1">IF(COUNT(INDIRECT(ADDRESS(ROW()-12,COLUMN())):INDIRECT(ADDRESS(ROW()-3,COLUMN())))=0,"",MAX(INDIRECT(ADDRESS(ROW()-12,COLUMN())):INDIRECT(ADDRESS(ROW()-3,COLUMN()))))</f>
        <v/>
      </c>
      <c r="Z221" s="229"/>
      <c r="AA221" s="229"/>
      <c r="AB221" s="230"/>
      <c r="AC221" s="228" t="str">
        <f ca="1">IF(COUNT(INDIRECT(ADDRESS(ROW()-12,COLUMN())):INDIRECT(ADDRESS(ROW()-3,COLUMN())))=0,"",MAX(INDIRECT(ADDRESS(ROW()-12,COLUMN())):INDIRECT(ADDRESS(ROW()-3,COLUMN()))))</f>
        <v/>
      </c>
      <c r="AD221" s="229"/>
      <c r="AE221" s="229"/>
      <c r="AF221" s="230"/>
      <c r="AG221" s="228" t="str">
        <f ca="1">IF(COUNT(INDIRECT(ADDRESS(ROW()-12,COLUMN())):INDIRECT(ADDRESS(ROW()-3,COLUMN())))=0,"",MAX(INDIRECT(ADDRESS(ROW()-12,COLUMN())):INDIRECT(ADDRESS(ROW()-3,COLUMN()))))</f>
        <v/>
      </c>
      <c r="AH221" s="229"/>
      <c r="AI221" s="229"/>
      <c r="AJ221" s="230"/>
      <c r="AK221" s="228" t="str">
        <f ca="1">IF(COUNT(INDIRECT(ADDRESS(ROW()-12,COLUMN())):INDIRECT(ADDRESS(ROW()-3,COLUMN())))=0,"",MAX(INDIRECT(ADDRESS(ROW()-12,COLUMN())):INDIRECT(ADDRESS(ROW()-3,COLUMN()))))</f>
        <v/>
      </c>
      <c r="AL221" s="229"/>
      <c r="AM221" s="229"/>
      <c r="AN221" s="230"/>
      <c r="AO221" s="228" t="str">
        <f ca="1">IF(COUNT(INDIRECT(ADDRESS(ROW()-12,COLUMN())):INDIRECT(ADDRESS(ROW()-3,COLUMN())))=0,"",MAX(INDIRECT(ADDRESS(ROW()-12,COLUMN())):INDIRECT(ADDRESS(ROW()-3,COLUMN()))))</f>
        <v/>
      </c>
      <c r="AP221" s="229"/>
      <c r="AQ221" s="229"/>
      <c r="AR221" s="230"/>
    </row>
    <row r="222" spans="1:44" ht="9" customHeight="1" x14ac:dyDescent="0.7">
      <c r="A222" s="211" t="s">
        <v>165</v>
      </c>
      <c r="B222" s="212"/>
      <c r="C222" s="212"/>
      <c r="D222" s="213"/>
      <c r="E222" s="214" t="str">
        <f ca="1">IF(COUNT(INDIRECT(ADDRESS(ROW()-13,COLUMN())):INDIRECT(ADDRESS(ROW()-4,COLUMN())))=0,"",MIN(INDIRECT(ADDRESS(ROW()-13,COLUMN())):INDIRECT(ADDRESS(ROW()-4,COLUMN()))))</f>
        <v/>
      </c>
      <c r="F222" s="215"/>
      <c r="G222" s="215"/>
      <c r="H222" s="216"/>
      <c r="I222" s="214" t="str">
        <f ca="1">IF(COUNT(INDIRECT(ADDRESS(ROW()-13,COLUMN())):INDIRECT(ADDRESS(ROW()-4,COLUMN())))=0,"",MIN(INDIRECT(ADDRESS(ROW()-13,COLUMN())):INDIRECT(ADDRESS(ROW()-4,COLUMN()))))</f>
        <v/>
      </c>
      <c r="J222" s="215"/>
      <c r="K222" s="215"/>
      <c r="L222" s="216"/>
      <c r="M222" s="214" t="str">
        <f ca="1">IF(COUNT(INDIRECT(ADDRESS(ROW()-13,COLUMN())):INDIRECT(ADDRESS(ROW()-4,COLUMN())))=0,"",MIN(INDIRECT(ADDRESS(ROW()-13,COLUMN())):INDIRECT(ADDRESS(ROW()-4,COLUMN()))))</f>
        <v/>
      </c>
      <c r="N222" s="215"/>
      <c r="O222" s="215"/>
      <c r="P222" s="216"/>
      <c r="Q222" s="214" t="str">
        <f ca="1">IF(COUNT(INDIRECT(ADDRESS(ROW()-13,COLUMN())):INDIRECT(ADDRESS(ROW()-4,COLUMN())))=0,"",MIN(INDIRECT(ADDRESS(ROW()-13,COLUMN())):INDIRECT(ADDRESS(ROW()-4,COLUMN()))))</f>
        <v/>
      </c>
      <c r="R222" s="215"/>
      <c r="S222" s="215"/>
      <c r="T222" s="216"/>
      <c r="U222" s="214" t="str">
        <f ca="1">IF(COUNT(INDIRECT(ADDRESS(ROW()-13,COLUMN())):INDIRECT(ADDRESS(ROW()-4,COLUMN())))=0,"",MIN(INDIRECT(ADDRESS(ROW()-13,COLUMN())):INDIRECT(ADDRESS(ROW()-4,COLUMN()))))</f>
        <v/>
      </c>
      <c r="V222" s="215"/>
      <c r="W222" s="215"/>
      <c r="X222" s="216"/>
      <c r="Y222" s="214" t="str">
        <f ca="1">IF(COUNT(INDIRECT(ADDRESS(ROW()-13,COLUMN())):INDIRECT(ADDRESS(ROW()-4,COLUMN())))=0,"",MIN(INDIRECT(ADDRESS(ROW()-13,COLUMN())):INDIRECT(ADDRESS(ROW()-4,COLUMN()))))</f>
        <v/>
      </c>
      <c r="Z222" s="215"/>
      <c r="AA222" s="215"/>
      <c r="AB222" s="216"/>
      <c r="AC222" s="214" t="str">
        <f ca="1">IF(COUNT(INDIRECT(ADDRESS(ROW()-13,COLUMN())):INDIRECT(ADDRESS(ROW()-4,COLUMN())))=0,"",MIN(INDIRECT(ADDRESS(ROW()-13,COLUMN())):INDIRECT(ADDRESS(ROW()-4,COLUMN()))))</f>
        <v/>
      </c>
      <c r="AD222" s="215"/>
      <c r="AE222" s="215"/>
      <c r="AF222" s="216"/>
      <c r="AG222" s="214" t="str">
        <f ca="1">IF(COUNT(INDIRECT(ADDRESS(ROW()-13,COLUMN())):INDIRECT(ADDRESS(ROW()-4,COLUMN())))=0,"",MIN(INDIRECT(ADDRESS(ROW()-13,COLUMN())):INDIRECT(ADDRESS(ROW()-4,COLUMN()))))</f>
        <v/>
      </c>
      <c r="AH222" s="215"/>
      <c r="AI222" s="215"/>
      <c r="AJ222" s="216"/>
      <c r="AK222" s="214" t="str">
        <f ca="1">IF(COUNT(INDIRECT(ADDRESS(ROW()-13,COLUMN())):INDIRECT(ADDRESS(ROW()-4,COLUMN())))=0,"",MIN(INDIRECT(ADDRESS(ROW()-13,COLUMN())):INDIRECT(ADDRESS(ROW()-4,COLUMN()))))</f>
        <v/>
      </c>
      <c r="AL222" s="215"/>
      <c r="AM222" s="215"/>
      <c r="AN222" s="216"/>
      <c r="AO222" s="214" t="str">
        <f ca="1">IF(COUNT(INDIRECT(ADDRESS(ROW()-13,COLUMN())):INDIRECT(ADDRESS(ROW()-4,COLUMN())))=0,"",MIN(INDIRECT(ADDRESS(ROW()-13,COLUMN())):INDIRECT(ADDRESS(ROW()-4,COLUMN()))))</f>
        <v/>
      </c>
      <c r="AP222" s="215"/>
      <c r="AQ222" s="215"/>
      <c r="AR222" s="216"/>
    </row>
    <row r="223" spans="1:44" ht="7.5" customHeight="1" x14ac:dyDescent="0.7"/>
    <row r="224" spans="1:44" ht="13.5" customHeight="1" x14ac:dyDescent="0.7">
      <c r="A224" s="281"/>
      <c r="B224" s="282"/>
      <c r="C224" s="282"/>
      <c r="D224" s="282"/>
      <c r="E224" s="282"/>
      <c r="F224" s="282"/>
      <c r="G224" s="282"/>
      <c r="H224" s="282" t="s">
        <v>147</v>
      </c>
      <c r="I224" s="282"/>
      <c r="J224" s="282"/>
      <c r="K224" s="282"/>
      <c r="L224" s="282"/>
      <c r="M224" s="282"/>
      <c r="N224" s="282"/>
      <c r="O224" s="282"/>
      <c r="P224" s="282"/>
      <c r="Q224" s="282"/>
      <c r="R224" s="282"/>
      <c r="S224" s="282"/>
      <c r="T224" s="282"/>
      <c r="U224" s="282"/>
      <c r="V224" s="282"/>
      <c r="W224" s="287"/>
      <c r="X224" s="290" t="s">
        <v>148</v>
      </c>
      <c r="Y224" s="291"/>
      <c r="Z224" s="291"/>
      <c r="AA224" s="291"/>
      <c r="AB224" s="291"/>
      <c r="AC224" s="291"/>
      <c r="AD224" s="291"/>
      <c r="AE224" s="291"/>
      <c r="AF224" s="291"/>
      <c r="AG224" s="291"/>
      <c r="AH224" s="292"/>
      <c r="AI224" s="290" t="s">
        <v>149</v>
      </c>
      <c r="AJ224" s="291"/>
      <c r="AK224" s="291"/>
      <c r="AL224" s="291"/>
      <c r="AM224" s="291"/>
      <c r="AN224" s="291"/>
      <c r="AO224" s="291"/>
      <c r="AP224" s="291"/>
      <c r="AQ224" s="291"/>
      <c r="AR224" s="292"/>
    </row>
    <row r="225" spans="1:44" ht="13.5" customHeight="1" x14ac:dyDescent="0.7">
      <c r="A225" s="283"/>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8"/>
      <c r="X225" s="293" t="str">
        <f>X2</f>
        <v>50136-01211</v>
      </c>
      <c r="Y225" s="294"/>
      <c r="Z225" s="294"/>
      <c r="AA225" s="294"/>
      <c r="AB225" s="294"/>
      <c r="AC225" s="294"/>
      <c r="AD225" s="294"/>
      <c r="AE225" s="294"/>
      <c r="AF225" s="294"/>
      <c r="AG225" s="294"/>
      <c r="AH225" s="295"/>
      <c r="AI225" s="293" t="str">
        <f>AI2</f>
        <v>ﾍﾞﾝｼｰﾄ</v>
      </c>
      <c r="AJ225" s="294"/>
      <c r="AK225" s="294"/>
      <c r="AL225" s="294"/>
      <c r="AM225" s="294"/>
      <c r="AN225" s="294"/>
      <c r="AO225" s="294"/>
      <c r="AP225" s="294"/>
      <c r="AQ225" s="294"/>
      <c r="AR225" s="295"/>
    </row>
    <row r="226" spans="1:44" ht="13.5" customHeight="1" x14ac:dyDescent="0.7">
      <c r="A226" s="285"/>
      <c r="B226" s="286"/>
      <c r="C226" s="286"/>
      <c r="D226" s="286"/>
      <c r="E226" s="286"/>
      <c r="F226" s="286"/>
      <c r="G226" s="286"/>
      <c r="H226" s="286"/>
      <c r="I226" s="286"/>
      <c r="J226" s="286"/>
      <c r="K226" s="286"/>
      <c r="L226" s="286"/>
      <c r="M226" s="286"/>
      <c r="N226" s="286"/>
      <c r="O226" s="286"/>
      <c r="P226" s="286"/>
      <c r="Q226" s="286"/>
      <c r="R226" s="286"/>
      <c r="S226" s="286"/>
      <c r="T226" s="286"/>
      <c r="U226" s="286"/>
      <c r="V226" s="286"/>
      <c r="W226" s="289"/>
      <c r="X226" s="296"/>
      <c r="Y226" s="297"/>
      <c r="Z226" s="297"/>
      <c r="AA226" s="297"/>
      <c r="AB226" s="297"/>
      <c r="AC226" s="297"/>
      <c r="AD226" s="297"/>
      <c r="AE226" s="297"/>
      <c r="AF226" s="297"/>
      <c r="AG226" s="297"/>
      <c r="AH226" s="298"/>
      <c r="AI226" s="296"/>
      <c r="AJ226" s="297"/>
      <c r="AK226" s="297"/>
      <c r="AL226" s="297"/>
      <c r="AM226" s="297"/>
      <c r="AN226" s="297"/>
      <c r="AO226" s="297"/>
      <c r="AP226" s="297"/>
      <c r="AQ226" s="297"/>
      <c r="AR226" s="298"/>
    </row>
    <row r="227" spans="1:44" ht="8" customHeight="1" x14ac:dyDescent="0.7">
      <c r="A227" s="217" t="s">
        <v>157</v>
      </c>
      <c r="B227" s="217"/>
      <c r="C227" s="217"/>
      <c r="D227" s="217"/>
      <c r="E227" s="275">
        <v>81</v>
      </c>
      <c r="F227" s="276"/>
      <c r="G227" s="276"/>
      <c r="H227" s="277"/>
      <c r="I227" s="275">
        <v>82</v>
      </c>
      <c r="J227" s="276"/>
      <c r="K227" s="276"/>
      <c r="L227" s="277"/>
      <c r="M227" s="275">
        <v>83</v>
      </c>
      <c r="N227" s="276"/>
      <c r="O227" s="276"/>
      <c r="P227" s="277"/>
      <c r="Q227" s="275">
        <v>84</v>
      </c>
      <c r="R227" s="276"/>
      <c r="S227" s="276"/>
      <c r="T227" s="277"/>
      <c r="U227" s="275">
        <v>85</v>
      </c>
      <c r="V227" s="276"/>
      <c r="W227" s="276"/>
      <c r="X227" s="277"/>
      <c r="Y227" s="275">
        <v>86</v>
      </c>
      <c r="Z227" s="276"/>
      <c r="AA227" s="276"/>
      <c r="AB227" s="277"/>
      <c r="AC227" s="275">
        <v>87</v>
      </c>
      <c r="AD227" s="276"/>
      <c r="AE227" s="276"/>
      <c r="AF227" s="277"/>
      <c r="AG227" s="275">
        <v>88</v>
      </c>
      <c r="AH227" s="276"/>
      <c r="AI227" s="276"/>
      <c r="AJ227" s="277"/>
      <c r="AK227" s="275">
        <v>89</v>
      </c>
      <c r="AL227" s="276"/>
      <c r="AM227" s="276"/>
      <c r="AN227" s="277"/>
      <c r="AO227" s="275">
        <v>90</v>
      </c>
      <c r="AP227" s="276"/>
      <c r="AQ227" s="276"/>
      <c r="AR227" s="277"/>
    </row>
    <row r="228" spans="1:44" ht="8" customHeight="1" x14ac:dyDescent="0.7">
      <c r="A228" s="217"/>
      <c r="B228" s="217"/>
      <c r="C228" s="217"/>
      <c r="D228" s="217"/>
      <c r="E228" s="278"/>
      <c r="F228" s="279"/>
      <c r="G228" s="279"/>
      <c r="H228" s="280"/>
      <c r="I228" s="278"/>
      <c r="J228" s="279"/>
      <c r="K228" s="279"/>
      <c r="L228" s="280"/>
      <c r="M228" s="278"/>
      <c r="N228" s="279"/>
      <c r="O228" s="279"/>
      <c r="P228" s="280"/>
      <c r="Q228" s="278"/>
      <c r="R228" s="279"/>
      <c r="S228" s="279"/>
      <c r="T228" s="280"/>
      <c r="U228" s="278"/>
      <c r="V228" s="279"/>
      <c r="W228" s="279"/>
      <c r="X228" s="280"/>
      <c r="Y228" s="278"/>
      <c r="Z228" s="279"/>
      <c r="AA228" s="279"/>
      <c r="AB228" s="280"/>
      <c r="AC228" s="278"/>
      <c r="AD228" s="279"/>
      <c r="AE228" s="279"/>
      <c r="AF228" s="280"/>
      <c r="AG228" s="278"/>
      <c r="AH228" s="279"/>
      <c r="AI228" s="279"/>
      <c r="AJ228" s="280"/>
      <c r="AK228" s="278"/>
      <c r="AL228" s="279"/>
      <c r="AM228" s="279"/>
      <c r="AN228" s="280"/>
      <c r="AO228" s="278"/>
      <c r="AP228" s="279"/>
      <c r="AQ228" s="279"/>
      <c r="AR228" s="280"/>
    </row>
    <row r="229" spans="1:44" ht="10.25" customHeight="1" x14ac:dyDescent="0.7">
      <c r="A229" s="217" t="s">
        <v>158</v>
      </c>
      <c r="B229" s="217"/>
      <c r="C229" s="217"/>
      <c r="D229" s="217"/>
      <c r="E229" s="262" t="str" cm="1">
        <f t="array" aca="1" ref="E229" ca="1">IFERROR(INDEX(INDIRECT("'"&amp;集計3!$A$1&amp;"'!$C$4:$CX$4"),1,E227),"")</f>
        <v/>
      </c>
      <c r="F229" s="263"/>
      <c r="G229" s="263"/>
      <c r="H229" s="264"/>
      <c r="I229" s="262" t="str" cm="1">
        <f t="array" aca="1" ref="I229" ca="1">IFERROR(INDEX(INDIRECT("'"&amp;集計3!$A$1&amp;"'!$C$4:$CX$4"),1,I227),"")</f>
        <v/>
      </c>
      <c r="J229" s="263"/>
      <c r="K229" s="263"/>
      <c r="L229" s="264"/>
      <c r="M229" s="262" t="str" cm="1">
        <f t="array" aca="1" ref="M229" ca="1">IFERROR(INDEX(INDIRECT("'"&amp;集計3!$A$1&amp;"'!$C$4:$CX$4"),1,M227),"")</f>
        <v/>
      </c>
      <c r="N229" s="263"/>
      <c r="O229" s="263"/>
      <c r="P229" s="264"/>
      <c r="Q229" s="262" t="str" cm="1">
        <f t="array" aca="1" ref="Q229" ca="1">IFERROR(INDEX(INDIRECT("'"&amp;集計3!$A$1&amp;"'!$C$4:$CX$4"),1,Q227),"")</f>
        <v/>
      </c>
      <c r="R229" s="263"/>
      <c r="S229" s="263"/>
      <c r="T229" s="264"/>
      <c r="U229" s="262" t="str" cm="1">
        <f t="array" aca="1" ref="U229" ca="1">IFERROR(INDEX(INDIRECT("'"&amp;集計3!$A$1&amp;"'!$C$4:$CX$4"),1,U227),"")</f>
        <v/>
      </c>
      <c r="V229" s="263"/>
      <c r="W229" s="263"/>
      <c r="X229" s="264"/>
      <c r="Y229" s="262" t="str" cm="1">
        <f t="array" aca="1" ref="Y229" ca="1">IFERROR(INDEX(INDIRECT("'"&amp;集計3!$A$1&amp;"'!$C$4:$CX$4"),1,Y227),"")</f>
        <v/>
      </c>
      <c r="Z229" s="263"/>
      <c r="AA229" s="263"/>
      <c r="AB229" s="264"/>
      <c r="AC229" s="262" t="str" cm="1">
        <f t="array" aca="1" ref="AC229" ca="1">IFERROR(INDEX(INDIRECT("'"&amp;集計3!$A$1&amp;"'!$C$4:$CX$4"),1,AC227),"")</f>
        <v/>
      </c>
      <c r="AD229" s="263"/>
      <c r="AE229" s="263"/>
      <c r="AF229" s="264"/>
      <c r="AG229" s="262" t="str" cm="1">
        <f t="array" aca="1" ref="AG229" ca="1">IFERROR(INDEX(INDIRECT("'"&amp;集計3!$A$1&amp;"'!$C$4:$CX$4"),1,AG227),"")</f>
        <v/>
      </c>
      <c r="AH229" s="263"/>
      <c r="AI229" s="263"/>
      <c r="AJ229" s="264"/>
      <c r="AK229" s="262" t="str" cm="1">
        <f t="array" aca="1" ref="AK229" ca="1">IFERROR(INDEX(INDIRECT("'"&amp;集計3!$A$1&amp;"'!$C$4:$CX$4"),1,AK227),"")</f>
        <v/>
      </c>
      <c r="AL229" s="263"/>
      <c r="AM229" s="263"/>
      <c r="AN229" s="264"/>
      <c r="AO229" s="262" t="str" cm="1">
        <f t="array" aca="1" ref="AO229" ca="1">IFERROR(INDEX(INDIRECT("'"&amp;集計3!$A$1&amp;"'!$C$4:$CX$4"),1,AO227),"")</f>
        <v/>
      </c>
      <c r="AP229" s="263"/>
      <c r="AQ229" s="263"/>
      <c r="AR229" s="264"/>
    </row>
    <row r="230" spans="1:44" ht="10.25" customHeight="1" x14ac:dyDescent="0.7">
      <c r="A230" s="218"/>
      <c r="B230" s="218"/>
      <c r="C230" s="218"/>
      <c r="D230" s="218"/>
      <c r="E230" s="265"/>
      <c r="F230" s="266"/>
      <c r="G230" s="266"/>
      <c r="H230" s="267"/>
      <c r="I230" s="265"/>
      <c r="J230" s="266"/>
      <c r="K230" s="266"/>
      <c r="L230" s="267"/>
      <c r="M230" s="265"/>
      <c r="N230" s="266"/>
      <c r="O230" s="266"/>
      <c r="P230" s="267"/>
      <c r="Q230" s="265"/>
      <c r="R230" s="266"/>
      <c r="S230" s="266"/>
      <c r="T230" s="267"/>
      <c r="U230" s="265"/>
      <c r="V230" s="266"/>
      <c r="W230" s="266"/>
      <c r="X230" s="267"/>
      <c r="Y230" s="265"/>
      <c r="Z230" s="266"/>
      <c r="AA230" s="266"/>
      <c r="AB230" s="267"/>
      <c r="AC230" s="265"/>
      <c r="AD230" s="266"/>
      <c r="AE230" s="266"/>
      <c r="AF230" s="267"/>
      <c r="AG230" s="265"/>
      <c r="AH230" s="266"/>
      <c r="AI230" s="266"/>
      <c r="AJ230" s="267"/>
      <c r="AK230" s="265"/>
      <c r="AL230" s="266"/>
      <c r="AM230" s="266"/>
      <c r="AN230" s="267"/>
      <c r="AO230" s="265"/>
      <c r="AP230" s="266"/>
      <c r="AQ230" s="266"/>
      <c r="AR230" s="267"/>
    </row>
    <row r="231" spans="1:44" ht="10.25" customHeight="1" x14ac:dyDescent="0.7">
      <c r="A231" s="268" t="s">
        <v>127</v>
      </c>
      <c r="B231" s="269"/>
      <c r="C231" s="269"/>
      <c r="D231" s="270"/>
      <c r="E231" s="271" t="str" cm="1">
        <f t="array" aca="1" ref="E231" ca="1">IFERROR(INDEX(INDIRECT("'"&amp;集計3!$A$1&amp;"'!$C$5:$CX$5"),1,E227),"")</f>
        <v/>
      </c>
      <c r="F231" s="272"/>
      <c r="G231" s="273" t="str" cm="1">
        <f t="array" aca="1" ref="G231" ca="1">IFERROR(INDEX(INDIRECT("'"&amp;集計3!$A$1&amp;"'!$C$6:$CX$6"),1,E227),"")</f>
        <v/>
      </c>
      <c r="H231" s="274"/>
      <c r="I231" s="271" t="str" cm="1">
        <f t="array" aca="1" ref="I231" ca="1">IFERROR(INDEX(INDIRECT("'"&amp;集計3!$A$1&amp;"'!$C$5:$CX$5"),1,I227),"")</f>
        <v/>
      </c>
      <c r="J231" s="272"/>
      <c r="K231" s="273" t="str" cm="1">
        <f t="array" aca="1" ref="K231" ca="1">IFERROR(INDEX(INDIRECT("'"&amp;集計3!$A$1&amp;"'!$C$6:$CX$6"),1,I227),"")</f>
        <v/>
      </c>
      <c r="L231" s="274"/>
      <c r="M231" s="271" t="str" cm="1">
        <f t="array" aca="1" ref="M231" ca="1">IFERROR(INDEX(INDIRECT("'"&amp;集計3!$A$1&amp;"'!$C$5:$CX$5"),1,M227),"")</f>
        <v/>
      </c>
      <c r="N231" s="272"/>
      <c r="O231" s="273" t="str" cm="1">
        <f t="array" aca="1" ref="O231" ca="1">IFERROR(INDEX(INDIRECT("'"&amp;集計3!$A$1&amp;"'!$C$6:$CX$6"),1,M227),"")</f>
        <v/>
      </c>
      <c r="P231" s="274"/>
      <c r="Q231" s="271" t="str" cm="1">
        <f t="array" aca="1" ref="Q231" ca="1">IFERROR(INDEX(INDIRECT("'"&amp;集計3!$A$1&amp;"'!$C$5:$CX$5"),1,Q227),"")</f>
        <v/>
      </c>
      <c r="R231" s="272"/>
      <c r="S231" s="273" t="str" cm="1">
        <f t="array" aca="1" ref="S231" ca="1">IFERROR(INDEX(INDIRECT("'"&amp;集計3!$A$1&amp;"'!$C$6:$CX$6"),1,Q227),"")</f>
        <v/>
      </c>
      <c r="T231" s="274"/>
      <c r="U231" s="271" t="str" cm="1">
        <f t="array" aca="1" ref="U231" ca="1">IFERROR(INDEX(INDIRECT("'"&amp;集計3!$A$1&amp;"'!$C$5:$CX$5"),1,U227),"")</f>
        <v/>
      </c>
      <c r="V231" s="272"/>
      <c r="W231" s="273" t="str" cm="1">
        <f t="array" aca="1" ref="W231" ca="1">IFERROR(INDEX(INDIRECT("'"&amp;集計3!$A$1&amp;"'!$C$6:$CX$6"),1,U227),"")</f>
        <v/>
      </c>
      <c r="X231" s="274"/>
      <c r="Y231" s="271" t="str" cm="1">
        <f t="array" aca="1" ref="Y231" ca="1">IFERROR(INDEX(INDIRECT("'"&amp;集計3!$A$1&amp;"'!$C$5:$CX$5"),1,Y227),"")</f>
        <v/>
      </c>
      <c r="Z231" s="272"/>
      <c r="AA231" s="273" t="str" cm="1">
        <f t="array" aca="1" ref="AA231" ca="1">IFERROR(INDEX(INDIRECT("'"&amp;集計3!$A$1&amp;"'!$C$6:$CX$6"),1,Y227),"")</f>
        <v/>
      </c>
      <c r="AB231" s="274"/>
      <c r="AC231" s="271" t="str" cm="1">
        <f t="array" aca="1" ref="AC231" ca="1">IFERROR(INDEX(INDIRECT("'"&amp;集計3!$A$1&amp;"'!$C$5:$CX$5"),1,AC227),"")</f>
        <v/>
      </c>
      <c r="AD231" s="272"/>
      <c r="AE231" s="273" t="str" cm="1">
        <f t="array" aca="1" ref="AE231" ca="1">IFERROR(INDEX(INDIRECT("'"&amp;集計3!$A$1&amp;"'!$C$6:$CX$6"),1,AC227),"")</f>
        <v/>
      </c>
      <c r="AF231" s="274"/>
      <c r="AG231" s="271" t="str" cm="1">
        <f t="array" aca="1" ref="AG231" ca="1">IFERROR(INDEX(INDIRECT("'"&amp;集計3!$A$1&amp;"'!$C$5:$CX$5"),1,AG227),"")</f>
        <v/>
      </c>
      <c r="AH231" s="272"/>
      <c r="AI231" s="273" t="str" cm="1">
        <f t="array" aca="1" ref="AI231" ca="1">IFERROR(INDEX(INDIRECT("'"&amp;集計3!$A$1&amp;"'!$C$6:$CX$6"),1,AG227),"")</f>
        <v/>
      </c>
      <c r="AJ231" s="274"/>
      <c r="AK231" s="271" t="str" cm="1">
        <f t="array" aca="1" ref="AK231" ca="1">IFERROR(INDEX(INDIRECT("'"&amp;集計3!$A$1&amp;"'!$C$5:$CX$5"),1,AK227),"")</f>
        <v/>
      </c>
      <c r="AL231" s="272"/>
      <c r="AM231" s="273" t="str" cm="1">
        <f t="array" aca="1" ref="AM231" ca="1">IFERROR(INDEX(INDIRECT("'"&amp;集計3!$A$1&amp;"'!$C$6:$CX$6"),1,AK227),"")</f>
        <v/>
      </c>
      <c r="AN231" s="274"/>
      <c r="AO231" s="271" t="str" cm="1">
        <f t="array" aca="1" ref="AO231" ca="1">IFERROR(INDEX(INDIRECT("'"&amp;集計3!$A$1&amp;"'!$C$5:$CX$5"),1,AO227),"")</f>
        <v/>
      </c>
      <c r="AP231" s="272"/>
      <c r="AQ231" s="273" t="str" cm="1">
        <f t="array" aca="1" ref="AQ231" ca="1">IFERROR(INDEX(INDIRECT("'"&amp;集計3!$A$1&amp;"'!$C$6:$CX$6"),1,AO227),"")</f>
        <v/>
      </c>
      <c r="AR231" s="274"/>
    </row>
    <row r="232" spans="1:44" s="19" customFormat="1" ht="10.25" customHeight="1" x14ac:dyDescent="0.7">
      <c r="A232" s="256" t="s">
        <v>159</v>
      </c>
      <c r="B232" s="256"/>
      <c r="C232" s="256"/>
      <c r="D232" s="256"/>
      <c r="E232" s="16" t="str" cm="1">
        <f t="array" aca="1" ref="E232" ca="1">IFERROR(INDEX(INDIRECT("'"&amp;集計3!$A$1&amp;"'!$C$10:$CX$10"),1,E227),"")</f>
        <v/>
      </c>
      <c r="F232" s="257" t="str" cm="1">
        <f t="array" aca="1" ref="F232" ca="1">IFERROR(IF(INDEX(INDIRECT("'"&amp;集計3!$A$1&amp;"'!$C$7:$CX$7"),1,E227)=0,"",INDEX(INDIRECT("'"&amp;集計3!$A$1&amp;"'!$C$7:$CX$7"),1,E227)),"")</f>
        <v/>
      </c>
      <c r="G232" s="257"/>
      <c r="H232" s="258"/>
      <c r="I232" s="16" t="str" cm="1">
        <f t="array" aca="1" ref="I232" ca="1">IFERROR(INDEX(INDIRECT("'"&amp;集計3!$A$1&amp;"'!$C$10:$CX$10"),1,I227),"")</f>
        <v/>
      </c>
      <c r="J232" s="257" t="str" cm="1">
        <f t="array" aca="1" ref="J232" ca="1">IFERROR(IF(INDEX(INDIRECT("'"&amp;集計3!$A$1&amp;"'!$C$7:$CX$7"),1,I227)=0,"",INDEX(INDIRECT("'"&amp;集計3!$A$1&amp;"'!$C$7:$CX$7"),1,I227)),"")</f>
        <v/>
      </c>
      <c r="K232" s="257"/>
      <c r="L232" s="258"/>
      <c r="M232" s="16" t="str" cm="1">
        <f t="array" aca="1" ref="M232" ca="1">IFERROR(INDEX(INDIRECT("'"&amp;集計3!$A$1&amp;"'!$C$10:$CX$10"),1,M227),"")</f>
        <v/>
      </c>
      <c r="N232" s="257" t="str" cm="1">
        <f t="array" aca="1" ref="N232" ca="1">IFERROR(IF(INDEX(INDIRECT("'"&amp;集計3!$A$1&amp;"'!$C$7:$CX$7"),1,M227)=0,"",INDEX(INDIRECT("'"&amp;集計3!$A$1&amp;"'!$C$7:$CX$7"),1,M227)),"")</f>
        <v/>
      </c>
      <c r="O232" s="257"/>
      <c r="P232" s="258"/>
      <c r="Q232" s="16" t="str" cm="1">
        <f t="array" aca="1" ref="Q232" ca="1">IFERROR(INDEX(INDIRECT("'"&amp;集計3!$A$1&amp;"'!$C$10:$CX$10"),1,Q227),"")</f>
        <v/>
      </c>
      <c r="R232" s="257" t="str" cm="1">
        <f t="array" aca="1" ref="R232" ca="1">IFERROR(IF(INDEX(INDIRECT("'"&amp;集計3!$A$1&amp;"'!$C$7:$CX$7"),1,Q227)=0,"",INDEX(INDIRECT("'"&amp;集計3!$A$1&amp;"'!$C$7:$CX$7"),1,Q227)),"")</f>
        <v/>
      </c>
      <c r="S232" s="257"/>
      <c r="T232" s="258"/>
      <c r="U232" s="16" t="str" cm="1">
        <f t="array" aca="1" ref="U232" ca="1">IFERROR(INDEX(INDIRECT("'"&amp;集計3!$A$1&amp;"'!$C$10:$CX$10"),1,U227),"")</f>
        <v/>
      </c>
      <c r="V232" s="257" t="str" cm="1">
        <f t="array" aca="1" ref="V232" ca="1">IFERROR(IF(INDEX(INDIRECT("'"&amp;集計3!$A$1&amp;"'!$C$7:$CX$7"),1,U227)=0,"",INDEX(INDIRECT("'"&amp;集計3!$A$1&amp;"'!$C$7:$CX$7"),1,U227)),"")</f>
        <v/>
      </c>
      <c r="W232" s="257"/>
      <c r="X232" s="258"/>
      <c r="Y232" s="16" t="str" cm="1">
        <f t="array" aca="1" ref="Y232" ca="1">IFERROR(INDEX(INDIRECT("'"&amp;集計3!$A$1&amp;"'!$C$10:$CX$10"),1,Y227),"")</f>
        <v/>
      </c>
      <c r="Z232" s="257" t="str" cm="1">
        <f t="array" aca="1" ref="Z232" ca="1">IFERROR(IF(INDEX(INDIRECT("'"&amp;集計3!$A$1&amp;"'!$C$7:$CX$7"),1,Y227)=0,"",INDEX(INDIRECT("'"&amp;集計3!$A$1&amp;"'!$C$7:$CX$7"),1,Y227)),"")</f>
        <v/>
      </c>
      <c r="AA232" s="257"/>
      <c r="AB232" s="258"/>
      <c r="AC232" s="16" t="str" cm="1">
        <f t="array" aca="1" ref="AC232" ca="1">IFERROR(INDEX(INDIRECT("'"&amp;集計3!$A$1&amp;"'!$C$10:$CX$10"),1,AC227),"")</f>
        <v/>
      </c>
      <c r="AD232" s="257" t="str" cm="1">
        <f t="array" aca="1" ref="AD232" ca="1">IFERROR(IF(INDEX(INDIRECT("'"&amp;集計3!$A$1&amp;"'!$C$7:$CX$7"),1,AC227)=0,"",INDEX(INDIRECT("'"&amp;集計3!$A$1&amp;"'!$C$7:$CX$7"),1,AC227)),"")</f>
        <v/>
      </c>
      <c r="AE232" s="257"/>
      <c r="AF232" s="258"/>
      <c r="AG232" s="16" t="str" cm="1">
        <f t="array" aca="1" ref="AG232" ca="1">IFERROR(INDEX(INDIRECT("'"&amp;集計3!$A$1&amp;"'!$C$10:$CX$10"),1,AG227),"")</f>
        <v/>
      </c>
      <c r="AH232" s="257" t="str" cm="1">
        <f t="array" aca="1" ref="AH232" ca="1">IFERROR(IF(INDEX(INDIRECT("'"&amp;集計3!$A$1&amp;"'!$C$7:$CX$7"),1,AG227)=0,"",INDEX(INDIRECT("'"&amp;集計3!$A$1&amp;"'!$C$7:$CX$7"),1,AG227)),"")</f>
        <v/>
      </c>
      <c r="AI232" s="257"/>
      <c r="AJ232" s="258"/>
      <c r="AK232" s="16" t="str" cm="1">
        <f t="array" aca="1" ref="AK232" ca="1">IFERROR(INDEX(INDIRECT("'"&amp;集計3!$A$1&amp;"'!$C$10:$CX$10"),1,AK227),"")</f>
        <v/>
      </c>
      <c r="AL232" s="257" t="str" cm="1">
        <f t="array" aca="1" ref="AL232" ca="1">IFERROR(IF(INDEX(INDIRECT("'"&amp;集計3!$A$1&amp;"'!$C$7:$CX$7"),1,AK227)=0,"",INDEX(INDIRECT("'"&amp;集計3!$A$1&amp;"'!$C$7:$CX$7"),1,AK227)),"")</f>
        <v/>
      </c>
      <c r="AM232" s="257"/>
      <c r="AN232" s="258"/>
      <c r="AO232" s="16" t="str" cm="1">
        <f t="array" aca="1" ref="AO232" ca="1">IFERROR(INDEX(INDIRECT("'"&amp;集計3!$A$1&amp;"'!$C$10:$CX$10"),1,AO227),"")</f>
        <v/>
      </c>
      <c r="AP232" s="257" t="str" cm="1">
        <f t="array" aca="1" ref="AP232" ca="1">IFERROR(IF(INDEX(INDIRECT("'"&amp;集計3!$A$1&amp;"'!$C$7:$CX$7"),1,AO227)=0,"",INDEX(INDIRECT("'"&amp;集計3!$A$1&amp;"'!$C$7:$CX$7"),1,AO227)),"")</f>
        <v/>
      </c>
      <c r="AQ232" s="257"/>
      <c r="AR232" s="258"/>
    </row>
    <row r="233" spans="1:44" s="19" customFormat="1" ht="10.25" customHeight="1" x14ac:dyDescent="0.7">
      <c r="A233" s="259" t="s">
        <v>160</v>
      </c>
      <c r="B233" s="259"/>
      <c r="C233" s="259"/>
      <c r="D233" s="259"/>
      <c r="E233" s="17" t="str" cm="1">
        <f t="array" aca="1" ref="E233" ca="1">IFERROR(INDEX(INDIRECT("'"&amp;集計3!$A$1&amp;"'!$C$11:$CX$11"),1,E227),"")</f>
        <v/>
      </c>
      <c r="F233" s="260" t="str" cm="1">
        <f t="array" aca="1" ref="F233" ca="1">IFERROR(IF(INDEX(INDIRECT("'"&amp;集計3!$A$1&amp;"'!$C$8:$CX$8"),1,E227)=0,"",INDEX(INDIRECT("'"&amp;集計3!$A$1&amp;"'!$C$8:$CX$8"),1,E227)),"")</f>
        <v/>
      </c>
      <c r="G233" s="260"/>
      <c r="H233" s="261"/>
      <c r="I233" s="17" t="str" cm="1">
        <f t="array" aca="1" ref="I233" ca="1">IFERROR(INDEX(INDIRECT("'"&amp;集計3!$A$1&amp;"'!$C$11:$CX$11"),1,I227),"")</f>
        <v/>
      </c>
      <c r="J233" s="260" t="str" cm="1">
        <f t="array" aca="1" ref="J233" ca="1">IFERROR(IF(INDEX(INDIRECT("'"&amp;集計3!$A$1&amp;"'!$C$8:$CX$8"),1,I227)=0,"",INDEX(INDIRECT("'"&amp;集計3!$A$1&amp;"'!$C$8:$CX$8"),1,I227)),"")</f>
        <v/>
      </c>
      <c r="K233" s="260"/>
      <c r="L233" s="261"/>
      <c r="M233" s="17" t="str" cm="1">
        <f t="array" aca="1" ref="M233" ca="1">IFERROR(INDEX(INDIRECT("'"&amp;集計3!$A$1&amp;"'!$C$11:$CX$11"),1,M227),"")</f>
        <v/>
      </c>
      <c r="N233" s="260" t="str" cm="1">
        <f t="array" aca="1" ref="N233" ca="1">IFERROR(IF(INDEX(INDIRECT("'"&amp;集計3!$A$1&amp;"'!$C$8:$CX$8"),1,M227)=0,"",INDEX(INDIRECT("'"&amp;集計3!$A$1&amp;"'!$C$8:$CX$8"),1,M227)),"")</f>
        <v/>
      </c>
      <c r="O233" s="260"/>
      <c r="P233" s="261"/>
      <c r="Q233" s="17" t="str" cm="1">
        <f t="array" aca="1" ref="Q233" ca="1">IFERROR(INDEX(INDIRECT("'"&amp;集計3!$A$1&amp;"'!$C$11:$CX$11"),1,Q227),"")</f>
        <v/>
      </c>
      <c r="R233" s="260" t="str" cm="1">
        <f t="array" aca="1" ref="R233" ca="1">IFERROR(IF(INDEX(INDIRECT("'"&amp;集計3!$A$1&amp;"'!$C$8:$CX$8"),1,Q227)=0,"",INDEX(INDIRECT("'"&amp;集計3!$A$1&amp;"'!$C$8:$CX$8"),1,Q227)),"")</f>
        <v/>
      </c>
      <c r="S233" s="260"/>
      <c r="T233" s="261"/>
      <c r="U233" s="17" t="str" cm="1">
        <f t="array" aca="1" ref="U233" ca="1">IFERROR(INDEX(INDIRECT("'"&amp;集計3!$A$1&amp;"'!$C$11:$CX$11"),1,U227),"")</f>
        <v/>
      </c>
      <c r="V233" s="260" t="str" cm="1">
        <f t="array" aca="1" ref="V233" ca="1">IFERROR(IF(INDEX(INDIRECT("'"&amp;集計3!$A$1&amp;"'!$C$8:$CX$8"),1,U227)=0,"",INDEX(INDIRECT("'"&amp;集計3!$A$1&amp;"'!$C$8:$CX$8"),1,U227)),"")</f>
        <v/>
      </c>
      <c r="W233" s="260"/>
      <c r="X233" s="261"/>
      <c r="Y233" s="17" t="str" cm="1">
        <f t="array" aca="1" ref="Y233" ca="1">IFERROR(INDEX(INDIRECT("'"&amp;集計3!$A$1&amp;"'!$C$11:$CX$11"),1,Y227),"")</f>
        <v/>
      </c>
      <c r="Z233" s="260" t="str" cm="1">
        <f t="array" aca="1" ref="Z233" ca="1">IFERROR(IF(INDEX(INDIRECT("'"&amp;集計3!$A$1&amp;"'!$C$8:$CX$8"),1,Y227)=0,"",INDEX(INDIRECT("'"&amp;集計3!$A$1&amp;"'!$C$8:$CX$8"),1,Y227)),"")</f>
        <v/>
      </c>
      <c r="AA233" s="260"/>
      <c r="AB233" s="261"/>
      <c r="AC233" s="17" t="str" cm="1">
        <f t="array" aca="1" ref="AC233" ca="1">IFERROR(INDEX(INDIRECT("'"&amp;集計3!$A$1&amp;"'!$C$11:$CX$11"),1,AC227),"")</f>
        <v/>
      </c>
      <c r="AD233" s="260" t="str" cm="1">
        <f t="array" aca="1" ref="AD233" ca="1">IFERROR(IF(INDEX(INDIRECT("'"&amp;集計3!$A$1&amp;"'!$C$8:$CX$8"),1,AC227)=0,"",INDEX(INDIRECT("'"&amp;集計3!$A$1&amp;"'!$C$8:$CX$8"),1,AC227)),"")</f>
        <v/>
      </c>
      <c r="AE233" s="260"/>
      <c r="AF233" s="261"/>
      <c r="AG233" s="17" t="str" cm="1">
        <f t="array" aca="1" ref="AG233" ca="1">IFERROR(INDEX(INDIRECT("'"&amp;集計3!$A$1&amp;"'!$C$11:$CX$11"),1,AG227),"")</f>
        <v/>
      </c>
      <c r="AH233" s="260" t="str" cm="1">
        <f t="array" aca="1" ref="AH233" ca="1">IFERROR(IF(INDEX(INDIRECT("'"&amp;集計3!$A$1&amp;"'!$C$8:$CX$8"),1,AG227)=0,"",INDEX(INDIRECT("'"&amp;集計3!$A$1&amp;"'!$C$8:$CX$8"),1,AG227)),"")</f>
        <v/>
      </c>
      <c r="AI233" s="260"/>
      <c r="AJ233" s="261"/>
      <c r="AK233" s="17" t="str" cm="1">
        <f t="array" aca="1" ref="AK233" ca="1">IFERROR(INDEX(INDIRECT("'"&amp;集計3!$A$1&amp;"'!$C$11:$CX$11"),1,AK227),"")</f>
        <v/>
      </c>
      <c r="AL233" s="260" t="str" cm="1">
        <f t="array" aca="1" ref="AL233" ca="1">IFERROR(IF(INDEX(INDIRECT("'"&amp;集計3!$A$1&amp;"'!$C$8:$CX$8"),1,AK227)=0,"",INDEX(INDIRECT("'"&amp;集計3!$A$1&amp;"'!$C$8:$CX$8"),1,AK227)),"")</f>
        <v/>
      </c>
      <c r="AM233" s="260"/>
      <c r="AN233" s="261"/>
      <c r="AO233" s="17" t="str" cm="1">
        <f t="array" aca="1" ref="AO233" ca="1">IFERROR(INDEX(INDIRECT("'"&amp;集計3!$A$1&amp;"'!$C$11:$CX$11"),1,AO227),"")</f>
        <v/>
      </c>
      <c r="AP233" s="260" t="str" cm="1">
        <f t="array" aca="1" ref="AP233" ca="1">IFERROR(IF(INDEX(INDIRECT("'"&amp;集計3!$A$1&amp;"'!$C$8:$CX$8"),1,AO227)=0,"",INDEX(INDIRECT("'"&amp;集計3!$A$1&amp;"'!$C$8:$CX$8"),1,AO227)),"")</f>
        <v/>
      </c>
      <c r="AQ233" s="260"/>
      <c r="AR233" s="261"/>
    </row>
    <row r="234" spans="1:44" ht="8" customHeight="1" x14ac:dyDescent="0.7">
      <c r="A234" s="217" t="s">
        <v>161</v>
      </c>
      <c r="B234" s="217"/>
      <c r="C234" s="217"/>
      <c r="D234" s="217"/>
      <c r="E234" s="244" t="str" cm="1">
        <f t="array" aca="1" ref="E234" ca="1">IFERROR(INDEX(INDIRECT("'"&amp;集計3!$A$1&amp;"'!$C$3:$CX$3"),1,E227),"")</f>
        <v/>
      </c>
      <c r="F234" s="245"/>
      <c r="G234" s="245"/>
      <c r="H234" s="246"/>
      <c r="I234" s="244" t="str" cm="1">
        <f t="array" aca="1" ref="I234" ca="1">IFERROR(INDEX(INDIRECT("'"&amp;集計3!$A$1&amp;"'!$C$3:$CX$3"),1,I227),"")</f>
        <v/>
      </c>
      <c r="J234" s="245"/>
      <c r="K234" s="245"/>
      <c r="L234" s="246"/>
      <c r="M234" s="244" t="str" cm="1">
        <f t="array" aca="1" ref="M234" ca="1">IFERROR(INDEX(INDIRECT("'"&amp;集計3!$A$1&amp;"'!$C$3:$CX$3"),1,M227),"")</f>
        <v/>
      </c>
      <c r="N234" s="245"/>
      <c r="O234" s="245"/>
      <c r="P234" s="246"/>
      <c r="Q234" s="244" t="str" cm="1">
        <f t="array" aca="1" ref="Q234" ca="1">IFERROR(INDEX(INDIRECT("'"&amp;集計3!$A$1&amp;"'!$C$3:$CX$3"),1,Q227),"")</f>
        <v/>
      </c>
      <c r="R234" s="245"/>
      <c r="S234" s="245"/>
      <c r="T234" s="246"/>
      <c r="U234" s="244" t="str" cm="1">
        <f t="array" aca="1" ref="U234" ca="1">IFERROR(INDEX(INDIRECT("'"&amp;集計3!$A$1&amp;"'!$C$3:$CX$3"),1,U227),"")</f>
        <v/>
      </c>
      <c r="V234" s="245"/>
      <c r="W234" s="245"/>
      <c r="X234" s="246"/>
      <c r="Y234" s="244" t="str" cm="1">
        <f t="array" aca="1" ref="Y234" ca="1">IFERROR(INDEX(INDIRECT("'"&amp;集計3!$A$1&amp;"'!$C$3:$CX$3"),1,Y227),"")</f>
        <v/>
      </c>
      <c r="Z234" s="245"/>
      <c r="AA234" s="245"/>
      <c r="AB234" s="246"/>
      <c r="AC234" s="244" t="str" cm="1">
        <f t="array" aca="1" ref="AC234" ca="1">IFERROR(INDEX(INDIRECT("'"&amp;集計3!$A$1&amp;"'!$C$3:$CX$3"),1,AC227),"")</f>
        <v/>
      </c>
      <c r="AD234" s="245"/>
      <c r="AE234" s="245"/>
      <c r="AF234" s="246"/>
      <c r="AG234" s="244" t="str" cm="1">
        <f t="array" aca="1" ref="AG234" ca="1">IFERROR(INDEX(INDIRECT("'"&amp;集計3!$A$1&amp;"'!$C$3:$CX$3"),1,AG227),"")</f>
        <v/>
      </c>
      <c r="AH234" s="245"/>
      <c r="AI234" s="245"/>
      <c r="AJ234" s="246"/>
      <c r="AK234" s="244" t="str" cm="1">
        <f t="array" aca="1" ref="AK234" ca="1">IFERROR(INDEX(INDIRECT("'"&amp;集計3!$A$1&amp;"'!$C$3:$CX$3"),1,AK227),"")</f>
        <v/>
      </c>
      <c r="AL234" s="245"/>
      <c r="AM234" s="245"/>
      <c r="AN234" s="246"/>
      <c r="AO234" s="244" t="str" cm="1">
        <f t="array" aca="1" ref="AO234" ca="1">IFERROR(INDEX(INDIRECT("'"&amp;集計3!$A$1&amp;"'!$C$3:$CX$3"),1,AO227),"")</f>
        <v/>
      </c>
      <c r="AP234" s="245"/>
      <c r="AQ234" s="245"/>
      <c r="AR234" s="246"/>
    </row>
    <row r="235" spans="1:44" ht="8" customHeight="1" x14ac:dyDescent="0.7">
      <c r="A235" s="217"/>
      <c r="B235" s="217"/>
      <c r="C235" s="217"/>
      <c r="D235" s="217"/>
      <c r="E235" s="247"/>
      <c r="F235" s="248"/>
      <c r="G235" s="248"/>
      <c r="H235" s="249"/>
      <c r="I235" s="247"/>
      <c r="J235" s="248"/>
      <c r="K235" s="248"/>
      <c r="L235" s="249"/>
      <c r="M235" s="247"/>
      <c r="N235" s="248"/>
      <c r="O235" s="248"/>
      <c r="P235" s="249"/>
      <c r="Q235" s="247"/>
      <c r="R235" s="248"/>
      <c r="S235" s="248"/>
      <c r="T235" s="249"/>
      <c r="U235" s="247"/>
      <c r="V235" s="248"/>
      <c r="W235" s="248"/>
      <c r="X235" s="249"/>
      <c r="Y235" s="247"/>
      <c r="Z235" s="248"/>
      <c r="AA235" s="248"/>
      <c r="AB235" s="249"/>
      <c r="AC235" s="247"/>
      <c r="AD235" s="248"/>
      <c r="AE235" s="248"/>
      <c r="AF235" s="249"/>
      <c r="AG235" s="247"/>
      <c r="AH235" s="248"/>
      <c r="AI235" s="248"/>
      <c r="AJ235" s="249"/>
      <c r="AK235" s="247"/>
      <c r="AL235" s="248"/>
      <c r="AM235" s="248"/>
      <c r="AN235" s="249"/>
      <c r="AO235" s="247"/>
      <c r="AP235" s="248"/>
      <c r="AQ235" s="248"/>
      <c r="AR235" s="249"/>
    </row>
    <row r="236" spans="1:44" ht="14.75" customHeight="1" x14ac:dyDescent="0.7">
      <c r="A236" s="250" t="s">
        <v>162</v>
      </c>
      <c r="B236" s="250"/>
      <c r="C236" s="251">
        <v>1</v>
      </c>
      <c r="D236" s="252"/>
      <c r="E236" s="253" t="str" cm="1">
        <f t="array" aca="1" ref="E236" ca="1">IF(INDEX(集計3!$C$16:$CX$25,$C236,INDIRECT(ADDRESS(ROW()-8-($C236),COLUMN())))="","",INDEX(集計3!$C$16:$CX$25,$C236,INDIRECT(ADDRESS(ROW()-8-($C236),COLUMN()))))</f>
        <v/>
      </c>
      <c r="F236" s="254"/>
      <c r="G236" s="254"/>
      <c r="H236" s="255"/>
      <c r="I236" s="253" t="str" cm="1">
        <f t="array" aca="1" ref="I236" ca="1">IF(INDEX(集計3!$C$16:$CX$25,$C236,INDIRECT(ADDRESS(ROW()-8-($C236),COLUMN())))="","",INDEX(集計3!$C$16:$CX$25,$C236,INDIRECT(ADDRESS(ROW()-8-($C236),COLUMN()))))</f>
        <v/>
      </c>
      <c r="J236" s="254"/>
      <c r="K236" s="254"/>
      <c r="L236" s="255"/>
      <c r="M236" s="253" t="str" cm="1">
        <f t="array" aca="1" ref="M236" ca="1">IF(INDEX(集計3!$C$16:$CX$25,$C236,INDIRECT(ADDRESS(ROW()-8-($C236),COLUMN())))="","",INDEX(集計3!$C$16:$CX$25,$C236,INDIRECT(ADDRESS(ROW()-8-($C236),COLUMN()))))</f>
        <v/>
      </c>
      <c r="N236" s="254"/>
      <c r="O236" s="254"/>
      <c r="P236" s="255"/>
      <c r="Q236" s="253" t="str" cm="1">
        <f t="array" aca="1" ref="Q236" ca="1">IF(INDEX(集計3!$C$16:$CX$25,$C236,INDIRECT(ADDRESS(ROW()-8-($C236),COLUMN())))="","",INDEX(集計3!$C$16:$CX$25,$C236,INDIRECT(ADDRESS(ROW()-8-($C236),COLUMN()))))</f>
        <v/>
      </c>
      <c r="R236" s="254"/>
      <c r="S236" s="254"/>
      <c r="T236" s="255"/>
      <c r="U236" s="253" t="str" cm="1">
        <f t="array" aca="1" ref="U236" ca="1">IF(INDEX(集計3!$C$16:$CX$25,$C236,INDIRECT(ADDRESS(ROW()-8-($C236),COLUMN())))="","",INDEX(集計3!$C$16:$CX$25,$C236,INDIRECT(ADDRESS(ROW()-8-($C236),COLUMN()))))</f>
        <v/>
      </c>
      <c r="V236" s="254"/>
      <c r="W236" s="254"/>
      <c r="X236" s="255"/>
      <c r="Y236" s="253" t="str" cm="1">
        <f t="array" aca="1" ref="Y236" ca="1">IF(INDEX(集計3!$C$16:$CX$25,$C236,INDIRECT(ADDRESS(ROW()-8-($C236),COLUMN())))="","",INDEX(集計3!$C$16:$CX$25,$C236,INDIRECT(ADDRESS(ROW()-8-($C236),COLUMN()))))</f>
        <v/>
      </c>
      <c r="Z236" s="254"/>
      <c r="AA236" s="254"/>
      <c r="AB236" s="255"/>
      <c r="AC236" s="253" t="str" cm="1">
        <f t="array" aca="1" ref="AC236" ca="1">IF(INDEX(集計3!$C$16:$CX$25,$C236,INDIRECT(ADDRESS(ROW()-8-($C236),COLUMN())))="","",INDEX(集計3!$C$16:$CX$25,$C236,INDIRECT(ADDRESS(ROW()-8-($C236),COLUMN()))))</f>
        <v/>
      </c>
      <c r="AD236" s="254"/>
      <c r="AE236" s="254"/>
      <c r="AF236" s="255"/>
      <c r="AG236" s="253" t="str" cm="1">
        <f t="array" aca="1" ref="AG236" ca="1">IF(INDEX(集計3!$C$16:$CX$25,$C236,INDIRECT(ADDRESS(ROW()-8-($C236),COLUMN())))="","",INDEX(集計3!$C$16:$CX$25,$C236,INDIRECT(ADDRESS(ROW()-8-($C236),COLUMN()))))</f>
        <v/>
      </c>
      <c r="AH236" s="254"/>
      <c r="AI236" s="254"/>
      <c r="AJ236" s="255"/>
      <c r="AK236" s="253" t="str" cm="1">
        <f t="array" aca="1" ref="AK236" ca="1">IF(INDEX(集計3!$C$16:$CX$25,$C236,INDIRECT(ADDRESS(ROW()-8-($C236),COLUMN())))="","",INDEX(集計3!$C$16:$CX$25,$C236,INDIRECT(ADDRESS(ROW()-8-($C236),COLUMN()))))</f>
        <v/>
      </c>
      <c r="AL236" s="254"/>
      <c r="AM236" s="254"/>
      <c r="AN236" s="255"/>
      <c r="AO236" s="253" t="str" cm="1">
        <f t="array" aca="1" ref="AO236" ca="1">IF(INDEX(集計3!$C$16:$CX$25,$C236,INDIRECT(ADDRESS(ROW()-8-($C236),COLUMN())))="","",INDEX(集計3!$C$16:$CX$25,$C236,INDIRECT(ADDRESS(ROW()-8-($C236),COLUMN()))))</f>
        <v/>
      </c>
      <c r="AP236" s="254"/>
      <c r="AQ236" s="254"/>
      <c r="AR236" s="255"/>
    </row>
    <row r="237" spans="1:44" ht="14.75" customHeight="1" x14ac:dyDescent="0.7">
      <c r="A237" s="250"/>
      <c r="B237" s="250"/>
      <c r="C237" s="231">
        <v>2</v>
      </c>
      <c r="D237" s="232"/>
      <c r="E237" s="241" t="str" cm="1">
        <f t="array" aca="1" ref="E237" ca="1">IF(INDEX(集計3!$C$16:$CX$25,$C237,INDIRECT(ADDRESS(ROW()-8-($C237),COLUMN())))="","",INDEX(集計3!$C$16:$CX$25,$C237,INDIRECT(ADDRESS(ROW()-8-($C237),COLUMN()))))</f>
        <v/>
      </c>
      <c r="F237" s="242"/>
      <c r="G237" s="242"/>
      <c r="H237" s="243"/>
      <c r="I237" s="241" t="str" cm="1">
        <f t="array" aca="1" ref="I237" ca="1">IF(INDEX(集計3!$C$16:$CX$25,$C237,INDIRECT(ADDRESS(ROW()-8-($C237),COLUMN())))="","",INDEX(集計3!$C$16:$CX$25,$C237,INDIRECT(ADDRESS(ROW()-8-($C237),COLUMN()))))</f>
        <v/>
      </c>
      <c r="J237" s="242"/>
      <c r="K237" s="242"/>
      <c r="L237" s="243"/>
      <c r="M237" s="241" t="str" cm="1">
        <f t="array" aca="1" ref="M237" ca="1">IF(INDEX(集計3!$C$16:$CX$25,$C237,INDIRECT(ADDRESS(ROW()-8-($C237),COLUMN())))="","",INDEX(集計3!$C$16:$CX$25,$C237,INDIRECT(ADDRESS(ROW()-8-($C237),COLUMN()))))</f>
        <v/>
      </c>
      <c r="N237" s="242"/>
      <c r="O237" s="242"/>
      <c r="P237" s="243"/>
      <c r="Q237" s="241" t="str" cm="1">
        <f t="array" aca="1" ref="Q237" ca="1">IF(INDEX(集計3!$C$16:$CX$25,$C237,INDIRECT(ADDRESS(ROW()-8-($C237),COLUMN())))="","",INDEX(集計3!$C$16:$CX$25,$C237,INDIRECT(ADDRESS(ROW()-8-($C237),COLUMN()))))</f>
        <v/>
      </c>
      <c r="R237" s="242"/>
      <c r="S237" s="242"/>
      <c r="T237" s="243"/>
      <c r="U237" s="241" t="str" cm="1">
        <f t="array" aca="1" ref="U237" ca="1">IF(INDEX(集計3!$C$16:$CX$25,$C237,INDIRECT(ADDRESS(ROW()-8-($C237),COLUMN())))="","",INDEX(集計3!$C$16:$CX$25,$C237,INDIRECT(ADDRESS(ROW()-8-($C237),COLUMN()))))</f>
        <v/>
      </c>
      <c r="V237" s="242"/>
      <c r="W237" s="242"/>
      <c r="X237" s="243"/>
      <c r="Y237" s="241" t="str" cm="1">
        <f t="array" aca="1" ref="Y237" ca="1">IF(INDEX(集計3!$C$16:$CX$25,$C237,INDIRECT(ADDRESS(ROW()-8-($C237),COLUMN())))="","",INDEX(集計3!$C$16:$CX$25,$C237,INDIRECT(ADDRESS(ROW()-8-($C237),COLUMN()))))</f>
        <v/>
      </c>
      <c r="Z237" s="242"/>
      <c r="AA237" s="242"/>
      <c r="AB237" s="243"/>
      <c r="AC237" s="241" t="str" cm="1">
        <f t="array" aca="1" ref="AC237" ca="1">IF(INDEX(集計3!$C$16:$CX$25,$C237,INDIRECT(ADDRESS(ROW()-8-($C237),COLUMN())))="","",INDEX(集計3!$C$16:$CX$25,$C237,INDIRECT(ADDRESS(ROW()-8-($C237),COLUMN()))))</f>
        <v/>
      </c>
      <c r="AD237" s="242"/>
      <c r="AE237" s="242"/>
      <c r="AF237" s="243"/>
      <c r="AG237" s="241" t="str" cm="1">
        <f t="array" aca="1" ref="AG237" ca="1">IF(INDEX(集計3!$C$16:$CX$25,$C237,INDIRECT(ADDRESS(ROW()-8-($C237),COLUMN())))="","",INDEX(集計3!$C$16:$CX$25,$C237,INDIRECT(ADDRESS(ROW()-8-($C237),COLUMN()))))</f>
        <v/>
      </c>
      <c r="AH237" s="242"/>
      <c r="AI237" s="242"/>
      <c r="AJ237" s="243"/>
      <c r="AK237" s="241" t="str" cm="1">
        <f t="array" aca="1" ref="AK237" ca="1">IF(INDEX(集計3!$C$16:$CX$25,$C237,INDIRECT(ADDRESS(ROW()-8-($C237),COLUMN())))="","",INDEX(集計3!$C$16:$CX$25,$C237,INDIRECT(ADDRESS(ROW()-8-($C237),COLUMN()))))</f>
        <v/>
      </c>
      <c r="AL237" s="242"/>
      <c r="AM237" s="242"/>
      <c r="AN237" s="243"/>
      <c r="AO237" s="241" t="str" cm="1">
        <f t="array" aca="1" ref="AO237" ca="1">IF(INDEX(集計3!$C$16:$CX$25,$C237,INDIRECT(ADDRESS(ROW()-8-($C237),COLUMN())))="","",INDEX(集計3!$C$16:$CX$25,$C237,INDIRECT(ADDRESS(ROW()-8-($C237),COLUMN()))))</f>
        <v/>
      </c>
      <c r="AP237" s="242"/>
      <c r="AQ237" s="242"/>
      <c r="AR237" s="243"/>
    </row>
    <row r="238" spans="1:44" ht="14.75" customHeight="1" x14ac:dyDescent="0.7">
      <c r="A238" s="250"/>
      <c r="B238" s="250"/>
      <c r="C238" s="231">
        <v>3</v>
      </c>
      <c r="D238" s="232"/>
      <c r="E238" s="241" t="str" cm="1">
        <f t="array" aca="1" ref="E238" ca="1">IF(INDEX(集計3!$C$16:$CX$25,$C238,INDIRECT(ADDRESS(ROW()-8-($C238),COLUMN())))="","",INDEX(集計3!$C$16:$CX$25,$C238,INDIRECT(ADDRESS(ROW()-8-($C238),COLUMN()))))</f>
        <v/>
      </c>
      <c r="F238" s="242"/>
      <c r="G238" s="242"/>
      <c r="H238" s="243"/>
      <c r="I238" s="241" t="str" cm="1">
        <f t="array" aca="1" ref="I238" ca="1">IF(INDEX(集計3!$C$16:$CX$25,$C238,INDIRECT(ADDRESS(ROW()-8-($C238),COLUMN())))="","",INDEX(集計3!$C$16:$CX$25,$C238,INDIRECT(ADDRESS(ROW()-8-($C238),COLUMN()))))</f>
        <v/>
      </c>
      <c r="J238" s="242"/>
      <c r="K238" s="242"/>
      <c r="L238" s="243"/>
      <c r="M238" s="241" t="str" cm="1">
        <f t="array" aca="1" ref="M238" ca="1">IF(INDEX(集計3!$C$16:$CX$25,$C238,INDIRECT(ADDRESS(ROW()-8-($C238),COLUMN())))="","",INDEX(集計3!$C$16:$CX$25,$C238,INDIRECT(ADDRESS(ROW()-8-($C238),COLUMN()))))</f>
        <v/>
      </c>
      <c r="N238" s="242"/>
      <c r="O238" s="242"/>
      <c r="P238" s="243"/>
      <c r="Q238" s="241" t="str" cm="1">
        <f t="array" aca="1" ref="Q238" ca="1">IF(INDEX(集計3!$C$16:$CX$25,$C238,INDIRECT(ADDRESS(ROW()-8-($C238),COLUMN())))="","",INDEX(集計3!$C$16:$CX$25,$C238,INDIRECT(ADDRESS(ROW()-8-($C238),COLUMN()))))</f>
        <v/>
      </c>
      <c r="R238" s="242"/>
      <c r="S238" s="242"/>
      <c r="T238" s="243"/>
      <c r="U238" s="241" t="str" cm="1">
        <f t="array" aca="1" ref="U238" ca="1">IF(INDEX(集計3!$C$16:$CX$25,$C238,INDIRECT(ADDRESS(ROW()-8-($C238),COLUMN())))="","",INDEX(集計3!$C$16:$CX$25,$C238,INDIRECT(ADDRESS(ROW()-8-($C238),COLUMN()))))</f>
        <v/>
      </c>
      <c r="V238" s="242"/>
      <c r="W238" s="242"/>
      <c r="X238" s="243"/>
      <c r="Y238" s="241" t="str" cm="1">
        <f t="array" aca="1" ref="Y238" ca="1">IF(INDEX(集計3!$C$16:$CX$25,$C238,INDIRECT(ADDRESS(ROW()-8-($C238),COLUMN())))="","",INDEX(集計3!$C$16:$CX$25,$C238,INDIRECT(ADDRESS(ROW()-8-($C238),COLUMN()))))</f>
        <v/>
      </c>
      <c r="Z238" s="242"/>
      <c r="AA238" s="242"/>
      <c r="AB238" s="243"/>
      <c r="AC238" s="241" t="str" cm="1">
        <f t="array" aca="1" ref="AC238" ca="1">IF(INDEX(集計3!$C$16:$CX$25,$C238,INDIRECT(ADDRESS(ROW()-8-($C238),COLUMN())))="","",INDEX(集計3!$C$16:$CX$25,$C238,INDIRECT(ADDRESS(ROW()-8-($C238),COLUMN()))))</f>
        <v/>
      </c>
      <c r="AD238" s="242"/>
      <c r="AE238" s="242"/>
      <c r="AF238" s="243"/>
      <c r="AG238" s="241" t="str" cm="1">
        <f t="array" aca="1" ref="AG238" ca="1">IF(INDEX(集計3!$C$16:$CX$25,$C238,INDIRECT(ADDRESS(ROW()-8-($C238),COLUMN())))="","",INDEX(集計3!$C$16:$CX$25,$C238,INDIRECT(ADDRESS(ROW()-8-($C238),COLUMN()))))</f>
        <v/>
      </c>
      <c r="AH238" s="242"/>
      <c r="AI238" s="242"/>
      <c r="AJ238" s="243"/>
      <c r="AK238" s="241" t="str" cm="1">
        <f t="array" aca="1" ref="AK238" ca="1">IF(INDEX(集計3!$C$16:$CX$25,$C238,INDIRECT(ADDRESS(ROW()-8-($C238),COLUMN())))="","",INDEX(集計3!$C$16:$CX$25,$C238,INDIRECT(ADDRESS(ROW()-8-($C238),COLUMN()))))</f>
        <v/>
      </c>
      <c r="AL238" s="242"/>
      <c r="AM238" s="242"/>
      <c r="AN238" s="243"/>
      <c r="AO238" s="241" t="str" cm="1">
        <f t="array" aca="1" ref="AO238" ca="1">IF(INDEX(集計3!$C$16:$CX$25,$C238,INDIRECT(ADDRESS(ROW()-8-($C238),COLUMN())))="","",INDEX(集計3!$C$16:$CX$25,$C238,INDIRECT(ADDRESS(ROW()-8-($C238),COLUMN()))))</f>
        <v/>
      </c>
      <c r="AP238" s="242"/>
      <c r="AQ238" s="242"/>
      <c r="AR238" s="243"/>
    </row>
    <row r="239" spans="1:44" ht="14.75" customHeight="1" x14ac:dyDescent="0.7">
      <c r="A239" s="250"/>
      <c r="B239" s="250"/>
      <c r="C239" s="231">
        <v>4</v>
      </c>
      <c r="D239" s="232"/>
      <c r="E239" s="241" t="str" cm="1">
        <f t="array" aca="1" ref="E239" ca="1">IF(INDEX(集計3!$C$16:$CX$25,$C239,INDIRECT(ADDRESS(ROW()-8-($C239),COLUMN())))="","",INDEX(集計3!$C$16:$CX$25,$C239,INDIRECT(ADDRESS(ROW()-8-($C239),COLUMN()))))</f>
        <v/>
      </c>
      <c r="F239" s="242"/>
      <c r="G239" s="242"/>
      <c r="H239" s="243"/>
      <c r="I239" s="241" t="str" cm="1">
        <f t="array" aca="1" ref="I239" ca="1">IF(INDEX(集計3!$C$16:$CX$25,$C239,INDIRECT(ADDRESS(ROW()-8-($C239),COLUMN())))="","",INDEX(集計3!$C$16:$CX$25,$C239,INDIRECT(ADDRESS(ROW()-8-($C239),COLUMN()))))</f>
        <v/>
      </c>
      <c r="J239" s="242"/>
      <c r="K239" s="242"/>
      <c r="L239" s="243"/>
      <c r="M239" s="241" t="str" cm="1">
        <f t="array" aca="1" ref="M239" ca="1">IF(INDEX(集計3!$C$16:$CX$25,$C239,INDIRECT(ADDRESS(ROW()-8-($C239),COLUMN())))="","",INDEX(集計3!$C$16:$CX$25,$C239,INDIRECT(ADDRESS(ROW()-8-($C239),COLUMN()))))</f>
        <v/>
      </c>
      <c r="N239" s="242"/>
      <c r="O239" s="242"/>
      <c r="P239" s="243"/>
      <c r="Q239" s="241" t="str" cm="1">
        <f t="array" aca="1" ref="Q239" ca="1">IF(INDEX(集計3!$C$16:$CX$25,$C239,INDIRECT(ADDRESS(ROW()-8-($C239),COLUMN())))="","",INDEX(集計3!$C$16:$CX$25,$C239,INDIRECT(ADDRESS(ROW()-8-($C239),COLUMN()))))</f>
        <v/>
      </c>
      <c r="R239" s="242"/>
      <c r="S239" s="242"/>
      <c r="T239" s="243"/>
      <c r="U239" s="241" t="str" cm="1">
        <f t="array" aca="1" ref="U239" ca="1">IF(INDEX(集計3!$C$16:$CX$25,$C239,INDIRECT(ADDRESS(ROW()-8-($C239),COLUMN())))="","",INDEX(集計3!$C$16:$CX$25,$C239,INDIRECT(ADDRESS(ROW()-8-($C239),COLUMN()))))</f>
        <v/>
      </c>
      <c r="V239" s="242"/>
      <c r="W239" s="242"/>
      <c r="X239" s="243"/>
      <c r="Y239" s="241" t="str" cm="1">
        <f t="array" aca="1" ref="Y239" ca="1">IF(INDEX(集計3!$C$16:$CX$25,$C239,INDIRECT(ADDRESS(ROW()-8-($C239),COLUMN())))="","",INDEX(集計3!$C$16:$CX$25,$C239,INDIRECT(ADDRESS(ROW()-8-($C239),COLUMN()))))</f>
        <v/>
      </c>
      <c r="Z239" s="242"/>
      <c r="AA239" s="242"/>
      <c r="AB239" s="243"/>
      <c r="AC239" s="241" t="str" cm="1">
        <f t="array" aca="1" ref="AC239" ca="1">IF(INDEX(集計3!$C$16:$CX$25,$C239,INDIRECT(ADDRESS(ROW()-8-($C239),COLUMN())))="","",INDEX(集計3!$C$16:$CX$25,$C239,INDIRECT(ADDRESS(ROW()-8-($C239),COLUMN()))))</f>
        <v/>
      </c>
      <c r="AD239" s="242"/>
      <c r="AE239" s="242"/>
      <c r="AF239" s="243"/>
      <c r="AG239" s="241" t="str" cm="1">
        <f t="array" aca="1" ref="AG239" ca="1">IF(INDEX(集計3!$C$16:$CX$25,$C239,INDIRECT(ADDRESS(ROW()-8-($C239),COLUMN())))="","",INDEX(集計3!$C$16:$CX$25,$C239,INDIRECT(ADDRESS(ROW()-8-($C239),COLUMN()))))</f>
        <v/>
      </c>
      <c r="AH239" s="242"/>
      <c r="AI239" s="242"/>
      <c r="AJ239" s="243"/>
      <c r="AK239" s="241" t="str" cm="1">
        <f t="array" aca="1" ref="AK239" ca="1">IF(INDEX(集計3!$C$16:$CX$25,$C239,INDIRECT(ADDRESS(ROW()-8-($C239),COLUMN())))="","",INDEX(集計3!$C$16:$CX$25,$C239,INDIRECT(ADDRESS(ROW()-8-($C239),COLUMN()))))</f>
        <v/>
      </c>
      <c r="AL239" s="242"/>
      <c r="AM239" s="242"/>
      <c r="AN239" s="243"/>
      <c r="AO239" s="241" t="str" cm="1">
        <f t="array" aca="1" ref="AO239" ca="1">IF(INDEX(集計3!$C$16:$CX$25,$C239,INDIRECT(ADDRESS(ROW()-8-($C239),COLUMN())))="","",INDEX(集計3!$C$16:$CX$25,$C239,INDIRECT(ADDRESS(ROW()-8-($C239),COLUMN()))))</f>
        <v/>
      </c>
      <c r="AP239" s="242"/>
      <c r="AQ239" s="242"/>
      <c r="AR239" s="243"/>
    </row>
    <row r="240" spans="1:44" ht="14.75" customHeight="1" x14ac:dyDescent="0.7">
      <c r="A240" s="250"/>
      <c r="B240" s="250"/>
      <c r="C240" s="231">
        <v>5</v>
      </c>
      <c r="D240" s="232"/>
      <c r="E240" s="241" t="str" cm="1">
        <f t="array" aca="1" ref="E240" ca="1">IF(INDEX(集計3!$C$16:$CX$25,$C240,INDIRECT(ADDRESS(ROW()-8-($C240),COLUMN())))="","",INDEX(集計3!$C$16:$CX$25,$C240,INDIRECT(ADDRESS(ROW()-8-($C240),COLUMN()))))</f>
        <v/>
      </c>
      <c r="F240" s="242"/>
      <c r="G240" s="242"/>
      <c r="H240" s="243"/>
      <c r="I240" s="241" t="str" cm="1">
        <f t="array" aca="1" ref="I240" ca="1">IF(INDEX(集計3!$C$16:$CX$25,$C240,INDIRECT(ADDRESS(ROW()-8-($C240),COLUMN())))="","",INDEX(集計3!$C$16:$CX$25,$C240,INDIRECT(ADDRESS(ROW()-8-($C240),COLUMN()))))</f>
        <v/>
      </c>
      <c r="J240" s="242"/>
      <c r="K240" s="242"/>
      <c r="L240" s="243"/>
      <c r="M240" s="241" t="str" cm="1">
        <f t="array" aca="1" ref="M240" ca="1">IF(INDEX(集計3!$C$16:$CX$25,$C240,INDIRECT(ADDRESS(ROW()-8-($C240),COLUMN())))="","",INDEX(集計3!$C$16:$CX$25,$C240,INDIRECT(ADDRESS(ROW()-8-($C240),COLUMN()))))</f>
        <v/>
      </c>
      <c r="N240" s="242"/>
      <c r="O240" s="242"/>
      <c r="P240" s="243"/>
      <c r="Q240" s="241" t="str" cm="1">
        <f t="array" aca="1" ref="Q240" ca="1">IF(INDEX(集計3!$C$16:$CX$25,$C240,INDIRECT(ADDRESS(ROW()-8-($C240),COLUMN())))="","",INDEX(集計3!$C$16:$CX$25,$C240,INDIRECT(ADDRESS(ROW()-8-($C240),COLUMN()))))</f>
        <v/>
      </c>
      <c r="R240" s="242"/>
      <c r="S240" s="242"/>
      <c r="T240" s="243"/>
      <c r="U240" s="241" t="str" cm="1">
        <f t="array" aca="1" ref="U240" ca="1">IF(INDEX(集計3!$C$16:$CX$25,$C240,INDIRECT(ADDRESS(ROW()-8-($C240),COLUMN())))="","",INDEX(集計3!$C$16:$CX$25,$C240,INDIRECT(ADDRESS(ROW()-8-($C240),COLUMN()))))</f>
        <v/>
      </c>
      <c r="V240" s="242"/>
      <c r="W240" s="242"/>
      <c r="X240" s="243"/>
      <c r="Y240" s="241" t="str" cm="1">
        <f t="array" aca="1" ref="Y240" ca="1">IF(INDEX(集計3!$C$16:$CX$25,$C240,INDIRECT(ADDRESS(ROW()-8-($C240),COLUMN())))="","",INDEX(集計3!$C$16:$CX$25,$C240,INDIRECT(ADDRESS(ROW()-8-($C240),COLUMN()))))</f>
        <v/>
      </c>
      <c r="Z240" s="242"/>
      <c r="AA240" s="242"/>
      <c r="AB240" s="243"/>
      <c r="AC240" s="241" t="str" cm="1">
        <f t="array" aca="1" ref="AC240" ca="1">IF(INDEX(集計3!$C$16:$CX$25,$C240,INDIRECT(ADDRESS(ROW()-8-($C240),COLUMN())))="","",INDEX(集計3!$C$16:$CX$25,$C240,INDIRECT(ADDRESS(ROW()-8-($C240),COLUMN()))))</f>
        <v/>
      </c>
      <c r="AD240" s="242"/>
      <c r="AE240" s="242"/>
      <c r="AF240" s="243"/>
      <c r="AG240" s="241" t="str" cm="1">
        <f t="array" aca="1" ref="AG240" ca="1">IF(INDEX(集計3!$C$16:$CX$25,$C240,INDIRECT(ADDRESS(ROW()-8-($C240),COLUMN())))="","",INDEX(集計3!$C$16:$CX$25,$C240,INDIRECT(ADDRESS(ROW()-8-($C240),COLUMN()))))</f>
        <v/>
      </c>
      <c r="AH240" s="242"/>
      <c r="AI240" s="242"/>
      <c r="AJ240" s="243"/>
      <c r="AK240" s="241" t="str" cm="1">
        <f t="array" aca="1" ref="AK240" ca="1">IF(INDEX(集計3!$C$16:$CX$25,$C240,INDIRECT(ADDRESS(ROW()-8-($C240),COLUMN())))="","",INDEX(集計3!$C$16:$CX$25,$C240,INDIRECT(ADDRESS(ROW()-8-($C240),COLUMN()))))</f>
        <v/>
      </c>
      <c r="AL240" s="242"/>
      <c r="AM240" s="242"/>
      <c r="AN240" s="243"/>
      <c r="AO240" s="241" t="str" cm="1">
        <f t="array" aca="1" ref="AO240" ca="1">IF(INDEX(集計3!$C$16:$CX$25,$C240,INDIRECT(ADDRESS(ROW()-8-($C240),COLUMN())))="","",INDEX(集計3!$C$16:$CX$25,$C240,INDIRECT(ADDRESS(ROW()-8-($C240),COLUMN()))))</f>
        <v/>
      </c>
      <c r="AP240" s="242"/>
      <c r="AQ240" s="242"/>
      <c r="AR240" s="243"/>
    </row>
    <row r="241" spans="1:44" ht="14.75" customHeight="1" x14ac:dyDescent="0.7">
      <c r="A241" s="250"/>
      <c r="B241" s="250"/>
      <c r="C241" s="231">
        <v>6</v>
      </c>
      <c r="D241" s="232"/>
      <c r="E241" s="233" t="str" cm="1">
        <f t="array" aca="1" ref="E241" ca="1">IF(INDEX(集計3!$C$16:$CX$25,$C241,INDIRECT(ADDRESS(ROW()-8-($C241),COLUMN())))="","",INDEX(集計3!$C$16:$CX$25,$C241,INDIRECT(ADDRESS(ROW()-8-($C241),COLUMN()))))</f>
        <v/>
      </c>
      <c r="F241" s="234"/>
      <c r="G241" s="234"/>
      <c r="H241" s="235"/>
      <c r="I241" s="233" t="str" cm="1">
        <f t="array" aca="1" ref="I241" ca="1">IF(INDEX(集計3!$C$16:$CX$25,$C241,INDIRECT(ADDRESS(ROW()-8-($C241),COLUMN())))="","",INDEX(集計3!$C$16:$CX$25,$C241,INDIRECT(ADDRESS(ROW()-8-($C241),COLUMN()))))</f>
        <v/>
      </c>
      <c r="J241" s="234"/>
      <c r="K241" s="234"/>
      <c r="L241" s="235"/>
      <c r="M241" s="233" t="str" cm="1">
        <f t="array" aca="1" ref="M241" ca="1">IF(INDEX(集計3!$C$16:$CX$25,$C241,INDIRECT(ADDRESS(ROW()-8-($C241),COLUMN())))="","",INDEX(集計3!$C$16:$CX$25,$C241,INDIRECT(ADDRESS(ROW()-8-($C241),COLUMN()))))</f>
        <v/>
      </c>
      <c r="N241" s="234"/>
      <c r="O241" s="234"/>
      <c r="P241" s="235"/>
      <c r="Q241" s="233" t="str" cm="1">
        <f t="array" aca="1" ref="Q241" ca="1">IF(INDEX(集計3!$C$16:$CX$25,$C241,INDIRECT(ADDRESS(ROW()-8-($C241),COLUMN())))="","",INDEX(集計3!$C$16:$CX$25,$C241,INDIRECT(ADDRESS(ROW()-8-($C241),COLUMN()))))</f>
        <v/>
      </c>
      <c r="R241" s="234"/>
      <c r="S241" s="234"/>
      <c r="T241" s="235"/>
      <c r="U241" s="233" t="str" cm="1">
        <f t="array" aca="1" ref="U241" ca="1">IF(INDEX(集計3!$C$16:$CX$25,$C241,INDIRECT(ADDRESS(ROW()-8-($C241),COLUMN())))="","",INDEX(集計3!$C$16:$CX$25,$C241,INDIRECT(ADDRESS(ROW()-8-($C241),COLUMN()))))</f>
        <v/>
      </c>
      <c r="V241" s="234"/>
      <c r="W241" s="234"/>
      <c r="X241" s="235"/>
      <c r="Y241" s="233" t="str" cm="1">
        <f t="array" aca="1" ref="Y241" ca="1">IF(INDEX(集計3!$C$16:$CX$25,$C241,INDIRECT(ADDRESS(ROW()-8-($C241),COLUMN())))="","",INDEX(集計3!$C$16:$CX$25,$C241,INDIRECT(ADDRESS(ROW()-8-($C241),COLUMN()))))</f>
        <v/>
      </c>
      <c r="Z241" s="234"/>
      <c r="AA241" s="234"/>
      <c r="AB241" s="235"/>
      <c r="AC241" s="233" t="str" cm="1">
        <f t="array" aca="1" ref="AC241" ca="1">IF(INDEX(集計3!$C$16:$CX$25,$C241,INDIRECT(ADDRESS(ROW()-8-($C241),COLUMN())))="","",INDEX(集計3!$C$16:$CX$25,$C241,INDIRECT(ADDRESS(ROW()-8-($C241),COLUMN()))))</f>
        <v/>
      </c>
      <c r="AD241" s="234"/>
      <c r="AE241" s="234"/>
      <c r="AF241" s="235"/>
      <c r="AG241" s="233" t="str" cm="1">
        <f t="array" aca="1" ref="AG241" ca="1">IF(INDEX(集計3!$C$16:$CX$25,$C241,INDIRECT(ADDRESS(ROW()-8-($C241),COLUMN())))="","",INDEX(集計3!$C$16:$CX$25,$C241,INDIRECT(ADDRESS(ROW()-8-($C241),COLUMN()))))</f>
        <v/>
      </c>
      <c r="AH241" s="234"/>
      <c r="AI241" s="234"/>
      <c r="AJ241" s="235"/>
      <c r="AK241" s="233" t="str" cm="1">
        <f t="array" aca="1" ref="AK241" ca="1">IF(INDEX(集計3!$C$16:$CX$25,$C241,INDIRECT(ADDRESS(ROW()-8-($C241),COLUMN())))="","",INDEX(集計3!$C$16:$CX$25,$C241,INDIRECT(ADDRESS(ROW()-8-($C241),COLUMN()))))</f>
        <v/>
      </c>
      <c r="AL241" s="234"/>
      <c r="AM241" s="234"/>
      <c r="AN241" s="235"/>
      <c r="AO241" s="233" t="str" cm="1">
        <f t="array" aca="1" ref="AO241" ca="1">IF(INDEX(集計3!$C$16:$CX$25,$C241,INDIRECT(ADDRESS(ROW()-8-($C241),COLUMN())))="","",INDEX(集計3!$C$16:$CX$25,$C241,INDIRECT(ADDRESS(ROW()-8-($C241),COLUMN()))))</f>
        <v/>
      </c>
      <c r="AP241" s="234"/>
      <c r="AQ241" s="234"/>
      <c r="AR241" s="235"/>
    </row>
    <row r="242" spans="1:44" ht="14.75" customHeight="1" x14ac:dyDescent="0.7">
      <c r="A242" s="250"/>
      <c r="B242" s="250"/>
      <c r="C242" s="231">
        <v>7</v>
      </c>
      <c r="D242" s="232"/>
      <c r="E242" s="233" t="str" cm="1">
        <f t="array" aca="1" ref="E242" ca="1">IF(INDEX(集計3!$C$16:$CX$25,$C242,INDIRECT(ADDRESS(ROW()-8-($C242),COLUMN())))="","",INDEX(集計3!$C$16:$CX$25,$C242,INDIRECT(ADDRESS(ROW()-8-($C242),COLUMN()))))</f>
        <v/>
      </c>
      <c r="F242" s="234"/>
      <c r="G242" s="234"/>
      <c r="H242" s="235"/>
      <c r="I242" s="233" t="str" cm="1">
        <f t="array" aca="1" ref="I242" ca="1">IF(INDEX(集計3!$C$16:$CX$25,$C242,INDIRECT(ADDRESS(ROW()-8-($C242),COLUMN())))="","",INDEX(集計3!$C$16:$CX$25,$C242,INDIRECT(ADDRESS(ROW()-8-($C242),COLUMN()))))</f>
        <v/>
      </c>
      <c r="J242" s="234"/>
      <c r="K242" s="234"/>
      <c r="L242" s="235"/>
      <c r="M242" s="233" t="str" cm="1">
        <f t="array" aca="1" ref="M242" ca="1">IF(INDEX(集計3!$C$16:$CX$25,$C242,INDIRECT(ADDRESS(ROW()-8-($C242),COLUMN())))="","",INDEX(集計3!$C$16:$CX$25,$C242,INDIRECT(ADDRESS(ROW()-8-($C242),COLUMN()))))</f>
        <v/>
      </c>
      <c r="N242" s="234"/>
      <c r="O242" s="234"/>
      <c r="P242" s="235"/>
      <c r="Q242" s="233" t="str" cm="1">
        <f t="array" aca="1" ref="Q242" ca="1">IF(INDEX(集計3!$C$16:$CX$25,$C242,INDIRECT(ADDRESS(ROW()-8-($C242),COLUMN())))="","",INDEX(集計3!$C$16:$CX$25,$C242,INDIRECT(ADDRESS(ROW()-8-($C242),COLUMN()))))</f>
        <v/>
      </c>
      <c r="R242" s="234"/>
      <c r="S242" s="234"/>
      <c r="T242" s="235"/>
      <c r="U242" s="233" t="str" cm="1">
        <f t="array" aca="1" ref="U242" ca="1">IF(INDEX(集計3!$C$16:$CX$25,$C242,INDIRECT(ADDRESS(ROW()-8-($C242),COLUMN())))="","",INDEX(集計3!$C$16:$CX$25,$C242,INDIRECT(ADDRESS(ROW()-8-($C242),COLUMN()))))</f>
        <v/>
      </c>
      <c r="V242" s="234"/>
      <c r="W242" s="234"/>
      <c r="X242" s="235"/>
      <c r="Y242" s="233" t="str" cm="1">
        <f t="array" aca="1" ref="Y242" ca="1">IF(INDEX(集計3!$C$16:$CX$25,$C242,INDIRECT(ADDRESS(ROW()-8-($C242),COLUMN())))="","",INDEX(集計3!$C$16:$CX$25,$C242,INDIRECT(ADDRESS(ROW()-8-($C242),COLUMN()))))</f>
        <v/>
      </c>
      <c r="Z242" s="234"/>
      <c r="AA242" s="234"/>
      <c r="AB242" s="235"/>
      <c r="AC242" s="233" t="str" cm="1">
        <f t="array" aca="1" ref="AC242" ca="1">IF(INDEX(集計3!$C$16:$CX$25,$C242,INDIRECT(ADDRESS(ROW()-8-($C242),COLUMN())))="","",INDEX(集計3!$C$16:$CX$25,$C242,INDIRECT(ADDRESS(ROW()-8-($C242),COLUMN()))))</f>
        <v/>
      </c>
      <c r="AD242" s="234"/>
      <c r="AE242" s="234"/>
      <c r="AF242" s="235"/>
      <c r="AG242" s="233" t="str" cm="1">
        <f t="array" aca="1" ref="AG242" ca="1">IF(INDEX(集計3!$C$16:$CX$25,$C242,INDIRECT(ADDRESS(ROW()-8-($C242),COLUMN())))="","",INDEX(集計3!$C$16:$CX$25,$C242,INDIRECT(ADDRESS(ROW()-8-($C242),COLUMN()))))</f>
        <v/>
      </c>
      <c r="AH242" s="234"/>
      <c r="AI242" s="234"/>
      <c r="AJ242" s="235"/>
      <c r="AK242" s="233" t="str" cm="1">
        <f t="array" aca="1" ref="AK242" ca="1">IF(INDEX(集計3!$C$16:$CX$25,$C242,INDIRECT(ADDRESS(ROW()-8-($C242),COLUMN())))="","",INDEX(集計3!$C$16:$CX$25,$C242,INDIRECT(ADDRESS(ROW()-8-($C242),COLUMN()))))</f>
        <v/>
      </c>
      <c r="AL242" s="234"/>
      <c r="AM242" s="234"/>
      <c r="AN242" s="235"/>
      <c r="AO242" s="233" t="str" cm="1">
        <f t="array" aca="1" ref="AO242" ca="1">IF(INDEX(集計3!$C$16:$CX$25,$C242,INDIRECT(ADDRESS(ROW()-8-($C242),COLUMN())))="","",INDEX(集計3!$C$16:$CX$25,$C242,INDIRECT(ADDRESS(ROW()-8-($C242),COLUMN()))))</f>
        <v/>
      </c>
      <c r="AP242" s="234"/>
      <c r="AQ242" s="234"/>
      <c r="AR242" s="235"/>
    </row>
    <row r="243" spans="1:44" ht="14.75" customHeight="1" x14ac:dyDescent="0.7">
      <c r="A243" s="250"/>
      <c r="B243" s="250"/>
      <c r="C243" s="231">
        <v>8</v>
      </c>
      <c r="D243" s="232"/>
      <c r="E243" s="233" t="str" cm="1">
        <f t="array" aca="1" ref="E243" ca="1">IF(INDEX(集計3!$C$16:$CX$25,$C243,INDIRECT(ADDRESS(ROW()-8-($C243),COLUMN())))="","",INDEX(集計3!$C$16:$CX$25,$C243,INDIRECT(ADDRESS(ROW()-8-($C243),COLUMN()))))</f>
        <v/>
      </c>
      <c r="F243" s="234"/>
      <c r="G243" s="234"/>
      <c r="H243" s="235"/>
      <c r="I243" s="233" t="str" cm="1">
        <f t="array" aca="1" ref="I243" ca="1">IF(INDEX(集計3!$C$16:$CX$25,$C243,INDIRECT(ADDRESS(ROW()-8-($C243),COLUMN())))="","",INDEX(集計3!$C$16:$CX$25,$C243,INDIRECT(ADDRESS(ROW()-8-($C243),COLUMN()))))</f>
        <v/>
      </c>
      <c r="J243" s="234"/>
      <c r="K243" s="234"/>
      <c r="L243" s="235"/>
      <c r="M243" s="233" t="str" cm="1">
        <f t="array" aca="1" ref="M243" ca="1">IF(INDEX(集計3!$C$16:$CX$25,$C243,INDIRECT(ADDRESS(ROW()-8-($C243),COLUMN())))="","",INDEX(集計3!$C$16:$CX$25,$C243,INDIRECT(ADDRESS(ROW()-8-($C243),COLUMN()))))</f>
        <v/>
      </c>
      <c r="N243" s="234"/>
      <c r="O243" s="234"/>
      <c r="P243" s="235"/>
      <c r="Q243" s="233" t="str" cm="1">
        <f t="array" aca="1" ref="Q243" ca="1">IF(INDEX(集計3!$C$16:$CX$25,$C243,INDIRECT(ADDRESS(ROW()-8-($C243),COLUMN())))="","",INDEX(集計3!$C$16:$CX$25,$C243,INDIRECT(ADDRESS(ROW()-8-($C243),COLUMN()))))</f>
        <v/>
      </c>
      <c r="R243" s="234"/>
      <c r="S243" s="234"/>
      <c r="T243" s="235"/>
      <c r="U243" s="233" t="str" cm="1">
        <f t="array" aca="1" ref="U243" ca="1">IF(INDEX(集計3!$C$16:$CX$25,$C243,INDIRECT(ADDRESS(ROW()-8-($C243),COLUMN())))="","",INDEX(集計3!$C$16:$CX$25,$C243,INDIRECT(ADDRESS(ROW()-8-($C243),COLUMN()))))</f>
        <v/>
      </c>
      <c r="V243" s="234"/>
      <c r="W243" s="234"/>
      <c r="X243" s="235"/>
      <c r="Y243" s="233" t="str" cm="1">
        <f t="array" aca="1" ref="Y243" ca="1">IF(INDEX(集計3!$C$16:$CX$25,$C243,INDIRECT(ADDRESS(ROW()-8-($C243),COLUMN())))="","",INDEX(集計3!$C$16:$CX$25,$C243,INDIRECT(ADDRESS(ROW()-8-($C243),COLUMN()))))</f>
        <v/>
      </c>
      <c r="Z243" s="234"/>
      <c r="AA243" s="234"/>
      <c r="AB243" s="235"/>
      <c r="AC243" s="233" t="str" cm="1">
        <f t="array" aca="1" ref="AC243" ca="1">IF(INDEX(集計3!$C$16:$CX$25,$C243,INDIRECT(ADDRESS(ROW()-8-($C243),COLUMN())))="","",INDEX(集計3!$C$16:$CX$25,$C243,INDIRECT(ADDRESS(ROW()-8-($C243),COLUMN()))))</f>
        <v/>
      </c>
      <c r="AD243" s="234"/>
      <c r="AE243" s="234"/>
      <c r="AF243" s="235"/>
      <c r="AG243" s="233" t="str" cm="1">
        <f t="array" aca="1" ref="AG243" ca="1">IF(INDEX(集計3!$C$16:$CX$25,$C243,INDIRECT(ADDRESS(ROW()-8-($C243),COLUMN())))="","",INDEX(集計3!$C$16:$CX$25,$C243,INDIRECT(ADDRESS(ROW()-8-($C243),COLUMN()))))</f>
        <v/>
      </c>
      <c r="AH243" s="234"/>
      <c r="AI243" s="234"/>
      <c r="AJ243" s="235"/>
      <c r="AK243" s="233" t="str" cm="1">
        <f t="array" aca="1" ref="AK243" ca="1">IF(INDEX(集計3!$C$16:$CX$25,$C243,INDIRECT(ADDRESS(ROW()-8-($C243),COLUMN())))="","",INDEX(集計3!$C$16:$CX$25,$C243,INDIRECT(ADDRESS(ROW()-8-($C243),COLUMN()))))</f>
        <v/>
      </c>
      <c r="AL243" s="234"/>
      <c r="AM243" s="234"/>
      <c r="AN243" s="235"/>
      <c r="AO243" s="233" t="str" cm="1">
        <f t="array" aca="1" ref="AO243" ca="1">IF(INDEX(集計3!$C$16:$CX$25,$C243,INDIRECT(ADDRESS(ROW()-8-($C243),COLUMN())))="","",INDEX(集計3!$C$16:$CX$25,$C243,INDIRECT(ADDRESS(ROW()-8-($C243),COLUMN()))))</f>
        <v/>
      </c>
      <c r="AP243" s="234"/>
      <c r="AQ243" s="234"/>
      <c r="AR243" s="235"/>
    </row>
    <row r="244" spans="1:44" ht="14.75" customHeight="1" x14ac:dyDescent="0.7">
      <c r="A244" s="250"/>
      <c r="B244" s="250"/>
      <c r="C244" s="231">
        <v>9</v>
      </c>
      <c r="D244" s="232"/>
      <c r="E244" s="233" t="str" cm="1">
        <f t="array" aca="1" ref="E244" ca="1">IF(INDEX(集計3!$C$16:$CX$25,$C244,INDIRECT(ADDRESS(ROW()-8-($C244),COLUMN())))="","",INDEX(集計3!$C$16:$CX$25,$C244,INDIRECT(ADDRESS(ROW()-8-($C244),COLUMN()))))</f>
        <v/>
      </c>
      <c r="F244" s="234"/>
      <c r="G244" s="234"/>
      <c r="H244" s="235"/>
      <c r="I244" s="233" t="str" cm="1">
        <f t="array" aca="1" ref="I244" ca="1">IF(INDEX(集計3!$C$16:$CX$25,$C244,INDIRECT(ADDRESS(ROW()-8-($C244),COLUMN())))="","",INDEX(集計3!$C$16:$CX$25,$C244,INDIRECT(ADDRESS(ROW()-8-($C244),COLUMN()))))</f>
        <v/>
      </c>
      <c r="J244" s="234"/>
      <c r="K244" s="234"/>
      <c r="L244" s="235"/>
      <c r="M244" s="233" t="str" cm="1">
        <f t="array" aca="1" ref="M244" ca="1">IF(INDEX(集計3!$C$16:$CX$25,$C244,INDIRECT(ADDRESS(ROW()-8-($C244),COLUMN())))="","",INDEX(集計3!$C$16:$CX$25,$C244,INDIRECT(ADDRESS(ROW()-8-($C244),COLUMN()))))</f>
        <v/>
      </c>
      <c r="N244" s="234"/>
      <c r="O244" s="234"/>
      <c r="P244" s="235"/>
      <c r="Q244" s="233" t="str" cm="1">
        <f t="array" aca="1" ref="Q244" ca="1">IF(INDEX(集計3!$C$16:$CX$25,$C244,INDIRECT(ADDRESS(ROW()-8-($C244),COLUMN())))="","",INDEX(集計3!$C$16:$CX$25,$C244,INDIRECT(ADDRESS(ROW()-8-($C244),COLUMN()))))</f>
        <v/>
      </c>
      <c r="R244" s="234"/>
      <c r="S244" s="234"/>
      <c r="T244" s="235"/>
      <c r="U244" s="233" t="str" cm="1">
        <f t="array" aca="1" ref="U244" ca="1">IF(INDEX(集計3!$C$16:$CX$25,$C244,INDIRECT(ADDRESS(ROW()-8-($C244),COLUMN())))="","",INDEX(集計3!$C$16:$CX$25,$C244,INDIRECT(ADDRESS(ROW()-8-($C244),COLUMN()))))</f>
        <v/>
      </c>
      <c r="V244" s="234"/>
      <c r="W244" s="234"/>
      <c r="X244" s="235"/>
      <c r="Y244" s="233" t="str" cm="1">
        <f t="array" aca="1" ref="Y244" ca="1">IF(INDEX(集計3!$C$16:$CX$25,$C244,INDIRECT(ADDRESS(ROW()-8-($C244),COLUMN())))="","",INDEX(集計3!$C$16:$CX$25,$C244,INDIRECT(ADDRESS(ROW()-8-($C244),COLUMN()))))</f>
        <v/>
      </c>
      <c r="Z244" s="234"/>
      <c r="AA244" s="234"/>
      <c r="AB244" s="235"/>
      <c r="AC244" s="233" t="str" cm="1">
        <f t="array" aca="1" ref="AC244" ca="1">IF(INDEX(集計3!$C$16:$CX$25,$C244,INDIRECT(ADDRESS(ROW()-8-($C244),COLUMN())))="","",INDEX(集計3!$C$16:$CX$25,$C244,INDIRECT(ADDRESS(ROW()-8-($C244),COLUMN()))))</f>
        <v/>
      </c>
      <c r="AD244" s="234"/>
      <c r="AE244" s="234"/>
      <c r="AF244" s="235"/>
      <c r="AG244" s="233" t="str" cm="1">
        <f t="array" aca="1" ref="AG244" ca="1">IF(INDEX(集計3!$C$16:$CX$25,$C244,INDIRECT(ADDRESS(ROW()-8-($C244),COLUMN())))="","",INDEX(集計3!$C$16:$CX$25,$C244,INDIRECT(ADDRESS(ROW()-8-($C244),COLUMN()))))</f>
        <v/>
      </c>
      <c r="AH244" s="234"/>
      <c r="AI244" s="234"/>
      <c r="AJ244" s="235"/>
      <c r="AK244" s="233" t="str" cm="1">
        <f t="array" aca="1" ref="AK244" ca="1">IF(INDEX(集計3!$C$16:$CX$25,$C244,INDIRECT(ADDRESS(ROW()-8-($C244),COLUMN())))="","",INDEX(集計3!$C$16:$CX$25,$C244,INDIRECT(ADDRESS(ROW()-8-($C244),COLUMN()))))</f>
        <v/>
      </c>
      <c r="AL244" s="234"/>
      <c r="AM244" s="234"/>
      <c r="AN244" s="235"/>
      <c r="AO244" s="233" t="str" cm="1">
        <f t="array" aca="1" ref="AO244" ca="1">IF(INDEX(集計3!$C$16:$CX$25,$C244,INDIRECT(ADDRESS(ROW()-8-($C244),COLUMN())))="","",INDEX(集計3!$C$16:$CX$25,$C244,INDIRECT(ADDRESS(ROW()-8-($C244),COLUMN()))))</f>
        <v/>
      </c>
      <c r="AP244" s="234"/>
      <c r="AQ244" s="234"/>
      <c r="AR244" s="235"/>
    </row>
    <row r="245" spans="1:44" ht="14.75" customHeight="1" x14ac:dyDescent="0.7">
      <c r="A245" s="250"/>
      <c r="B245" s="250"/>
      <c r="C245" s="236">
        <v>10</v>
      </c>
      <c r="D245" s="237"/>
      <c r="E245" s="238" t="str" cm="1">
        <f t="array" aca="1" ref="E245" ca="1">IF(INDEX(集計3!$C$16:$CX$25,$C245,INDIRECT(ADDRESS(ROW()-8-($C245),COLUMN())))="","",INDEX(集計3!$C$16:$CX$25,$C245,INDIRECT(ADDRESS(ROW()-8-($C245),COLUMN()))))</f>
        <v/>
      </c>
      <c r="F245" s="239"/>
      <c r="G245" s="239"/>
      <c r="H245" s="240"/>
      <c r="I245" s="238" t="str" cm="1">
        <f t="array" aca="1" ref="I245" ca="1">IF(INDEX(集計3!$C$16:$CX$25,$C245,INDIRECT(ADDRESS(ROW()-8-($C245),COLUMN())))="","",INDEX(集計3!$C$16:$CX$25,$C245,INDIRECT(ADDRESS(ROW()-8-($C245),COLUMN()))))</f>
        <v/>
      </c>
      <c r="J245" s="239"/>
      <c r="K245" s="239"/>
      <c r="L245" s="240"/>
      <c r="M245" s="238" t="str" cm="1">
        <f t="array" aca="1" ref="M245" ca="1">IF(INDEX(集計3!$C$16:$CX$25,$C245,INDIRECT(ADDRESS(ROW()-8-($C245),COLUMN())))="","",INDEX(集計3!$C$16:$CX$25,$C245,INDIRECT(ADDRESS(ROW()-8-($C245),COLUMN()))))</f>
        <v/>
      </c>
      <c r="N245" s="239"/>
      <c r="O245" s="239"/>
      <c r="P245" s="240"/>
      <c r="Q245" s="238" t="str" cm="1">
        <f t="array" aca="1" ref="Q245" ca="1">IF(INDEX(集計3!$C$16:$CX$25,$C245,INDIRECT(ADDRESS(ROW()-8-($C245),COLUMN())))="","",INDEX(集計3!$C$16:$CX$25,$C245,INDIRECT(ADDRESS(ROW()-8-($C245),COLUMN()))))</f>
        <v/>
      </c>
      <c r="R245" s="239"/>
      <c r="S245" s="239"/>
      <c r="T245" s="240"/>
      <c r="U245" s="238" t="str" cm="1">
        <f t="array" aca="1" ref="U245" ca="1">IF(INDEX(集計3!$C$16:$CX$25,$C245,INDIRECT(ADDRESS(ROW()-8-($C245),COLUMN())))="","",INDEX(集計3!$C$16:$CX$25,$C245,INDIRECT(ADDRESS(ROW()-8-($C245),COLUMN()))))</f>
        <v/>
      </c>
      <c r="V245" s="239"/>
      <c r="W245" s="239"/>
      <c r="X245" s="240"/>
      <c r="Y245" s="238" t="str" cm="1">
        <f t="array" aca="1" ref="Y245" ca="1">IF(INDEX(集計3!$C$16:$CX$25,$C245,INDIRECT(ADDRESS(ROW()-8-($C245),COLUMN())))="","",INDEX(集計3!$C$16:$CX$25,$C245,INDIRECT(ADDRESS(ROW()-8-($C245),COLUMN()))))</f>
        <v/>
      </c>
      <c r="Z245" s="239"/>
      <c r="AA245" s="239"/>
      <c r="AB245" s="240"/>
      <c r="AC245" s="238" t="str" cm="1">
        <f t="array" aca="1" ref="AC245" ca="1">IF(INDEX(集計3!$C$16:$CX$25,$C245,INDIRECT(ADDRESS(ROW()-8-($C245),COLUMN())))="","",INDEX(集計3!$C$16:$CX$25,$C245,INDIRECT(ADDRESS(ROW()-8-($C245),COLUMN()))))</f>
        <v/>
      </c>
      <c r="AD245" s="239"/>
      <c r="AE245" s="239"/>
      <c r="AF245" s="240"/>
      <c r="AG245" s="238" t="str" cm="1">
        <f t="array" aca="1" ref="AG245" ca="1">IF(INDEX(集計3!$C$16:$CX$25,$C245,INDIRECT(ADDRESS(ROW()-8-($C245),COLUMN())))="","",INDEX(集計3!$C$16:$CX$25,$C245,INDIRECT(ADDRESS(ROW()-8-($C245),COLUMN()))))</f>
        <v/>
      </c>
      <c r="AH245" s="239"/>
      <c r="AI245" s="239"/>
      <c r="AJ245" s="240"/>
      <c r="AK245" s="238" t="str" cm="1">
        <f t="array" aca="1" ref="AK245" ca="1">IF(INDEX(集計3!$C$16:$CX$25,$C245,INDIRECT(ADDRESS(ROW()-8-($C245),COLUMN())))="","",INDEX(集計3!$C$16:$CX$25,$C245,INDIRECT(ADDRESS(ROW()-8-($C245),COLUMN()))))</f>
        <v/>
      </c>
      <c r="AL245" s="239"/>
      <c r="AM245" s="239"/>
      <c r="AN245" s="240"/>
      <c r="AO245" s="238" t="str" cm="1">
        <f t="array" aca="1" ref="AO245" ca="1">IF(INDEX(集計3!$C$16:$CX$25,$C245,INDIRECT(ADDRESS(ROW()-8-($C245),COLUMN())))="","",INDEX(集計3!$C$16:$CX$25,$C245,INDIRECT(ADDRESS(ROW()-8-($C245),COLUMN()))))</f>
        <v/>
      </c>
      <c r="AP245" s="239"/>
      <c r="AQ245" s="239"/>
      <c r="AR245" s="240"/>
    </row>
    <row r="246" spans="1:44" ht="7.25" customHeight="1" x14ac:dyDescent="0.7">
      <c r="A246" s="217" t="s">
        <v>163</v>
      </c>
      <c r="B246" s="217"/>
      <c r="C246" s="217"/>
      <c r="D246" s="217"/>
      <c r="E246" s="219" t="str" cm="1">
        <f t="array" aca="1" ref="E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246" s="220"/>
      <c r="G246" s="220"/>
      <c r="H246" s="221"/>
      <c r="I246" s="219" t="str" cm="1">
        <f t="array" aca="1" ref="I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246" s="220"/>
      <c r="K246" s="220"/>
      <c r="L246" s="221"/>
      <c r="M246" s="219" t="str" cm="1">
        <f t="array" aca="1" ref="M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246" s="220"/>
      <c r="O246" s="220"/>
      <c r="P246" s="221"/>
      <c r="Q246" s="219" t="str" cm="1">
        <f t="array" aca="1" ref="Q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246" s="220"/>
      <c r="S246" s="220"/>
      <c r="T246" s="221"/>
      <c r="U246" s="219" t="str" cm="1">
        <f t="array" aca="1" ref="U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246" s="220"/>
      <c r="W246" s="220"/>
      <c r="X246" s="221"/>
      <c r="Y246" s="219" t="str" cm="1">
        <f t="array" aca="1" ref="Y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246" s="220"/>
      <c r="AA246" s="220"/>
      <c r="AB246" s="221"/>
      <c r="AC246" s="219" t="str" cm="1">
        <f t="array" aca="1" ref="AC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246" s="220"/>
      <c r="AE246" s="220"/>
      <c r="AF246" s="221"/>
      <c r="AG246" s="219" t="str" cm="1">
        <f t="array" aca="1" ref="AG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246" s="220"/>
      <c r="AI246" s="220"/>
      <c r="AJ246" s="221"/>
      <c r="AK246" s="219" t="str" cm="1">
        <f t="array" aca="1" ref="AK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246" s="220"/>
      <c r="AM246" s="220"/>
      <c r="AN246" s="221"/>
      <c r="AO246" s="219" t="str" cm="1">
        <f t="array" aca="1" ref="AO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246" s="220"/>
      <c r="AQ246" s="220"/>
      <c r="AR246" s="221"/>
    </row>
    <row r="247" spans="1:44" ht="7.25" customHeight="1" x14ac:dyDescent="0.7">
      <c r="A247" s="218"/>
      <c r="B247" s="218"/>
      <c r="C247" s="218"/>
      <c r="D247" s="218"/>
      <c r="E247" s="222"/>
      <c r="F247" s="223"/>
      <c r="G247" s="223"/>
      <c r="H247" s="224"/>
      <c r="I247" s="222"/>
      <c r="J247" s="223"/>
      <c r="K247" s="223"/>
      <c r="L247" s="224"/>
      <c r="M247" s="222"/>
      <c r="N247" s="223"/>
      <c r="O247" s="223"/>
      <c r="P247" s="224"/>
      <c r="Q247" s="222"/>
      <c r="R247" s="223"/>
      <c r="S247" s="223"/>
      <c r="T247" s="224"/>
      <c r="U247" s="222"/>
      <c r="V247" s="223"/>
      <c r="W247" s="223"/>
      <c r="X247" s="224"/>
      <c r="Y247" s="222"/>
      <c r="Z247" s="223"/>
      <c r="AA247" s="223"/>
      <c r="AB247" s="224"/>
      <c r="AC247" s="222"/>
      <c r="AD247" s="223"/>
      <c r="AE247" s="223"/>
      <c r="AF247" s="224"/>
      <c r="AG247" s="222"/>
      <c r="AH247" s="223"/>
      <c r="AI247" s="223"/>
      <c r="AJ247" s="224"/>
      <c r="AK247" s="222"/>
      <c r="AL247" s="223"/>
      <c r="AM247" s="223"/>
      <c r="AN247" s="224"/>
      <c r="AO247" s="222"/>
      <c r="AP247" s="223"/>
      <c r="AQ247" s="223"/>
      <c r="AR247" s="224"/>
    </row>
    <row r="248" spans="1:44" ht="9" customHeight="1" x14ac:dyDescent="0.7">
      <c r="A248" s="225" t="s">
        <v>164</v>
      </c>
      <c r="B248" s="226"/>
      <c r="C248" s="226"/>
      <c r="D248" s="227"/>
      <c r="E248" s="228" t="str">
        <f ca="1">IF(COUNT(INDIRECT(ADDRESS(ROW()-12,COLUMN())):INDIRECT(ADDRESS(ROW()-3,COLUMN())))=0,"",MAX(INDIRECT(ADDRESS(ROW()-12,COLUMN())):INDIRECT(ADDRESS(ROW()-3,COLUMN()))))</f>
        <v/>
      </c>
      <c r="F248" s="229"/>
      <c r="G248" s="229"/>
      <c r="H248" s="230"/>
      <c r="I248" s="228" t="str">
        <f ca="1">IF(COUNT(INDIRECT(ADDRESS(ROW()-12,COLUMN())):INDIRECT(ADDRESS(ROW()-3,COLUMN())))=0,"",MAX(INDIRECT(ADDRESS(ROW()-12,COLUMN())):INDIRECT(ADDRESS(ROW()-3,COLUMN()))))</f>
        <v/>
      </c>
      <c r="J248" s="229"/>
      <c r="K248" s="229"/>
      <c r="L248" s="230"/>
      <c r="M248" s="228" t="str">
        <f ca="1">IF(COUNT(INDIRECT(ADDRESS(ROW()-12,COLUMN())):INDIRECT(ADDRESS(ROW()-3,COLUMN())))=0,"",MAX(INDIRECT(ADDRESS(ROW()-12,COLUMN())):INDIRECT(ADDRESS(ROW()-3,COLUMN()))))</f>
        <v/>
      </c>
      <c r="N248" s="229"/>
      <c r="O248" s="229"/>
      <c r="P248" s="230"/>
      <c r="Q248" s="228" t="str">
        <f ca="1">IF(COUNT(INDIRECT(ADDRESS(ROW()-12,COLUMN())):INDIRECT(ADDRESS(ROW()-3,COLUMN())))=0,"",MAX(INDIRECT(ADDRESS(ROW()-12,COLUMN())):INDIRECT(ADDRESS(ROW()-3,COLUMN()))))</f>
        <v/>
      </c>
      <c r="R248" s="229"/>
      <c r="S248" s="229"/>
      <c r="T248" s="230"/>
      <c r="U248" s="228" t="str">
        <f ca="1">IF(COUNT(INDIRECT(ADDRESS(ROW()-12,COLUMN())):INDIRECT(ADDRESS(ROW()-3,COLUMN())))=0,"",MAX(INDIRECT(ADDRESS(ROW()-12,COLUMN())):INDIRECT(ADDRESS(ROW()-3,COLUMN()))))</f>
        <v/>
      </c>
      <c r="V248" s="229"/>
      <c r="W248" s="229"/>
      <c r="X248" s="230"/>
      <c r="Y248" s="228" t="str">
        <f ca="1">IF(COUNT(INDIRECT(ADDRESS(ROW()-12,COLUMN())):INDIRECT(ADDRESS(ROW()-3,COLUMN())))=0,"",MAX(INDIRECT(ADDRESS(ROW()-12,COLUMN())):INDIRECT(ADDRESS(ROW()-3,COLUMN()))))</f>
        <v/>
      </c>
      <c r="Z248" s="229"/>
      <c r="AA248" s="229"/>
      <c r="AB248" s="230"/>
      <c r="AC248" s="228" t="str">
        <f ca="1">IF(COUNT(INDIRECT(ADDRESS(ROW()-12,COLUMN())):INDIRECT(ADDRESS(ROW()-3,COLUMN())))=0,"",MAX(INDIRECT(ADDRESS(ROW()-12,COLUMN())):INDIRECT(ADDRESS(ROW()-3,COLUMN()))))</f>
        <v/>
      </c>
      <c r="AD248" s="229"/>
      <c r="AE248" s="229"/>
      <c r="AF248" s="230"/>
      <c r="AG248" s="228" t="str">
        <f ca="1">IF(COUNT(INDIRECT(ADDRESS(ROW()-12,COLUMN())):INDIRECT(ADDRESS(ROW()-3,COLUMN())))=0,"",MAX(INDIRECT(ADDRESS(ROW()-12,COLUMN())):INDIRECT(ADDRESS(ROW()-3,COLUMN()))))</f>
        <v/>
      </c>
      <c r="AH248" s="229"/>
      <c r="AI248" s="229"/>
      <c r="AJ248" s="230"/>
      <c r="AK248" s="228" t="str">
        <f ca="1">IF(COUNT(INDIRECT(ADDRESS(ROW()-12,COLUMN())):INDIRECT(ADDRESS(ROW()-3,COLUMN())))=0,"",MAX(INDIRECT(ADDRESS(ROW()-12,COLUMN())):INDIRECT(ADDRESS(ROW()-3,COLUMN()))))</f>
        <v/>
      </c>
      <c r="AL248" s="229"/>
      <c r="AM248" s="229"/>
      <c r="AN248" s="230"/>
      <c r="AO248" s="228" t="str">
        <f ca="1">IF(COUNT(INDIRECT(ADDRESS(ROW()-12,COLUMN())):INDIRECT(ADDRESS(ROW()-3,COLUMN())))=0,"",MAX(INDIRECT(ADDRESS(ROW()-12,COLUMN())):INDIRECT(ADDRESS(ROW()-3,COLUMN()))))</f>
        <v/>
      </c>
      <c r="AP248" s="229"/>
      <c r="AQ248" s="229"/>
      <c r="AR248" s="230"/>
    </row>
    <row r="249" spans="1:44" ht="9" customHeight="1" x14ac:dyDescent="0.7">
      <c r="A249" s="211" t="s">
        <v>165</v>
      </c>
      <c r="B249" s="212"/>
      <c r="C249" s="212"/>
      <c r="D249" s="213"/>
      <c r="E249" s="214" t="str">
        <f ca="1">IF(COUNT(INDIRECT(ADDRESS(ROW()-13,COLUMN())):INDIRECT(ADDRESS(ROW()-4,COLUMN())))=0,"",MIN(INDIRECT(ADDRESS(ROW()-13,COLUMN())):INDIRECT(ADDRESS(ROW()-4,COLUMN()))))</f>
        <v/>
      </c>
      <c r="F249" s="215"/>
      <c r="G249" s="215"/>
      <c r="H249" s="216"/>
      <c r="I249" s="214" t="str">
        <f ca="1">IF(COUNT(INDIRECT(ADDRESS(ROW()-13,COLUMN())):INDIRECT(ADDRESS(ROW()-4,COLUMN())))=0,"",MIN(INDIRECT(ADDRESS(ROW()-13,COLUMN())):INDIRECT(ADDRESS(ROW()-4,COLUMN()))))</f>
        <v/>
      </c>
      <c r="J249" s="215"/>
      <c r="K249" s="215"/>
      <c r="L249" s="216"/>
      <c r="M249" s="214" t="str">
        <f ca="1">IF(COUNT(INDIRECT(ADDRESS(ROW()-13,COLUMN())):INDIRECT(ADDRESS(ROW()-4,COLUMN())))=0,"",MIN(INDIRECT(ADDRESS(ROW()-13,COLUMN())):INDIRECT(ADDRESS(ROW()-4,COLUMN()))))</f>
        <v/>
      </c>
      <c r="N249" s="215"/>
      <c r="O249" s="215"/>
      <c r="P249" s="216"/>
      <c r="Q249" s="214" t="str">
        <f ca="1">IF(COUNT(INDIRECT(ADDRESS(ROW()-13,COLUMN())):INDIRECT(ADDRESS(ROW()-4,COLUMN())))=0,"",MIN(INDIRECT(ADDRESS(ROW()-13,COLUMN())):INDIRECT(ADDRESS(ROW()-4,COLUMN()))))</f>
        <v/>
      </c>
      <c r="R249" s="215"/>
      <c r="S249" s="215"/>
      <c r="T249" s="216"/>
      <c r="U249" s="214" t="str">
        <f ca="1">IF(COUNT(INDIRECT(ADDRESS(ROW()-13,COLUMN())):INDIRECT(ADDRESS(ROW()-4,COLUMN())))=0,"",MIN(INDIRECT(ADDRESS(ROW()-13,COLUMN())):INDIRECT(ADDRESS(ROW()-4,COLUMN()))))</f>
        <v/>
      </c>
      <c r="V249" s="215"/>
      <c r="W249" s="215"/>
      <c r="X249" s="216"/>
      <c r="Y249" s="214" t="str">
        <f ca="1">IF(COUNT(INDIRECT(ADDRESS(ROW()-13,COLUMN())):INDIRECT(ADDRESS(ROW()-4,COLUMN())))=0,"",MIN(INDIRECT(ADDRESS(ROW()-13,COLUMN())):INDIRECT(ADDRESS(ROW()-4,COLUMN()))))</f>
        <v/>
      </c>
      <c r="Z249" s="215"/>
      <c r="AA249" s="215"/>
      <c r="AB249" s="216"/>
      <c r="AC249" s="214" t="str">
        <f ca="1">IF(COUNT(INDIRECT(ADDRESS(ROW()-13,COLUMN())):INDIRECT(ADDRESS(ROW()-4,COLUMN())))=0,"",MIN(INDIRECT(ADDRESS(ROW()-13,COLUMN())):INDIRECT(ADDRESS(ROW()-4,COLUMN()))))</f>
        <v/>
      </c>
      <c r="AD249" s="215"/>
      <c r="AE249" s="215"/>
      <c r="AF249" s="216"/>
      <c r="AG249" s="214" t="str">
        <f ca="1">IF(COUNT(INDIRECT(ADDRESS(ROW()-13,COLUMN())):INDIRECT(ADDRESS(ROW()-4,COLUMN())))=0,"",MIN(INDIRECT(ADDRESS(ROW()-13,COLUMN())):INDIRECT(ADDRESS(ROW()-4,COLUMN()))))</f>
        <v/>
      </c>
      <c r="AH249" s="215"/>
      <c r="AI249" s="215"/>
      <c r="AJ249" s="216"/>
      <c r="AK249" s="214" t="str">
        <f ca="1">IF(COUNT(INDIRECT(ADDRESS(ROW()-13,COLUMN())):INDIRECT(ADDRESS(ROW()-4,COLUMN())))=0,"",MIN(INDIRECT(ADDRESS(ROW()-13,COLUMN())):INDIRECT(ADDRESS(ROW()-4,COLUMN()))))</f>
        <v/>
      </c>
      <c r="AL249" s="215"/>
      <c r="AM249" s="215"/>
      <c r="AN249" s="216"/>
      <c r="AO249" s="214" t="str">
        <f ca="1">IF(COUNT(INDIRECT(ADDRESS(ROW()-13,COLUMN())):INDIRECT(ADDRESS(ROW()-4,COLUMN())))=0,"",MIN(INDIRECT(ADDRESS(ROW()-13,COLUMN())):INDIRECT(ADDRESS(ROW()-4,COLUMN()))))</f>
        <v/>
      </c>
      <c r="AP249" s="215"/>
      <c r="AQ249" s="215"/>
      <c r="AR249" s="216"/>
    </row>
    <row r="250" spans="1:44" ht="8" customHeight="1" x14ac:dyDescent="0.7">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row>
    <row r="251" spans="1:44" ht="8" customHeight="1" x14ac:dyDescent="0.7">
      <c r="A251" s="217" t="s">
        <v>157</v>
      </c>
      <c r="B251" s="217"/>
      <c r="C251" s="217"/>
      <c r="D251" s="217"/>
      <c r="E251" s="275">
        <v>91</v>
      </c>
      <c r="F251" s="276"/>
      <c r="G251" s="276"/>
      <c r="H251" s="277"/>
      <c r="I251" s="275">
        <v>92</v>
      </c>
      <c r="J251" s="276"/>
      <c r="K251" s="276"/>
      <c r="L251" s="277"/>
      <c r="M251" s="275">
        <v>93</v>
      </c>
      <c r="N251" s="276"/>
      <c r="O251" s="276"/>
      <c r="P251" s="277"/>
      <c r="Q251" s="275">
        <v>94</v>
      </c>
      <c r="R251" s="276"/>
      <c r="S251" s="276"/>
      <c r="T251" s="277"/>
      <c r="U251" s="275">
        <v>95</v>
      </c>
      <c r="V251" s="276"/>
      <c r="W251" s="276"/>
      <c r="X251" s="277"/>
      <c r="Y251" s="275">
        <v>96</v>
      </c>
      <c r="Z251" s="276"/>
      <c r="AA251" s="276"/>
      <c r="AB251" s="277"/>
      <c r="AC251" s="275">
        <v>97</v>
      </c>
      <c r="AD251" s="276"/>
      <c r="AE251" s="276"/>
      <c r="AF251" s="277"/>
      <c r="AG251" s="275">
        <v>98</v>
      </c>
      <c r="AH251" s="276"/>
      <c r="AI251" s="276"/>
      <c r="AJ251" s="277"/>
      <c r="AK251" s="275">
        <v>99</v>
      </c>
      <c r="AL251" s="276"/>
      <c r="AM251" s="276"/>
      <c r="AN251" s="277"/>
      <c r="AO251" s="275">
        <v>100</v>
      </c>
      <c r="AP251" s="276"/>
      <c r="AQ251" s="276"/>
      <c r="AR251" s="277"/>
    </row>
    <row r="252" spans="1:44" ht="8" customHeight="1" x14ac:dyDescent="0.7">
      <c r="A252" s="217"/>
      <c r="B252" s="217"/>
      <c r="C252" s="217"/>
      <c r="D252" s="217"/>
      <c r="E252" s="278"/>
      <c r="F252" s="279"/>
      <c r="G252" s="279"/>
      <c r="H252" s="280"/>
      <c r="I252" s="278"/>
      <c r="J252" s="279"/>
      <c r="K252" s="279"/>
      <c r="L252" s="280"/>
      <c r="M252" s="278"/>
      <c r="N252" s="279"/>
      <c r="O252" s="279"/>
      <c r="P252" s="280"/>
      <c r="Q252" s="278"/>
      <c r="R252" s="279"/>
      <c r="S252" s="279"/>
      <c r="T252" s="280"/>
      <c r="U252" s="278"/>
      <c r="V252" s="279"/>
      <c r="W252" s="279"/>
      <c r="X252" s="280"/>
      <c r="Y252" s="278"/>
      <c r="Z252" s="279"/>
      <c r="AA252" s="279"/>
      <c r="AB252" s="280"/>
      <c r="AC252" s="278"/>
      <c r="AD252" s="279"/>
      <c r="AE252" s="279"/>
      <c r="AF252" s="280"/>
      <c r="AG252" s="278"/>
      <c r="AH252" s="279"/>
      <c r="AI252" s="279"/>
      <c r="AJ252" s="280"/>
      <c r="AK252" s="278"/>
      <c r="AL252" s="279"/>
      <c r="AM252" s="279"/>
      <c r="AN252" s="280"/>
      <c r="AO252" s="278"/>
      <c r="AP252" s="279"/>
      <c r="AQ252" s="279"/>
      <c r="AR252" s="280"/>
    </row>
    <row r="253" spans="1:44" ht="10.25" customHeight="1" x14ac:dyDescent="0.7">
      <c r="A253" s="217" t="s">
        <v>158</v>
      </c>
      <c r="B253" s="217"/>
      <c r="C253" s="217"/>
      <c r="D253" s="217"/>
      <c r="E253" s="262" t="str" cm="1">
        <f t="array" aca="1" ref="E253" ca="1">IFERROR(INDEX(INDIRECT("'"&amp;集計3!$A$1&amp;"'!$C$4:$CX$4"),1,E251),"")</f>
        <v/>
      </c>
      <c r="F253" s="263"/>
      <c r="G253" s="263"/>
      <c r="H253" s="264"/>
      <c r="I253" s="262" t="str" cm="1">
        <f t="array" aca="1" ref="I253" ca="1">IFERROR(INDEX(INDIRECT("'"&amp;集計3!$A$1&amp;"'!$C$4:$CX$4"),1,I251),"")</f>
        <v/>
      </c>
      <c r="J253" s="263"/>
      <c r="K253" s="263"/>
      <c r="L253" s="264"/>
      <c r="M253" s="262" t="str" cm="1">
        <f t="array" aca="1" ref="M253" ca="1">IFERROR(INDEX(INDIRECT("'"&amp;集計3!$A$1&amp;"'!$C$4:$CX$4"),1,M251),"")</f>
        <v/>
      </c>
      <c r="N253" s="263"/>
      <c r="O253" s="263"/>
      <c r="P253" s="264"/>
      <c r="Q253" s="262" t="str" cm="1">
        <f t="array" aca="1" ref="Q253" ca="1">IFERROR(INDEX(INDIRECT("'"&amp;集計3!$A$1&amp;"'!$C$4:$CX$4"),1,Q251),"")</f>
        <v/>
      </c>
      <c r="R253" s="263"/>
      <c r="S253" s="263"/>
      <c r="T253" s="264"/>
      <c r="U253" s="262" t="str" cm="1">
        <f t="array" aca="1" ref="U253" ca="1">IFERROR(INDEX(INDIRECT("'"&amp;集計3!$A$1&amp;"'!$C$4:$CX$4"),1,U251),"")</f>
        <v/>
      </c>
      <c r="V253" s="263"/>
      <c r="W253" s="263"/>
      <c r="X253" s="264"/>
      <c r="Y253" s="262" t="str" cm="1">
        <f t="array" aca="1" ref="Y253" ca="1">IFERROR(INDEX(INDIRECT("'"&amp;集計3!$A$1&amp;"'!$C$4:$CX$4"),1,Y251),"")</f>
        <v/>
      </c>
      <c r="Z253" s="263"/>
      <c r="AA253" s="263"/>
      <c r="AB253" s="264"/>
      <c r="AC253" s="262" t="str" cm="1">
        <f t="array" aca="1" ref="AC253" ca="1">IFERROR(INDEX(INDIRECT("'"&amp;集計3!$A$1&amp;"'!$C$4:$CX$4"),1,AC251),"")</f>
        <v/>
      </c>
      <c r="AD253" s="263"/>
      <c r="AE253" s="263"/>
      <c r="AF253" s="264"/>
      <c r="AG253" s="262" t="str" cm="1">
        <f t="array" aca="1" ref="AG253" ca="1">IFERROR(INDEX(INDIRECT("'"&amp;集計3!$A$1&amp;"'!$C$4:$CX$4"),1,AG251),"")</f>
        <v/>
      </c>
      <c r="AH253" s="263"/>
      <c r="AI253" s="263"/>
      <c r="AJ253" s="264"/>
      <c r="AK253" s="262" t="str" cm="1">
        <f t="array" aca="1" ref="AK253" ca="1">IFERROR(INDEX(INDIRECT("'"&amp;集計3!$A$1&amp;"'!$C$4:$CX$4"),1,AK251),"")</f>
        <v/>
      </c>
      <c r="AL253" s="263"/>
      <c r="AM253" s="263"/>
      <c r="AN253" s="264"/>
      <c r="AO253" s="262" t="str" cm="1">
        <f t="array" aca="1" ref="AO253" ca="1">IFERROR(INDEX(INDIRECT("'"&amp;集計3!$A$1&amp;"'!$C$4:$CX$4"),1,AO251),"")</f>
        <v/>
      </c>
      <c r="AP253" s="263"/>
      <c r="AQ253" s="263"/>
      <c r="AR253" s="264"/>
    </row>
    <row r="254" spans="1:44" ht="10.25" customHeight="1" x14ac:dyDescent="0.7">
      <c r="A254" s="218"/>
      <c r="B254" s="218"/>
      <c r="C254" s="218"/>
      <c r="D254" s="218"/>
      <c r="E254" s="265"/>
      <c r="F254" s="266"/>
      <c r="G254" s="266"/>
      <c r="H254" s="267"/>
      <c r="I254" s="265"/>
      <c r="J254" s="266"/>
      <c r="K254" s="266"/>
      <c r="L254" s="267"/>
      <c r="M254" s="265"/>
      <c r="N254" s="266"/>
      <c r="O254" s="266"/>
      <c r="P254" s="267"/>
      <c r="Q254" s="265"/>
      <c r="R254" s="266"/>
      <c r="S254" s="266"/>
      <c r="T254" s="267"/>
      <c r="U254" s="265"/>
      <c r="V254" s="266"/>
      <c r="W254" s="266"/>
      <c r="X254" s="267"/>
      <c r="Y254" s="265"/>
      <c r="Z254" s="266"/>
      <c r="AA254" s="266"/>
      <c r="AB254" s="267"/>
      <c r="AC254" s="265"/>
      <c r="AD254" s="266"/>
      <c r="AE254" s="266"/>
      <c r="AF254" s="267"/>
      <c r="AG254" s="265"/>
      <c r="AH254" s="266"/>
      <c r="AI254" s="266"/>
      <c r="AJ254" s="267"/>
      <c r="AK254" s="265"/>
      <c r="AL254" s="266"/>
      <c r="AM254" s="266"/>
      <c r="AN254" s="267"/>
      <c r="AO254" s="265"/>
      <c r="AP254" s="266"/>
      <c r="AQ254" s="266"/>
      <c r="AR254" s="267"/>
    </row>
    <row r="255" spans="1:44" ht="10.25" customHeight="1" x14ac:dyDescent="0.7">
      <c r="A255" s="268" t="s">
        <v>127</v>
      </c>
      <c r="B255" s="269"/>
      <c r="C255" s="269"/>
      <c r="D255" s="270"/>
      <c r="E255" s="271" t="str" cm="1">
        <f t="array" aca="1" ref="E255" ca="1">IFERROR(INDEX(INDIRECT("'"&amp;集計3!$A$1&amp;"'!$C$5:$CX$5"),1,E251),"")</f>
        <v/>
      </c>
      <c r="F255" s="272"/>
      <c r="G255" s="273" t="str" cm="1">
        <f t="array" aca="1" ref="G255" ca="1">IFERROR(INDEX(INDIRECT("'"&amp;集計3!$A$1&amp;"'!$C$6:$CX$6"),1,E251),"")</f>
        <v/>
      </c>
      <c r="H255" s="274"/>
      <c r="I255" s="271" t="str" cm="1">
        <f t="array" aca="1" ref="I255" ca="1">IFERROR(INDEX(INDIRECT("'"&amp;集計3!$A$1&amp;"'!$C$5:$CX$5"),1,I251),"")</f>
        <v/>
      </c>
      <c r="J255" s="272"/>
      <c r="K255" s="273" t="str" cm="1">
        <f t="array" aca="1" ref="K255" ca="1">IFERROR(INDEX(INDIRECT("'"&amp;集計3!$A$1&amp;"'!$C$6:$CX$6"),1,I251),"")</f>
        <v/>
      </c>
      <c r="L255" s="274"/>
      <c r="M255" s="271" t="str" cm="1">
        <f t="array" aca="1" ref="M255" ca="1">IFERROR(INDEX(INDIRECT("'"&amp;集計3!$A$1&amp;"'!$C$5:$CX$5"),1,M251),"")</f>
        <v/>
      </c>
      <c r="N255" s="272"/>
      <c r="O255" s="273" t="str" cm="1">
        <f t="array" aca="1" ref="O255" ca="1">IFERROR(INDEX(INDIRECT("'"&amp;集計3!$A$1&amp;"'!$C$6:$CX$6"),1,M251),"")</f>
        <v/>
      </c>
      <c r="P255" s="274"/>
      <c r="Q255" s="271" t="str" cm="1">
        <f t="array" aca="1" ref="Q255" ca="1">IFERROR(INDEX(INDIRECT("'"&amp;集計3!$A$1&amp;"'!$C$5:$CX$5"),1,Q251),"")</f>
        <v/>
      </c>
      <c r="R255" s="272"/>
      <c r="S255" s="273" t="str" cm="1">
        <f t="array" aca="1" ref="S255" ca="1">IFERROR(INDEX(INDIRECT("'"&amp;集計3!$A$1&amp;"'!$C$6:$CX$6"),1,Q251),"")</f>
        <v/>
      </c>
      <c r="T255" s="274"/>
      <c r="U255" s="271" t="str" cm="1">
        <f t="array" aca="1" ref="U255" ca="1">IFERROR(INDEX(INDIRECT("'"&amp;集計3!$A$1&amp;"'!$C$5:$CX$5"),1,U251),"")</f>
        <v/>
      </c>
      <c r="V255" s="272"/>
      <c r="W255" s="273" t="str" cm="1">
        <f t="array" aca="1" ref="W255" ca="1">IFERROR(INDEX(INDIRECT("'"&amp;集計3!$A$1&amp;"'!$C$6:$CX$6"),1,U251),"")</f>
        <v/>
      </c>
      <c r="X255" s="274"/>
      <c r="Y255" s="271" t="str" cm="1">
        <f t="array" aca="1" ref="Y255" ca="1">IFERROR(INDEX(INDIRECT("'"&amp;集計3!$A$1&amp;"'!$C$5:$CX$5"),1,Y251),"")</f>
        <v/>
      </c>
      <c r="Z255" s="272"/>
      <c r="AA255" s="273" t="str" cm="1">
        <f t="array" aca="1" ref="AA255" ca="1">IFERROR(INDEX(INDIRECT("'"&amp;集計3!$A$1&amp;"'!$C$6:$CX$6"),1,Y251),"")</f>
        <v/>
      </c>
      <c r="AB255" s="274"/>
      <c r="AC255" s="271" t="str" cm="1">
        <f t="array" aca="1" ref="AC255" ca="1">IFERROR(INDEX(INDIRECT("'"&amp;集計3!$A$1&amp;"'!$C$5:$CX$5"),1,AC251),"")</f>
        <v/>
      </c>
      <c r="AD255" s="272"/>
      <c r="AE255" s="273" t="str" cm="1">
        <f t="array" aca="1" ref="AE255" ca="1">IFERROR(INDEX(INDIRECT("'"&amp;集計3!$A$1&amp;"'!$C$6:$CX$6"),1,AC251),"")</f>
        <v/>
      </c>
      <c r="AF255" s="274"/>
      <c r="AG255" s="271" t="str" cm="1">
        <f t="array" aca="1" ref="AG255" ca="1">IFERROR(INDEX(INDIRECT("'"&amp;集計3!$A$1&amp;"'!$C$5:$CX$5"),1,AG251),"")</f>
        <v/>
      </c>
      <c r="AH255" s="272"/>
      <c r="AI255" s="273" t="str" cm="1">
        <f t="array" aca="1" ref="AI255" ca="1">IFERROR(INDEX(INDIRECT("'"&amp;集計3!$A$1&amp;"'!$C$6:$CX$6"),1,AG251),"")</f>
        <v/>
      </c>
      <c r="AJ255" s="274"/>
      <c r="AK255" s="271" t="str" cm="1">
        <f t="array" aca="1" ref="AK255" ca="1">IFERROR(INDEX(INDIRECT("'"&amp;集計3!$A$1&amp;"'!$C$5:$CX$5"),1,AK251),"")</f>
        <v/>
      </c>
      <c r="AL255" s="272"/>
      <c r="AM255" s="273" t="str" cm="1">
        <f t="array" aca="1" ref="AM255" ca="1">IFERROR(INDEX(INDIRECT("'"&amp;集計3!$A$1&amp;"'!$C$6:$CX$6"),1,AK251),"")</f>
        <v/>
      </c>
      <c r="AN255" s="274"/>
      <c r="AO255" s="271" t="str" cm="1">
        <f t="array" aca="1" ref="AO255" ca="1">IFERROR(INDEX(INDIRECT("'"&amp;集計3!$A$1&amp;"'!$C$5:$CX$5"),1,AO251),"")</f>
        <v/>
      </c>
      <c r="AP255" s="272"/>
      <c r="AQ255" s="273" t="str" cm="1">
        <f t="array" aca="1" ref="AQ255" ca="1">IFERROR(INDEX(INDIRECT("'"&amp;集計3!$A$1&amp;"'!$C$6:$CX$6"),1,AO251),"")</f>
        <v/>
      </c>
      <c r="AR255" s="274"/>
    </row>
    <row r="256" spans="1:44" ht="10.25" customHeight="1" x14ac:dyDescent="0.7">
      <c r="A256" s="256" t="s">
        <v>159</v>
      </c>
      <c r="B256" s="256"/>
      <c r="C256" s="256"/>
      <c r="D256" s="256"/>
      <c r="E256" s="16" t="str" cm="1">
        <f t="array" aca="1" ref="E256" ca="1">IFERROR(INDEX(INDIRECT("'"&amp;集計3!$A$1&amp;"'!$C$10:$CX$10"),1,E251),"")</f>
        <v/>
      </c>
      <c r="F256" s="257" t="str" cm="1">
        <f t="array" aca="1" ref="F256" ca="1">IFERROR(IF(INDEX(INDIRECT("'"&amp;集計3!$A$1&amp;"'!$C$7:$CX$7"),1,E251)=0,"",INDEX(INDIRECT("'"&amp;集計3!$A$1&amp;"'!$C$7:$CX$7"),1,E251)),"")</f>
        <v/>
      </c>
      <c r="G256" s="257"/>
      <c r="H256" s="258"/>
      <c r="I256" s="16" t="str" cm="1">
        <f t="array" aca="1" ref="I256" ca="1">IFERROR(INDEX(INDIRECT("'"&amp;集計3!$A$1&amp;"'!$C$10:$CX$10"),1,I251),"")</f>
        <v/>
      </c>
      <c r="J256" s="257" t="str" cm="1">
        <f t="array" aca="1" ref="J256" ca="1">IFERROR(IF(INDEX(INDIRECT("'"&amp;集計3!$A$1&amp;"'!$C$7:$CX$7"),1,I251)=0,"",INDEX(INDIRECT("'"&amp;集計3!$A$1&amp;"'!$C$7:$CX$7"),1,I251)),"")</f>
        <v/>
      </c>
      <c r="K256" s="257"/>
      <c r="L256" s="258"/>
      <c r="M256" s="16" t="str" cm="1">
        <f t="array" aca="1" ref="M256" ca="1">IFERROR(INDEX(INDIRECT("'"&amp;集計3!$A$1&amp;"'!$C$10:$CX$10"),1,M251),"")</f>
        <v/>
      </c>
      <c r="N256" s="257" t="str" cm="1">
        <f t="array" aca="1" ref="N256" ca="1">IFERROR(IF(INDEX(INDIRECT("'"&amp;集計3!$A$1&amp;"'!$C$7:$CX$7"),1,M251)=0,"",INDEX(INDIRECT("'"&amp;集計3!$A$1&amp;"'!$C$7:$CX$7"),1,M251)),"")</f>
        <v/>
      </c>
      <c r="O256" s="257"/>
      <c r="P256" s="258"/>
      <c r="Q256" s="16" t="str" cm="1">
        <f t="array" aca="1" ref="Q256" ca="1">IFERROR(INDEX(INDIRECT("'"&amp;集計3!$A$1&amp;"'!$C$10:$CX$10"),1,Q251),"")</f>
        <v/>
      </c>
      <c r="R256" s="257" t="str" cm="1">
        <f t="array" aca="1" ref="R256" ca="1">IFERROR(IF(INDEX(INDIRECT("'"&amp;集計3!$A$1&amp;"'!$C$7:$CX$7"),1,Q251)=0,"",INDEX(INDIRECT("'"&amp;集計3!$A$1&amp;"'!$C$7:$CX$7"),1,Q251)),"")</f>
        <v/>
      </c>
      <c r="S256" s="257"/>
      <c r="T256" s="258"/>
      <c r="U256" s="16" t="str" cm="1">
        <f t="array" aca="1" ref="U256" ca="1">IFERROR(INDEX(INDIRECT("'"&amp;集計3!$A$1&amp;"'!$C$10:$CX$10"),1,U251),"")</f>
        <v/>
      </c>
      <c r="V256" s="257" t="str" cm="1">
        <f t="array" aca="1" ref="V256" ca="1">IFERROR(IF(INDEX(INDIRECT("'"&amp;集計3!$A$1&amp;"'!$C$7:$CX$7"),1,U251)=0,"",INDEX(INDIRECT("'"&amp;集計3!$A$1&amp;"'!$C$7:$CX$7"),1,U251)),"")</f>
        <v/>
      </c>
      <c r="W256" s="257"/>
      <c r="X256" s="258"/>
      <c r="Y256" s="16" t="str" cm="1">
        <f t="array" aca="1" ref="Y256" ca="1">IFERROR(INDEX(INDIRECT("'"&amp;集計3!$A$1&amp;"'!$C$10:$CX$10"),1,Y251),"")</f>
        <v/>
      </c>
      <c r="Z256" s="257" t="str" cm="1">
        <f t="array" aca="1" ref="Z256" ca="1">IFERROR(IF(INDEX(INDIRECT("'"&amp;集計3!$A$1&amp;"'!$C$7:$CX$7"),1,Y251)=0,"",INDEX(INDIRECT("'"&amp;集計3!$A$1&amp;"'!$C$7:$CX$7"),1,Y251)),"")</f>
        <v/>
      </c>
      <c r="AA256" s="257"/>
      <c r="AB256" s="258"/>
      <c r="AC256" s="16" t="str" cm="1">
        <f t="array" aca="1" ref="AC256" ca="1">IFERROR(INDEX(INDIRECT("'"&amp;集計3!$A$1&amp;"'!$C$10:$CX$10"),1,AC251),"")</f>
        <v/>
      </c>
      <c r="AD256" s="257" t="str" cm="1">
        <f t="array" aca="1" ref="AD256" ca="1">IFERROR(IF(INDEX(INDIRECT("'"&amp;集計3!$A$1&amp;"'!$C$7:$CX$7"),1,AC251)=0,"",INDEX(INDIRECT("'"&amp;集計3!$A$1&amp;"'!$C$7:$CX$7"),1,AC251)),"")</f>
        <v/>
      </c>
      <c r="AE256" s="257"/>
      <c r="AF256" s="258"/>
      <c r="AG256" s="16" t="str" cm="1">
        <f t="array" aca="1" ref="AG256" ca="1">IFERROR(INDEX(INDIRECT("'"&amp;集計3!$A$1&amp;"'!$C$10:$CX$10"),1,AG251),"")</f>
        <v/>
      </c>
      <c r="AH256" s="257" t="str" cm="1">
        <f t="array" aca="1" ref="AH256" ca="1">IFERROR(IF(INDEX(INDIRECT("'"&amp;集計3!$A$1&amp;"'!$C$7:$CX$7"),1,AG251)=0,"",INDEX(INDIRECT("'"&amp;集計3!$A$1&amp;"'!$C$7:$CX$7"),1,AG251)),"")</f>
        <v/>
      </c>
      <c r="AI256" s="257"/>
      <c r="AJ256" s="258"/>
      <c r="AK256" s="16" t="str" cm="1">
        <f t="array" aca="1" ref="AK256" ca="1">IFERROR(INDEX(INDIRECT("'"&amp;集計3!$A$1&amp;"'!$C$10:$CX$10"),1,AK251),"")</f>
        <v/>
      </c>
      <c r="AL256" s="257" t="str" cm="1">
        <f t="array" aca="1" ref="AL256" ca="1">IFERROR(IF(INDEX(INDIRECT("'"&amp;集計3!$A$1&amp;"'!$C$7:$CX$7"),1,AK251)=0,"",INDEX(INDIRECT("'"&amp;集計3!$A$1&amp;"'!$C$7:$CX$7"),1,AK251)),"")</f>
        <v/>
      </c>
      <c r="AM256" s="257"/>
      <c r="AN256" s="258"/>
      <c r="AO256" s="16" t="str" cm="1">
        <f t="array" aca="1" ref="AO256" ca="1">IFERROR(INDEX(INDIRECT("'"&amp;集計3!$A$1&amp;"'!$C$10:$CX$10"),1,AO251),"")</f>
        <v/>
      </c>
      <c r="AP256" s="257" t="str" cm="1">
        <f t="array" aca="1" ref="AP256" ca="1">IFERROR(IF(INDEX(INDIRECT("'"&amp;集計3!$A$1&amp;"'!$C$7:$CX$7"),1,AO251)=0,"",INDEX(INDIRECT("'"&amp;集計3!$A$1&amp;"'!$C$7:$CX$7"),1,AO251)),"")</f>
        <v/>
      </c>
      <c r="AQ256" s="257"/>
      <c r="AR256" s="258"/>
    </row>
    <row r="257" spans="1:44" ht="10.25" customHeight="1" x14ac:dyDescent="0.7">
      <c r="A257" s="259" t="s">
        <v>160</v>
      </c>
      <c r="B257" s="259"/>
      <c r="C257" s="259"/>
      <c r="D257" s="259"/>
      <c r="E257" s="17" t="str" cm="1">
        <f t="array" aca="1" ref="E257" ca="1">IFERROR(INDEX(INDIRECT("'"&amp;集計3!$A$1&amp;"'!$C$11:$CX$11"),1,E251),"")</f>
        <v/>
      </c>
      <c r="F257" s="260" t="str" cm="1">
        <f t="array" aca="1" ref="F257" ca="1">IFERROR(IF(INDEX(INDIRECT("'"&amp;集計3!$A$1&amp;"'!$C$8:$CX$8"),1,E251)=0,"",INDEX(INDIRECT("'"&amp;集計3!$A$1&amp;"'!$C$8:$CX$8"),1,E251)),"")</f>
        <v/>
      </c>
      <c r="G257" s="260"/>
      <c r="H257" s="261"/>
      <c r="I257" s="17" t="str" cm="1">
        <f t="array" aca="1" ref="I257" ca="1">IFERROR(INDEX(INDIRECT("'"&amp;集計3!$A$1&amp;"'!$C$11:$CX$11"),1,I251),"")</f>
        <v/>
      </c>
      <c r="J257" s="260" t="str" cm="1">
        <f t="array" aca="1" ref="J257" ca="1">IFERROR(IF(INDEX(INDIRECT("'"&amp;集計3!$A$1&amp;"'!$C$8:$CX$8"),1,I251)=0,"",INDEX(INDIRECT("'"&amp;集計3!$A$1&amp;"'!$C$8:$CX$8"),1,I251)),"")</f>
        <v/>
      </c>
      <c r="K257" s="260"/>
      <c r="L257" s="261"/>
      <c r="M257" s="17" t="str" cm="1">
        <f t="array" aca="1" ref="M257" ca="1">IFERROR(INDEX(INDIRECT("'"&amp;集計3!$A$1&amp;"'!$C$11:$CX$11"),1,M251),"")</f>
        <v/>
      </c>
      <c r="N257" s="260" t="str" cm="1">
        <f t="array" aca="1" ref="N257" ca="1">IFERROR(IF(INDEX(INDIRECT("'"&amp;集計3!$A$1&amp;"'!$C$8:$CX$8"),1,M251)=0,"",INDEX(INDIRECT("'"&amp;集計3!$A$1&amp;"'!$C$8:$CX$8"),1,M251)),"")</f>
        <v/>
      </c>
      <c r="O257" s="260"/>
      <c r="P257" s="261"/>
      <c r="Q257" s="17" t="str" cm="1">
        <f t="array" aca="1" ref="Q257" ca="1">IFERROR(INDEX(INDIRECT("'"&amp;集計3!$A$1&amp;"'!$C$11:$CX$11"),1,Q251),"")</f>
        <v/>
      </c>
      <c r="R257" s="260" t="str" cm="1">
        <f t="array" aca="1" ref="R257" ca="1">IFERROR(IF(INDEX(INDIRECT("'"&amp;集計3!$A$1&amp;"'!$C$8:$CX$8"),1,Q251)=0,"",INDEX(INDIRECT("'"&amp;集計3!$A$1&amp;"'!$C$8:$CX$8"),1,Q251)),"")</f>
        <v/>
      </c>
      <c r="S257" s="260"/>
      <c r="T257" s="261"/>
      <c r="U257" s="17" t="str" cm="1">
        <f t="array" aca="1" ref="U257" ca="1">IFERROR(INDEX(INDIRECT("'"&amp;集計3!$A$1&amp;"'!$C$11:$CX$11"),1,U251),"")</f>
        <v/>
      </c>
      <c r="V257" s="260" t="str" cm="1">
        <f t="array" aca="1" ref="V257" ca="1">IFERROR(IF(INDEX(INDIRECT("'"&amp;集計3!$A$1&amp;"'!$C$8:$CX$8"),1,U251)=0,"",INDEX(INDIRECT("'"&amp;集計3!$A$1&amp;"'!$C$8:$CX$8"),1,U251)),"")</f>
        <v/>
      </c>
      <c r="W257" s="260"/>
      <c r="X257" s="261"/>
      <c r="Y257" s="17" t="str" cm="1">
        <f t="array" aca="1" ref="Y257" ca="1">IFERROR(INDEX(INDIRECT("'"&amp;集計3!$A$1&amp;"'!$C$11:$CX$11"),1,Y251),"")</f>
        <v/>
      </c>
      <c r="Z257" s="260" t="str" cm="1">
        <f t="array" aca="1" ref="Z257" ca="1">IFERROR(IF(INDEX(INDIRECT("'"&amp;集計3!$A$1&amp;"'!$C$8:$CX$8"),1,Y251)=0,"",INDEX(INDIRECT("'"&amp;集計3!$A$1&amp;"'!$C$8:$CX$8"),1,Y251)),"")</f>
        <v/>
      </c>
      <c r="AA257" s="260"/>
      <c r="AB257" s="261"/>
      <c r="AC257" s="17" t="str" cm="1">
        <f t="array" aca="1" ref="AC257" ca="1">IFERROR(INDEX(INDIRECT("'"&amp;集計3!$A$1&amp;"'!$C$11:$CX$11"),1,AC251),"")</f>
        <v/>
      </c>
      <c r="AD257" s="260" t="str" cm="1">
        <f t="array" aca="1" ref="AD257" ca="1">IFERROR(IF(INDEX(INDIRECT("'"&amp;集計3!$A$1&amp;"'!$C$8:$CX$8"),1,AC251)=0,"",INDEX(INDIRECT("'"&amp;集計3!$A$1&amp;"'!$C$8:$CX$8"),1,AC251)),"")</f>
        <v/>
      </c>
      <c r="AE257" s="260"/>
      <c r="AF257" s="261"/>
      <c r="AG257" s="17" t="str" cm="1">
        <f t="array" aca="1" ref="AG257" ca="1">IFERROR(INDEX(INDIRECT("'"&amp;集計3!$A$1&amp;"'!$C$11:$CX$11"),1,AG251),"")</f>
        <v/>
      </c>
      <c r="AH257" s="260" t="str" cm="1">
        <f t="array" aca="1" ref="AH257" ca="1">IFERROR(IF(INDEX(INDIRECT("'"&amp;集計3!$A$1&amp;"'!$C$8:$CX$8"),1,AG251)=0,"",INDEX(INDIRECT("'"&amp;集計3!$A$1&amp;"'!$C$8:$CX$8"),1,AG251)),"")</f>
        <v/>
      </c>
      <c r="AI257" s="260"/>
      <c r="AJ257" s="261"/>
      <c r="AK257" s="17" t="str" cm="1">
        <f t="array" aca="1" ref="AK257" ca="1">IFERROR(INDEX(INDIRECT("'"&amp;集計3!$A$1&amp;"'!$C$11:$CX$11"),1,AK251),"")</f>
        <v/>
      </c>
      <c r="AL257" s="260" t="str" cm="1">
        <f t="array" aca="1" ref="AL257" ca="1">IFERROR(IF(INDEX(INDIRECT("'"&amp;集計3!$A$1&amp;"'!$C$8:$CX$8"),1,AK251)=0,"",INDEX(INDIRECT("'"&amp;集計3!$A$1&amp;"'!$C$8:$CX$8"),1,AK251)),"")</f>
        <v/>
      </c>
      <c r="AM257" s="260"/>
      <c r="AN257" s="261"/>
      <c r="AO257" s="17" t="str" cm="1">
        <f t="array" aca="1" ref="AO257" ca="1">IFERROR(INDEX(INDIRECT("'"&amp;集計3!$A$1&amp;"'!$C$11:$CX$11"),1,AO251),"")</f>
        <v/>
      </c>
      <c r="AP257" s="260" t="str" cm="1">
        <f t="array" aca="1" ref="AP257" ca="1">IFERROR(IF(INDEX(INDIRECT("'"&amp;集計3!$A$1&amp;"'!$C$8:$CX$8"),1,AO251)=0,"",INDEX(INDIRECT("'"&amp;集計3!$A$1&amp;"'!$C$8:$CX$8"),1,AO251)),"")</f>
        <v/>
      </c>
      <c r="AQ257" s="260"/>
      <c r="AR257" s="261"/>
    </row>
    <row r="258" spans="1:44" ht="8" customHeight="1" x14ac:dyDescent="0.7">
      <c r="A258" s="217" t="s">
        <v>161</v>
      </c>
      <c r="B258" s="217"/>
      <c r="C258" s="217"/>
      <c r="D258" s="217"/>
      <c r="E258" s="244" t="str" cm="1">
        <f t="array" aca="1" ref="E258" ca="1">IFERROR(INDEX(INDIRECT("'"&amp;集計3!$A$1&amp;"'!$C$3:$CX$3"),1,E251),"")</f>
        <v/>
      </c>
      <c r="F258" s="245"/>
      <c r="G258" s="245"/>
      <c r="H258" s="246"/>
      <c r="I258" s="244" t="str" cm="1">
        <f t="array" aca="1" ref="I258" ca="1">IFERROR(INDEX(INDIRECT("'"&amp;集計3!$A$1&amp;"'!$C$3:$CX$3"),1,I251),"")</f>
        <v/>
      </c>
      <c r="J258" s="245"/>
      <c r="K258" s="245"/>
      <c r="L258" s="246"/>
      <c r="M258" s="244" t="str" cm="1">
        <f t="array" aca="1" ref="M258" ca="1">IFERROR(INDEX(INDIRECT("'"&amp;集計3!$A$1&amp;"'!$C$3:$CX$3"),1,M251),"")</f>
        <v/>
      </c>
      <c r="N258" s="245"/>
      <c r="O258" s="245"/>
      <c r="P258" s="246"/>
      <c r="Q258" s="244" t="str" cm="1">
        <f t="array" aca="1" ref="Q258" ca="1">IFERROR(INDEX(INDIRECT("'"&amp;集計3!$A$1&amp;"'!$C$3:$CX$3"),1,Q251),"")</f>
        <v/>
      </c>
      <c r="R258" s="245"/>
      <c r="S258" s="245"/>
      <c r="T258" s="246"/>
      <c r="U258" s="244" t="str" cm="1">
        <f t="array" aca="1" ref="U258" ca="1">IFERROR(INDEX(INDIRECT("'"&amp;集計3!$A$1&amp;"'!$C$3:$CX$3"),1,U251),"")</f>
        <v/>
      </c>
      <c r="V258" s="245"/>
      <c r="W258" s="245"/>
      <c r="X258" s="246"/>
      <c r="Y258" s="244" t="str" cm="1">
        <f t="array" aca="1" ref="Y258" ca="1">IFERROR(INDEX(INDIRECT("'"&amp;集計3!$A$1&amp;"'!$C$3:$CX$3"),1,Y251),"")</f>
        <v/>
      </c>
      <c r="Z258" s="245"/>
      <c r="AA258" s="245"/>
      <c r="AB258" s="246"/>
      <c r="AC258" s="244" t="str" cm="1">
        <f t="array" aca="1" ref="AC258" ca="1">IFERROR(INDEX(INDIRECT("'"&amp;集計3!$A$1&amp;"'!$C$3:$CX$3"),1,AC251),"")</f>
        <v/>
      </c>
      <c r="AD258" s="245"/>
      <c r="AE258" s="245"/>
      <c r="AF258" s="246"/>
      <c r="AG258" s="244" t="str" cm="1">
        <f t="array" aca="1" ref="AG258" ca="1">IFERROR(INDEX(INDIRECT("'"&amp;集計3!$A$1&amp;"'!$C$3:$CX$3"),1,AG251),"")</f>
        <v/>
      </c>
      <c r="AH258" s="245"/>
      <c r="AI258" s="245"/>
      <c r="AJ258" s="246"/>
      <c r="AK258" s="244" t="str" cm="1">
        <f t="array" aca="1" ref="AK258" ca="1">IFERROR(INDEX(INDIRECT("'"&amp;集計3!$A$1&amp;"'!$C$3:$CX$3"),1,AK251),"")</f>
        <v/>
      </c>
      <c r="AL258" s="245"/>
      <c r="AM258" s="245"/>
      <c r="AN258" s="246"/>
      <c r="AO258" s="244" t="str" cm="1">
        <f t="array" aca="1" ref="AO258" ca="1">IFERROR(INDEX(INDIRECT("'"&amp;集計3!$A$1&amp;"'!$C$3:$CX$3"),1,AO251),"")</f>
        <v/>
      </c>
      <c r="AP258" s="245"/>
      <c r="AQ258" s="245"/>
      <c r="AR258" s="246"/>
    </row>
    <row r="259" spans="1:44" ht="8" customHeight="1" x14ac:dyDescent="0.7">
      <c r="A259" s="217"/>
      <c r="B259" s="217"/>
      <c r="C259" s="217"/>
      <c r="D259" s="217"/>
      <c r="E259" s="247"/>
      <c r="F259" s="248"/>
      <c r="G259" s="248"/>
      <c r="H259" s="249"/>
      <c r="I259" s="247"/>
      <c r="J259" s="248"/>
      <c r="K259" s="248"/>
      <c r="L259" s="249"/>
      <c r="M259" s="247"/>
      <c r="N259" s="248"/>
      <c r="O259" s="248"/>
      <c r="P259" s="249"/>
      <c r="Q259" s="247"/>
      <c r="R259" s="248"/>
      <c r="S259" s="248"/>
      <c r="T259" s="249"/>
      <c r="U259" s="247"/>
      <c r="V259" s="248"/>
      <c r="W259" s="248"/>
      <c r="X259" s="249"/>
      <c r="Y259" s="247"/>
      <c r="Z259" s="248"/>
      <c r="AA259" s="248"/>
      <c r="AB259" s="249"/>
      <c r="AC259" s="247"/>
      <c r="AD259" s="248"/>
      <c r="AE259" s="248"/>
      <c r="AF259" s="249"/>
      <c r="AG259" s="247"/>
      <c r="AH259" s="248"/>
      <c r="AI259" s="248"/>
      <c r="AJ259" s="249"/>
      <c r="AK259" s="247"/>
      <c r="AL259" s="248"/>
      <c r="AM259" s="248"/>
      <c r="AN259" s="249"/>
      <c r="AO259" s="247"/>
      <c r="AP259" s="248"/>
      <c r="AQ259" s="248"/>
      <c r="AR259" s="249"/>
    </row>
    <row r="260" spans="1:44" ht="14.75" customHeight="1" x14ac:dyDescent="0.7">
      <c r="A260" s="250" t="s">
        <v>162</v>
      </c>
      <c r="B260" s="250"/>
      <c r="C260" s="251">
        <v>1</v>
      </c>
      <c r="D260" s="252"/>
      <c r="E260" s="253" t="str" cm="1">
        <f t="array" aca="1" ref="E260" ca="1">IF(INDEX(集計3!$C$16:$CX$25,$C260,INDIRECT(ADDRESS(ROW()-8-($C260),COLUMN())))="","",INDEX(集計3!$C$16:$CX$25,$C260,INDIRECT(ADDRESS(ROW()-8-($C260),COLUMN()))))</f>
        <v/>
      </c>
      <c r="F260" s="254"/>
      <c r="G260" s="254"/>
      <c r="H260" s="255"/>
      <c r="I260" s="253" t="str" cm="1">
        <f t="array" aca="1" ref="I260" ca="1">IF(INDEX(集計3!$C$16:$CX$25,$C260,INDIRECT(ADDRESS(ROW()-8-($C260),COLUMN())))="","",INDEX(集計3!$C$16:$CX$25,$C260,INDIRECT(ADDRESS(ROW()-8-($C260),COLUMN()))))</f>
        <v/>
      </c>
      <c r="J260" s="254"/>
      <c r="K260" s="254"/>
      <c r="L260" s="255"/>
      <c r="M260" s="253" t="str" cm="1">
        <f t="array" aca="1" ref="M260" ca="1">IF(INDEX(集計3!$C$16:$CX$25,$C260,INDIRECT(ADDRESS(ROW()-8-($C260),COLUMN())))="","",INDEX(集計3!$C$16:$CX$25,$C260,INDIRECT(ADDRESS(ROW()-8-($C260),COLUMN()))))</f>
        <v/>
      </c>
      <c r="N260" s="254"/>
      <c r="O260" s="254"/>
      <c r="P260" s="255"/>
      <c r="Q260" s="253" t="str" cm="1">
        <f t="array" aca="1" ref="Q260" ca="1">IF(INDEX(集計3!$C$16:$CX$25,$C260,INDIRECT(ADDRESS(ROW()-8-($C260),COLUMN())))="","",INDEX(集計3!$C$16:$CX$25,$C260,INDIRECT(ADDRESS(ROW()-8-($C260),COLUMN()))))</f>
        <v/>
      </c>
      <c r="R260" s="254"/>
      <c r="S260" s="254"/>
      <c r="T260" s="255"/>
      <c r="U260" s="253" t="str" cm="1">
        <f t="array" aca="1" ref="U260" ca="1">IF(INDEX(集計3!$C$16:$CX$25,$C260,INDIRECT(ADDRESS(ROW()-8-($C260),COLUMN())))="","",INDEX(集計3!$C$16:$CX$25,$C260,INDIRECT(ADDRESS(ROW()-8-($C260),COLUMN()))))</f>
        <v/>
      </c>
      <c r="V260" s="254"/>
      <c r="W260" s="254"/>
      <c r="X260" s="255"/>
      <c r="Y260" s="253" t="str" cm="1">
        <f t="array" aca="1" ref="Y260" ca="1">IF(INDEX(集計3!$C$16:$CX$25,$C260,INDIRECT(ADDRESS(ROW()-8-($C260),COLUMN())))="","",INDEX(集計3!$C$16:$CX$25,$C260,INDIRECT(ADDRESS(ROW()-8-($C260),COLUMN()))))</f>
        <v/>
      </c>
      <c r="Z260" s="254"/>
      <c r="AA260" s="254"/>
      <c r="AB260" s="255"/>
      <c r="AC260" s="253" t="str" cm="1">
        <f t="array" aca="1" ref="AC260" ca="1">IF(INDEX(集計3!$C$16:$CX$25,$C260,INDIRECT(ADDRESS(ROW()-8-($C260),COLUMN())))="","",INDEX(集計3!$C$16:$CX$25,$C260,INDIRECT(ADDRESS(ROW()-8-($C260),COLUMN()))))</f>
        <v/>
      </c>
      <c r="AD260" s="254"/>
      <c r="AE260" s="254"/>
      <c r="AF260" s="255"/>
      <c r="AG260" s="253" t="str" cm="1">
        <f t="array" aca="1" ref="AG260" ca="1">IF(INDEX(集計3!$C$16:$CX$25,$C260,INDIRECT(ADDRESS(ROW()-8-($C260),COLUMN())))="","",INDEX(集計3!$C$16:$CX$25,$C260,INDIRECT(ADDRESS(ROW()-8-($C260),COLUMN()))))</f>
        <v/>
      </c>
      <c r="AH260" s="254"/>
      <c r="AI260" s="254"/>
      <c r="AJ260" s="255"/>
      <c r="AK260" s="253" t="str" cm="1">
        <f t="array" aca="1" ref="AK260" ca="1">IF(INDEX(集計3!$C$16:$CX$25,$C260,INDIRECT(ADDRESS(ROW()-8-($C260),COLUMN())))="","",INDEX(集計3!$C$16:$CX$25,$C260,INDIRECT(ADDRESS(ROW()-8-($C260),COLUMN()))))</f>
        <v/>
      </c>
      <c r="AL260" s="254"/>
      <c r="AM260" s="254"/>
      <c r="AN260" s="255"/>
      <c r="AO260" s="253" t="str" cm="1">
        <f t="array" aca="1" ref="AO260" ca="1">IF(INDEX(集計3!$C$16:$CX$25,$C260,INDIRECT(ADDRESS(ROW()-8-($C260),COLUMN())))="","",INDEX(集計3!$C$16:$CX$25,$C260,INDIRECT(ADDRESS(ROW()-8-($C260),COLUMN()))))</f>
        <v/>
      </c>
      <c r="AP260" s="254"/>
      <c r="AQ260" s="254"/>
      <c r="AR260" s="255"/>
    </row>
    <row r="261" spans="1:44" ht="14.75" customHeight="1" x14ac:dyDescent="0.7">
      <c r="A261" s="250"/>
      <c r="B261" s="250"/>
      <c r="C261" s="231">
        <v>2</v>
      </c>
      <c r="D261" s="232"/>
      <c r="E261" s="241" t="str" cm="1">
        <f t="array" aca="1" ref="E261" ca="1">IF(INDEX(集計3!$C$16:$CX$25,$C261,INDIRECT(ADDRESS(ROW()-8-($C261),COLUMN())))="","",INDEX(集計3!$C$16:$CX$25,$C261,INDIRECT(ADDRESS(ROW()-8-($C261),COLUMN()))))</f>
        <v/>
      </c>
      <c r="F261" s="242"/>
      <c r="G261" s="242"/>
      <c r="H261" s="243"/>
      <c r="I261" s="241" t="str" cm="1">
        <f t="array" aca="1" ref="I261" ca="1">IF(INDEX(集計3!$C$16:$CX$25,$C261,INDIRECT(ADDRESS(ROW()-8-($C261),COLUMN())))="","",INDEX(集計3!$C$16:$CX$25,$C261,INDIRECT(ADDRESS(ROW()-8-($C261),COLUMN()))))</f>
        <v/>
      </c>
      <c r="J261" s="242"/>
      <c r="K261" s="242"/>
      <c r="L261" s="243"/>
      <c r="M261" s="241" t="str" cm="1">
        <f t="array" aca="1" ref="M261" ca="1">IF(INDEX(集計3!$C$16:$CX$25,$C261,INDIRECT(ADDRESS(ROW()-8-($C261),COLUMN())))="","",INDEX(集計3!$C$16:$CX$25,$C261,INDIRECT(ADDRESS(ROW()-8-($C261),COLUMN()))))</f>
        <v/>
      </c>
      <c r="N261" s="242"/>
      <c r="O261" s="242"/>
      <c r="P261" s="243"/>
      <c r="Q261" s="241" t="str" cm="1">
        <f t="array" aca="1" ref="Q261" ca="1">IF(INDEX(集計3!$C$16:$CX$25,$C261,INDIRECT(ADDRESS(ROW()-8-($C261),COLUMN())))="","",INDEX(集計3!$C$16:$CX$25,$C261,INDIRECT(ADDRESS(ROW()-8-($C261),COLUMN()))))</f>
        <v/>
      </c>
      <c r="R261" s="242"/>
      <c r="S261" s="242"/>
      <c r="T261" s="243"/>
      <c r="U261" s="241" t="str" cm="1">
        <f t="array" aca="1" ref="U261" ca="1">IF(INDEX(集計3!$C$16:$CX$25,$C261,INDIRECT(ADDRESS(ROW()-8-($C261),COLUMN())))="","",INDEX(集計3!$C$16:$CX$25,$C261,INDIRECT(ADDRESS(ROW()-8-($C261),COLUMN()))))</f>
        <v/>
      </c>
      <c r="V261" s="242"/>
      <c r="W261" s="242"/>
      <c r="X261" s="243"/>
      <c r="Y261" s="241" t="str" cm="1">
        <f t="array" aca="1" ref="Y261" ca="1">IF(INDEX(集計3!$C$16:$CX$25,$C261,INDIRECT(ADDRESS(ROW()-8-($C261),COLUMN())))="","",INDEX(集計3!$C$16:$CX$25,$C261,INDIRECT(ADDRESS(ROW()-8-($C261),COLUMN()))))</f>
        <v/>
      </c>
      <c r="Z261" s="242"/>
      <c r="AA261" s="242"/>
      <c r="AB261" s="243"/>
      <c r="AC261" s="241" t="str" cm="1">
        <f t="array" aca="1" ref="AC261" ca="1">IF(INDEX(集計3!$C$16:$CX$25,$C261,INDIRECT(ADDRESS(ROW()-8-($C261),COLUMN())))="","",INDEX(集計3!$C$16:$CX$25,$C261,INDIRECT(ADDRESS(ROW()-8-($C261),COLUMN()))))</f>
        <v/>
      </c>
      <c r="AD261" s="242"/>
      <c r="AE261" s="242"/>
      <c r="AF261" s="243"/>
      <c r="AG261" s="241" t="str" cm="1">
        <f t="array" aca="1" ref="AG261" ca="1">IF(INDEX(集計3!$C$16:$CX$25,$C261,INDIRECT(ADDRESS(ROW()-8-($C261),COLUMN())))="","",INDEX(集計3!$C$16:$CX$25,$C261,INDIRECT(ADDRESS(ROW()-8-($C261),COLUMN()))))</f>
        <v/>
      </c>
      <c r="AH261" s="242"/>
      <c r="AI261" s="242"/>
      <c r="AJ261" s="243"/>
      <c r="AK261" s="241" t="str" cm="1">
        <f t="array" aca="1" ref="AK261" ca="1">IF(INDEX(集計3!$C$16:$CX$25,$C261,INDIRECT(ADDRESS(ROW()-8-($C261),COLUMN())))="","",INDEX(集計3!$C$16:$CX$25,$C261,INDIRECT(ADDRESS(ROW()-8-($C261),COLUMN()))))</f>
        <v/>
      </c>
      <c r="AL261" s="242"/>
      <c r="AM261" s="242"/>
      <c r="AN261" s="243"/>
      <c r="AO261" s="241" t="str" cm="1">
        <f t="array" aca="1" ref="AO261" ca="1">IF(INDEX(集計3!$C$16:$CX$25,$C261,INDIRECT(ADDRESS(ROW()-8-($C261),COLUMN())))="","",INDEX(集計3!$C$16:$CX$25,$C261,INDIRECT(ADDRESS(ROW()-8-($C261),COLUMN()))))</f>
        <v/>
      </c>
      <c r="AP261" s="242"/>
      <c r="AQ261" s="242"/>
      <c r="AR261" s="243"/>
    </row>
    <row r="262" spans="1:44" ht="14.75" customHeight="1" x14ac:dyDescent="0.7">
      <c r="A262" s="250"/>
      <c r="B262" s="250"/>
      <c r="C262" s="231">
        <v>3</v>
      </c>
      <c r="D262" s="232"/>
      <c r="E262" s="241" t="str" cm="1">
        <f t="array" aca="1" ref="E262" ca="1">IF(INDEX(集計3!$C$16:$CX$25,$C262,INDIRECT(ADDRESS(ROW()-8-($C262),COLUMN())))="","",INDEX(集計3!$C$16:$CX$25,$C262,INDIRECT(ADDRESS(ROW()-8-($C262),COLUMN()))))</f>
        <v/>
      </c>
      <c r="F262" s="242"/>
      <c r="G262" s="242"/>
      <c r="H262" s="243"/>
      <c r="I262" s="241" t="str" cm="1">
        <f t="array" aca="1" ref="I262" ca="1">IF(INDEX(集計3!$C$16:$CX$25,$C262,INDIRECT(ADDRESS(ROW()-8-($C262),COLUMN())))="","",INDEX(集計3!$C$16:$CX$25,$C262,INDIRECT(ADDRESS(ROW()-8-($C262),COLUMN()))))</f>
        <v/>
      </c>
      <c r="J262" s="242"/>
      <c r="K262" s="242"/>
      <c r="L262" s="243"/>
      <c r="M262" s="241" t="str" cm="1">
        <f t="array" aca="1" ref="M262" ca="1">IF(INDEX(集計3!$C$16:$CX$25,$C262,INDIRECT(ADDRESS(ROW()-8-($C262),COLUMN())))="","",INDEX(集計3!$C$16:$CX$25,$C262,INDIRECT(ADDRESS(ROW()-8-($C262),COLUMN()))))</f>
        <v/>
      </c>
      <c r="N262" s="242"/>
      <c r="O262" s="242"/>
      <c r="P262" s="243"/>
      <c r="Q262" s="241" t="str" cm="1">
        <f t="array" aca="1" ref="Q262" ca="1">IF(INDEX(集計3!$C$16:$CX$25,$C262,INDIRECT(ADDRESS(ROW()-8-($C262),COLUMN())))="","",INDEX(集計3!$C$16:$CX$25,$C262,INDIRECT(ADDRESS(ROW()-8-($C262),COLUMN()))))</f>
        <v/>
      </c>
      <c r="R262" s="242"/>
      <c r="S262" s="242"/>
      <c r="T262" s="243"/>
      <c r="U262" s="241" t="str" cm="1">
        <f t="array" aca="1" ref="U262" ca="1">IF(INDEX(集計3!$C$16:$CX$25,$C262,INDIRECT(ADDRESS(ROW()-8-($C262),COLUMN())))="","",INDEX(集計3!$C$16:$CX$25,$C262,INDIRECT(ADDRESS(ROW()-8-($C262),COLUMN()))))</f>
        <v/>
      </c>
      <c r="V262" s="242"/>
      <c r="W262" s="242"/>
      <c r="X262" s="243"/>
      <c r="Y262" s="241" t="str" cm="1">
        <f t="array" aca="1" ref="Y262" ca="1">IF(INDEX(集計3!$C$16:$CX$25,$C262,INDIRECT(ADDRESS(ROW()-8-($C262),COLUMN())))="","",INDEX(集計3!$C$16:$CX$25,$C262,INDIRECT(ADDRESS(ROW()-8-($C262),COLUMN()))))</f>
        <v/>
      </c>
      <c r="Z262" s="242"/>
      <c r="AA262" s="242"/>
      <c r="AB262" s="243"/>
      <c r="AC262" s="241" t="str" cm="1">
        <f t="array" aca="1" ref="AC262" ca="1">IF(INDEX(集計3!$C$16:$CX$25,$C262,INDIRECT(ADDRESS(ROW()-8-($C262),COLUMN())))="","",INDEX(集計3!$C$16:$CX$25,$C262,INDIRECT(ADDRESS(ROW()-8-($C262),COLUMN()))))</f>
        <v/>
      </c>
      <c r="AD262" s="242"/>
      <c r="AE262" s="242"/>
      <c r="AF262" s="243"/>
      <c r="AG262" s="241" t="str" cm="1">
        <f t="array" aca="1" ref="AG262" ca="1">IF(INDEX(集計3!$C$16:$CX$25,$C262,INDIRECT(ADDRESS(ROW()-8-($C262),COLUMN())))="","",INDEX(集計3!$C$16:$CX$25,$C262,INDIRECT(ADDRESS(ROW()-8-($C262),COLUMN()))))</f>
        <v/>
      </c>
      <c r="AH262" s="242"/>
      <c r="AI262" s="242"/>
      <c r="AJ262" s="243"/>
      <c r="AK262" s="241" t="str" cm="1">
        <f t="array" aca="1" ref="AK262" ca="1">IF(INDEX(集計3!$C$16:$CX$25,$C262,INDIRECT(ADDRESS(ROW()-8-($C262),COLUMN())))="","",INDEX(集計3!$C$16:$CX$25,$C262,INDIRECT(ADDRESS(ROW()-8-($C262),COLUMN()))))</f>
        <v/>
      </c>
      <c r="AL262" s="242"/>
      <c r="AM262" s="242"/>
      <c r="AN262" s="243"/>
      <c r="AO262" s="241" t="str" cm="1">
        <f t="array" aca="1" ref="AO262" ca="1">IF(INDEX(集計3!$C$16:$CX$25,$C262,INDIRECT(ADDRESS(ROW()-8-($C262),COLUMN())))="","",INDEX(集計3!$C$16:$CX$25,$C262,INDIRECT(ADDRESS(ROW()-8-($C262),COLUMN()))))</f>
        <v/>
      </c>
      <c r="AP262" s="242"/>
      <c r="AQ262" s="242"/>
      <c r="AR262" s="243"/>
    </row>
    <row r="263" spans="1:44" ht="14.75" customHeight="1" x14ac:dyDescent="0.7">
      <c r="A263" s="250"/>
      <c r="B263" s="250"/>
      <c r="C263" s="231">
        <v>4</v>
      </c>
      <c r="D263" s="232"/>
      <c r="E263" s="241" t="str" cm="1">
        <f t="array" aca="1" ref="E263" ca="1">IF(INDEX(集計3!$C$16:$CX$25,$C263,INDIRECT(ADDRESS(ROW()-8-($C263),COLUMN())))="","",INDEX(集計3!$C$16:$CX$25,$C263,INDIRECT(ADDRESS(ROW()-8-($C263),COLUMN()))))</f>
        <v/>
      </c>
      <c r="F263" s="242"/>
      <c r="G263" s="242"/>
      <c r="H263" s="243"/>
      <c r="I263" s="241" t="str" cm="1">
        <f t="array" aca="1" ref="I263" ca="1">IF(INDEX(集計3!$C$16:$CX$25,$C263,INDIRECT(ADDRESS(ROW()-8-($C263),COLUMN())))="","",INDEX(集計3!$C$16:$CX$25,$C263,INDIRECT(ADDRESS(ROW()-8-($C263),COLUMN()))))</f>
        <v/>
      </c>
      <c r="J263" s="242"/>
      <c r="K263" s="242"/>
      <c r="L263" s="243"/>
      <c r="M263" s="241" t="str" cm="1">
        <f t="array" aca="1" ref="M263" ca="1">IF(INDEX(集計3!$C$16:$CX$25,$C263,INDIRECT(ADDRESS(ROW()-8-($C263),COLUMN())))="","",INDEX(集計3!$C$16:$CX$25,$C263,INDIRECT(ADDRESS(ROW()-8-($C263),COLUMN()))))</f>
        <v/>
      </c>
      <c r="N263" s="242"/>
      <c r="O263" s="242"/>
      <c r="P263" s="243"/>
      <c r="Q263" s="241" t="str" cm="1">
        <f t="array" aca="1" ref="Q263" ca="1">IF(INDEX(集計3!$C$16:$CX$25,$C263,INDIRECT(ADDRESS(ROW()-8-($C263),COLUMN())))="","",INDEX(集計3!$C$16:$CX$25,$C263,INDIRECT(ADDRESS(ROW()-8-($C263),COLUMN()))))</f>
        <v/>
      </c>
      <c r="R263" s="242"/>
      <c r="S263" s="242"/>
      <c r="T263" s="243"/>
      <c r="U263" s="241" t="str" cm="1">
        <f t="array" aca="1" ref="U263" ca="1">IF(INDEX(集計3!$C$16:$CX$25,$C263,INDIRECT(ADDRESS(ROW()-8-($C263),COLUMN())))="","",INDEX(集計3!$C$16:$CX$25,$C263,INDIRECT(ADDRESS(ROW()-8-($C263),COLUMN()))))</f>
        <v/>
      </c>
      <c r="V263" s="242"/>
      <c r="W263" s="242"/>
      <c r="X263" s="243"/>
      <c r="Y263" s="241" t="str" cm="1">
        <f t="array" aca="1" ref="Y263" ca="1">IF(INDEX(集計3!$C$16:$CX$25,$C263,INDIRECT(ADDRESS(ROW()-8-($C263),COLUMN())))="","",INDEX(集計3!$C$16:$CX$25,$C263,INDIRECT(ADDRESS(ROW()-8-($C263),COLUMN()))))</f>
        <v/>
      </c>
      <c r="Z263" s="242"/>
      <c r="AA263" s="242"/>
      <c r="AB263" s="243"/>
      <c r="AC263" s="241" t="str" cm="1">
        <f t="array" aca="1" ref="AC263" ca="1">IF(INDEX(集計3!$C$16:$CX$25,$C263,INDIRECT(ADDRESS(ROW()-8-($C263),COLUMN())))="","",INDEX(集計3!$C$16:$CX$25,$C263,INDIRECT(ADDRESS(ROW()-8-($C263),COLUMN()))))</f>
        <v/>
      </c>
      <c r="AD263" s="242"/>
      <c r="AE263" s="242"/>
      <c r="AF263" s="243"/>
      <c r="AG263" s="241" t="str" cm="1">
        <f t="array" aca="1" ref="AG263" ca="1">IF(INDEX(集計3!$C$16:$CX$25,$C263,INDIRECT(ADDRESS(ROW()-8-($C263),COLUMN())))="","",INDEX(集計3!$C$16:$CX$25,$C263,INDIRECT(ADDRESS(ROW()-8-($C263),COLUMN()))))</f>
        <v/>
      </c>
      <c r="AH263" s="242"/>
      <c r="AI263" s="242"/>
      <c r="AJ263" s="243"/>
      <c r="AK263" s="241" t="str" cm="1">
        <f t="array" aca="1" ref="AK263" ca="1">IF(INDEX(集計3!$C$16:$CX$25,$C263,INDIRECT(ADDRESS(ROW()-8-($C263),COLUMN())))="","",INDEX(集計3!$C$16:$CX$25,$C263,INDIRECT(ADDRESS(ROW()-8-($C263),COLUMN()))))</f>
        <v/>
      </c>
      <c r="AL263" s="242"/>
      <c r="AM263" s="242"/>
      <c r="AN263" s="243"/>
      <c r="AO263" s="241" t="str" cm="1">
        <f t="array" aca="1" ref="AO263" ca="1">IF(INDEX(集計3!$C$16:$CX$25,$C263,INDIRECT(ADDRESS(ROW()-8-($C263),COLUMN())))="","",INDEX(集計3!$C$16:$CX$25,$C263,INDIRECT(ADDRESS(ROW()-8-($C263),COLUMN()))))</f>
        <v/>
      </c>
      <c r="AP263" s="242"/>
      <c r="AQ263" s="242"/>
      <c r="AR263" s="243"/>
    </row>
    <row r="264" spans="1:44" ht="14.75" customHeight="1" x14ac:dyDescent="0.7">
      <c r="A264" s="250"/>
      <c r="B264" s="250"/>
      <c r="C264" s="231">
        <v>5</v>
      </c>
      <c r="D264" s="232"/>
      <c r="E264" s="241" t="str" cm="1">
        <f t="array" aca="1" ref="E264" ca="1">IF(INDEX(集計3!$C$16:$CX$25,$C264,INDIRECT(ADDRESS(ROW()-8-($C264),COLUMN())))="","",INDEX(集計3!$C$16:$CX$25,$C264,INDIRECT(ADDRESS(ROW()-8-($C264),COLUMN()))))</f>
        <v/>
      </c>
      <c r="F264" s="242"/>
      <c r="G264" s="242"/>
      <c r="H264" s="243"/>
      <c r="I264" s="241" t="str" cm="1">
        <f t="array" aca="1" ref="I264" ca="1">IF(INDEX(集計3!$C$16:$CX$25,$C264,INDIRECT(ADDRESS(ROW()-8-($C264),COLUMN())))="","",INDEX(集計3!$C$16:$CX$25,$C264,INDIRECT(ADDRESS(ROW()-8-($C264),COLUMN()))))</f>
        <v/>
      </c>
      <c r="J264" s="242"/>
      <c r="K264" s="242"/>
      <c r="L264" s="243"/>
      <c r="M264" s="241" t="str" cm="1">
        <f t="array" aca="1" ref="M264" ca="1">IF(INDEX(集計3!$C$16:$CX$25,$C264,INDIRECT(ADDRESS(ROW()-8-($C264),COLUMN())))="","",INDEX(集計3!$C$16:$CX$25,$C264,INDIRECT(ADDRESS(ROW()-8-($C264),COLUMN()))))</f>
        <v/>
      </c>
      <c r="N264" s="242"/>
      <c r="O264" s="242"/>
      <c r="P264" s="243"/>
      <c r="Q264" s="241" t="str" cm="1">
        <f t="array" aca="1" ref="Q264" ca="1">IF(INDEX(集計3!$C$16:$CX$25,$C264,INDIRECT(ADDRESS(ROW()-8-($C264),COLUMN())))="","",INDEX(集計3!$C$16:$CX$25,$C264,INDIRECT(ADDRESS(ROW()-8-($C264),COLUMN()))))</f>
        <v/>
      </c>
      <c r="R264" s="242"/>
      <c r="S264" s="242"/>
      <c r="T264" s="243"/>
      <c r="U264" s="241" t="str" cm="1">
        <f t="array" aca="1" ref="U264" ca="1">IF(INDEX(集計3!$C$16:$CX$25,$C264,INDIRECT(ADDRESS(ROW()-8-($C264),COLUMN())))="","",INDEX(集計3!$C$16:$CX$25,$C264,INDIRECT(ADDRESS(ROW()-8-($C264),COLUMN()))))</f>
        <v/>
      </c>
      <c r="V264" s="242"/>
      <c r="W264" s="242"/>
      <c r="X264" s="243"/>
      <c r="Y264" s="241" t="str" cm="1">
        <f t="array" aca="1" ref="Y264" ca="1">IF(INDEX(集計3!$C$16:$CX$25,$C264,INDIRECT(ADDRESS(ROW()-8-($C264),COLUMN())))="","",INDEX(集計3!$C$16:$CX$25,$C264,INDIRECT(ADDRESS(ROW()-8-($C264),COLUMN()))))</f>
        <v/>
      </c>
      <c r="Z264" s="242"/>
      <c r="AA264" s="242"/>
      <c r="AB264" s="243"/>
      <c r="AC264" s="241" t="str" cm="1">
        <f t="array" aca="1" ref="AC264" ca="1">IF(INDEX(集計3!$C$16:$CX$25,$C264,INDIRECT(ADDRESS(ROW()-8-($C264),COLUMN())))="","",INDEX(集計3!$C$16:$CX$25,$C264,INDIRECT(ADDRESS(ROW()-8-($C264),COLUMN()))))</f>
        <v/>
      </c>
      <c r="AD264" s="242"/>
      <c r="AE264" s="242"/>
      <c r="AF264" s="243"/>
      <c r="AG264" s="241" t="str" cm="1">
        <f t="array" aca="1" ref="AG264" ca="1">IF(INDEX(集計3!$C$16:$CX$25,$C264,INDIRECT(ADDRESS(ROW()-8-($C264),COLUMN())))="","",INDEX(集計3!$C$16:$CX$25,$C264,INDIRECT(ADDRESS(ROW()-8-($C264),COLUMN()))))</f>
        <v/>
      </c>
      <c r="AH264" s="242"/>
      <c r="AI264" s="242"/>
      <c r="AJ264" s="243"/>
      <c r="AK264" s="241" t="str" cm="1">
        <f t="array" aca="1" ref="AK264" ca="1">IF(INDEX(集計3!$C$16:$CX$25,$C264,INDIRECT(ADDRESS(ROW()-8-($C264),COLUMN())))="","",INDEX(集計3!$C$16:$CX$25,$C264,INDIRECT(ADDRESS(ROW()-8-($C264),COLUMN()))))</f>
        <v/>
      </c>
      <c r="AL264" s="242"/>
      <c r="AM264" s="242"/>
      <c r="AN264" s="243"/>
      <c r="AO264" s="241" t="str" cm="1">
        <f t="array" aca="1" ref="AO264" ca="1">IF(INDEX(集計3!$C$16:$CX$25,$C264,INDIRECT(ADDRESS(ROW()-8-($C264),COLUMN())))="","",INDEX(集計3!$C$16:$CX$25,$C264,INDIRECT(ADDRESS(ROW()-8-($C264),COLUMN()))))</f>
        <v/>
      </c>
      <c r="AP264" s="242"/>
      <c r="AQ264" s="242"/>
      <c r="AR264" s="243"/>
    </row>
    <row r="265" spans="1:44" ht="14.75" customHeight="1" x14ac:dyDescent="0.7">
      <c r="A265" s="250"/>
      <c r="B265" s="250"/>
      <c r="C265" s="231">
        <v>6</v>
      </c>
      <c r="D265" s="232"/>
      <c r="E265" s="233" t="str" cm="1">
        <f t="array" aca="1" ref="E265" ca="1">IF(INDEX(集計3!$C$16:$CX$25,$C265,INDIRECT(ADDRESS(ROW()-8-($C265),COLUMN())))="","",INDEX(集計3!$C$16:$CX$25,$C265,INDIRECT(ADDRESS(ROW()-8-($C265),COLUMN()))))</f>
        <v/>
      </c>
      <c r="F265" s="234"/>
      <c r="G265" s="234"/>
      <c r="H265" s="235"/>
      <c r="I265" s="233" t="str" cm="1">
        <f t="array" aca="1" ref="I265" ca="1">IF(INDEX(集計3!$C$16:$CX$25,$C265,INDIRECT(ADDRESS(ROW()-8-($C265),COLUMN())))="","",INDEX(集計3!$C$16:$CX$25,$C265,INDIRECT(ADDRESS(ROW()-8-($C265),COLUMN()))))</f>
        <v/>
      </c>
      <c r="J265" s="234"/>
      <c r="K265" s="234"/>
      <c r="L265" s="235"/>
      <c r="M265" s="233" t="str" cm="1">
        <f t="array" aca="1" ref="M265" ca="1">IF(INDEX(集計3!$C$16:$CX$25,$C265,INDIRECT(ADDRESS(ROW()-8-($C265),COLUMN())))="","",INDEX(集計3!$C$16:$CX$25,$C265,INDIRECT(ADDRESS(ROW()-8-($C265),COLUMN()))))</f>
        <v/>
      </c>
      <c r="N265" s="234"/>
      <c r="O265" s="234"/>
      <c r="P265" s="235"/>
      <c r="Q265" s="233" t="str" cm="1">
        <f t="array" aca="1" ref="Q265" ca="1">IF(INDEX(集計3!$C$16:$CX$25,$C265,INDIRECT(ADDRESS(ROW()-8-($C265),COLUMN())))="","",INDEX(集計3!$C$16:$CX$25,$C265,INDIRECT(ADDRESS(ROW()-8-($C265),COLUMN()))))</f>
        <v/>
      </c>
      <c r="R265" s="234"/>
      <c r="S265" s="234"/>
      <c r="T265" s="235"/>
      <c r="U265" s="233" t="str" cm="1">
        <f t="array" aca="1" ref="U265" ca="1">IF(INDEX(集計3!$C$16:$CX$25,$C265,INDIRECT(ADDRESS(ROW()-8-($C265),COLUMN())))="","",INDEX(集計3!$C$16:$CX$25,$C265,INDIRECT(ADDRESS(ROW()-8-($C265),COLUMN()))))</f>
        <v/>
      </c>
      <c r="V265" s="234"/>
      <c r="W265" s="234"/>
      <c r="X265" s="235"/>
      <c r="Y265" s="233" t="str" cm="1">
        <f t="array" aca="1" ref="Y265" ca="1">IF(INDEX(集計3!$C$16:$CX$25,$C265,INDIRECT(ADDRESS(ROW()-8-($C265),COLUMN())))="","",INDEX(集計3!$C$16:$CX$25,$C265,INDIRECT(ADDRESS(ROW()-8-($C265),COLUMN()))))</f>
        <v/>
      </c>
      <c r="Z265" s="234"/>
      <c r="AA265" s="234"/>
      <c r="AB265" s="235"/>
      <c r="AC265" s="233" t="str" cm="1">
        <f t="array" aca="1" ref="AC265" ca="1">IF(INDEX(集計3!$C$16:$CX$25,$C265,INDIRECT(ADDRESS(ROW()-8-($C265),COLUMN())))="","",INDEX(集計3!$C$16:$CX$25,$C265,INDIRECT(ADDRESS(ROW()-8-($C265),COLUMN()))))</f>
        <v/>
      </c>
      <c r="AD265" s="234"/>
      <c r="AE265" s="234"/>
      <c r="AF265" s="235"/>
      <c r="AG265" s="233" t="str" cm="1">
        <f t="array" aca="1" ref="AG265" ca="1">IF(INDEX(集計3!$C$16:$CX$25,$C265,INDIRECT(ADDRESS(ROW()-8-($C265),COLUMN())))="","",INDEX(集計3!$C$16:$CX$25,$C265,INDIRECT(ADDRESS(ROW()-8-($C265),COLUMN()))))</f>
        <v/>
      </c>
      <c r="AH265" s="234"/>
      <c r="AI265" s="234"/>
      <c r="AJ265" s="235"/>
      <c r="AK265" s="233" t="str" cm="1">
        <f t="array" aca="1" ref="AK265" ca="1">IF(INDEX(集計3!$C$16:$CX$25,$C265,INDIRECT(ADDRESS(ROW()-8-($C265),COLUMN())))="","",INDEX(集計3!$C$16:$CX$25,$C265,INDIRECT(ADDRESS(ROW()-8-($C265),COLUMN()))))</f>
        <v/>
      </c>
      <c r="AL265" s="234"/>
      <c r="AM265" s="234"/>
      <c r="AN265" s="235"/>
      <c r="AO265" s="233" t="str" cm="1">
        <f t="array" aca="1" ref="AO265" ca="1">IF(INDEX(集計3!$C$16:$CX$25,$C265,INDIRECT(ADDRESS(ROW()-8-($C265),COLUMN())))="","",INDEX(集計3!$C$16:$CX$25,$C265,INDIRECT(ADDRESS(ROW()-8-($C265),COLUMN()))))</f>
        <v/>
      </c>
      <c r="AP265" s="234"/>
      <c r="AQ265" s="234"/>
      <c r="AR265" s="235"/>
    </row>
    <row r="266" spans="1:44" ht="14.75" customHeight="1" x14ac:dyDescent="0.7">
      <c r="A266" s="250"/>
      <c r="B266" s="250"/>
      <c r="C266" s="231">
        <v>7</v>
      </c>
      <c r="D266" s="232"/>
      <c r="E266" s="233" t="str" cm="1">
        <f t="array" aca="1" ref="E266" ca="1">IF(INDEX(集計3!$C$16:$CX$25,$C266,INDIRECT(ADDRESS(ROW()-8-($C266),COLUMN())))="","",INDEX(集計3!$C$16:$CX$25,$C266,INDIRECT(ADDRESS(ROW()-8-($C266),COLUMN()))))</f>
        <v/>
      </c>
      <c r="F266" s="234"/>
      <c r="G266" s="234"/>
      <c r="H266" s="235"/>
      <c r="I266" s="233" t="str" cm="1">
        <f t="array" aca="1" ref="I266" ca="1">IF(INDEX(集計3!$C$16:$CX$25,$C266,INDIRECT(ADDRESS(ROW()-8-($C266),COLUMN())))="","",INDEX(集計3!$C$16:$CX$25,$C266,INDIRECT(ADDRESS(ROW()-8-($C266),COLUMN()))))</f>
        <v/>
      </c>
      <c r="J266" s="234"/>
      <c r="K266" s="234"/>
      <c r="L266" s="235"/>
      <c r="M266" s="233" t="str" cm="1">
        <f t="array" aca="1" ref="M266" ca="1">IF(INDEX(集計3!$C$16:$CX$25,$C266,INDIRECT(ADDRESS(ROW()-8-($C266),COLUMN())))="","",INDEX(集計3!$C$16:$CX$25,$C266,INDIRECT(ADDRESS(ROW()-8-($C266),COLUMN()))))</f>
        <v/>
      </c>
      <c r="N266" s="234"/>
      <c r="O266" s="234"/>
      <c r="P266" s="235"/>
      <c r="Q266" s="233" t="str" cm="1">
        <f t="array" aca="1" ref="Q266" ca="1">IF(INDEX(集計3!$C$16:$CX$25,$C266,INDIRECT(ADDRESS(ROW()-8-($C266),COLUMN())))="","",INDEX(集計3!$C$16:$CX$25,$C266,INDIRECT(ADDRESS(ROW()-8-($C266),COLUMN()))))</f>
        <v/>
      </c>
      <c r="R266" s="234"/>
      <c r="S266" s="234"/>
      <c r="T266" s="235"/>
      <c r="U266" s="233" t="str" cm="1">
        <f t="array" aca="1" ref="U266" ca="1">IF(INDEX(集計3!$C$16:$CX$25,$C266,INDIRECT(ADDRESS(ROW()-8-($C266),COLUMN())))="","",INDEX(集計3!$C$16:$CX$25,$C266,INDIRECT(ADDRESS(ROW()-8-($C266),COLUMN()))))</f>
        <v/>
      </c>
      <c r="V266" s="234"/>
      <c r="W266" s="234"/>
      <c r="X266" s="235"/>
      <c r="Y266" s="233" t="str" cm="1">
        <f t="array" aca="1" ref="Y266" ca="1">IF(INDEX(集計3!$C$16:$CX$25,$C266,INDIRECT(ADDRESS(ROW()-8-($C266),COLUMN())))="","",INDEX(集計3!$C$16:$CX$25,$C266,INDIRECT(ADDRESS(ROW()-8-($C266),COLUMN()))))</f>
        <v/>
      </c>
      <c r="Z266" s="234"/>
      <c r="AA266" s="234"/>
      <c r="AB266" s="235"/>
      <c r="AC266" s="233" t="str" cm="1">
        <f t="array" aca="1" ref="AC266" ca="1">IF(INDEX(集計3!$C$16:$CX$25,$C266,INDIRECT(ADDRESS(ROW()-8-($C266),COLUMN())))="","",INDEX(集計3!$C$16:$CX$25,$C266,INDIRECT(ADDRESS(ROW()-8-($C266),COLUMN()))))</f>
        <v/>
      </c>
      <c r="AD266" s="234"/>
      <c r="AE266" s="234"/>
      <c r="AF266" s="235"/>
      <c r="AG266" s="233" t="str" cm="1">
        <f t="array" aca="1" ref="AG266" ca="1">IF(INDEX(集計3!$C$16:$CX$25,$C266,INDIRECT(ADDRESS(ROW()-8-($C266),COLUMN())))="","",INDEX(集計3!$C$16:$CX$25,$C266,INDIRECT(ADDRESS(ROW()-8-($C266),COLUMN()))))</f>
        <v/>
      </c>
      <c r="AH266" s="234"/>
      <c r="AI266" s="234"/>
      <c r="AJ266" s="235"/>
      <c r="AK266" s="233" t="str" cm="1">
        <f t="array" aca="1" ref="AK266" ca="1">IF(INDEX(集計3!$C$16:$CX$25,$C266,INDIRECT(ADDRESS(ROW()-8-($C266),COLUMN())))="","",INDEX(集計3!$C$16:$CX$25,$C266,INDIRECT(ADDRESS(ROW()-8-($C266),COLUMN()))))</f>
        <v/>
      </c>
      <c r="AL266" s="234"/>
      <c r="AM266" s="234"/>
      <c r="AN266" s="235"/>
      <c r="AO266" s="233" t="str" cm="1">
        <f t="array" aca="1" ref="AO266" ca="1">IF(INDEX(集計3!$C$16:$CX$25,$C266,INDIRECT(ADDRESS(ROW()-8-($C266),COLUMN())))="","",INDEX(集計3!$C$16:$CX$25,$C266,INDIRECT(ADDRESS(ROW()-8-($C266),COLUMN()))))</f>
        <v/>
      </c>
      <c r="AP266" s="234"/>
      <c r="AQ266" s="234"/>
      <c r="AR266" s="235"/>
    </row>
    <row r="267" spans="1:44" ht="14.75" customHeight="1" x14ac:dyDescent="0.7">
      <c r="A267" s="250"/>
      <c r="B267" s="250"/>
      <c r="C267" s="231">
        <v>8</v>
      </c>
      <c r="D267" s="232"/>
      <c r="E267" s="233" t="str" cm="1">
        <f t="array" aca="1" ref="E267" ca="1">IF(INDEX(集計3!$C$16:$CX$25,$C267,INDIRECT(ADDRESS(ROW()-8-($C267),COLUMN())))="","",INDEX(集計3!$C$16:$CX$25,$C267,INDIRECT(ADDRESS(ROW()-8-($C267),COLUMN()))))</f>
        <v/>
      </c>
      <c r="F267" s="234"/>
      <c r="G267" s="234"/>
      <c r="H267" s="235"/>
      <c r="I267" s="233" t="str" cm="1">
        <f t="array" aca="1" ref="I267" ca="1">IF(INDEX(集計3!$C$16:$CX$25,$C267,INDIRECT(ADDRESS(ROW()-8-($C267),COLUMN())))="","",INDEX(集計3!$C$16:$CX$25,$C267,INDIRECT(ADDRESS(ROW()-8-($C267),COLUMN()))))</f>
        <v/>
      </c>
      <c r="J267" s="234"/>
      <c r="K267" s="234"/>
      <c r="L267" s="235"/>
      <c r="M267" s="233" t="str" cm="1">
        <f t="array" aca="1" ref="M267" ca="1">IF(INDEX(集計3!$C$16:$CX$25,$C267,INDIRECT(ADDRESS(ROW()-8-($C267),COLUMN())))="","",INDEX(集計3!$C$16:$CX$25,$C267,INDIRECT(ADDRESS(ROW()-8-($C267),COLUMN()))))</f>
        <v/>
      </c>
      <c r="N267" s="234"/>
      <c r="O267" s="234"/>
      <c r="P267" s="235"/>
      <c r="Q267" s="233" t="str" cm="1">
        <f t="array" aca="1" ref="Q267" ca="1">IF(INDEX(集計3!$C$16:$CX$25,$C267,INDIRECT(ADDRESS(ROW()-8-($C267),COLUMN())))="","",INDEX(集計3!$C$16:$CX$25,$C267,INDIRECT(ADDRESS(ROW()-8-($C267),COLUMN()))))</f>
        <v/>
      </c>
      <c r="R267" s="234"/>
      <c r="S267" s="234"/>
      <c r="T267" s="235"/>
      <c r="U267" s="233" t="str" cm="1">
        <f t="array" aca="1" ref="U267" ca="1">IF(INDEX(集計3!$C$16:$CX$25,$C267,INDIRECT(ADDRESS(ROW()-8-($C267),COLUMN())))="","",INDEX(集計3!$C$16:$CX$25,$C267,INDIRECT(ADDRESS(ROW()-8-($C267),COLUMN()))))</f>
        <v/>
      </c>
      <c r="V267" s="234"/>
      <c r="W267" s="234"/>
      <c r="X267" s="235"/>
      <c r="Y267" s="233" t="str" cm="1">
        <f t="array" aca="1" ref="Y267" ca="1">IF(INDEX(集計3!$C$16:$CX$25,$C267,INDIRECT(ADDRESS(ROW()-8-($C267),COLUMN())))="","",INDEX(集計3!$C$16:$CX$25,$C267,INDIRECT(ADDRESS(ROW()-8-($C267),COLUMN()))))</f>
        <v/>
      </c>
      <c r="Z267" s="234"/>
      <c r="AA267" s="234"/>
      <c r="AB267" s="235"/>
      <c r="AC267" s="233" t="str" cm="1">
        <f t="array" aca="1" ref="AC267" ca="1">IF(INDEX(集計3!$C$16:$CX$25,$C267,INDIRECT(ADDRESS(ROW()-8-($C267),COLUMN())))="","",INDEX(集計3!$C$16:$CX$25,$C267,INDIRECT(ADDRESS(ROW()-8-($C267),COLUMN()))))</f>
        <v/>
      </c>
      <c r="AD267" s="234"/>
      <c r="AE267" s="234"/>
      <c r="AF267" s="235"/>
      <c r="AG267" s="233" t="str" cm="1">
        <f t="array" aca="1" ref="AG267" ca="1">IF(INDEX(集計3!$C$16:$CX$25,$C267,INDIRECT(ADDRESS(ROW()-8-($C267),COLUMN())))="","",INDEX(集計3!$C$16:$CX$25,$C267,INDIRECT(ADDRESS(ROW()-8-($C267),COLUMN()))))</f>
        <v/>
      </c>
      <c r="AH267" s="234"/>
      <c r="AI267" s="234"/>
      <c r="AJ267" s="235"/>
      <c r="AK267" s="233" t="str" cm="1">
        <f t="array" aca="1" ref="AK267" ca="1">IF(INDEX(集計3!$C$16:$CX$25,$C267,INDIRECT(ADDRESS(ROW()-8-($C267),COLUMN())))="","",INDEX(集計3!$C$16:$CX$25,$C267,INDIRECT(ADDRESS(ROW()-8-($C267),COLUMN()))))</f>
        <v/>
      </c>
      <c r="AL267" s="234"/>
      <c r="AM267" s="234"/>
      <c r="AN267" s="235"/>
      <c r="AO267" s="233" t="str" cm="1">
        <f t="array" aca="1" ref="AO267" ca="1">IF(INDEX(集計3!$C$16:$CX$25,$C267,INDIRECT(ADDRESS(ROW()-8-($C267),COLUMN())))="","",INDEX(集計3!$C$16:$CX$25,$C267,INDIRECT(ADDRESS(ROW()-8-($C267),COLUMN()))))</f>
        <v/>
      </c>
      <c r="AP267" s="234"/>
      <c r="AQ267" s="234"/>
      <c r="AR267" s="235"/>
    </row>
    <row r="268" spans="1:44" ht="14.75" customHeight="1" x14ac:dyDescent="0.7">
      <c r="A268" s="250"/>
      <c r="B268" s="250"/>
      <c r="C268" s="231">
        <v>9</v>
      </c>
      <c r="D268" s="232"/>
      <c r="E268" s="233" t="str" cm="1">
        <f t="array" aca="1" ref="E268" ca="1">IF(INDEX(集計3!$C$16:$CX$25,$C268,INDIRECT(ADDRESS(ROW()-8-($C268),COLUMN())))="","",INDEX(集計3!$C$16:$CX$25,$C268,INDIRECT(ADDRESS(ROW()-8-($C268),COLUMN()))))</f>
        <v/>
      </c>
      <c r="F268" s="234"/>
      <c r="G268" s="234"/>
      <c r="H268" s="235"/>
      <c r="I268" s="233" t="str" cm="1">
        <f t="array" aca="1" ref="I268" ca="1">IF(INDEX(集計3!$C$16:$CX$25,$C268,INDIRECT(ADDRESS(ROW()-8-($C268),COLUMN())))="","",INDEX(集計3!$C$16:$CX$25,$C268,INDIRECT(ADDRESS(ROW()-8-($C268),COLUMN()))))</f>
        <v/>
      </c>
      <c r="J268" s="234"/>
      <c r="K268" s="234"/>
      <c r="L268" s="235"/>
      <c r="M268" s="233" t="str" cm="1">
        <f t="array" aca="1" ref="M268" ca="1">IF(INDEX(集計3!$C$16:$CX$25,$C268,INDIRECT(ADDRESS(ROW()-8-($C268),COLUMN())))="","",INDEX(集計3!$C$16:$CX$25,$C268,INDIRECT(ADDRESS(ROW()-8-($C268),COLUMN()))))</f>
        <v/>
      </c>
      <c r="N268" s="234"/>
      <c r="O268" s="234"/>
      <c r="P268" s="235"/>
      <c r="Q268" s="233" t="str" cm="1">
        <f t="array" aca="1" ref="Q268" ca="1">IF(INDEX(集計3!$C$16:$CX$25,$C268,INDIRECT(ADDRESS(ROW()-8-($C268),COLUMN())))="","",INDEX(集計3!$C$16:$CX$25,$C268,INDIRECT(ADDRESS(ROW()-8-($C268),COLUMN()))))</f>
        <v/>
      </c>
      <c r="R268" s="234"/>
      <c r="S268" s="234"/>
      <c r="T268" s="235"/>
      <c r="U268" s="233" t="str" cm="1">
        <f t="array" aca="1" ref="U268" ca="1">IF(INDEX(集計3!$C$16:$CX$25,$C268,INDIRECT(ADDRESS(ROW()-8-($C268),COLUMN())))="","",INDEX(集計3!$C$16:$CX$25,$C268,INDIRECT(ADDRESS(ROW()-8-($C268),COLUMN()))))</f>
        <v/>
      </c>
      <c r="V268" s="234"/>
      <c r="W268" s="234"/>
      <c r="X268" s="235"/>
      <c r="Y268" s="233" t="str" cm="1">
        <f t="array" aca="1" ref="Y268" ca="1">IF(INDEX(集計3!$C$16:$CX$25,$C268,INDIRECT(ADDRESS(ROW()-8-($C268),COLUMN())))="","",INDEX(集計3!$C$16:$CX$25,$C268,INDIRECT(ADDRESS(ROW()-8-($C268),COLUMN()))))</f>
        <v/>
      </c>
      <c r="Z268" s="234"/>
      <c r="AA268" s="234"/>
      <c r="AB268" s="235"/>
      <c r="AC268" s="233" t="str" cm="1">
        <f t="array" aca="1" ref="AC268" ca="1">IF(INDEX(集計3!$C$16:$CX$25,$C268,INDIRECT(ADDRESS(ROW()-8-($C268),COLUMN())))="","",INDEX(集計3!$C$16:$CX$25,$C268,INDIRECT(ADDRESS(ROW()-8-($C268),COLUMN()))))</f>
        <v/>
      </c>
      <c r="AD268" s="234"/>
      <c r="AE268" s="234"/>
      <c r="AF268" s="235"/>
      <c r="AG268" s="233" t="str" cm="1">
        <f t="array" aca="1" ref="AG268" ca="1">IF(INDEX(集計3!$C$16:$CX$25,$C268,INDIRECT(ADDRESS(ROW()-8-($C268),COLUMN())))="","",INDEX(集計3!$C$16:$CX$25,$C268,INDIRECT(ADDRESS(ROW()-8-($C268),COLUMN()))))</f>
        <v/>
      </c>
      <c r="AH268" s="234"/>
      <c r="AI268" s="234"/>
      <c r="AJ268" s="235"/>
      <c r="AK268" s="233" t="str" cm="1">
        <f t="array" aca="1" ref="AK268" ca="1">IF(INDEX(集計3!$C$16:$CX$25,$C268,INDIRECT(ADDRESS(ROW()-8-($C268),COLUMN())))="","",INDEX(集計3!$C$16:$CX$25,$C268,INDIRECT(ADDRESS(ROW()-8-($C268),COLUMN()))))</f>
        <v/>
      </c>
      <c r="AL268" s="234"/>
      <c r="AM268" s="234"/>
      <c r="AN268" s="235"/>
      <c r="AO268" s="233" t="str" cm="1">
        <f t="array" aca="1" ref="AO268" ca="1">IF(INDEX(集計3!$C$16:$CX$25,$C268,INDIRECT(ADDRESS(ROW()-8-($C268),COLUMN())))="","",INDEX(集計3!$C$16:$CX$25,$C268,INDIRECT(ADDRESS(ROW()-8-($C268),COLUMN()))))</f>
        <v/>
      </c>
      <c r="AP268" s="234"/>
      <c r="AQ268" s="234"/>
      <c r="AR268" s="235"/>
    </row>
    <row r="269" spans="1:44" ht="14.75" customHeight="1" x14ac:dyDescent="0.7">
      <c r="A269" s="250"/>
      <c r="B269" s="250"/>
      <c r="C269" s="236">
        <v>10</v>
      </c>
      <c r="D269" s="237"/>
      <c r="E269" s="238" t="str" cm="1">
        <f t="array" aca="1" ref="E269" ca="1">IF(INDEX(集計3!$C$16:$CX$25,$C269,INDIRECT(ADDRESS(ROW()-8-($C269),COLUMN())))="","",INDEX(集計3!$C$16:$CX$25,$C269,INDIRECT(ADDRESS(ROW()-8-($C269),COLUMN()))))</f>
        <v/>
      </c>
      <c r="F269" s="239"/>
      <c r="G269" s="239"/>
      <c r="H269" s="240"/>
      <c r="I269" s="238" t="str" cm="1">
        <f t="array" aca="1" ref="I269" ca="1">IF(INDEX(集計3!$C$16:$CX$25,$C269,INDIRECT(ADDRESS(ROW()-8-($C269),COLUMN())))="","",INDEX(集計3!$C$16:$CX$25,$C269,INDIRECT(ADDRESS(ROW()-8-($C269),COLUMN()))))</f>
        <v/>
      </c>
      <c r="J269" s="239"/>
      <c r="K269" s="239"/>
      <c r="L269" s="240"/>
      <c r="M269" s="238" t="str" cm="1">
        <f t="array" aca="1" ref="M269" ca="1">IF(INDEX(集計3!$C$16:$CX$25,$C269,INDIRECT(ADDRESS(ROW()-8-($C269),COLUMN())))="","",INDEX(集計3!$C$16:$CX$25,$C269,INDIRECT(ADDRESS(ROW()-8-($C269),COLUMN()))))</f>
        <v/>
      </c>
      <c r="N269" s="239"/>
      <c r="O269" s="239"/>
      <c r="P269" s="240"/>
      <c r="Q269" s="238" t="str" cm="1">
        <f t="array" aca="1" ref="Q269" ca="1">IF(INDEX(集計3!$C$16:$CX$25,$C269,INDIRECT(ADDRESS(ROW()-8-($C269),COLUMN())))="","",INDEX(集計3!$C$16:$CX$25,$C269,INDIRECT(ADDRESS(ROW()-8-($C269),COLUMN()))))</f>
        <v/>
      </c>
      <c r="R269" s="239"/>
      <c r="S269" s="239"/>
      <c r="T269" s="240"/>
      <c r="U269" s="238" t="str" cm="1">
        <f t="array" aca="1" ref="U269" ca="1">IF(INDEX(集計3!$C$16:$CX$25,$C269,INDIRECT(ADDRESS(ROW()-8-($C269),COLUMN())))="","",INDEX(集計3!$C$16:$CX$25,$C269,INDIRECT(ADDRESS(ROW()-8-($C269),COLUMN()))))</f>
        <v/>
      </c>
      <c r="V269" s="239"/>
      <c r="W269" s="239"/>
      <c r="X269" s="240"/>
      <c r="Y269" s="238" t="str" cm="1">
        <f t="array" aca="1" ref="Y269" ca="1">IF(INDEX(集計3!$C$16:$CX$25,$C269,INDIRECT(ADDRESS(ROW()-8-($C269),COLUMN())))="","",INDEX(集計3!$C$16:$CX$25,$C269,INDIRECT(ADDRESS(ROW()-8-($C269),COLUMN()))))</f>
        <v/>
      </c>
      <c r="Z269" s="239"/>
      <c r="AA269" s="239"/>
      <c r="AB269" s="240"/>
      <c r="AC269" s="238" t="str" cm="1">
        <f t="array" aca="1" ref="AC269" ca="1">IF(INDEX(集計3!$C$16:$CX$25,$C269,INDIRECT(ADDRESS(ROW()-8-($C269),COLUMN())))="","",INDEX(集計3!$C$16:$CX$25,$C269,INDIRECT(ADDRESS(ROW()-8-($C269),COLUMN()))))</f>
        <v/>
      </c>
      <c r="AD269" s="239"/>
      <c r="AE269" s="239"/>
      <c r="AF269" s="240"/>
      <c r="AG269" s="238" t="str" cm="1">
        <f t="array" aca="1" ref="AG269" ca="1">IF(INDEX(集計3!$C$16:$CX$25,$C269,INDIRECT(ADDRESS(ROW()-8-($C269),COLUMN())))="","",INDEX(集計3!$C$16:$CX$25,$C269,INDIRECT(ADDRESS(ROW()-8-($C269),COLUMN()))))</f>
        <v/>
      </c>
      <c r="AH269" s="239"/>
      <c r="AI269" s="239"/>
      <c r="AJ269" s="240"/>
      <c r="AK269" s="238" t="str" cm="1">
        <f t="array" aca="1" ref="AK269" ca="1">IF(INDEX(集計3!$C$16:$CX$25,$C269,INDIRECT(ADDRESS(ROW()-8-($C269),COLUMN())))="","",INDEX(集計3!$C$16:$CX$25,$C269,INDIRECT(ADDRESS(ROW()-8-($C269),COLUMN()))))</f>
        <v/>
      </c>
      <c r="AL269" s="239"/>
      <c r="AM269" s="239"/>
      <c r="AN269" s="240"/>
      <c r="AO269" s="238" t="str" cm="1">
        <f t="array" aca="1" ref="AO269" ca="1">IF(INDEX(集計3!$C$16:$CX$25,$C269,INDIRECT(ADDRESS(ROW()-8-($C269),COLUMN())))="","",INDEX(集計3!$C$16:$CX$25,$C269,INDIRECT(ADDRESS(ROW()-8-($C269),COLUMN()))))</f>
        <v/>
      </c>
      <c r="AP269" s="239"/>
      <c r="AQ269" s="239"/>
      <c r="AR269" s="240"/>
    </row>
    <row r="270" spans="1:44" ht="7.25" customHeight="1" x14ac:dyDescent="0.7">
      <c r="A270" s="217" t="s">
        <v>163</v>
      </c>
      <c r="B270" s="217"/>
      <c r="C270" s="217"/>
      <c r="D270" s="217"/>
      <c r="E270" s="219" t="str" cm="1">
        <f t="array" aca="1" ref="E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270" s="220"/>
      <c r="G270" s="220"/>
      <c r="H270" s="221"/>
      <c r="I270" s="219" t="str" cm="1">
        <f t="array" aca="1" ref="I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270" s="220"/>
      <c r="K270" s="220"/>
      <c r="L270" s="221"/>
      <c r="M270" s="219" t="str" cm="1">
        <f t="array" aca="1" ref="M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270" s="220"/>
      <c r="O270" s="220"/>
      <c r="P270" s="221"/>
      <c r="Q270" s="219" t="str" cm="1">
        <f t="array" aca="1" ref="Q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270" s="220"/>
      <c r="S270" s="220"/>
      <c r="T270" s="221"/>
      <c r="U270" s="219" t="str" cm="1">
        <f t="array" aca="1" ref="U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270" s="220"/>
      <c r="W270" s="220"/>
      <c r="X270" s="221"/>
      <c r="Y270" s="219" t="str" cm="1">
        <f t="array" aca="1" ref="Y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270" s="220"/>
      <c r="AA270" s="220"/>
      <c r="AB270" s="221"/>
      <c r="AC270" s="219" t="str" cm="1">
        <f t="array" aca="1" ref="AC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270" s="220"/>
      <c r="AE270" s="220"/>
      <c r="AF270" s="221"/>
      <c r="AG270" s="219" t="str" cm="1">
        <f t="array" aca="1" ref="AG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270" s="220"/>
      <c r="AI270" s="220"/>
      <c r="AJ270" s="221"/>
      <c r="AK270" s="219" t="str" cm="1">
        <f t="array" aca="1" ref="AK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270" s="220"/>
      <c r="AM270" s="220"/>
      <c r="AN270" s="221"/>
      <c r="AO270" s="219" t="str" cm="1">
        <f t="array" aca="1" ref="AO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270" s="220"/>
      <c r="AQ270" s="220"/>
      <c r="AR270" s="221"/>
    </row>
    <row r="271" spans="1:44" ht="7.25" customHeight="1" x14ac:dyDescent="0.7">
      <c r="A271" s="218"/>
      <c r="B271" s="218"/>
      <c r="C271" s="218"/>
      <c r="D271" s="218"/>
      <c r="E271" s="222"/>
      <c r="F271" s="223"/>
      <c r="G271" s="223"/>
      <c r="H271" s="224"/>
      <c r="I271" s="222"/>
      <c r="J271" s="223"/>
      <c r="K271" s="223"/>
      <c r="L271" s="224"/>
      <c r="M271" s="222"/>
      <c r="N271" s="223"/>
      <c r="O271" s="223"/>
      <c r="P271" s="224"/>
      <c r="Q271" s="222"/>
      <c r="R271" s="223"/>
      <c r="S271" s="223"/>
      <c r="T271" s="224"/>
      <c r="U271" s="222"/>
      <c r="V271" s="223"/>
      <c r="W271" s="223"/>
      <c r="X271" s="224"/>
      <c r="Y271" s="222"/>
      <c r="Z271" s="223"/>
      <c r="AA271" s="223"/>
      <c r="AB271" s="224"/>
      <c r="AC271" s="222"/>
      <c r="AD271" s="223"/>
      <c r="AE271" s="223"/>
      <c r="AF271" s="224"/>
      <c r="AG271" s="222"/>
      <c r="AH271" s="223"/>
      <c r="AI271" s="223"/>
      <c r="AJ271" s="224"/>
      <c r="AK271" s="222"/>
      <c r="AL271" s="223"/>
      <c r="AM271" s="223"/>
      <c r="AN271" s="224"/>
      <c r="AO271" s="222"/>
      <c r="AP271" s="223"/>
      <c r="AQ271" s="223"/>
      <c r="AR271" s="224"/>
    </row>
    <row r="272" spans="1:44" ht="9" customHeight="1" x14ac:dyDescent="0.7">
      <c r="A272" s="225" t="s">
        <v>164</v>
      </c>
      <c r="B272" s="226"/>
      <c r="C272" s="226"/>
      <c r="D272" s="227"/>
      <c r="E272" s="228" t="str">
        <f ca="1">IF(COUNT(INDIRECT(ADDRESS(ROW()-12,COLUMN())):INDIRECT(ADDRESS(ROW()-3,COLUMN())))=0,"",MAX(INDIRECT(ADDRESS(ROW()-12,COLUMN())):INDIRECT(ADDRESS(ROW()-3,COLUMN()))))</f>
        <v/>
      </c>
      <c r="F272" s="229"/>
      <c r="G272" s="229"/>
      <c r="H272" s="230"/>
      <c r="I272" s="228" t="str">
        <f ca="1">IF(COUNT(INDIRECT(ADDRESS(ROW()-12,COLUMN())):INDIRECT(ADDRESS(ROW()-3,COLUMN())))=0,"",MAX(INDIRECT(ADDRESS(ROW()-12,COLUMN())):INDIRECT(ADDRESS(ROW()-3,COLUMN()))))</f>
        <v/>
      </c>
      <c r="J272" s="229"/>
      <c r="K272" s="229"/>
      <c r="L272" s="230"/>
      <c r="M272" s="228" t="str">
        <f ca="1">IF(COUNT(INDIRECT(ADDRESS(ROW()-12,COLUMN())):INDIRECT(ADDRESS(ROW()-3,COLUMN())))=0,"",MAX(INDIRECT(ADDRESS(ROW()-12,COLUMN())):INDIRECT(ADDRESS(ROW()-3,COLUMN()))))</f>
        <v/>
      </c>
      <c r="N272" s="229"/>
      <c r="O272" s="229"/>
      <c r="P272" s="230"/>
      <c r="Q272" s="228" t="str">
        <f ca="1">IF(COUNT(INDIRECT(ADDRESS(ROW()-12,COLUMN())):INDIRECT(ADDRESS(ROW()-3,COLUMN())))=0,"",MAX(INDIRECT(ADDRESS(ROW()-12,COLUMN())):INDIRECT(ADDRESS(ROW()-3,COLUMN()))))</f>
        <v/>
      </c>
      <c r="R272" s="229"/>
      <c r="S272" s="229"/>
      <c r="T272" s="230"/>
      <c r="U272" s="228" t="str">
        <f ca="1">IF(COUNT(INDIRECT(ADDRESS(ROW()-12,COLUMN())):INDIRECT(ADDRESS(ROW()-3,COLUMN())))=0,"",MAX(INDIRECT(ADDRESS(ROW()-12,COLUMN())):INDIRECT(ADDRESS(ROW()-3,COLUMN()))))</f>
        <v/>
      </c>
      <c r="V272" s="229"/>
      <c r="W272" s="229"/>
      <c r="X272" s="230"/>
      <c r="Y272" s="228" t="str">
        <f ca="1">IF(COUNT(INDIRECT(ADDRESS(ROW()-12,COLUMN())):INDIRECT(ADDRESS(ROW()-3,COLUMN())))=0,"",MAX(INDIRECT(ADDRESS(ROW()-12,COLUMN())):INDIRECT(ADDRESS(ROW()-3,COLUMN()))))</f>
        <v/>
      </c>
      <c r="Z272" s="229"/>
      <c r="AA272" s="229"/>
      <c r="AB272" s="230"/>
      <c r="AC272" s="228" t="str">
        <f ca="1">IF(COUNT(INDIRECT(ADDRESS(ROW()-12,COLUMN())):INDIRECT(ADDRESS(ROW()-3,COLUMN())))=0,"",MAX(INDIRECT(ADDRESS(ROW()-12,COLUMN())):INDIRECT(ADDRESS(ROW()-3,COLUMN()))))</f>
        <v/>
      </c>
      <c r="AD272" s="229"/>
      <c r="AE272" s="229"/>
      <c r="AF272" s="230"/>
      <c r="AG272" s="228" t="str">
        <f ca="1">IF(COUNT(INDIRECT(ADDRESS(ROW()-12,COLUMN())):INDIRECT(ADDRESS(ROW()-3,COLUMN())))=0,"",MAX(INDIRECT(ADDRESS(ROW()-12,COLUMN())):INDIRECT(ADDRESS(ROW()-3,COLUMN()))))</f>
        <v/>
      </c>
      <c r="AH272" s="229"/>
      <c r="AI272" s="229"/>
      <c r="AJ272" s="230"/>
      <c r="AK272" s="228" t="str">
        <f ca="1">IF(COUNT(INDIRECT(ADDRESS(ROW()-12,COLUMN())):INDIRECT(ADDRESS(ROW()-3,COLUMN())))=0,"",MAX(INDIRECT(ADDRESS(ROW()-12,COLUMN())):INDIRECT(ADDRESS(ROW()-3,COLUMN()))))</f>
        <v/>
      </c>
      <c r="AL272" s="229"/>
      <c r="AM272" s="229"/>
      <c r="AN272" s="230"/>
      <c r="AO272" s="228" t="str">
        <f ca="1">IF(COUNT(INDIRECT(ADDRESS(ROW()-12,COLUMN())):INDIRECT(ADDRESS(ROW()-3,COLUMN())))=0,"",MAX(INDIRECT(ADDRESS(ROW()-12,COLUMN())):INDIRECT(ADDRESS(ROW()-3,COLUMN()))))</f>
        <v/>
      </c>
      <c r="AP272" s="229"/>
      <c r="AQ272" s="229"/>
      <c r="AR272" s="230"/>
    </row>
    <row r="273" spans="1:44" ht="9" customHeight="1" x14ac:dyDescent="0.7">
      <c r="A273" s="211" t="s">
        <v>165</v>
      </c>
      <c r="B273" s="212"/>
      <c r="C273" s="212"/>
      <c r="D273" s="213"/>
      <c r="E273" s="214" t="str">
        <f ca="1">IF(COUNT(INDIRECT(ADDRESS(ROW()-13,COLUMN())):INDIRECT(ADDRESS(ROW()-4,COLUMN())))=0,"",MIN(INDIRECT(ADDRESS(ROW()-13,COLUMN())):INDIRECT(ADDRESS(ROW()-4,COLUMN()))))</f>
        <v/>
      </c>
      <c r="F273" s="215"/>
      <c r="G273" s="215"/>
      <c r="H273" s="216"/>
      <c r="I273" s="214" t="str">
        <f ca="1">IF(COUNT(INDIRECT(ADDRESS(ROW()-13,COLUMN())):INDIRECT(ADDRESS(ROW()-4,COLUMN())))=0,"",MIN(INDIRECT(ADDRESS(ROW()-13,COLUMN())):INDIRECT(ADDRESS(ROW()-4,COLUMN()))))</f>
        <v/>
      </c>
      <c r="J273" s="215"/>
      <c r="K273" s="215"/>
      <c r="L273" s="216"/>
      <c r="M273" s="214" t="str">
        <f ca="1">IF(COUNT(INDIRECT(ADDRESS(ROW()-13,COLUMN())):INDIRECT(ADDRESS(ROW()-4,COLUMN())))=0,"",MIN(INDIRECT(ADDRESS(ROW()-13,COLUMN())):INDIRECT(ADDRESS(ROW()-4,COLUMN()))))</f>
        <v/>
      </c>
      <c r="N273" s="215"/>
      <c r="O273" s="215"/>
      <c r="P273" s="216"/>
      <c r="Q273" s="214" t="str">
        <f ca="1">IF(COUNT(INDIRECT(ADDRESS(ROW()-13,COLUMN())):INDIRECT(ADDRESS(ROW()-4,COLUMN())))=0,"",MIN(INDIRECT(ADDRESS(ROW()-13,COLUMN())):INDIRECT(ADDRESS(ROW()-4,COLUMN()))))</f>
        <v/>
      </c>
      <c r="R273" s="215"/>
      <c r="S273" s="215"/>
      <c r="T273" s="216"/>
      <c r="U273" s="214" t="str">
        <f ca="1">IF(COUNT(INDIRECT(ADDRESS(ROW()-13,COLUMN())):INDIRECT(ADDRESS(ROW()-4,COLUMN())))=0,"",MIN(INDIRECT(ADDRESS(ROW()-13,COLUMN())):INDIRECT(ADDRESS(ROW()-4,COLUMN()))))</f>
        <v/>
      </c>
      <c r="V273" s="215"/>
      <c r="W273" s="215"/>
      <c r="X273" s="216"/>
      <c r="Y273" s="214" t="str">
        <f ca="1">IF(COUNT(INDIRECT(ADDRESS(ROW()-13,COLUMN())):INDIRECT(ADDRESS(ROW()-4,COLUMN())))=0,"",MIN(INDIRECT(ADDRESS(ROW()-13,COLUMN())):INDIRECT(ADDRESS(ROW()-4,COLUMN()))))</f>
        <v/>
      </c>
      <c r="Z273" s="215"/>
      <c r="AA273" s="215"/>
      <c r="AB273" s="216"/>
      <c r="AC273" s="214" t="str">
        <f ca="1">IF(COUNT(INDIRECT(ADDRESS(ROW()-13,COLUMN())):INDIRECT(ADDRESS(ROW()-4,COLUMN())))=0,"",MIN(INDIRECT(ADDRESS(ROW()-13,COLUMN())):INDIRECT(ADDRESS(ROW()-4,COLUMN()))))</f>
        <v/>
      </c>
      <c r="AD273" s="215"/>
      <c r="AE273" s="215"/>
      <c r="AF273" s="216"/>
      <c r="AG273" s="214" t="str">
        <f ca="1">IF(COUNT(INDIRECT(ADDRESS(ROW()-13,COLUMN())):INDIRECT(ADDRESS(ROW()-4,COLUMN())))=0,"",MIN(INDIRECT(ADDRESS(ROW()-13,COLUMN())):INDIRECT(ADDRESS(ROW()-4,COLUMN()))))</f>
        <v/>
      </c>
      <c r="AH273" s="215"/>
      <c r="AI273" s="215"/>
      <c r="AJ273" s="216"/>
      <c r="AK273" s="214" t="str">
        <f ca="1">IF(COUNT(INDIRECT(ADDRESS(ROW()-13,COLUMN())):INDIRECT(ADDRESS(ROW()-4,COLUMN())))=0,"",MIN(INDIRECT(ADDRESS(ROW()-13,COLUMN())):INDIRECT(ADDRESS(ROW()-4,COLUMN()))))</f>
        <v/>
      </c>
      <c r="AL273" s="215"/>
      <c r="AM273" s="215"/>
      <c r="AN273" s="216"/>
      <c r="AO273" s="214" t="str">
        <f ca="1">IF(COUNT(INDIRECT(ADDRESS(ROW()-13,COLUMN())):INDIRECT(ADDRESS(ROW()-4,COLUMN())))=0,"",MIN(INDIRECT(ADDRESS(ROW()-13,COLUMN())):INDIRECT(ADDRESS(ROW()-4,COLUMN()))))</f>
        <v/>
      </c>
      <c r="AP273" s="215"/>
      <c r="AQ273" s="215"/>
      <c r="AR273" s="216"/>
    </row>
    <row r="274" spans="1:44" ht="8" customHeight="1" x14ac:dyDescent="0.7">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row>
  </sheetData>
  <mergeCells count="2251">
    <mergeCell ref="Y69:AB69"/>
    <mergeCell ref="AC69:AF69"/>
    <mergeCell ref="AG69:AJ69"/>
    <mergeCell ref="AK69:AN69"/>
    <mergeCell ref="AO69:AR69"/>
    <mergeCell ref="A70:D73"/>
    <mergeCell ref="E70:H71"/>
    <mergeCell ref="I70:P71"/>
    <mergeCell ref="Q70:T71"/>
    <mergeCell ref="U70:AB71"/>
    <mergeCell ref="A69:D69"/>
    <mergeCell ref="E69:H69"/>
    <mergeCell ref="I69:L69"/>
    <mergeCell ref="M69:P69"/>
    <mergeCell ref="Q69:T69"/>
    <mergeCell ref="U69:X69"/>
    <mergeCell ref="AI75:AR76"/>
    <mergeCell ref="AC70:AR73"/>
    <mergeCell ref="E72:H73"/>
    <mergeCell ref="I72:P73"/>
    <mergeCell ref="Q72:T73"/>
    <mergeCell ref="U72:AB73"/>
    <mergeCell ref="A74:G76"/>
    <mergeCell ref="H74:W76"/>
    <mergeCell ref="X74:AH74"/>
    <mergeCell ref="AI74:AR74"/>
    <mergeCell ref="X75:AH76"/>
    <mergeCell ref="A68:D68"/>
    <mergeCell ref="E68:H68"/>
    <mergeCell ref="I68:L68"/>
    <mergeCell ref="M68:P68"/>
    <mergeCell ref="Q68:T68"/>
    <mergeCell ref="A66:D67"/>
    <mergeCell ref="E66:H67"/>
    <mergeCell ref="I66:L67"/>
    <mergeCell ref="M66:P67"/>
    <mergeCell ref="Q66:T67"/>
    <mergeCell ref="U68:X68"/>
    <mergeCell ref="Y68:AB68"/>
    <mergeCell ref="AC68:AF68"/>
    <mergeCell ref="AG68:AJ68"/>
    <mergeCell ref="AK68:AN68"/>
    <mergeCell ref="AO68:AR68"/>
    <mergeCell ref="Y66:AB67"/>
    <mergeCell ref="AC66:AF67"/>
    <mergeCell ref="AG66:AJ67"/>
    <mergeCell ref="AK66:AN67"/>
    <mergeCell ref="AO66:AR67"/>
    <mergeCell ref="U66:X67"/>
    <mergeCell ref="C65:D65"/>
    <mergeCell ref="E65:H65"/>
    <mergeCell ref="I65:L65"/>
    <mergeCell ref="M65:P65"/>
    <mergeCell ref="Q65:T65"/>
    <mergeCell ref="C64:D64"/>
    <mergeCell ref="E64:H64"/>
    <mergeCell ref="I64:L64"/>
    <mergeCell ref="M64:P64"/>
    <mergeCell ref="Q64:T64"/>
    <mergeCell ref="U65:X65"/>
    <mergeCell ref="Y65:AB65"/>
    <mergeCell ref="AC65:AF65"/>
    <mergeCell ref="AG65:AJ65"/>
    <mergeCell ref="AK65:AN65"/>
    <mergeCell ref="AO65:AR65"/>
    <mergeCell ref="Y64:AB64"/>
    <mergeCell ref="AC64:AF64"/>
    <mergeCell ref="AG64:AJ64"/>
    <mergeCell ref="AK64:AN64"/>
    <mergeCell ref="AO64:AR64"/>
    <mergeCell ref="U64:X64"/>
    <mergeCell ref="C63:D63"/>
    <mergeCell ref="E63:H63"/>
    <mergeCell ref="I63:L63"/>
    <mergeCell ref="M63:P63"/>
    <mergeCell ref="Q63:T63"/>
    <mergeCell ref="C62:D62"/>
    <mergeCell ref="E62:H62"/>
    <mergeCell ref="I62:L62"/>
    <mergeCell ref="M62:P62"/>
    <mergeCell ref="Q62:T62"/>
    <mergeCell ref="U63:X63"/>
    <mergeCell ref="Y63:AB63"/>
    <mergeCell ref="AC63:AF63"/>
    <mergeCell ref="AG63:AJ63"/>
    <mergeCell ref="AK63:AN63"/>
    <mergeCell ref="AO63:AR63"/>
    <mergeCell ref="Y62:AB62"/>
    <mergeCell ref="AC62:AF62"/>
    <mergeCell ref="AG62:AJ62"/>
    <mergeCell ref="AK62:AN62"/>
    <mergeCell ref="AO62:AR62"/>
    <mergeCell ref="U62:X62"/>
    <mergeCell ref="C61:D61"/>
    <mergeCell ref="E61:H61"/>
    <mergeCell ref="I61:L61"/>
    <mergeCell ref="M61:P61"/>
    <mergeCell ref="Q61:T61"/>
    <mergeCell ref="AC59:AF59"/>
    <mergeCell ref="AG59:AJ59"/>
    <mergeCell ref="AK59:AN59"/>
    <mergeCell ref="AO59:AR59"/>
    <mergeCell ref="C60:D60"/>
    <mergeCell ref="E60:H60"/>
    <mergeCell ref="I60:L60"/>
    <mergeCell ref="M60:P60"/>
    <mergeCell ref="Q60:T60"/>
    <mergeCell ref="U60:X60"/>
    <mergeCell ref="U61:X61"/>
    <mergeCell ref="Y61:AB61"/>
    <mergeCell ref="AC61:AF61"/>
    <mergeCell ref="AG61:AJ61"/>
    <mergeCell ref="AK61:AN61"/>
    <mergeCell ref="AO61:AR61"/>
    <mergeCell ref="Y60:AB60"/>
    <mergeCell ref="AC60:AF60"/>
    <mergeCell ref="AG60:AJ60"/>
    <mergeCell ref="AK60:AN60"/>
    <mergeCell ref="AO60:AR60"/>
    <mergeCell ref="AC56:AF56"/>
    <mergeCell ref="AG56:AJ56"/>
    <mergeCell ref="AK56:AN56"/>
    <mergeCell ref="AK57:AN57"/>
    <mergeCell ref="AO57:AR57"/>
    <mergeCell ref="C58:D58"/>
    <mergeCell ref="E58:H58"/>
    <mergeCell ref="I58:L58"/>
    <mergeCell ref="M58:P58"/>
    <mergeCell ref="Q58:T58"/>
    <mergeCell ref="U58:X58"/>
    <mergeCell ref="Y58:AB58"/>
    <mergeCell ref="AC58:AF58"/>
    <mergeCell ref="AG58:AJ58"/>
    <mergeCell ref="AK58:AN58"/>
    <mergeCell ref="AO58:AR58"/>
    <mergeCell ref="C59:D59"/>
    <mergeCell ref="E59:H59"/>
    <mergeCell ref="I59:L59"/>
    <mergeCell ref="M59:P59"/>
    <mergeCell ref="Q59:T59"/>
    <mergeCell ref="U59:X59"/>
    <mergeCell ref="Y59:AB59"/>
    <mergeCell ref="AH52:AJ52"/>
    <mergeCell ref="AL52:AN52"/>
    <mergeCell ref="AP52:AR52"/>
    <mergeCell ref="Y54:AB55"/>
    <mergeCell ref="AC54:AF55"/>
    <mergeCell ref="AG54:AJ55"/>
    <mergeCell ref="AK54:AN55"/>
    <mergeCell ref="AO54:AR55"/>
    <mergeCell ref="A56:B65"/>
    <mergeCell ref="C56:D56"/>
    <mergeCell ref="E56:H56"/>
    <mergeCell ref="I56:L56"/>
    <mergeCell ref="M56:P56"/>
    <mergeCell ref="A54:D55"/>
    <mergeCell ref="E54:H55"/>
    <mergeCell ref="I54:L55"/>
    <mergeCell ref="M54:P55"/>
    <mergeCell ref="Q54:T55"/>
    <mergeCell ref="U54:X55"/>
    <mergeCell ref="AO56:AR56"/>
    <mergeCell ref="C57:D57"/>
    <mergeCell ref="E57:H57"/>
    <mergeCell ref="I57:L57"/>
    <mergeCell ref="M57:P57"/>
    <mergeCell ref="Q57:T57"/>
    <mergeCell ref="U57:X57"/>
    <mergeCell ref="Y57:AB57"/>
    <mergeCell ref="AC57:AF57"/>
    <mergeCell ref="AG57:AJ57"/>
    <mergeCell ref="Q56:T56"/>
    <mergeCell ref="U56:X56"/>
    <mergeCell ref="Y56:AB56"/>
    <mergeCell ref="A53:D53"/>
    <mergeCell ref="F53:H53"/>
    <mergeCell ref="J53:L53"/>
    <mergeCell ref="N53:P53"/>
    <mergeCell ref="R53:T53"/>
    <mergeCell ref="AK51:AL51"/>
    <mergeCell ref="AM51:AN51"/>
    <mergeCell ref="AO51:AP51"/>
    <mergeCell ref="AQ51:AR51"/>
    <mergeCell ref="A52:D52"/>
    <mergeCell ref="F52:H52"/>
    <mergeCell ref="J52:L52"/>
    <mergeCell ref="N52:P52"/>
    <mergeCell ref="R52:T52"/>
    <mergeCell ref="V52:X52"/>
    <mergeCell ref="Y51:Z51"/>
    <mergeCell ref="AA51:AB51"/>
    <mergeCell ref="AC51:AD51"/>
    <mergeCell ref="AE51:AF51"/>
    <mergeCell ref="AG51:AH51"/>
    <mergeCell ref="AI51:AJ51"/>
    <mergeCell ref="M51:N51"/>
    <mergeCell ref="O51:P51"/>
    <mergeCell ref="Q51:R51"/>
    <mergeCell ref="V53:X53"/>
    <mergeCell ref="Z53:AB53"/>
    <mergeCell ref="AD53:AF53"/>
    <mergeCell ref="AH53:AJ53"/>
    <mergeCell ref="AL53:AN53"/>
    <mergeCell ref="AP53:AR53"/>
    <mergeCell ref="Z52:AB52"/>
    <mergeCell ref="AD52:AF52"/>
    <mergeCell ref="S51:T51"/>
    <mergeCell ref="U51:V51"/>
    <mergeCell ref="W51:X51"/>
    <mergeCell ref="Y49:AB50"/>
    <mergeCell ref="AC49:AF50"/>
    <mergeCell ref="AG49:AJ50"/>
    <mergeCell ref="AK49:AN50"/>
    <mergeCell ref="AO49:AR50"/>
    <mergeCell ref="A51:D51"/>
    <mergeCell ref="E51:F51"/>
    <mergeCell ref="G51:H51"/>
    <mergeCell ref="I51:J51"/>
    <mergeCell ref="K51:L51"/>
    <mergeCell ref="A49:D50"/>
    <mergeCell ref="E49:H50"/>
    <mergeCell ref="I49:L50"/>
    <mergeCell ref="M49:P50"/>
    <mergeCell ref="Q49:T50"/>
    <mergeCell ref="U49:X50"/>
    <mergeCell ref="A47:D48"/>
    <mergeCell ref="E47:H48"/>
    <mergeCell ref="I47:L48"/>
    <mergeCell ref="M47:P48"/>
    <mergeCell ref="Q47:T48"/>
    <mergeCell ref="A45:D45"/>
    <mergeCell ref="E45:H45"/>
    <mergeCell ref="I45:L45"/>
    <mergeCell ref="M45:P45"/>
    <mergeCell ref="Q45:T45"/>
    <mergeCell ref="U47:X48"/>
    <mergeCell ref="Y47:AB48"/>
    <mergeCell ref="AC47:AF48"/>
    <mergeCell ref="AG47:AJ48"/>
    <mergeCell ref="AK47:AN48"/>
    <mergeCell ref="AO47:AR48"/>
    <mergeCell ref="Y45:AB45"/>
    <mergeCell ref="AC45:AF45"/>
    <mergeCell ref="AG45:AJ45"/>
    <mergeCell ref="AK45:AN45"/>
    <mergeCell ref="AO45:AR45"/>
    <mergeCell ref="U45:X45"/>
    <mergeCell ref="A44:D44"/>
    <mergeCell ref="E44:H44"/>
    <mergeCell ref="I44:L44"/>
    <mergeCell ref="M44:P44"/>
    <mergeCell ref="Q44:T44"/>
    <mergeCell ref="A42:D43"/>
    <mergeCell ref="E42:H43"/>
    <mergeCell ref="I42:L43"/>
    <mergeCell ref="M42:P43"/>
    <mergeCell ref="Q42:T43"/>
    <mergeCell ref="U44:X44"/>
    <mergeCell ref="Y44:AB44"/>
    <mergeCell ref="AC44:AF44"/>
    <mergeCell ref="AG44:AJ44"/>
    <mergeCell ref="AK44:AN44"/>
    <mergeCell ref="AO44:AR44"/>
    <mergeCell ref="Y42:AB43"/>
    <mergeCell ref="AC42:AF43"/>
    <mergeCell ref="AG42:AJ43"/>
    <mergeCell ref="AK42:AN43"/>
    <mergeCell ref="AO42:AR43"/>
    <mergeCell ref="U42:X43"/>
    <mergeCell ref="C41:D41"/>
    <mergeCell ref="E41:H41"/>
    <mergeCell ref="I41:L41"/>
    <mergeCell ref="M41:P41"/>
    <mergeCell ref="Q41:T41"/>
    <mergeCell ref="C40:D40"/>
    <mergeCell ref="E40:H40"/>
    <mergeCell ref="I40:L40"/>
    <mergeCell ref="M40:P40"/>
    <mergeCell ref="Q40:T40"/>
    <mergeCell ref="U41:X41"/>
    <mergeCell ref="Y41:AB41"/>
    <mergeCell ref="AC41:AF41"/>
    <mergeCell ref="AG41:AJ41"/>
    <mergeCell ref="AK41:AN41"/>
    <mergeCell ref="AO41:AR41"/>
    <mergeCell ref="Y40:AB40"/>
    <mergeCell ref="AC40:AF40"/>
    <mergeCell ref="AG40:AJ40"/>
    <mergeCell ref="AK40:AN40"/>
    <mergeCell ref="AO40:AR40"/>
    <mergeCell ref="U40:X40"/>
    <mergeCell ref="AO36:AR36"/>
    <mergeCell ref="C39:D39"/>
    <mergeCell ref="E39:H39"/>
    <mergeCell ref="I39:L39"/>
    <mergeCell ref="M39:P39"/>
    <mergeCell ref="Q39:T39"/>
    <mergeCell ref="C38:D38"/>
    <mergeCell ref="E38:H38"/>
    <mergeCell ref="I38:L38"/>
    <mergeCell ref="M38:P38"/>
    <mergeCell ref="Q38:T38"/>
    <mergeCell ref="U39:X39"/>
    <mergeCell ref="Y39:AB39"/>
    <mergeCell ref="AC39:AF39"/>
    <mergeCell ref="AG39:AJ39"/>
    <mergeCell ref="AK39:AN39"/>
    <mergeCell ref="AO39:AR39"/>
    <mergeCell ref="Y38:AB38"/>
    <mergeCell ref="AC38:AF38"/>
    <mergeCell ref="AG38:AJ38"/>
    <mergeCell ref="AK38:AN38"/>
    <mergeCell ref="AO38:AR38"/>
    <mergeCell ref="U38:X38"/>
    <mergeCell ref="C35:D35"/>
    <mergeCell ref="E35:H35"/>
    <mergeCell ref="I35:L35"/>
    <mergeCell ref="M35:P35"/>
    <mergeCell ref="Q35:T35"/>
    <mergeCell ref="U35:X35"/>
    <mergeCell ref="Y35:AB35"/>
    <mergeCell ref="C37:D37"/>
    <mergeCell ref="E37:H37"/>
    <mergeCell ref="I37:L37"/>
    <mergeCell ref="M37:P37"/>
    <mergeCell ref="Q37:T37"/>
    <mergeCell ref="AC35:AF35"/>
    <mergeCell ref="AG35:AJ35"/>
    <mergeCell ref="AK35:AN35"/>
    <mergeCell ref="AO35:AR35"/>
    <mergeCell ref="C36:D36"/>
    <mergeCell ref="E36:H36"/>
    <mergeCell ref="I36:L36"/>
    <mergeCell ref="M36:P36"/>
    <mergeCell ref="Q36:T36"/>
    <mergeCell ref="U36:X36"/>
    <mergeCell ref="U37:X37"/>
    <mergeCell ref="Y37:AB37"/>
    <mergeCell ref="AC37:AF37"/>
    <mergeCell ref="AG37:AJ37"/>
    <mergeCell ref="AK37:AN37"/>
    <mergeCell ref="AO37:AR37"/>
    <mergeCell ref="Y36:AB36"/>
    <mergeCell ref="AC36:AF36"/>
    <mergeCell ref="AG36:AJ36"/>
    <mergeCell ref="AK36:AN36"/>
    <mergeCell ref="Q33:T33"/>
    <mergeCell ref="U33:X33"/>
    <mergeCell ref="Y33:AB33"/>
    <mergeCell ref="AC33:AF33"/>
    <mergeCell ref="AG33:AJ33"/>
    <mergeCell ref="Q32:T32"/>
    <mergeCell ref="U32:X32"/>
    <mergeCell ref="Y32:AB32"/>
    <mergeCell ref="AC32:AF32"/>
    <mergeCell ref="AG32:AJ32"/>
    <mergeCell ref="AK32:AN32"/>
    <mergeCell ref="AK33:AN33"/>
    <mergeCell ref="AO33:AR33"/>
    <mergeCell ref="C34:D34"/>
    <mergeCell ref="E34:H34"/>
    <mergeCell ref="I34:L34"/>
    <mergeCell ref="M34:P34"/>
    <mergeCell ref="Q34:T34"/>
    <mergeCell ref="U34:X34"/>
    <mergeCell ref="Y34:AB34"/>
    <mergeCell ref="AC34:AF34"/>
    <mergeCell ref="AG34:AJ34"/>
    <mergeCell ref="AK34:AN34"/>
    <mergeCell ref="AO34:AR34"/>
    <mergeCell ref="V29:X29"/>
    <mergeCell ref="Z29:AB29"/>
    <mergeCell ref="AD29:AF29"/>
    <mergeCell ref="AH29:AJ29"/>
    <mergeCell ref="AL29:AN29"/>
    <mergeCell ref="AP29:AR29"/>
    <mergeCell ref="Z28:AB28"/>
    <mergeCell ref="AD28:AF28"/>
    <mergeCell ref="AH28:AJ28"/>
    <mergeCell ref="AL28:AN28"/>
    <mergeCell ref="AP28:AR28"/>
    <mergeCell ref="Y30:AB31"/>
    <mergeCell ref="AC30:AF31"/>
    <mergeCell ref="AG30:AJ31"/>
    <mergeCell ref="AK30:AN31"/>
    <mergeCell ref="AO30:AR31"/>
    <mergeCell ref="A32:B41"/>
    <mergeCell ref="C32:D32"/>
    <mergeCell ref="E32:H32"/>
    <mergeCell ref="I32:L32"/>
    <mergeCell ref="M32:P32"/>
    <mergeCell ref="A30:D31"/>
    <mergeCell ref="E30:H31"/>
    <mergeCell ref="I30:L31"/>
    <mergeCell ref="M30:P31"/>
    <mergeCell ref="Q30:T31"/>
    <mergeCell ref="U30:X31"/>
    <mergeCell ref="AO32:AR32"/>
    <mergeCell ref="C33:D33"/>
    <mergeCell ref="E33:H33"/>
    <mergeCell ref="I33:L33"/>
    <mergeCell ref="M33:P33"/>
    <mergeCell ref="A27:D27"/>
    <mergeCell ref="E27:F27"/>
    <mergeCell ref="G27:H27"/>
    <mergeCell ref="I27:J27"/>
    <mergeCell ref="K27:L27"/>
    <mergeCell ref="A25:D26"/>
    <mergeCell ref="E25:H26"/>
    <mergeCell ref="I25:L26"/>
    <mergeCell ref="M25:P26"/>
    <mergeCell ref="Q25:T26"/>
    <mergeCell ref="U25:X26"/>
    <mergeCell ref="A29:D29"/>
    <mergeCell ref="F29:H29"/>
    <mergeCell ref="J29:L29"/>
    <mergeCell ref="N29:P29"/>
    <mergeCell ref="R29:T29"/>
    <mergeCell ref="AK27:AL27"/>
    <mergeCell ref="A28:D28"/>
    <mergeCell ref="F28:H28"/>
    <mergeCell ref="J28:L28"/>
    <mergeCell ref="N28:P28"/>
    <mergeCell ref="R28:T28"/>
    <mergeCell ref="V28:X28"/>
    <mergeCell ref="Y27:Z27"/>
    <mergeCell ref="AA27:AB27"/>
    <mergeCell ref="AC27:AD27"/>
    <mergeCell ref="AE27:AF27"/>
    <mergeCell ref="AG27:AH27"/>
    <mergeCell ref="AI27:AJ27"/>
    <mergeCell ref="M27:N27"/>
    <mergeCell ref="O27:P27"/>
    <mergeCell ref="Q27:R27"/>
    <mergeCell ref="AI13:AR13"/>
    <mergeCell ref="AI14:AR14"/>
    <mergeCell ref="AI15:AR15"/>
    <mergeCell ref="U23:X24"/>
    <mergeCell ref="Y23:AB24"/>
    <mergeCell ref="AC23:AF24"/>
    <mergeCell ref="AG23:AJ24"/>
    <mergeCell ref="AK23:AN24"/>
    <mergeCell ref="AO23:AR24"/>
    <mergeCell ref="AI16:AR16"/>
    <mergeCell ref="AI17:AM17"/>
    <mergeCell ref="AN17:AR17"/>
    <mergeCell ref="AI18:AM21"/>
    <mergeCell ref="AN18:AR21"/>
    <mergeCell ref="S27:T27"/>
    <mergeCell ref="U27:V27"/>
    <mergeCell ref="W27:X27"/>
    <mergeCell ref="Y25:AB26"/>
    <mergeCell ref="AC25:AF26"/>
    <mergeCell ref="AG25:AJ26"/>
    <mergeCell ref="AK25:AN26"/>
    <mergeCell ref="AO25:AR26"/>
    <mergeCell ref="AM27:AN27"/>
    <mergeCell ref="AO27:AP27"/>
    <mergeCell ref="AQ27:AR27"/>
    <mergeCell ref="Y79:AB80"/>
    <mergeCell ref="AC79:AF80"/>
    <mergeCell ref="AG79:AJ80"/>
    <mergeCell ref="A1:G3"/>
    <mergeCell ref="H1:W3"/>
    <mergeCell ref="X1:AH1"/>
    <mergeCell ref="AI1:AR1"/>
    <mergeCell ref="X2:AH3"/>
    <mergeCell ref="AI2:AR3"/>
    <mergeCell ref="A77:D78"/>
    <mergeCell ref="E77:H78"/>
    <mergeCell ref="I77:L78"/>
    <mergeCell ref="M77:P78"/>
    <mergeCell ref="Q77:T78"/>
    <mergeCell ref="U77:X78"/>
    <mergeCell ref="Y77:AB78"/>
    <mergeCell ref="AC77:AF78"/>
    <mergeCell ref="AG77:AJ78"/>
    <mergeCell ref="AK77:AN78"/>
    <mergeCell ref="AO77:AR78"/>
    <mergeCell ref="A23:D24"/>
    <mergeCell ref="E23:H24"/>
    <mergeCell ref="I23:L24"/>
    <mergeCell ref="M23:P24"/>
    <mergeCell ref="Q23:T24"/>
    <mergeCell ref="A4:AH21"/>
    <mergeCell ref="AI4:AR4"/>
    <mergeCell ref="AI5:AR6"/>
    <mergeCell ref="AI7:AR7"/>
    <mergeCell ref="AI8:AR9"/>
    <mergeCell ref="AI10:AR10"/>
    <mergeCell ref="AI11:AR12"/>
    <mergeCell ref="Z82:AB82"/>
    <mergeCell ref="AD82:AF82"/>
    <mergeCell ref="AH82:AJ82"/>
    <mergeCell ref="AK79:AN80"/>
    <mergeCell ref="AO79:AR80"/>
    <mergeCell ref="A81:D81"/>
    <mergeCell ref="E81:F81"/>
    <mergeCell ref="G81:H81"/>
    <mergeCell ref="I81:J81"/>
    <mergeCell ref="K81:L81"/>
    <mergeCell ref="M81:N81"/>
    <mergeCell ref="O81:P81"/>
    <mergeCell ref="Q81:R81"/>
    <mergeCell ref="S81:T81"/>
    <mergeCell ref="U81:V81"/>
    <mergeCell ref="W81:X81"/>
    <mergeCell ref="Y81:Z81"/>
    <mergeCell ref="AA81:AB81"/>
    <mergeCell ref="AC81:AD81"/>
    <mergeCell ref="AE81:AF81"/>
    <mergeCell ref="AG81:AH81"/>
    <mergeCell ref="AI81:AJ81"/>
    <mergeCell ref="AK81:AL81"/>
    <mergeCell ref="AM81:AN81"/>
    <mergeCell ref="AO81:AP81"/>
    <mergeCell ref="AQ81:AR81"/>
    <mergeCell ref="A79:D80"/>
    <mergeCell ref="E79:H80"/>
    <mergeCell ref="I79:L80"/>
    <mergeCell ref="M79:P80"/>
    <mergeCell ref="Q79:T80"/>
    <mergeCell ref="U79:X80"/>
    <mergeCell ref="Y87:AB87"/>
    <mergeCell ref="AC87:AF87"/>
    <mergeCell ref="AG87:AJ87"/>
    <mergeCell ref="AK87:AN87"/>
    <mergeCell ref="A84:D85"/>
    <mergeCell ref="E84:H85"/>
    <mergeCell ref="I84:L85"/>
    <mergeCell ref="M84:P85"/>
    <mergeCell ref="Q84:T85"/>
    <mergeCell ref="U84:X85"/>
    <mergeCell ref="Y84:AB85"/>
    <mergeCell ref="AC84:AF85"/>
    <mergeCell ref="AG84:AJ85"/>
    <mergeCell ref="AL82:AN82"/>
    <mergeCell ref="AP82:AR82"/>
    <mergeCell ref="A83:D83"/>
    <mergeCell ref="F83:H83"/>
    <mergeCell ref="J83:L83"/>
    <mergeCell ref="N83:P83"/>
    <mergeCell ref="R83:T83"/>
    <mergeCell ref="V83:X83"/>
    <mergeCell ref="Z83:AB83"/>
    <mergeCell ref="AD83:AF83"/>
    <mergeCell ref="AH83:AJ83"/>
    <mergeCell ref="AL83:AN83"/>
    <mergeCell ref="AP83:AR83"/>
    <mergeCell ref="A82:D82"/>
    <mergeCell ref="F82:H82"/>
    <mergeCell ref="J82:L82"/>
    <mergeCell ref="N82:P82"/>
    <mergeCell ref="R82:T82"/>
    <mergeCell ref="V82:X82"/>
    <mergeCell ref="AO87:AR87"/>
    <mergeCell ref="C88:D88"/>
    <mergeCell ref="E88:H88"/>
    <mergeCell ref="I88:L88"/>
    <mergeCell ref="M88:P88"/>
    <mergeCell ref="Q88:T88"/>
    <mergeCell ref="U88:X88"/>
    <mergeCell ref="Y88:AB88"/>
    <mergeCell ref="AC88:AF88"/>
    <mergeCell ref="AG88:AJ88"/>
    <mergeCell ref="AK88:AN88"/>
    <mergeCell ref="AO88:AR88"/>
    <mergeCell ref="AK84:AN85"/>
    <mergeCell ref="AO84:AR85"/>
    <mergeCell ref="A86:B95"/>
    <mergeCell ref="C86:D86"/>
    <mergeCell ref="E86:H86"/>
    <mergeCell ref="I86:L86"/>
    <mergeCell ref="M86:P86"/>
    <mergeCell ref="Q86:T86"/>
    <mergeCell ref="U86:X86"/>
    <mergeCell ref="Y86:AB86"/>
    <mergeCell ref="AC86:AF86"/>
    <mergeCell ref="AG86:AJ86"/>
    <mergeCell ref="AK86:AN86"/>
    <mergeCell ref="AO86:AR86"/>
    <mergeCell ref="C87:D87"/>
    <mergeCell ref="E87:H87"/>
    <mergeCell ref="I87:L87"/>
    <mergeCell ref="M87:P87"/>
    <mergeCell ref="Q87:T87"/>
    <mergeCell ref="U87:X87"/>
    <mergeCell ref="AK89:AN89"/>
    <mergeCell ref="AO89:AR89"/>
    <mergeCell ref="C90:D90"/>
    <mergeCell ref="E90:H90"/>
    <mergeCell ref="I90:L90"/>
    <mergeCell ref="M90:P90"/>
    <mergeCell ref="Q90:T90"/>
    <mergeCell ref="U90:X90"/>
    <mergeCell ref="Y90:AB90"/>
    <mergeCell ref="AC90:AF90"/>
    <mergeCell ref="AG90:AJ90"/>
    <mergeCell ref="AK90:AN90"/>
    <mergeCell ref="AO90:AR90"/>
    <mergeCell ref="C89:D89"/>
    <mergeCell ref="E89:H89"/>
    <mergeCell ref="I89:L89"/>
    <mergeCell ref="M89:P89"/>
    <mergeCell ref="Q89:T89"/>
    <mergeCell ref="U89:X89"/>
    <mergeCell ref="Y89:AB89"/>
    <mergeCell ref="AC89:AF89"/>
    <mergeCell ref="AG89:AJ89"/>
    <mergeCell ref="AK91:AN91"/>
    <mergeCell ref="AO91:AR91"/>
    <mergeCell ref="C92:D92"/>
    <mergeCell ref="E92:H92"/>
    <mergeCell ref="I92:L92"/>
    <mergeCell ref="M92:P92"/>
    <mergeCell ref="Q92:T92"/>
    <mergeCell ref="U92:X92"/>
    <mergeCell ref="Y92:AB92"/>
    <mergeCell ref="AC92:AF92"/>
    <mergeCell ref="AG92:AJ92"/>
    <mergeCell ref="AK92:AN92"/>
    <mergeCell ref="AO92:AR92"/>
    <mergeCell ref="C91:D91"/>
    <mergeCell ref="E91:H91"/>
    <mergeCell ref="I91:L91"/>
    <mergeCell ref="M91:P91"/>
    <mergeCell ref="Q91:T91"/>
    <mergeCell ref="U91:X91"/>
    <mergeCell ref="Y91:AB91"/>
    <mergeCell ref="AC91:AF91"/>
    <mergeCell ref="AG91:AJ91"/>
    <mergeCell ref="AK93:AN93"/>
    <mergeCell ref="AO93:AR93"/>
    <mergeCell ref="C94:D94"/>
    <mergeCell ref="E94:H94"/>
    <mergeCell ref="I94:L94"/>
    <mergeCell ref="M94:P94"/>
    <mergeCell ref="Q94:T94"/>
    <mergeCell ref="U94:X94"/>
    <mergeCell ref="Y94:AB94"/>
    <mergeCell ref="AC94:AF94"/>
    <mergeCell ref="AG94:AJ94"/>
    <mergeCell ref="AK94:AN94"/>
    <mergeCell ref="AO94:AR94"/>
    <mergeCell ref="C93:D93"/>
    <mergeCell ref="E93:H93"/>
    <mergeCell ref="I93:L93"/>
    <mergeCell ref="M93:P93"/>
    <mergeCell ref="Q93:T93"/>
    <mergeCell ref="U93:X93"/>
    <mergeCell ref="Y93:AB93"/>
    <mergeCell ref="AC93:AF93"/>
    <mergeCell ref="AG93:AJ93"/>
    <mergeCell ref="AK95:AN95"/>
    <mergeCell ref="AO95:AR95"/>
    <mergeCell ref="A96:D97"/>
    <mergeCell ref="E96:H97"/>
    <mergeCell ref="I96:L97"/>
    <mergeCell ref="M96:P97"/>
    <mergeCell ref="Q96:T97"/>
    <mergeCell ref="U96:X97"/>
    <mergeCell ref="Y96:AB97"/>
    <mergeCell ref="AC96:AF97"/>
    <mergeCell ref="AG96:AJ97"/>
    <mergeCell ref="AK96:AN97"/>
    <mergeCell ref="AO96:AR97"/>
    <mergeCell ref="C95:D95"/>
    <mergeCell ref="E95:H95"/>
    <mergeCell ref="I95:L95"/>
    <mergeCell ref="M95:P95"/>
    <mergeCell ref="Q95:T95"/>
    <mergeCell ref="U95:X95"/>
    <mergeCell ref="Y95:AB95"/>
    <mergeCell ref="AC95:AF95"/>
    <mergeCell ref="AG95:AJ95"/>
    <mergeCell ref="AK98:AN98"/>
    <mergeCell ref="AO98:AR98"/>
    <mergeCell ref="A99:D99"/>
    <mergeCell ref="E99:H99"/>
    <mergeCell ref="I99:L99"/>
    <mergeCell ref="M99:P99"/>
    <mergeCell ref="Q99:T99"/>
    <mergeCell ref="U99:X99"/>
    <mergeCell ref="Y99:AB99"/>
    <mergeCell ref="AC99:AF99"/>
    <mergeCell ref="AG99:AJ99"/>
    <mergeCell ref="AK99:AN99"/>
    <mergeCell ref="AO99:AR99"/>
    <mergeCell ref="A98:D98"/>
    <mergeCell ref="E98:H98"/>
    <mergeCell ref="I98:L98"/>
    <mergeCell ref="M98:P98"/>
    <mergeCell ref="Q98:T98"/>
    <mergeCell ref="U98:X98"/>
    <mergeCell ref="Y98:AB98"/>
    <mergeCell ref="AC98:AF98"/>
    <mergeCell ref="AG98:AJ98"/>
    <mergeCell ref="G105:H105"/>
    <mergeCell ref="I105:J105"/>
    <mergeCell ref="K105:L105"/>
    <mergeCell ref="M105:N105"/>
    <mergeCell ref="O105:P105"/>
    <mergeCell ref="Q105:R105"/>
    <mergeCell ref="S105:T105"/>
    <mergeCell ref="AK101:AN102"/>
    <mergeCell ref="AO101:AR102"/>
    <mergeCell ref="A103:D104"/>
    <mergeCell ref="E103:H104"/>
    <mergeCell ref="I103:L104"/>
    <mergeCell ref="M103:P104"/>
    <mergeCell ref="Q103:T104"/>
    <mergeCell ref="U103:X104"/>
    <mergeCell ref="Y103:AB104"/>
    <mergeCell ref="AC103:AF104"/>
    <mergeCell ref="AG103:AJ104"/>
    <mergeCell ref="AK103:AN104"/>
    <mergeCell ref="AO103:AR104"/>
    <mergeCell ref="A101:D102"/>
    <mergeCell ref="E101:H102"/>
    <mergeCell ref="I101:L102"/>
    <mergeCell ref="M101:P102"/>
    <mergeCell ref="Q101:T102"/>
    <mergeCell ref="U101:X102"/>
    <mergeCell ref="Y101:AB102"/>
    <mergeCell ref="AC101:AF102"/>
    <mergeCell ref="AG101:AJ102"/>
    <mergeCell ref="AG110:AJ110"/>
    <mergeCell ref="AK110:AN110"/>
    <mergeCell ref="AO110:AR110"/>
    <mergeCell ref="C111:D111"/>
    <mergeCell ref="E111:H111"/>
    <mergeCell ref="I111:L111"/>
    <mergeCell ref="M111:P111"/>
    <mergeCell ref="AM105:AN105"/>
    <mergeCell ref="AO105:AP105"/>
    <mergeCell ref="AQ105:AR105"/>
    <mergeCell ref="A106:D106"/>
    <mergeCell ref="F106:H106"/>
    <mergeCell ref="J106:L106"/>
    <mergeCell ref="N106:P106"/>
    <mergeCell ref="R106:T106"/>
    <mergeCell ref="V106:X106"/>
    <mergeCell ref="Z106:AB106"/>
    <mergeCell ref="AD106:AF106"/>
    <mergeCell ref="AH106:AJ106"/>
    <mergeCell ref="AL106:AN106"/>
    <mergeCell ref="AP106:AR106"/>
    <mergeCell ref="U105:V105"/>
    <mergeCell ref="W105:X105"/>
    <mergeCell ref="Y105:Z105"/>
    <mergeCell ref="AA105:AB105"/>
    <mergeCell ref="AC105:AD105"/>
    <mergeCell ref="AE105:AF105"/>
    <mergeCell ref="AG105:AH105"/>
    <mergeCell ref="AI105:AJ105"/>
    <mergeCell ref="AK105:AL105"/>
    <mergeCell ref="A105:D105"/>
    <mergeCell ref="E105:F105"/>
    <mergeCell ref="AL107:AN107"/>
    <mergeCell ref="AP107:AR107"/>
    <mergeCell ref="A108:D109"/>
    <mergeCell ref="E108:H109"/>
    <mergeCell ref="I108:L109"/>
    <mergeCell ref="M108:P109"/>
    <mergeCell ref="Q108:T109"/>
    <mergeCell ref="U108:X109"/>
    <mergeCell ref="Y108:AB109"/>
    <mergeCell ref="AC108:AF109"/>
    <mergeCell ref="AG108:AJ109"/>
    <mergeCell ref="AK108:AN109"/>
    <mergeCell ref="AO108:AR109"/>
    <mergeCell ref="A107:D107"/>
    <mergeCell ref="F107:H107"/>
    <mergeCell ref="J107:L107"/>
    <mergeCell ref="N107:P107"/>
    <mergeCell ref="R107:T107"/>
    <mergeCell ref="V107:X107"/>
    <mergeCell ref="Z107:AB107"/>
    <mergeCell ref="AD107:AF107"/>
    <mergeCell ref="AH107:AJ107"/>
    <mergeCell ref="Q111:T111"/>
    <mergeCell ref="U111:X111"/>
    <mergeCell ref="Y111:AB111"/>
    <mergeCell ref="AC111:AF111"/>
    <mergeCell ref="AG111:AJ111"/>
    <mergeCell ref="AK111:AN111"/>
    <mergeCell ref="AO111:AR111"/>
    <mergeCell ref="A110:B119"/>
    <mergeCell ref="C110:D110"/>
    <mergeCell ref="E110:H110"/>
    <mergeCell ref="I110:L110"/>
    <mergeCell ref="M110:P110"/>
    <mergeCell ref="Q110:T110"/>
    <mergeCell ref="U110:X110"/>
    <mergeCell ref="Y110:AB110"/>
    <mergeCell ref="AC110:AF110"/>
    <mergeCell ref="C112:D112"/>
    <mergeCell ref="E112:H112"/>
    <mergeCell ref="I112:L112"/>
    <mergeCell ref="M112:P112"/>
    <mergeCell ref="Q112:T112"/>
    <mergeCell ref="U112:X112"/>
    <mergeCell ref="Y112:AB112"/>
    <mergeCell ref="AC112:AF112"/>
    <mergeCell ref="C114:D114"/>
    <mergeCell ref="AC114:AF114"/>
    <mergeCell ref="AG114:AJ114"/>
    <mergeCell ref="AK114:AN114"/>
    <mergeCell ref="AO114:AR114"/>
    <mergeCell ref="C115:D115"/>
    <mergeCell ref="E115:H115"/>
    <mergeCell ref="I115:L115"/>
    <mergeCell ref="M115:P115"/>
    <mergeCell ref="Q115:T115"/>
    <mergeCell ref="U115:X115"/>
    <mergeCell ref="Y115:AB115"/>
    <mergeCell ref="AC115:AF115"/>
    <mergeCell ref="AG115:AJ115"/>
    <mergeCell ref="AK115:AN115"/>
    <mergeCell ref="AO115:AR115"/>
    <mergeCell ref="AG112:AJ112"/>
    <mergeCell ref="AK112:AN112"/>
    <mergeCell ref="AO112:AR112"/>
    <mergeCell ref="C113:D113"/>
    <mergeCell ref="E113:H113"/>
    <mergeCell ref="I113:L113"/>
    <mergeCell ref="M113:P113"/>
    <mergeCell ref="Q113:T113"/>
    <mergeCell ref="U113:X113"/>
    <mergeCell ref="Y113:AB113"/>
    <mergeCell ref="AC113:AF113"/>
    <mergeCell ref="AG113:AJ113"/>
    <mergeCell ref="AK113:AN113"/>
    <mergeCell ref="AO113:AR113"/>
    <mergeCell ref="E114:H114"/>
    <mergeCell ref="I114:L114"/>
    <mergeCell ref="M114:P114"/>
    <mergeCell ref="Q114:T114"/>
    <mergeCell ref="U114:X114"/>
    <mergeCell ref="Y114:AB114"/>
    <mergeCell ref="AK116:AN116"/>
    <mergeCell ref="AO116:AR116"/>
    <mergeCell ref="C117:D117"/>
    <mergeCell ref="E117:H117"/>
    <mergeCell ref="I117:L117"/>
    <mergeCell ref="M117:P117"/>
    <mergeCell ref="Q117:T117"/>
    <mergeCell ref="U117:X117"/>
    <mergeCell ref="Y117:AB117"/>
    <mergeCell ref="AC117:AF117"/>
    <mergeCell ref="AG117:AJ117"/>
    <mergeCell ref="AK117:AN117"/>
    <mergeCell ref="AO117:AR117"/>
    <mergeCell ref="C116:D116"/>
    <mergeCell ref="E116:H116"/>
    <mergeCell ref="I116:L116"/>
    <mergeCell ref="M116:P116"/>
    <mergeCell ref="Q116:T116"/>
    <mergeCell ref="U116:X116"/>
    <mergeCell ref="Y116:AB116"/>
    <mergeCell ref="AC116:AF116"/>
    <mergeCell ref="AG116:AJ116"/>
    <mergeCell ref="AK118:AN118"/>
    <mergeCell ref="AO118:AR118"/>
    <mergeCell ref="C119:D119"/>
    <mergeCell ref="E119:H119"/>
    <mergeCell ref="I119:L119"/>
    <mergeCell ref="M119:P119"/>
    <mergeCell ref="Q119:T119"/>
    <mergeCell ref="U119:X119"/>
    <mergeCell ref="Y119:AB119"/>
    <mergeCell ref="AC119:AF119"/>
    <mergeCell ref="AG119:AJ119"/>
    <mergeCell ref="AK119:AN119"/>
    <mergeCell ref="AO119:AR119"/>
    <mergeCell ref="C118:D118"/>
    <mergeCell ref="E118:H118"/>
    <mergeCell ref="I118:L118"/>
    <mergeCell ref="M118:P118"/>
    <mergeCell ref="Q118:T118"/>
    <mergeCell ref="U118:X118"/>
    <mergeCell ref="Y118:AB118"/>
    <mergeCell ref="AC118:AF118"/>
    <mergeCell ref="AG118:AJ118"/>
    <mergeCell ref="AK120:AN121"/>
    <mergeCell ref="AO120:AR121"/>
    <mergeCell ref="A122:D122"/>
    <mergeCell ref="E122:H122"/>
    <mergeCell ref="I122:L122"/>
    <mergeCell ref="M122:P122"/>
    <mergeCell ref="Q122:T122"/>
    <mergeCell ref="U122:X122"/>
    <mergeCell ref="Y122:AB122"/>
    <mergeCell ref="AC122:AF122"/>
    <mergeCell ref="AG122:AJ122"/>
    <mergeCell ref="AK122:AN122"/>
    <mergeCell ref="AO122:AR122"/>
    <mergeCell ref="A120:D121"/>
    <mergeCell ref="E120:H121"/>
    <mergeCell ref="I120:L121"/>
    <mergeCell ref="M120:P121"/>
    <mergeCell ref="Q120:T121"/>
    <mergeCell ref="U120:X121"/>
    <mergeCell ref="Y120:AB121"/>
    <mergeCell ref="AC120:AF121"/>
    <mergeCell ref="AG120:AJ121"/>
    <mergeCell ref="Y127:AB128"/>
    <mergeCell ref="AC127:AF128"/>
    <mergeCell ref="AG127:AJ128"/>
    <mergeCell ref="AK123:AN123"/>
    <mergeCell ref="AO123:AR123"/>
    <mergeCell ref="A125:D126"/>
    <mergeCell ref="E125:H126"/>
    <mergeCell ref="I125:L126"/>
    <mergeCell ref="M125:P126"/>
    <mergeCell ref="Q125:T126"/>
    <mergeCell ref="U125:X126"/>
    <mergeCell ref="Y125:AB126"/>
    <mergeCell ref="AC125:AF126"/>
    <mergeCell ref="AG125:AJ126"/>
    <mergeCell ref="AK125:AN126"/>
    <mergeCell ref="AO125:AR126"/>
    <mergeCell ref="A123:D123"/>
    <mergeCell ref="E123:H123"/>
    <mergeCell ref="I123:L123"/>
    <mergeCell ref="M123:P123"/>
    <mergeCell ref="Q123:T123"/>
    <mergeCell ref="U123:X123"/>
    <mergeCell ref="Y123:AB123"/>
    <mergeCell ref="AC123:AF123"/>
    <mergeCell ref="AG123:AJ123"/>
    <mergeCell ref="Z130:AB130"/>
    <mergeCell ref="AD130:AF130"/>
    <mergeCell ref="AH130:AJ130"/>
    <mergeCell ref="AK127:AN128"/>
    <mergeCell ref="AO127:AR128"/>
    <mergeCell ref="A129:D129"/>
    <mergeCell ref="E129:F129"/>
    <mergeCell ref="G129:H129"/>
    <mergeCell ref="I129:J129"/>
    <mergeCell ref="K129:L129"/>
    <mergeCell ref="M129:N129"/>
    <mergeCell ref="O129:P129"/>
    <mergeCell ref="Q129:R129"/>
    <mergeCell ref="S129:T129"/>
    <mergeCell ref="U129:V129"/>
    <mergeCell ref="W129:X129"/>
    <mergeCell ref="Y129:Z129"/>
    <mergeCell ref="AA129:AB129"/>
    <mergeCell ref="AC129:AD129"/>
    <mergeCell ref="AE129:AF129"/>
    <mergeCell ref="AG129:AH129"/>
    <mergeCell ref="AI129:AJ129"/>
    <mergeCell ref="AK129:AL129"/>
    <mergeCell ref="AM129:AN129"/>
    <mergeCell ref="AO129:AP129"/>
    <mergeCell ref="AQ129:AR129"/>
    <mergeCell ref="A127:D128"/>
    <mergeCell ref="E127:H128"/>
    <mergeCell ref="I127:L128"/>
    <mergeCell ref="M127:P128"/>
    <mergeCell ref="Q127:T128"/>
    <mergeCell ref="U127:X128"/>
    <mergeCell ref="Y135:AB135"/>
    <mergeCell ref="AC135:AF135"/>
    <mergeCell ref="AG135:AJ135"/>
    <mergeCell ref="AK135:AN135"/>
    <mergeCell ref="A132:D133"/>
    <mergeCell ref="E132:H133"/>
    <mergeCell ref="I132:L133"/>
    <mergeCell ref="M132:P133"/>
    <mergeCell ref="Q132:T133"/>
    <mergeCell ref="U132:X133"/>
    <mergeCell ref="Y132:AB133"/>
    <mergeCell ref="AC132:AF133"/>
    <mergeCell ref="AG132:AJ133"/>
    <mergeCell ref="AL130:AN130"/>
    <mergeCell ref="AP130:AR130"/>
    <mergeCell ref="A131:D131"/>
    <mergeCell ref="F131:H131"/>
    <mergeCell ref="J131:L131"/>
    <mergeCell ref="N131:P131"/>
    <mergeCell ref="R131:T131"/>
    <mergeCell ref="V131:X131"/>
    <mergeCell ref="Z131:AB131"/>
    <mergeCell ref="AD131:AF131"/>
    <mergeCell ref="AH131:AJ131"/>
    <mergeCell ref="AL131:AN131"/>
    <mergeCell ref="AP131:AR131"/>
    <mergeCell ref="A130:D130"/>
    <mergeCell ref="F130:H130"/>
    <mergeCell ref="J130:L130"/>
    <mergeCell ref="N130:P130"/>
    <mergeCell ref="R130:T130"/>
    <mergeCell ref="V130:X130"/>
    <mergeCell ref="AO135:AR135"/>
    <mergeCell ref="C136:D136"/>
    <mergeCell ref="E136:H136"/>
    <mergeCell ref="I136:L136"/>
    <mergeCell ref="M136:P136"/>
    <mergeCell ref="Q136:T136"/>
    <mergeCell ref="U136:X136"/>
    <mergeCell ref="Y136:AB136"/>
    <mergeCell ref="AC136:AF136"/>
    <mergeCell ref="AG136:AJ136"/>
    <mergeCell ref="AK136:AN136"/>
    <mergeCell ref="AO136:AR136"/>
    <mergeCell ref="AK132:AN133"/>
    <mergeCell ref="AO132:AR133"/>
    <mergeCell ref="A134:B143"/>
    <mergeCell ref="C134:D134"/>
    <mergeCell ref="E134:H134"/>
    <mergeCell ref="I134:L134"/>
    <mergeCell ref="M134:P134"/>
    <mergeCell ref="Q134:T134"/>
    <mergeCell ref="U134:X134"/>
    <mergeCell ref="Y134:AB134"/>
    <mergeCell ref="AC134:AF134"/>
    <mergeCell ref="AG134:AJ134"/>
    <mergeCell ref="AK134:AN134"/>
    <mergeCell ref="AO134:AR134"/>
    <mergeCell ref="C135:D135"/>
    <mergeCell ref="E135:H135"/>
    <mergeCell ref="I135:L135"/>
    <mergeCell ref="M135:P135"/>
    <mergeCell ref="Q135:T135"/>
    <mergeCell ref="U135:X135"/>
    <mergeCell ref="AK137:AN137"/>
    <mergeCell ref="AO137:AR137"/>
    <mergeCell ref="C138:D138"/>
    <mergeCell ref="E138:H138"/>
    <mergeCell ref="I138:L138"/>
    <mergeCell ref="M138:P138"/>
    <mergeCell ref="Q138:T138"/>
    <mergeCell ref="U138:X138"/>
    <mergeCell ref="Y138:AB138"/>
    <mergeCell ref="AC138:AF138"/>
    <mergeCell ref="AG138:AJ138"/>
    <mergeCell ref="AK138:AN138"/>
    <mergeCell ref="AO138:AR138"/>
    <mergeCell ref="C137:D137"/>
    <mergeCell ref="E137:H137"/>
    <mergeCell ref="I137:L137"/>
    <mergeCell ref="M137:P137"/>
    <mergeCell ref="Q137:T137"/>
    <mergeCell ref="U137:X137"/>
    <mergeCell ref="Y137:AB137"/>
    <mergeCell ref="AC137:AF137"/>
    <mergeCell ref="AG137:AJ137"/>
    <mergeCell ref="AK139:AN139"/>
    <mergeCell ref="AO139:AR139"/>
    <mergeCell ref="C140:D140"/>
    <mergeCell ref="E140:H140"/>
    <mergeCell ref="I140:L140"/>
    <mergeCell ref="M140:P140"/>
    <mergeCell ref="Q140:T140"/>
    <mergeCell ref="U140:X140"/>
    <mergeCell ref="Y140:AB140"/>
    <mergeCell ref="AC140:AF140"/>
    <mergeCell ref="AG140:AJ140"/>
    <mergeCell ref="AK140:AN140"/>
    <mergeCell ref="AO140:AR140"/>
    <mergeCell ref="C139:D139"/>
    <mergeCell ref="E139:H139"/>
    <mergeCell ref="I139:L139"/>
    <mergeCell ref="M139:P139"/>
    <mergeCell ref="Q139:T139"/>
    <mergeCell ref="U139:X139"/>
    <mergeCell ref="Y139:AB139"/>
    <mergeCell ref="AC139:AF139"/>
    <mergeCell ref="AG139:AJ139"/>
    <mergeCell ref="AK141:AN141"/>
    <mergeCell ref="AO141:AR141"/>
    <mergeCell ref="C142:D142"/>
    <mergeCell ref="E142:H142"/>
    <mergeCell ref="I142:L142"/>
    <mergeCell ref="M142:P142"/>
    <mergeCell ref="Q142:T142"/>
    <mergeCell ref="U142:X142"/>
    <mergeCell ref="Y142:AB142"/>
    <mergeCell ref="AC142:AF142"/>
    <mergeCell ref="AG142:AJ142"/>
    <mergeCell ref="AK142:AN142"/>
    <mergeCell ref="AO142:AR142"/>
    <mergeCell ref="C141:D141"/>
    <mergeCell ref="E141:H141"/>
    <mergeCell ref="I141:L141"/>
    <mergeCell ref="M141:P141"/>
    <mergeCell ref="Q141:T141"/>
    <mergeCell ref="U141:X141"/>
    <mergeCell ref="Y141:AB141"/>
    <mergeCell ref="AC141:AF141"/>
    <mergeCell ref="AG141:AJ141"/>
    <mergeCell ref="AK143:AN143"/>
    <mergeCell ref="AO143:AR143"/>
    <mergeCell ref="A144:D145"/>
    <mergeCell ref="E144:H145"/>
    <mergeCell ref="I144:L145"/>
    <mergeCell ref="M144:P145"/>
    <mergeCell ref="Q144:T145"/>
    <mergeCell ref="U144:X145"/>
    <mergeCell ref="Y144:AB145"/>
    <mergeCell ref="AC144:AF145"/>
    <mergeCell ref="AG144:AJ145"/>
    <mergeCell ref="AK144:AN145"/>
    <mergeCell ref="AO144:AR145"/>
    <mergeCell ref="C143:D143"/>
    <mergeCell ref="E143:H143"/>
    <mergeCell ref="I143:L143"/>
    <mergeCell ref="M143:P143"/>
    <mergeCell ref="Q143:T143"/>
    <mergeCell ref="U143:X143"/>
    <mergeCell ref="Y143:AB143"/>
    <mergeCell ref="AC143:AF143"/>
    <mergeCell ref="AG143:AJ143"/>
    <mergeCell ref="AK146:AN146"/>
    <mergeCell ref="AO146:AR146"/>
    <mergeCell ref="A147:D147"/>
    <mergeCell ref="E147:H147"/>
    <mergeCell ref="I147:L147"/>
    <mergeCell ref="M147:P147"/>
    <mergeCell ref="Q147:T147"/>
    <mergeCell ref="U147:X147"/>
    <mergeCell ref="Y147:AB147"/>
    <mergeCell ref="AC147:AF147"/>
    <mergeCell ref="AG147:AJ147"/>
    <mergeCell ref="AK147:AN147"/>
    <mergeCell ref="AO147:AR147"/>
    <mergeCell ref="A146:D146"/>
    <mergeCell ref="E146:H146"/>
    <mergeCell ref="I146:L146"/>
    <mergeCell ref="M146:P146"/>
    <mergeCell ref="Q146:T146"/>
    <mergeCell ref="U146:X146"/>
    <mergeCell ref="Y146:AB146"/>
    <mergeCell ref="AC146:AF146"/>
    <mergeCell ref="AG146:AJ146"/>
    <mergeCell ref="A149:G151"/>
    <mergeCell ref="H149:W151"/>
    <mergeCell ref="X149:AH149"/>
    <mergeCell ref="AI149:AR149"/>
    <mergeCell ref="X150:AH151"/>
    <mergeCell ref="AI150:AR151"/>
    <mergeCell ref="A152:D153"/>
    <mergeCell ref="E152:H153"/>
    <mergeCell ref="I152:L153"/>
    <mergeCell ref="M152:P153"/>
    <mergeCell ref="Q152:T153"/>
    <mergeCell ref="U152:X153"/>
    <mergeCell ref="Y152:AB153"/>
    <mergeCell ref="AC152:AF153"/>
    <mergeCell ref="AG152:AJ153"/>
    <mergeCell ref="AK152:AN153"/>
    <mergeCell ref="AO152:AR153"/>
    <mergeCell ref="A154:D155"/>
    <mergeCell ref="E154:H155"/>
    <mergeCell ref="I154:L155"/>
    <mergeCell ref="M154:P155"/>
    <mergeCell ref="Q154:T155"/>
    <mergeCell ref="U154:X155"/>
    <mergeCell ref="Y154:AB155"/>
    <mergeCell ref="AC154:AF155"/>
    <mergeCell ref="AG154:AJ155"/>
    <mergeCell ref="AK154:AN155"/>
    <mergeCell ref="AO154:AR155"/>
    <mergeCell ref="A156:D156"/>
    <mergeCell ref="E156:F156"/>
    <mergeCell ref="G156:H156"/>
    <mergeCell ref="I156:J156"/>
    <mergeCell ref="K156:L156"/>
    <mergeCell ref="M156:N156"/>
    <mergeCell ref="O156:P156"/>
    <mergeCell ref="Q156:R156"/>
    <mergeCell ref="S156:T156"/>
    <mergeCell ref="U156:V156"/>
    <mergeCell ref="W156:X156"/>
    <mergeCell ref="Y156:Z156"/>
    <mergeCell ref="AA156:AB156"/>
    <mergeCell ref="AC156:AD156"/>
    <mergeCell ref="AE156:AF156"/>
    <mergeCell ref="AG156:AH156"/>
    <mergeCell ref="AI156:AJ156"/>
    <mergeCell ref="AK156:AL156"/>
    <mergeCell ref="AM156:AN156"/>
    <mergeCell ref="AO156:AP156"/>
    <mergeCell ref="AQ156:AR156"/>
    <mergeCell ref="A157:D157"/>
    <mergeCell ref="F157:H157"/>
    <mergeCell ref="J157:L157"/>
    <mergeCell ref="N157:P157"/>
    <mergeCell ref="R157:T157"/>
    <mergeCell ref="V157:X157"/>
    <mergeCell ref="Z157:AB157"/>
    <mergeCell ref="AD157:AF157"/>
    <mergeCell ref="AH157:AJ157"/>
    <mergeCell ref="AL157:AN157"/>
    <mergeCell ref="AP157:AR157"/>
    <mergeCell ref="A158:D158"/>
    <mergeCell ref="F158:H158"/>
    <mergeCell ref="J158:L158"/>
    <mergeCell ref="N158:P158"/>
    <mergeCell ref="R158:T158"/>
    <mergeCell ref="V158:X158"/>
    <mergeCell ref="Z158:AB158"/>
    <mergeCell ref="AD158:AF158"/>
    <mergeCell ref="AH158:AJ158"/>
    <mergeCell ref="AL158:AN158"/>
    <mergeCell ref="AP158:AR158"/>
    <mergeCell ref="A159:D160"/>
    <mergeCell ref="E159:H160"/>
    <mergeCell ref="I159:L160"/>
    <mergeCell ref="M159:P160"/>
    <mergeCell ref="Q159:T160"/>
    <mergeCell ref="U159:X160"/>
    <mergeCell ref="Y159:AB160"/>
    <mergeCell ref="AC159:AF160"/>
    <mergeCell ref="AG159:AJ160"/>
    <mergeCell ref="AK159:AN160"/>
    <mergeCell ref="AO159:AR160"/>
    <mergeCell ref="A161:B170"/>
    <mergeCell ref="C161:D161"/>
    <mergeCell ref="E161:H161"/>
    <mergeCell ref="I161:L161"/>
    <mergeCell ref="M161:P161"/>
    <mergeCell ref="Q161:T161"/>
    <mergeCell ref="U161:X161"/>
    <mergeCell ref="Y161:AB161"/>
    <mergeCell ref="AC161:AF161"/>
    <mergeCell ref="AG161:AJ161"/>
    <mergeCell ref="AK161:AN161"/>
    <mergeCell ref="AO161:AR161"/>
    <mergeCell ref="C162:D162"/>
    <mergeCell ref="E162:H162"/>
    <mergeCell ref="I162:L162"/>
    <mergeCell ref="M162:P162"/>
    <mergeCell ref="Q162:T162"/>
    <mergeCell ref="U162:X162"/>
    <mergeCell ref="Y162:AB162"/>
    <mergeCell ref="AC162:AF162"/>
    <mergeCell ref="AG162:AJ162"/>
    <mergeCell ref="AK162:AN162"/>
    <mergeCell ref="AO162:AR162"/>
    <mergeCell ref="C163:D163"/>
    <mergeCell ref="E163:H163"/>
    <mergeCell ref="I163:L163"/>
    <mergeCell ref="M163:P163"/>
    <mergeCell ref="Q163:T163"/>
    <mergeCell ref="U163:X163"/>
    <mergeCell ref="Y163:AB163"/>
    <mergeCell ref="AC163:AF163"/>
    <mergeCell ref="AG163:AJ163"/>
    <mergeCell ref="AK163:AN163"/>
    <mergeCell ref="AO163:AR163"/>
    <mergeCell ref="C164:D164"/>
    <mergeCell ref="E164:H164"/>
    <mergeCell ref="I164:L164"/>
    <mergeCell ref="M164:P164"/>
    <mergeCell ref="Q164:T164"/>
    <mergeCell ref="U164:X164"/>
    <mergeCell ref="Y164:AB164"/>
    <mergeCell ref="AC164:AF164"/>
    <mergeCell ref="AG164:AJ164"/>
    <mergeCell ref="AK164:AN164"/>
    <mergeCell ref="AO164:AR164"/>
    <mergeCell ref="C165:D165"/>
    <mergeCell ref="E165:H165"/>
    <mergeCell ref="I165:L165"/>
    <mergeCell ref="M165:P165"/>
    <mergeCell ref="Q165:T165"/>
    <mergeCell ref="U165:X165"/>
    <mergeCell ref="Y165:AB165"/>
    <mergeCell ref="AC165:AF165"/>
    <mergeCell ref="AG165:AJ165"/>
    <mergeCell ref="AK165:AN165"/>
    <mergeCell ref="AO165:AR165"/>
    <mergeCell ref="C166:D166"/>
    <mergeCell ref="E166:H166"/>
    <mergeCell ref="I166:L166"/>
    <mergeCell ref="M166:P166"/>
    <mergeCell ref="Q166:T166"/>
    <mergeCell ref="U166:X166"/>
    <mergeCell ref="Y166:AB166"/>
    <mergeCell ref="AC166:AF166"/>
    <mergeCell ref="AG166:AJ166"/>
    <mergeCell ref="AK166:AN166"/>
    <mergeCell ref="AO166:AR166"/>
    <mergeCell ref="C167:D167"/>
    <mergeCell ref="E167:H167"/>
    <mergeCell ref="I167:L167"/>
    <mergeCell ref="M167:P167"/>
    <mergeCell ref="Q167:T167"/>
    <mergeCell ref="U167:X167"/>
    <mergeCell ref="Y167:AB167"/>
    <mergeCell ref="AC167:AF167"/>
    <mergeCell ref="AG167:AJ167"/>
    <mergeCell ref="AK167:AN167"/>
    <mergeCell ref="AO167:AR167"/>
    <mergeCell ref="C168:D168"/>
    <mergeCell ref="E168:H168"/>
    <mergeCell ref="I168:L168"/>
    <mergeCell ref="M168:P168"/>
    <mergeCell ref="Q168:T168"/>
    <mergeCell ref="U168:X168"/>
    <mergeCell ref="Y168:AB168"/>
    <mergeCell ref="AC168:AF168"/>
    <mergeCell ref="AG168:AJ168"/>
    <mergeCell ref="AK168:AN168"/>
    <mergeCell ref="AO168:AR168"/>
    <mergeCell ref="C169:D169"/>
    <mergeCell ref="E169:H169"/>
    <mergeCell ref="I169:L169"/>
    <mergeCell ref="M169:P169"/>
    <mergeCell ref="Q169:T169"/>
    <mergeCell ref="U169:X169"/>
    <mergeCell ref="Y169:AB169"/>
    <mergeCell ref="AC169:AF169"/>
    <mergeCell ref="AG169:AJ169"/>
    <mergeCell ref="AK169:AN169"/>
    <mergeCell ref="AO169:AR169"/>
    <mergeCell ref="C170:D170"/>
    <mergeCell ref="E170:H170"/>
    <mergeCell ref="I170:L170"/>
    <mergeCell ref="M170:P170"/>
    <mergeCell ref="Q170:T170"/>
    <mergeCell ref="U170:X170"/>
    <mergeCell ref="Y170:AB170"/>
    <mergeCell ref="AC170:AF170"/>
    <mergeCell ref="AG170:AJ170"/>
    <mergeCell ref="AK170:AN170"/>
    <mergeCell ref="AO170:AR170"/>
    <mergeCell ref="A171:D172"/>
    <mergeCell ref="E171:H172"/>
    <mergeCell ref="I171:L172"/>
    <mergeCell ref="M171:P172"/>
    <mergeCell ref="Q171:T172"/>
    <mergeCell ref="U171:X172"/>
    <mergeCell ref="Y171:AB172"/>
    <mergeCell ref="AC171:AF172"/>
    <mergeCell ref="AG171:AJ172"/>
    <mergeCell ref="AK171:AN172"/>
    <mergeCell ref="AO171:AR172"/>
    <mergeCell ref="A173:D173"/>
    <mergeCell ref="E173:H173"/>
    <mergeCell ref="I173:L173"/>
    <mergeCell ref="M173:P173"/>
    <mergeCell ref="Q173:T173"/>
    <mergeCell ref="U173:X173"/>
    <mergeCell ref="Y173:AB173"/>
    <mergeCell ref="AC173:AF173"/>
    <mergeCell ref="AG173:AJ173"/>
    <mergeCell ref="AK173:AN173"/>
    <mergeCell ref="AO173:AR173"/>
    <mergeCell ref="A174:D174"/>
    <mergeCell ref="E174:H174"/>
    <mergeCell ref="I174:L174"/>
    <mergeCell ref="M174:P174"/>
    <mergeCell ref="Q174:T174"/>
    <mergeCell ref="U174:X174"/>
    <mergeCell ref="Y174:AB174"/>
    <mergeCell ref="AC174:AF174"/>
    <mergeCell ref="AG174:AJ174"/>
    <mergeCell ref="AK174:AN174"/>
    <mergeCell ref="AO174:AR174"/>
    <mergeCell ref="A176:D177"/>
    <mergeCell ref="E176:H177"/>
    <mergeCell ref="I176:L177"/>
    <mergeCell ref="M176:P177"/>
    <mergeCell ref="Q176:T177"/>
    <mergeCell ref="U176:X177"/>
    <mergeCell ref="Y176:AB177"/>
    <mergeCell ref="AC176:AF177"/>
    <mergeCell ref="AG176:AJ177"/>
    <mergeCell ref="AK176:AN177"/>
    <mergeCell ref="AO176:AR177"/>
    <mergeCell ref="A178:D179"/>
    <mergeCell ref="E178:H179"/>
    <mergeCell ref="I178:L179"/>
    <mergeCell ref="M178:P179"/>
    <mergeCell ref="Q178:T179"/>
    <mergeCell ref="U178:X179"/>
    <mergeCell ref="Y178:AB179"/>
    <mergeCell ref="AC178:AF179"/>
    <mergeCell ref="AG178:AJ179"/>
    <mergeCell ref="AK178:AN179"/>
    <mergeCell ref="AO178:AR179"/>
    <mergeCell ref="A180:D180"/>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J180"/>
    <mergeCell ref="AK180:AL180"/>
    <mergeCell ref="AM180:AN180"/>
    <mergeCell ref="AO180:AP180"/>
    <mergeCell ref="AQ180:AR180"/>
    <mergeCell ref="A181:D181"/>
    <mergeCell ref="F181:H181"/>
    <mergeCell ref="J181:L181"/>
    <mergeCell ref="N181:P181"/>
    <mergeCell ref="R181:T181"/>
    <mergeCell ref="V181:X181"/>
    <mergeCell ref="Z181:AB181"/>
    <mergeCell ref="AD181:AF181"/>
    <mergeCell ref="AH181:AJ181"/>
    <mergeCell ref="AL181:AN181"/>
    <mergeCell ref="AP181:AR181"/>
    <mergeCell ref="A182:D182"/>
    <mergeCell ref="F182:H182"/>
    <mergeCell ref="J182:L182"/>
    <mergeCell ref="N182:P182"/>
    <mergeCell ref="R182:T182"/>
    <mergeCell ref="V182:X182"/>
    <mergeCell ref="Z182:AB182"/>
    <mergeCell ref="AD182:AF182"/>
    <mergeCell ref="AH182:AJ182"/>
    <mergeCell ref="AL182:AN182"/>
    <mergeCell ref="AP182:AR182"/>
    <mergeCell ref="A183:D184"/>
    <mergeCell ref="E183:H184"/>
    <mergeCell ref="I183:L184"/>
    <mergeCell ref="M183:P184"/>
    <mergeCell ref="Q183:T184"/>
    <mergeCell ref="U183:X184"/>
    <mergeCell ref="Y183:AB184"/>
    <mergeCell ref="AC183:AF184"/>
    <mergeCell ref="AG183:AJ184"/>
    <mergeCell ref="AK183:AN184"/>
    <mergeCell ref="AO183:AR184"/>
    <mergeCell ref="A185:B194"/>
    <mergeCell ref="C185:D185"/>
    <mergeCell ref="E185:H185"/>
    <mergeCell ref="I185:L185"/>
    <mergeCell ref="M185:P185"/>
    <mergeCell ref="Q185:T185"/>
    <mergeCell ref="U185:X185"/>
    <mergeCell ref="Y185:AB185"/>
    <mergeCell ref="AC185:AF185"/>
    <mergeCell ref="AG185:AJ185"/>
    <mergeCell ref="AK185:AN185"/>
    <mergeCell ref="AO185:AR185"/>
    <mergeCell ref="C186:D186"/>
    <mergeCell ref="E186:H186"/>
    <mergeCell ref="I186:L186"/>
    <mergeCell ref="M186:P186"/>
    <mergeCell ref="Q186:T186"/>
    <mergeCell ref="U186:X186"/>
    <mergeCell ref="Y186:AB186"/>
    <mergeCell ref="AC186:AF186"/>
    <mergeCell ref="AG186:AJ186"/>
    <mergeCell ref="AK186:AN186"/>
    <mergeCell ref="AO186:AR186"/>
    <mergeCell ref="C187:D187"/>
    <mergeCell ref="E187:H187"/>
    <mergeCell ref="I187:L187"/>
    <mergeCell ref="M187:P187"/>
    <mergeCell ref="Q187:T187"/>
    <mergeCell ref="U187:X187"/>
    <mergeCell ref="Y187:AB187"/>
    <mergeCell ref="AC187:AF187"/>
    <mergeCell ref="AG187:AJ187"/>
    <mergeCell ref="AK187:AN187"/>
    <mergeCell ref="AO187:AR187"/>
    <mergeCell ref="C188:D188"/>
    <mergeCell ref="E188:H188"/>
    <mergeCell ref="I188:L188"/>
    <mergeCell ref="M188:P188"/>
    <mergeCell ref="Q188:T188"/>
    <mergeCell ref="U188:X188"/>
    <mergeCell ref="Y188:AB188"/>
    <mergeCell ref="AC188:AF188"/>
    <mergeCell ref="AG188:AJ188"/>
    <mergeCell ref="AK188:AN188"/>
    <mergeCell ref="AO188:AR188"/>
    <mergeCell ref="C189:D189"/>
    <mergeCell ref="E189:H189"/>
    <mergeCell ref="I189:L189"/>
    <mergeCell ref="M189:P189"/>
    <mergeCell ref="Q189:T189"/>
    <mergeCell ref="U189:X189"/>
    <mergeCell ref="Y189:AB189"/>
    <mergeCell ref="AC189:AF189"/>
    <mergeCell ref="AG189:AJ189"/>
    <mergeCell ref="AK189:AN189"/>
    <mergeCell ref="AO189:AR189"/>
    <mergeCell ref="C190:D190"/>
    <mergeCell ref="E190:H190"/>
    <mergeCell ref="I190:L190"/>
    <mergeCell ref="M190:P190"/>
    <mergeCell ref="Q190:T190"/>
    <mergeCell ref="U190:X190"/>
    <mergeCell ref="Y190:AB190"/>
    <mergeCell ref="AC190:AF190"/>
    <mergeCell ref="AG190:AJ190"/>
    <mergeCell ref="AK190:AN190"/>
    <mergeCell ref="AO190:AR190"/>
    <mergeCell ref="C191:D191"/>
    <mergeCell ref="E191:H191"/>
    <mergeCell ref="I191:L191"/>
    <mergeCell ref="M191:P191"/>
    <mergeCell ref="Q191:T191"/>
    <mergeCell ref="U191:X191"/>
    <mergeCell ref="Y191:AB191"/>
    <mergeCell ref="AC191:AF191"/>
    <mergeCell ref="AG191:AJ191"/>
    <mergeCell ref="AK191:AN191"/>
    <mergeCell ref="AO191:AR191"/>
    <mergeCell ref="C192:D192"/>
    <mergeCell ref="E192:H192"/>
    <mergeCell ref="I192:L192"/>
    <mergeCell ref="M192:P192"/>
    <mergeCell ref="Q192:T192"/>
    <mergeCell ref="U192:X192"/>
    <mergeCell ref="Y192:AB192"/>
    <mergeCell ref="AC192:AF192"/>
    <mergeCell ref="AG192:AJ192"/>
    <mergeCell ref="AK192:AN192"/>
    <mergeCell ref="AO192:AR192"/>
    <mergeCell ref="C193:D193"/>
    <mergeCell ref="E193:H193"/>
    <mergeCell ref="I193:L193"/>
    <mergeCell ref="M193:P193"/>
    <mergeCell ref="Q193:T193"/>
    <mergeCell ref="U193:X193"/>
    <mergeCell ref="Y193:AB193"/>
    <mergeCell ref="AC193:AF193"/>
    <mergeCell ref="AG193:AJ193"/>
    <mergeCell ref="AK193:AN193"/>
    <mergeCell ref="AO193:AR193"/>
    <mergeCell ref="C194:D194"/>
    <mergeCell ref="E194:H194"/>
    <mergeCell ref="I194:L194"/>
    <mergeCell ref="M194:P194"/>
    <mergeCell ref="Q194:T194"/>
    <mergeCell ref="U194:X194"/>
    <mergeCell ref="Y194:AB194"/>
    <mergeCell ref="AC194:AF194"/>
    <mergeCell ref="AG194:AJ194"/>
    <mergeCell ref="AK194:AN194"/>
    <mergeCell ref="AO194:AR194"/>
    <mergeCell ref="A195:D196"/>
    <mergeCell ref="E195:H196"/>
    <mergeCell ref="I195:L196"/>
    <mergeCell ref="M195:P196"/>
    <mergeCell ref="Q195:T196"/>
    <mergeCell ref="U195:X196"/>
    <mergeCell ref="Y195:AB196"/>
    <mergeCell ref="AC195:AF196"/>
    <mergeCell ref="AG195:AJ196"/>
    <mergeCell ref="AK195:AN196"/>
    <mergeCell ref="AO195:AR196"/>
    <mergeCell ref="A197:D197"/>
    <mergeCell ref="E197:H197"/>
    <mergeCell ref="I197:L197"/>
    <mergeCell ref="M197:P197"/>
    <mergeCell ref="Q197:T197"/>
    <mergeCell ref="U197:X197"/>
    <mergeCell ref="Y197:AB197"/>
    <mergeCell ref="AC197:AF197"/>
    <mergeCell ref="AG197:AJ197"/>
    <mergeCell ref="AK197:AN197"/>
    <mergeCell ref="AO197:AR197"/>
    <mergeCell ref="A198:D198"/>
    <mergeCell ref="E198:H198"/>
    <mergeCell ref="I198:L198"/>
    <mergeCell ref="M198:P198"/>
    <mergeCell ref="Q198:T198"/>
    <mergeCell ref="U198:X198"/>
    <mergeCell ref="Y198:AB198"/>
    <mergeCell ref="AC198:AF198"/>
    <mergeCell ref="AG198:AJ198"/>
    <mergeCell ref="AK198:AN198"/>
    <mergeCell ref="AO198:AR198"/>
    <mergeCell ref="A200:D201"/>
    <mergeCell ref="E200:H201"/>
    <mergeCell ref="I200:L201"/>
    <mergeCell ref="M200:P201"/>
    <mergeCell ref="Q200:T201"/>
    <mergeCell ref="U200:X201"/>
    <mergeCell ref="Y200:AB201"/>
    <mergeCell ref="AC200:AF201"/>
    <mergeCell ref="AG200:AJ201"/>
    <mergeCell ref="AK200:AN201"/>
    <mergeCell ref="AO200:AR201"/>
    <mergeCell ref="A202:D203"/>
    <mergeCell ref="E202:H203"/>
    <mergeCell ref="I202:L203"/>
    <mergeCell ref="M202:P203"/>
    <mergeCell ref="Q202:T203"/>
    <mergeCell ref="U202:X203"/>
    <mergeCell ref="Y202:AB203"/>
    <mergeCell ref="AC202:AF203"/>
    <mergeCell ref="AG202:AJ203"/>
    <mergeCell ref="AK202:AN203"/>
    <mergeCell ref="AO202:AR203"/>
    <mergeCell ref="A204:D204"/>
    <mergeCell ref="E204:F204"/>
    <mergeCell ref="G204:H204"/>
    <mergeCell ref="I204:J204"/>
    <mergeCell ref="K204:L204"/>
    <mergeCell ref="M204:N204"/>
    <mergeCell ref="O204:P204"/>
    <mergeCell ref="Q204:R204"/>
    <mergeCell ref="S204:T204"/>
    <mergeCell ref="U204:V204"/>
    <mergeCell ref="W204:X204"/>
    <mergeCell ref="Y204:Z204"/>
    <mergeCell ref="AA204:AB204"/>
    <mergeCell ref="AC204:AD204"/>
    <mergeCell ref="AE204:AF204"/>
    <mergeCell ref="AG204:AH204"/>
    <mergeCell ref="AI204:AJ204"/>
    <mergeCell ref="AK204:AL204"/>
    <mergeCell ref="AM204:AN204"/>
    <mergeCell ref="AO204:AP204"/>
    <mergeCell ref="AQ204:AR204"/>
    <mergeCell ref="A205:D205"/>
    <mergeCell ref="F205:H205"/>
    <mergeCell ref="J205:L205"/>
    <mergeCell ref="N205:P205"/>
    <mergeCell ref="R205:T205"/>
    <mergeCell ref="V205:X205"/>
    <mergeCell ref="Z205:AB205"/>
    <mergeCell ref="AD205:AF205"/>
    <mergeCell ref="AH205:AJ205"/>
    <mergeCell ref="AL205:AN205"/>
    <mergeCell ref="AP205:AR205"/>
    <mergeCell ref="A206:D206"/>
    <mergeCell ref="F206:H206"/>
    <mergeCell ref="J206:L206"/>
    <mergeCell ref="N206:P206"/>
    <mergeCell ref="R206:T206"/>
    <mergeCell ref="V206:X206"/>
    <mergeCell ref="Z206:AB206"/>
    <mergeCell ref="AD206:AF206"/>
    <mergeCell ref="AH206:AJ206"/>
    <mergeCell ref="AL206:AN206"/>
    <mergeCell ref="AP206:AR206"/>
    <mergeCell ref="A207:D208"/>
    <mergeCell ref="E207:H208"/>
    <mergeCell ref="I207:L208"/>
    <mergeCell ref="M207:P208"/>
    <mergeCell ref="Q207:T208"/>
    <mergeCell ref="U207:X208"/>
    <mergeCell ref="Y207:AB208"/>
    <mergeCell ref="AC207:AF208"/>
    <mergeCell ref="AG207:AJ208"/>
    <mergeCell ref="AK207:AN208"/>
    <mergeCell ref="AO207:AR208"/>
    <mergeCell ref="A209:B218"/>
    <mergeCell ref="C209:D209"/>
    <mergeCell ref="E209:H209"/>
    <mergeCell ref="I209:L209"/>
    <mergeCell ref="M209:P209"/>
    <mergeCell ref="Q209:T209"/>
    <mergeCell ref="U209:X209"/>
    <mergeCell ref="Y209:AB209"/>
    <mergeCell ref="AC209:AF209"/>
    <mergeCell ref="AG209:AJ209"/>
    <mergeCell ref="AK209:AN209"/>
    <mergeCell ref="AO209:AR209"/>
    <mergeCell ref="C210:D210"/>
    <mergeCell ref="E210:H210"/>
    <mergeCell ref="I210:L210"/>
    <mergeCell ref="M210:P210"/>
    <mergeCell ref="Q210:T210"/>
    <mergeCell ref="U210:X210"/>
    <mergeCell ref="Y210:AB210"/>
    <mergeCell ref="AC210:AF210"/>
    <mergeCell ref="AG210:AJ210"/>
    <mergeCell ref="AK210:AN210"/>
    <mergeCell ref="AO210:AR210"/>
    <mergeCell ref="C211:D211"/>
    <mergeCell ref="E211:H211"/>
    <mergeCell ref="I211:L211"/>
    <mergeCell ref="M211:P211"/>
    <mergeCell ref="Q211:T211"/>
    <mergeCell ref="U211:X211"/>
    <mergeCell ref="Y211:AB211"/>
    <mergeCell ref="AC211:AF211"/>
    <mergeCell ref="AG211:AJ211"/>
    <mergeCell ref="AK211:AN211"/>
    <mergeCell ref="AO211:AR211"/>
    <mergeCell ref="C212:D212"/>
    <mergeCell ref="E212:H212"/>
    <mergeCell ref="I212:L212"/>
    <mergeCell ref="M212:P212"/>
    <mergeCell ref="Q212:T212"/>
    <mergeCell ref="U212:X212"/>
    <mergeCell ref="Y212:AB212"/>
    <mergeCell ref="AC212:AF212"/>
    <mergeCell ref="AG212:AJ212"/>
    <mergeCell ref="AK212:AN212"/>
    <mergeCell ref="AO212:AR212"/>
    <mergeCell ref="C213:D213"/>
    <mergeCell ref="E213:H213"/>
    <mergeCell ref="I213:L213"/>
    <mergeCell ref="M213:P213"/>
    <mergeCell ref="Q213:T213"/>
    <mergeCell ref="U213:X213"/>
    <mergeCell ref="Y213:AB213"/>
    <mergeCell ref="AC213:AF213"/>
    <mergeCell ref="AG213:AJ213"/>
    <mergeCell ref="AK213:AN213"/>
    <mergeCell ref="AO213:AR213"/>
    <mergeCell ref="C214:D214"/>
    <mergeCell ref="E214:H214"/>
    <mergeCell ref="I214:L214"/>
    <mergeCell ref="M214:P214"/>
    <mergeCell ref="Q214:T214"/>
    <mergeCell ref="U214:X214"/>
    <mergeCell ref="Y214:AB214"/>
    <mergeCell ref="AC214:AF214"/>
    <mergeCell ref="AG214:AJ214"/>
    <mergeCell ref="AK214:AN214"/>
    <mergeCell ref="AO214:AR214"/>
    <mergeCell ref="C215:D215"/>
    <mergeCell ref="E215:H215"/>
    <mergeCell ref="I215:L215"/>
    <mergeCell ref="M215:P215"/>
    <mergeCell ref="Q215:T215"/>
    <mergeCell ref="U215:X215"/>
    <mergeCell ref="Y215:AB215"/>
    <mergeCell ref="AC215:AF215"/>
    <mergeCell ref="AG215:AJ215"/>
    <mergeCell ref="AK215:AN215"/>
    <mergeCell ref="AO215:AR215"/>
    <mergeCell ref="C216:D216"/>
    <mergeCell ref="E216:H216"/>
    <mergeCell ref="I216:L216"/>
    <mergeCell ref="M216:P216"/>
    <mergeCell ref="Q216:T216"/>
    <mergeCell ref="U216:X216"/>
    <mergeCell ref="Y216:AB216"/>
    <mergeCell ref="AC216:AF216"/>
    <mergeCell ref="AG216:AJ216"/>
    <mergeCell ref="AK216:AN216"/>
    <mergeCell ref="AO216:AR216"/>
    <mergeCell ref="C217:D217"/>
    <mergeCell ref="E217:H217"/>
    <mergeCell ref="I217:L217"/>
    <mergeCell ref="M217:P217"/>
    <mergeCell ref="Q217:T217"/>
    <mergeCell ref="U217:X217"/>
    <mergeCell ref="Y217:AB217"/>
    <mergeCell ref="AC217:AF217"/>
    <mergeCell ref="AG217:AJ217"/>
    <mergeCell ref="AK217:AN217"/>
    <mergeCell ref="AO217:AR217"/>
    <mergeCell ref="C218:D218"/>
    <mergeCell ref="E218:H218"/>
    <mergeCell ref="I218:L218"/>
    <mergeCell ref="M218:P218"/>
    <mergeCell ref="Q218:T218"/>
    <mergeCell ref="U218:X218"/>
    <mergeCell ref="Y218:AB218"/>
    <mergeCell ref="AC218:AF218"/>
    <mergeCell ref="AG218:AJ218"/>
    <mergeCell ref="AK218:AN218"/>
    <mergeCell ref="AO218:AR218"/>
    <mergeCell ref="A219:D220"/>
    <mergeCell ref="E219:H220"/>
    <mergeCell ref="I219:L220"/>
    <mergeCell ref="M219:P220"/>
    <mergeCell ref="Q219:T220"/>
    <mergeCell ref="U219:X220"/>
    <mergeCell ref="Y219:AB220"/>
    <mergeCell ref="AC219:AF220"/>
    <mergeCell ref="AG219:AJ220"/>
    <mergeCell ref="AK219:AN220"/>
    <mergeCell ref="AO219:AR220"/>
    <mergeCell ref="A221:D221"/>
    <mergeCell ref="E221:H221"/>
    <mergeCell ref="I221:L221"/>
    <mergeCell ref="M221:P221"/>
    <mergeCell ref="Q221:T221"/>
    <mergeCell ref="U221:X221"/>
    <mergeCell ref="Y221:AB221"/>
    <mergeCell ref="AC221:AF221"/>
    <mergeCell ref="AG221:AJ221"/>
    <mergeCell ref="AK221:AN221"/>
    <mergeCell ref="AO221:AR221"/>
    <mergeCell ref="AK227:AN228"/>
    <mergeCell ref="AO227:AR228"/>
    <mergeCell ref="A229:D230"/>
    <mergeCell ref="E229:H230"/>
    <mergeCell ref="I229:L230"/>
    <mergeCell ref="M229:P230"/>
    <mergeCell ref="Q229:T230"/>
    <mergeCell ref="U229:X230"/>
    <mergeCell ref="Y229:AB230"/>
    <mergeCell ref="AC229:AF230"/>
    <mergeCell ref="AG229:AJ230"/>
    <mergeCell ref="AK229:AN230"/>
    <mergeCell ref="AO229:AR230"/>
    <mergeCell ref="A222:D222"/>
    <mergeCell ref="E222:H222"/>
    <mergeCell ref="I222:L222"/>
    <mergeCell ref="M222:P222"/>
    <mergeCell ref="Q222:T222"/>
    <mergeCell ref="U222:X222"/>
    <mergeCell ref="Y222:AB222"/>
    <mergeCell ref="AC222:AF222"/>
    <mergeCell ref="AG222:AJ222"/>
    <mergeCell ref="AK222:AN222"/>
    <mergeCell ref="AO222:AR222"/>
    <mergeCell ref="A224:G226"/>
    <mergeCell ref="H224:W226"/>
    <mergeCell ref="X224:AH224"/>
    <mergeCell ref="AI224:AR224"/>
    <mergeCell ref="X225:AH226"/>
    <mergeCell ref="AI225:AR226"/>
    <mergeCell ref="O231:P231"/>
    <mergeCell ref="Q231:R231"/>
    <mergeCell ref="S231:T231"/>
    <mergeCell ref="U231:V231"/>
    <mergeCell ref="W231:X231"/>
    <mergeCell ref="Y231:Z231"/>
    <mergeCell ref="AA231:AB231"/>
    <mergeCell ref="AC231:AD231"/>
    <mergeCell ref="AE231:AF231"/>
    <mergeCell ref="AG231:AH231"/>
    <mergeCell ref="AI231:AJ231"/>
    <mergeCell ref="A227:D228"/>
    <mergeCell ref="E227:H228"/>
    <mergeCell ref="I227:L228"/>
    <mergeCell ref="M227:P228"/>
    <mergeCell ref="Q227:T228"/>
    <mergeCell ref="U227:X228"/>
    <mergeCell ref="Y227:AB228"/>
    <mergeCell ref="AC227:AF228"/>
    <mergeCell ref="AG227:AJ228"/>
    <mergeCell ref="AK231:AL231"/>
    <mergeCell ref="AM231:AN231"/>
    <mergeCell ref="AO231:AP231"/>
    <mergeCell ref="AQ231:AR231"/>
    <mergeCell ref="A232:D232"/>
    <mergeCell ref="F232:H232"/>
    <mergeCell ref="J232:L232"/>
    <mergeCell ref="N232:P232"/>
    <mergeCell ref="R232:T232"/>
    <mergeCell ref="V232:X232"/>
    <mergeCell ref="Z232:AB232"/>
    <mergeCell ref="AD232:AF232"/>
    <mergeCell ref="AH232:AJ232"/>
    <mergeCell ref="AL232:AN232"/>
    <mergeCell ref="AP232:AR232"/>
    <mergeCell ref="A233:D233"/>
    <mergeCell ref="F233:H233"/>
    <mergeCell ref="J233:L233"/>
    <mergeCell ref="N233:P233"/>
    <mergeCell ref="R233:T233"/>
    <mergeCell ref="V233:X233"/>
    <mergeCell ref="Z233:AB233"/>
    <mergeCell ref="AD233:AF233"/>
    <mergeCell ref="AH233:AJ233"/>
    <mergeCell ref="AL233:AN233"/>
    <mergeCell ref="AP233:AR233"/>
    <mergeCell ref="A231:D231"/>
    <mergeCell ref="E231:F231"/>
    <mergeCell ref="G231:H231"/>
    <mergeCell ref="I231:J231"/>
    <mergeCell ref="K231:L231"/>
    <mergeCell ref="M231:N231"/>
    <mergeCell ref="A234:D235"/>
    <mergeCell ref="E234:H235"/>
    <mergeCell ref="I234:L235"/>
    <mergeCell ref="M234:P235"/>
    <mergeCell ref="Q234:T235"/>
    <mergeCell ref="U234:X235"/>
    <mergeCell ref="Y234:AB235"/>
    <mergeCell ref="AC234:AF235"/>
    <mergeCell ref="AG234:AJ235"/>
    <mergeCell ref="AK234:AN235"/>
    <mergeCell ref="AO234:AR235"/>
    <mergeCell ref="A236:B245"/>
    <mergeCell ref="C236:D236"/>
    <mergeCell ref="E236:H236"/>
    <mergeCell ref="I236:L236"/>
    <mergeCell ref="M236:P236"/>
    <mergeCell ref="Q236:T236"/>
    <mergeCell ref="U236:X236"/>
    <mergeCell ref="Y236:AB236"/>
    <mergeCell ref="AC236:AF236"/>
    <mergeCell ref="AG236:AJ236"/>
    <mergeCell ref="AK236:AN236"/>
    <mergeCell ref="AO236:AR236"/>
    <mergeCell ref="C237:D237"/>
    <mergeCell ref="E237:H237"/>
    <mergeCell ref="I237:L237"/>
    <mergeCell ref="M237:P237"/>
    <mergeCell ref="Q237:T237"/>
    <mergeCell ref="U237:X237"/>
    <mergeCell ref="Y237:AB237"/>
    <mergeCell ref="AC237:AF237"/>
    <mergeCell ref="AG237:AJ237"/>
    <mergeCell ref="AK237:AN237"/>
    <mergeCell ref="AO237:AR237"/>
    <mergeCell ref="C238:D238"/>
    <mergeCell ref="E238:H238"/>
    <mergeCell ref="I238:L238"/>
    <mergeCell ref="M238:P238"/>
    <mergeCell ref="Q238:T238"/>
    <mergeCell ref="U238:X238"/>
    <mergeCell ref="Y238:AB238"/>
    <mergeCell ref="AC238:AF238"/>
    <mergeCell ref="AG238:AJ238"/>
    <mergeCell ref="AK238:AN238"/>
    <mergeCell ref="AO238:AR238"/>
    <mergeCell ref="C239:D239"/>
    <mergeCell ref="E239:H239"/>
    <mergeCell ref="I239:L239"/>
    <mergeCell ref="M239:P239"/>
    <mergeCell ref="Q239:T239"/>
    <mergeCell ref="U239:X239"/>
    <mergeCell ref="Y239:AB239"/>
    <mergeCell ref="AC239:AF239"/>
    <mergeCell ref="AG239:AJ239"/>
    <mergeCell ref="AK239:AN239"/>
    <mergeCell ref="AO239:AR239"/>
    <mergeCell ref="C240:D240"/>
    <mergeCell ref="E240:H240"/>
    <mergeCell ref="I240:L240"/>
    <mergeCell ref="M240:P240"/>
    <mergeCell ref="Q240:T240"/>
    <mergeCell ref="U240:X240"/>
    <mergeCell ref="Y240:AB240"/>
    <mergeCell ref="AC240:AF240"/>
    <mergeCell ref="AG240:AJ240"/>
    <mergeCell ref="AK240:AN240"/>
    <mergeCell ref="AO240:AR240"/>
    <mergeCell ref="C241:D241"/>
    <mergeCell ref="E241:H241"/>
    <mergeCell ref="I241:L241"/>
    <mergeCell ref="M241:P241"/>
    <mergeCell ref="Q241:T241"/>
    <mergeCell ref="U241:X241"/>
    <mergeCell ref="Y241:AB241"/>
    <mergeCell ref="AC241:AF241"/>
    <mergeCell ref="AG241:AJ241"/>
    <mergeCell ref="AK241:AN241"/>
    <mergeCell ref="AO241:AR241"/>
    <mergeCell ref="C242:D242"/>
    <mergeCell ref="E242:H242"/>
    <mergeCell ref="I242:L242"/>
    <mergeCell ref="M242:P242"/>
    <mergeCell ref="Q242:T242"/>
    <mergeCell ref="U242:X242"/>
    <mergeCell ref="Y242:AB242"/>
    <mergeCell ref="AC242:AF242"/>
    <mergeCell ref="AG242:AJ242"/>
    <mergeCell ref="AK242:AN242"/>
    <mergeCell ref="AO242:AR242"/>
    <mergeCell ref="C243:D243"/>
    <mergeCell ref="E243:H243"/>
    <mergeCell ref="I243:L243"/>
    <mergeCell ref="M243:P243"/>
    <mergeCell ref="Q243:T243"/>
    <mergeCell ref="U243:X243"/>
    <mergeCell ref="Y243:AB243"/>
    <mergeCell ref="AC243:AF243"/>
    <mergeCell ref="AG243:AJ243"/>
    <mergeCell ref="AK243:AN243"/>
    <mergeCell ref="AO243:AR243"/>
    <mergeCell ref="C244:D244"/>
    <mergeCell ref="E244:H244"/>
    <mergeCell ref="I244:L244"/>
    <mergeCell ref="M244:P244"/>
    <mergeCell ref="Q244:T244"/>
    <mergeCell ref="U244:X244"/>
    <mergeCell ref="Y244:AB244"/>
    <mergeCell ref="AC244:AF244"/>
    <mergeCell ref="AG244:AJ244"/>
    <mergeCell ref="AK244:AN244"/>
    <mergeCell ref="AO244:AR244"/>
    <mergeCell ref="C245:D245"/>
    <mergeCell ref="E245:H245"/>
    <mergeCell ref="I245:L245"/>
    <mergeCell ref="M245:P245"/>
    <mergeCell ref="Q245:T245"/>
    <mergeCell ref="U245:X245"/>
    <mergeCell ref="Y245:AB245"/>
    <mergeCell ref="AC245:AF245"/>
    <mergeCell ref="AG245:AJ245"/>
    <mergeCell ref="AK245:AN245"/>
    <mergeCell ref="AO245:AR245"/>
    <mergeCell ref="A246:D247"/>
    <mergeCell ref="E246:H247"/>
    <mergeCell ref="I246:L247"/>
    <mergeCell ref="M246:P247"/>
    <mergeCell ref="Q246:T247"/>
    <mergeCell ref="U246:X247"/>
    <mergeCell ref="Y246:AB247"/>
    <mergeCell ref="AC246:AF247"/>
    <mergeCell ref="AG246:AJ247"/>
    <mergeCell ref="AK246:AN247"/>
    <mergeCell ref="AO246:AR247"/>
    <mergeCell ref="A248:D248"/>
    <mergeCell ref="E248:H248"/>
    <mergeCell ref="I248:L248"/>
    <mergeCell ref="M248:P248"/>
    <mergeCell ref="Q248:T248"/>
    <mergeCell ref="U248:X248"/>
    <mergeCell ref="Y248:AB248"/>
    <mergeCell ref="AC248:AF248"/>
    <mergeCell ref="AG248:AJ248"/>
    <mergeCell ref="AK248:AN248"/>
    <mergeCell ref="AO248:AR248"/>
    <mergeCell ref="A249:D249"/>
    <mergeCell ref="E249:H249"/>
    <mergeCell ref="I249:L249"/>
    <mergeCell ref="M249:P249"/>
    <mergeCell ref="Q249:T249"/>
    <mergeCell ref="U249:X249"/>
    <mergeCell ref="Y249:AB249"/>
    <mergeCell ref="AC249:AF249"/>
    <mergeCell ref="AG249:AJ249"/>
    <mergeCell ref="AK249:AN249"/>
    <mergeCell ref="AO249:AR249"/>
    <mergeCell ref="A251:D252"/>
    <mergeCell ref="E251:H252"/>
    <mergeCell ref="I251:L252"/>
    <mergeCell ref="M251:P252"/>
    <mergeCell ref="Q251:T252"/>
    <mergeCell ref="U251:X252"/>
    <mergeCell ref="Y251:AB252"/>
    <mergeCell ref="AC251:AF252"/>
    <mergeCell ref="AG251:AJ252"/>
    <mergeCell ref="AK251:AN252"/>
    <mergeCell ref="AO251:AR252"/>
    <mergeCell ref="A253:D254"/>
    <mergeCell ref="E253:H254"/>
    <mergeCell ref="I253:L254"/>
    <mergeCell ref="M253:P254"/>
    <mergeCell ref="Q253:T254"/>
    <mergeCell ref="U253:X254"/>
    <mergeCell ref="Y253:AB254"/>
    <mergeCell ref="AC253:AF254"/>
    <mergeCell ref="AG253:AJ254"/>
    <mergeCell ref="AK253:AN254"/>
    <mergeCell ref="AO253:AR254"/>
    <mergeCell ref="A255:D255"/>
    <mergeCell ref="E255:F255"/>
    <mergeCell ref="G255:H255"/>
    <mergeCell ref="I255:J255"/>
    <mergeCell ref="K255:L255"/>
    <mergeCell ref="M255:N255"/>
    <mergeCell ref="O255:P255"/>
    <mergeCell ref="Q255:R255"/>
    <mergeCell ref="S255:T255"/>
    <mergeCell ref="U255:V255"/>
    <mergeCell ref="W255:X255"/>
    <mergeCell ref="Y255:Z255"/>
    <mergeCell ref="AA255:AB255"/>
    <mergeCell ref="AC255:AD255"/>
    <mergeCell ref="AE255:AF255"/>
    <mergeCell ref="AG255:AH255"/>
    <mergeCell ref="AI255:AJ255"/>
    <mergeCell ref="AK255:AL255"/>
    <mergeCell ref="AM255:AN255"/>
    <mergeCell ref="AO255:AP255"/>
    <mergeCell ref="AQ255:AR255"/>
    <mergeCell ref="A256:D256"/>
    <mergeCell ref="F256:H256"/>
    <mergeCell ref="J256:L256"/>
    <mergeCell ref="N256:P256"/>
    <mergeCell ref="R256:T256"/>
    <mergeCell ref="V256:X256"/>
    <mergeCell ref="Z256:AB256"/>
    <mergeCell ref="AD256:AF256"/>
    <mergeCell ref="AH256:AJ256"/>
    <mergeCell ref="AL256:AN256"/>
    <mergeCell ref="AP256:AR256"/>
    <mergeCell ref="A257:D257"/>
    <mergeCell ref="F257:H257"/>
    <mergeCell ref="J257:L257"/>
    <mergeCell ref="N257:P257"/>
    <mergeCell ref="R257:T257"/>
    <mergeCell ref="V257:X257"/>
    <mergeCell ref="Z257:AB257"/>
    <mergeCell ref="AD257:AF257"/>
    <mergeCell ref="AH257:AJ257"/>
    <mergeCell ref="AL257:AN257"/>
    <mergeCell ref="AP257:AR257"/>
    <mergeCell ref="A258:D259"/>
    <mergeCell ref="E258:H259"/>
    <mergeCell ref="I258:L259"/>
    <mergeCell ref="M258:P259"/>
    <mergeCell ref="Q258:T259"/>
    <mergeCell ref="U258:X259"/>
    <mergeCell ref="Y258:AB259"/>
    <mergeCell ref="AC258:AF259"/>
    <mergeCell ref="AG258:AJ259"/>
    <mergeCell ref="AK258:AN259"/>
    <mergeCell ref="AO258:AR259"/>
    <mergeCell ref="A260:B269"/>
    <mergeCell ref="C260:D260"/>
    <mergeCell ref="E260:H260"/>
    <mergeCell ref="I260:L260"/>
    <mergeCell ref="M260:P260"/>
    <mergeCell ref="Q260:T260"/>
    <mergeCell ref="U260:X260"/>
    <mergeCell ref="Y260:AB260"/>
    <mergeCell ref="AC260:AF260"/>
    <mergeCell ref="AG260:AJ260"/>
    <mergeCell ref="AK260:AN260"/>
    <mergeCell ref="AO260:AR260"/>
    <mergeCell ref="C261:D261"/>
    <mergeCell ref="E261:H261"/>
    <mergeCell ref="I261:L261"/>
    <mergeCell ref="M261:P261"/>
    <mergeCell ref="Q261:T261"/>
    <mergeCell ref="U261:X261"/>
    <mergeCell ref="Y261:AB261"/>
    <mergeCell ref="AC261:AF261"/>
    <mergeCell ref="AG261:AJ261"/>
    <mergeCell ref="AK261:AN261"/>
    <mergeCell ref="AO261:AR261"/>
    <mergeCell ref="C262:D262"/>
    <mergeCell ref="E262:H262"/>
    <mergeCell ref="I262:L262"/>
    <mergeCell ref="M262:P262"/>
    <mergeCell ref="Q262:T262"/>
    <mergeCell ref="U262:X262"/>
    <mergeCell ref="Y262:AB262"/>
    <mergeCell ref="AC262:AF262"/>
    <mergeCell ref="AG262:AJ262"/>
    <mergeCell ref="AK262:AN262"/>
    <mergeCell ref="AO262:AR262"/>
    <mergeCell ref="C263:D263"/>
    <mergeCell ref="E263:H263"/>
    <mergeCell ref="I263:L263"/>
    <mergeCell ref="M263:P263"/>
    <mergeCell ref="Q263:T263"/>
    <mergeCell ref="U263:X263"/>
    <mergeCell ref="Y263:AB263"/>
    <mergeCell ref="AC263:AF263"/>
    <mergeCell ref="AG263:AJ263"/>
    <mergeCell ref="AK263:AN263"/>
    <mergeCell ref="AO263:AR263"/>
    <mergeCell ref="C264:D264"/>
    <mergeCell ref="E264:H264"/>
    <mergeCell ref="I264:L264"/>
    <mergeCell ref="M264:P264"/>
    <mergeCell ref="Q264:T264"/>
    <mergeCell ref="U264:X264"/>
    <mergeCell ref="Y264:AB264"/>
    <mergeCell ref="AC264:AF264"/>
    <mergeCell ref="AG264:AJ264"/>
    <mergeCell ref="AK264:AN264"/>
    <mergeCell ref="AO264:AR264"/>
    <mergeCell ref="C265:D265"/>
    <mergeCell ref="E265:H265"/>
    <mergeCell ref="I265:L265"/>
    <mergeCell ref="M265:P265"/>
    <mergeCell ref="Q265:T265"/>
    <mergeCell ref="U265:X265"/>
    <mergeCell ref="Y265:AB265"/>
    <mergeCell ref="AC265:AF265"/>
    <mergeCell ref="AG265:AJ265"/>
    <mergeCell ref="AK265:AN265"/>
    <mergeCell ref="AO265:AR265"/>
    <mergeCell ref="C266:D266"/>
    <mergeCell ref="E266:H266"/>
    <mergeCell ref="I266:L266"/>
    <mergeCell ref="M266:P266"/>
    <mergeCell ref="Q266:T266"/>
    <mergeCell ref="U266:X266"/>
    <mergeCell ref="Y266:AB266"/>
    <mergeCell ref="AC266:AF266"/>
    <mergeCell ref="AG266:AJ266"/>
    <mergeCell ref="AK266:AN266"/>
    <mergeCell ref="AO266:AR266"/>
    <mergeCell ref="C267:D267"/>
    <mergeCell ref="E267:H267"/>
    <mergeCell ref="I267:L267"/>
    <mergeCell ref="M267:P267"/>
    <mergeCell ref="Q267:T267"/>
    <mergeCell ref="U267:X267"/>
    <mergeCell ref="Y267:AB267"/>
    <mergeCell ref="AC267:AF267"/>
    <mergeCell ref="AG267:AJ267"/>
    <mergeCell ref="AK267:AN267"/>
    <mergeCell ref="AO267:AR267"/>
    <mergeCell ref="AG272:AJ272"/>
    <mergeCell ref="AK272:AN272"/>
    <mergeCell ref="AO272:AR272"/>
    <mergeCell ref="C268:D268"/>
    <mergeCell ref="E268:H268"/>
    <mergeCell ref="I268:L268"/>
    <mergeCell ref="M268:P268"/>
    <mergeCell ref="Q268:T268"/>
    <mergeCell ref="U268:X268"/>
    <mergeCell ref="Y268:AB268"/>
    <mergeCell ref="AC268:AF268"/>
    <mergeCell ref="AG268:AJ268"/>
    <mergeCell ref="AK268:AN268"/>
    <mergeCell ref="AO268:AR268"/>
    <mergeCell ref="C269:D269"/>
    <mergeCell ref="E269:H269"/>
    <mergeCell ref="I269:L269"/>
    <mergeCell ref="M269:P269"/>
    <mergeCell ref="Q269:T269"/>
    <mergeCell ref="U269:X269"/>
    <mergeCell ref="Y269:AB269"/>
    <mergeCell ref="AC269:AF269"/>
    <mergeCell ref="AG269:AJ269"/>
    <mergeCell ref="AK269:AN269"/>
    <mergeCell ref="AO269:AR269"/>
    <mergeCell ref="AX10:AY11"/>
    <mergeCell ref="AU15:AV15"/>
    <mergeCell ref="A273:D273"/>
    <mergeCell ref="E273:H273"/>
    <mergeCell ref="I273:L273"/>
    <mergeCell ref="M273:P273"/>
    <mergeCell ref="Q273:T273"/>
    <mergeCell ref="U273:X273"/>
    <mergeCell ref="Y273:AB273"/>
    <mergeCell ref="AC273:AF273"/>
    <mergeCell ref="AG273:AJ273"/>
    <mergeCell ref="AK273:AN273"/>
    <mergeCell ref="AO273:AR273"/>
    <mergeCell ref="A270:D271"/>
    <mergeCell ref="E270:H271"/>
    <mergeCell ref="I270:L271"/>
    <mergeCell ref="M270:P271"/>
    <mergeCell ref="Q270:T271"/>
    <mergeCell ref="U270:X271"/>
    <mergeCell ref="Y270:AB271"/>
    <mergeCell ref="AC270:AF271"/>
    <mergeCell ref="AG270:AJ271"/>
    <mergeCell ref="AK270:AN271"/>
    <mergeCell ref="AO270:AR271"/>
    <mergeCell ref="A272:D272"/>
    <mergeCell ref="E272:H272"/>
    <mergeCell ref="I272:L272"/>
    <mergeCell ref="M272:P272"/>
    <mergeCell ref="Q272:T272"/>
    <mergeCell ref="U272:X272"/>
    <mergeCell ref="Y272:AB272"/>
    <mergeCell ref="AC272:AF272"/>
  </mergeCells>
  <phoneticPr fontId="1"/>
  <conditionalFormatting sqref="E32:AR41">
    <cfRule type="expression" dxfId="9" priority="12">
      <formula>ISNUMBER(INDIRECT(ADDRESS(ROW(),COLUMN()))) *((INDIRECT(ADDRESS(ROW()-2-INDIRECT("C"&amp;ROW()),COLUMN()))&gt;=INDIRECT(ADDRESS(ROW(),COLUMN()))) +(INDIRECT(ADDRESS(ROW()-3-INDIRECT("C"&amp;ROW()),COLUMN()))&lt;=INDIRECT(ADDRESS(ROW(),COLUMN())))) +(INDIRECT(ADDRESS(ROW(),COLUMN()))="NG")</formula>
    </cfRule>
  </conditionalFormatting>
  <conditionalFormatting sqref="E56:AR65">
    <cfRule type="expression" dxfId="8" priority="10">
      <formula>ISNUMBER(INDIRECT(ADDRESS(ROW(),COLUMN()))) *((INDIRECT(ADDRESS(ROW()-2-INDIRECT("C"&amp;ROW()),COLUMN()))&gt;=INDIRECT(ADDRESS(ROW(),COLUMN()))) +(INDIRECT(ADDRESS(ROW()-3-INDIRECT("C"&amp;ROW()),COLUMN()))&lt;=INDIRECT(ADDRESS(ROW(),COLUMN())))) +(INDIRECT(ADDRESS(ROW(),COLUMN()))="NG")</formula>
    </cfRule>
  </conditionalFormatting>
  <conditionalFormatting sqref="E86:AR95">
    <cfRule type="expression" dxfId="7" priority="9">
      <formula>ISNUMBER(INDIRECT(ADDRESS(ROW(),COLUMN()))) *((INDIRECT(ADDRESS(ROW()-2-INDIRECT("C"&amp;ROW()),COLUMN()))&gt;=INDIRECT(ADDRESS(ROW(),COLUMN()))) +(INDIRECT(ADDRESS(ROW()-3-INDIRECT("C"&amp;ROW()),COLUMN()))&lt;=INDIRECT(ADDRESS(ROW(),COLUMN())))) +(INDIRECT(ADDRESS(ROW(),COLUMN()))="NG")</formula>
    </cfRule>
  </conditionalFormatting>
  <conditionalFormatting sqref="E110:AR119">
    <cfRule type="expression" dxfId="6" priority="8">
      <formula>ISNUMBER(INDIRECT(ADDRESS(ROW(),COLUMN()))) *((INDIRECT(ADDRESS(ROW()-2-INDIRECT("C"&amp;ROW()),COLUMN()))&gt;=INDIRECT(ADDRESS(ROW(),COLUMN()))) +(INDIRECT(ADDRESS(ROW()-3-INDIRECT("C"&amp;ROW()),COLUMN()))&lt;=INDIRECT(ADDRESS(ROW(),COLUMN())))) +(INDIRECT(ADDRESS(ROW(),COLUMN()))="NG")</formula>
    </cfRule>
  </conditionalFormatting>
  <conditionalFormatting sqref="E134:AR143">
    <cfRule type="expression" dxfId="5" priority="7">
      <formula>ISNUMBER(INDIRECT(ADDRESS(ROW(),COLUMN()))) *((INDIRECT(ADDRESS(ROW()-2-INDIRECT("C"&amp;ROW()),COLUMN()))&gt;=INDIRECT(ADDRESS(ROW(),COLUMN()))) +(INDIRECT(ADDRESS(ROW()-3-INDIRECT("C"&amp;ROW()),COLUMN()))&lt;=INDIRECT(ADDRESS(ROW(),COLUMN())))) +(INDIRECT(ADDRESS(ROW(),COLUMN()))="NG")</formula>
    </cfRule>
  </conditionalFormatting>
  <conditionalFormatting sqref="E161:AR170">
    <cfRule type="expression" dxfId="4" priority="6">
      <formula>ISNUMBER(INDIRECT(ADDRESS(ROW(),COLUMN()))) *((INDIRECT(ADDRESS(ROW()-2-INDIRECT("C"&amp;ROW()),COLUMN()))&gt;=INDIRECT(ADDRESS(ROW(),COLUMN()))) +(INDIRECT(ADDRESS(ROW()-3-INDIRECT("C"&amp;ROW()),COLUMN()))&lt;=INDIRECT(ADDRESS(ROW(),COLUMN())))) +(INDIRECT(ADDRESS(ROW(),COLUMN()))="NG")</formula>
    </cfRule>
  </conditionalFormatting>
  <conditionalFormatting sqref="E185:AR194">
    <cfRule type="expression" dxfId="3" priority="5">
      <formula>ISNUMBER(INDIRECT(ADDRESS(ROW(),COLUMN()))) *((INDIRECT(ADDRESS(ROW()-2-INDIRECT("C"&amp;ROW()),COLUMN()))&gt;=INDIRECT(ADDRESS(ROW(),COLUMN()))) +(INDIRECT(ADDRESS(ROW()-3-INDIRECT("C"&amp;ROW()),COLUMN()))&lt;=INDIRECT(ADDRESS(ROW(),COLUMN())))) +(INDIRECT(ADDRESS(ROW(),COLUMN()))="NG")</formula>
    </cfRule>
  </conditionalFormatting>
  <conditionalFormatting sqref="E209:AR218">
    <cfRule type="expression" dxfId="2" priority="4">
      <formula>ISNUMBER(INDIRECT(ADDRESS(ROW(),COLUMN()))) *((INDIRECT(ADDRESS(ROW()-2-INDIRECT("C"&amp;ROW()),COLUMN()))&gt;=INDIRECT(ADDRESS(ROW(),COLUMN()))) +(INDIRECT(ADDRESS(ROW()-3-INDIRECT("C"&amp;ROW()),COLUMN()))&lt;=INDIRECT(ADDRESS(ROW(),COLUMN())))) +(INDIRECT(ADDRESS(ROW(),COLUMN()))="NG")</formula>
    </cfRule>
  </conditionalFormatting>
  <conditionalFormatting sqref="E236:AR245">
    <cfRule type="expression" dxfId="1" priority="3">
      <formula>ISNUMBER(INDIRECT(ADDRESS(ROW(),COLUMN()))) *((INDIRECT(ADDRESS(ROW()-2-INDIRECT("C"&amp;ROW()),COLUMN()))&gt;=INDIRECT(ADDRESS(ROW(),COLUMN()))) +(INDIRECT(ADDRESS(ROW()-3-INDIRECT("C"&amp;ROW()),COLUMN()))&lt;=INDIRECT(ADDRESS(ROW(),COLUMN())))) +(INDIRECT(ADDRESS(ROW(),COLUMN()))="NG")</formula>
    </cfRule>
  </conditionalFormatting>
  <conditionalFormatting sqref="E260:AR269">
    <cfRule type="expression" dxfId="0" priority="2">
      <formula>ISNUMBER(INDIRECT(ADDRESS(ROW(),COLUMN()))) *((INDIRECT(ADDRESS(ROW()-2-INDIRECT("C"&amp;ROW()),COLUMN()))&gt;=INDIRECT(ADDRESS(ROW(),COLUMN()))) +(INDIRECT(ADDRESS(ROW()-3-INDIRECT("C"&amp;ROW()),COLUMN()))&lt;=INDIRECT(ADDRESS(ROW(),COLUMN())))) +(INDIRECT(ADDRESS(ROW(),COLUMN()))="NG")</formula>
    </cfRule>
  </conditionalFormatting>
  <dataValidations count="1">
    <dataValidation type="list" allowBlank="1" showInputMessage="1" showErrorMessage="1" sqref="AV7:AY7" xr:uid="{07863928-03BD-4E91-BF9F-425EEE377450}">
      <formula1>"0,1,2,3"</formula1>
    </dataValidation>
  </dataValidations>
  <pageMargins left="0.51181102362204722" right="0.23622047244094491" top="0.39370078740157483" bottom="0.19685039370078741" header="0.19685039370078741" footer="0.19685039370078741"/>
  <pageSetup paperSize="9" scale="88" fitToHeight="0" orientation="portrait" verticalDpi="0" r:id="rId1"/>
  <headerFooter>
    <oddHeader>&amp;LP.&amp;P/&amp;N</oddHeader>
  </headerFooter>
  <rowBreaks count="3" manualBreakCount="3">
    <brk id="73" max="43" man="1"/>
    <brk id="148" max="43" man="1"/>
    <brk id="223" max="43" man="1"/>
  </rowBreaks>
  <ignoredErrors>
    <ignoredError sqref="A27:AS41 A44:AS65 A42:D42 F42:H42 A43:H43 AS43 AS42 A68:AS95 A66:D66 A67:D67 AS67 AS66 A98:AS119 A96:D96 A97:D97 AS97 AS96 A122:AS143 A120:D120 A121:D121 AS121 AS120 A146:AS146 A144:D144 A145:D145 AS145 AS144" formula="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47B60A0-B439-42CE-8BD5-54073A36B00A}">
          <x14:formula1>
            <xm:f>DATA!$O$1:$O$12</xm:f>
          </x14:formula1>
          <xm:sqref>AV12</xm:sqref>
        </x14:dataValidation>
        <x14:dataValidation type="list" allowBlank="1" showInputMessage="1" showErrorMessage="1" xr:uid="{E9697730-B8D7-4FBA-83F7-4572054C2BF8}">
          <x14:formula1>
            <xm:f>DATA!$N$1:$N$71</xm:f>
          </x14:formula1>
          <xm:sqref>AV8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条件付き書式メモ</vt:lpstr>
      <vt:lpstr>集計1</vt:lpstr>
      <vt:lpstr>集計2</vt:lpstr>
      <vt:lpstr>集計3</vt:lpstr>
      <vt:lpstr>工程内検査シート</vt:lpstr>
      <vt:lpstr>DATA</vt:lpstr>
      <vt:lpstr>検査項目設定</vt:lpstr>
      <vt:lpstr>D-2</vt:lpstr>
      <vt:lpstr>番号図面</vt:lpstr>
      <vt:lpstr>検査表</vt:lpstr>
      <vt:lpstr>検査表!Print_Area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木崎 夏輝</dc:creator>
  <cp:lastModifiedBy>高田 明良</cp:lastModifiedBy>
  <cp:lastPrinted>2025-07-04T07:00:45Z</cp:lastPrinted>
  <dcterms:created xsi:type="dcterms:W3CDTF">2025-06-18T23:30:12Z</dcterms:created>
  <dcterms:modified xsi:type="dcterms:W3CDTF">2025-12-16T07:59:13Z</dcterms:modified>
</cp:coreProperties>
</file>